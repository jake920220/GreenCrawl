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00000000-0000-0000-0000-000000000000}"/>
  <workbookPr codeName="현재_통합_문서" defaultThemeVersion="124226"/>
  <bookViews>
    <workbookView xWindow="3570" yWindow="2115" windowWidth="13995" windowHeight="8055" activeTab="4"/>
  </bookViews>
  <sheets>
    <sheet name="dataname" sheetId="3" r:id="rId1"/>
    <sheet name="이름정의용" sheetId="6" r:id="rId2"/>
    <sheet name="카테고리 분류" sheetId="8" r:id="rId3"/>
    <sheet name="한달DB(여기서 수정해주세요)" sheetId="11" r:id="rId4"/>
    <sheet name="oneMonth_DB" sheetId="13" r:id="rId5"/>
    <sheet name="oneMonth_DB (2)" sheetId="15" r:id="rId6"/>
  </sheets>
  <functionGroups builtInGroupCount="17"/>
  <definedNames>
    <definedName name="_xlnm._FilterDatabase" localSheetId="3" hidden="1">'한달DB(여기서 수정해주세요)'!$D$1:$D$1301</definedName>
    <definedName name="advanced">dataname!$I$67:$I$69</definedName>
    <definedName name="boxbreaker">dataname!$L$41:$L$63</definedName>
    <definedName name="breaker">dataname!$A$40:$A$66</definedName>
    <definedName name="category2">dataname!$G$1:$G$12</definedName>
    <definedName name="category3_detail">이름정의용!$G$1:$G$25</definedName>
    <definedName name="clamgrapple">dataname!$F$67:$F$76</definedName>
    <definedName name="compactor">dataname!$I$80:$I$91</definedName>
    <definedName name="coredrill">dataname!$H$80:$H$88</definedName>
    <definedName name="coupler">dataname!$H$41:$H$66</definedName>
    <definedName name="etc">dataname!$J$80:$J$82</definedName>
    <definedName name="etcbreaker">dataname!$N$41:$N$62</definedName>
    <definedName name="etcbucket">dataname!$G$41:$G$65</definedName>
    <definedName name="etccrusher">dataname!$C$101:$C$113</definedName>
    <definedName name="etcgrapple">dataname!$J$67:$J$77</definedName>
    <definedName name="excavator1">이름정의용!$A$1:$A$10</definedName>
    <definedName name="hammer">dataname!$G$80:$G$88</definedName>
    <definedName name="hydcrusher">dataname!$A$80:$A$86</definedName>
    <definedName name="hydmulticrusher">dataname!$C$80:$C$87</definedName>
    <definedName name="hydpulverizer">dataname!$B$80:$B$96</definedName>
    <definedName name="liftfork">dataname!$E$80:$E$92</definedName>
    <definedName name="multigrapple">dataname!$A$67:$A$79</definedName>
    <definedName name="orangegrapple">dataname!$E$67:$E$78</definedName>
    <definedName name="progressivethumb">dataname!$H$67:$H$73</definedName>
    <definedName name="ripper">dataname!$I$41:$I$45</definedName>
    <definedName name="scrapgrapple">dataname!$B$67:$B$70</definedName>
    <definedName name="shear">dataname!$F$80:$F$94</definedName>
    <definedName name="sidebreaker">dataname!$J$41:$J$64</definedName>
    <definedName name="skeletonbucket">dataname!$E$40:$E$66</definedName>
    <definedName name="smallbucket">dataname!$B$41:$B$57</definedName>
    <definedName name="specialbreaker">dataname!$M$41:$M$62</definedName>
    <definedName name="specialbucket">dataname!$F$41:$F$59</definedName>
    <definedName name="standardbucket">dataname!$C$41:$C$51</definedName>
    <definedName name="stonegrapple">dataname!$C$67:$C$78</definedName>
    <definedName name="thumb">dataname!$G$67:$G$74</definedName>
    <definedName name="topbreaker">dataname!$K$41:$K$65</definedName>
    <definedName name="totalbucket">dataname!$A$101:$A$111</definedName>
    <definedName name="totalcrusher">dataname!$C$101:$C$116</definedName>
    <definedName name="totalgrapple">dataname!$B$101:$B$127</definedName>
    <definedName name="widebucket">dataname!$D$41:$D$49</definedName>
    <definedName name="woodgrapple">dataname!$D$67:$D$78</definedName>
  </definedNames>
  <calcPr calcId="144525"/>
</workbook>
</file>

<file path=xl/calcChain.xml><?xml version="1.0" encoding="utf-8"?>
<calcChain xmlns="http://schemas.openxmlformats.org/spreadsheetml/2006/main">
  <c r="L1118" i="15" l="1"/>
  <c r="I1118" i="15"/>
  <c r="L1117" i="15"/>
  <c r="I1117" i="15"/>
  <c r="L1116" i="15"/>
  <c r="I1116" i="15"/>
  <c r="L1115" i="15"/>
  <c r="I1115" i="15"/>
  <c r="L1114" i="15"/>
  <c r="I1114" i="15"/>
  <c r="L1113" i="15"/>
  <c r="I1113" i="15"/>
  <c r="L1112" i="15"/>
  <c r="I1112" i="15"/>
  <c r="L1111" i="15"/>
  <c r="I1111" i="15"/>
  <c r="L1110" i="15"/>
  <c r="I1110" i="15"/>
  <c r="L1109" i="15"/>
  <c r="I1109" i="15"/>
  <c r="L1108" i="15"/>
  <c r="I1108" i="15"/>
  <c r="L1107" i="15"/>
  <c r="I1107" i="15"/>
  <c r="L1106" i="15"/>
  <c r="I1106" i="15"/>
  <c r="L1105" i="15"/>
  <c r="I1105" i="15"/>
  <c r="L1104" i="15"/>
  <c r="I1104" i="15"/>
  <c r="L1103" i="15"/>
  <c r="I1103" i="15"/>
  <c r="L1102" i="15"/>
  <c r="I1102" i="15"/>
  <c r="L1101" i="15"/>
  <c r="I1101" i="15"/>
  <c r="L1100" i="15"/>
  <c r="I1100" i="15"/>
  <c r="L1099" i="15"/>
  <c r="I1099" i="15"/>
  <c r="L1098" i="15"/>
  <c r="I1098" i="15"/>
  <c r="L1097" i="15"/>
  <c r="I1097" i="15"/>
  <c r="L1096" i="15"/>
  <c r="I1096" i="15"/>
  <c r="L1095" i="15"/>
  <c r="I1095" i="15"/>
  <c r="L1094" i="15"/>
  <c r="I1094" i="15"/>
  <c r="L1093" i="15"/>
  <c r="I1093" i="15"/>
  <c r="L1092" i="15"/>
  <c r="I1092" i="15"/>
  <c r="L1091" i="15"/>
  <c r="I1091" i="15"/>
  <c r="L1090" i="15"/>
  <c r="I1090" i="15"/>
  <c r="L1089" i="15"/>
  <c r="I1089" i="15"/>
  <c r="L1088" i="15"/>
  <c r="I1088" i="15"/>
  <c r="L1087" i="15"/>
  <c r="I1087" i="15"/>
  <c r="L1086" i="15"/>
  <c r="I1086" i="15"/>
  <c r="L1085" i="15"/>
  <c r="I1085" i="15"/>
  <c r="L1084" i="15"/>
  <c r="I1084" i="15"/>
  <c r="L1083" i="15"/>
  <c r="I1083" i="15"/>
  <c r="L1082" i="15"/>
  <c r="I1082" i="15"/>
  <c r="L1081" i="15"/>
  <c r="I1081" i="15"/>
  <c r="L1080" i="15"/>
  <c r="I1080" i="15"/>
  <c r="L1079" i="15"/>
  <c r="I1079" i="15"/>
  <c r="L1078" i="15"/>
  <c r="I1078" i="15"/>
  <c r="L1077" i="15"/>
  <c r="I1077" i="15"/>
  <c r="L1076" i="15"/>
  <c r="I1076" i="15"/>
  <c r="L1075" i="15"/>
  <c r="I1075" i="15"/>
  <c r="L1074" i="15"/>
  <c r="I1074" i="15"/>
  <c r="L1073" i="15"/>
  <c r="I1073" i="15"/>
  <c r="L1072" i="15"/>
  <c r="I1072" i="15"/>
  <c r="L1071" i="15"/>
  <c r="I1071" i="15"/>
  <c r="L1070" i="15"/>
  <c r="I1070" i="15"/>
  <c r="L1069" i="15"/>
  <c r="I1069" i="15"/>
  <c r="L1068" i="15"/>
  <c r="I1068" i="15"/>
  <c r="L1067" i="15"/>
  <c r="I1067" i="15"/>
  <c r="L1066" i="15"/>
  <c r="I1066" i="15"/>
  <c r="L1065" i="15"/>
  <c r="I1065" i="15"/>
  <c r="L1064" i="15"/>
  <c r="I1064" i="15"/>
  <c r="L1063" i="15"/>
  <c r="I1063" i="15"/>
  <c r="L1062" i="15"/>
  <c r="I1062" i="15"/>
  <c r="L1061" i="15"/>
  <c r="I1061" i="15"/>
  <c r="L1060" i="15"/>
  <c r="I1060" i="15"/>
  <c r="L1059" i="15"/>
  <c r="I1059" i="15"/>
  <c r="L1058" i="15"/>
  <c r="I1058" i="15"/>
  <c r="L1057" i="15"/>
  <c r="I1057" i="15"/>
  <c r="L1056" i="15"/>
  <c r="I1056" i="15"/>
  <c r="L1055" i="15"/>
  <c r="I1055" i="15"/>
  <c r="L1054" i="15"/>
  <c r="I1054" i="15"/>
  <c r="L1053" i="15"/>
  <c r="I1053" i="15"/>
  <c r="L1052" i="15"/>
  <c r="I1052" i="15"/>
  <c r="L1051" i="15"/>
  <c r="I1051" i="15"/>
  <c r="L1050" i="15"/>
  <c r="I1050" i="15"/>
  <c r="L1049" i="15"/>
  <c r="I1049" i="15"/>
  <c r="L1048" i="15"/>
  <c r="I1048" i="15"/>
  <c r="L1047" i="15"/>
  <c r="I1047" i="15"/>
  <c r="L1046" i="15"/>
  <c r="I1046" i="15"/>
  <c r="L1045" i="15"/>
  <c r="I1045" i="15"/>
  <c r="L1044" i="15"/>
  <c r="I1044" i="15"/>
  <c r="L1043" i="15"/>
  <c r="I1043" i="15"/>
  <c r="L1042" i="15"/>
  <c r="I1042" i="15"/>
  <c r="L1041" i="15"/>
  <c r="I1041" i="15"/>
  <c r="L1040" i="15"/>
  <c r="I1040" i="15"/>
  <c r="L1039" i="15"/>
  <c r="I1039" i="15"/>
  <c r="L1038" i="15"/>
  <c r="I1038" i="15"/>
  <c r="L1037" i="15"/>
  <c r="I1037" i="15"/>
  <c r="L1036" i="15"/>
  <c r="I1036" i="15"/>
  <c r="L1035" i="15"/>
  <c r="I1035" i="15"/>
  <c r="L1034" i="15"/>
  <c r="I1034" i="15"/>
  <c r="L1033" i="15"/>
  <c r="I1033" i="15"/>
  <c r="L1032" i="15"/>
  <c r="I1032" i="15"/>
  <c r="L1031" i="15"/>
  <c r="I1031" i="15"/>
  <c r="L1030" i="15"/>
  <c r="I1030" i="15"/>
  <c r="L1029" i="15"/>
  <c r="I1029" i="15"/>
  <c r="L1028" i="15"/>
  <c r="I1028" i="15"/>
  <c r="L1027" i="15"/>
  <c r="I1027" i="15"/>
  <c r="L1026" i="15"/>
  <c r="I1026" i="15"/>
  <c r="L1025" i="15"/>
  <c r="I1025" i="15"/>
  <c r="L1024" i="15"/>
  <c r="I1024" i="15"/>
  <c r="L1023" i="15"/>
  <c r="I1023" i="15"/>
  <c r="L1022" i="15"/>
  <c r="I1022" i="15"/>
  <c r="L1021" i="15"/>
  <c r="I1021" i="15"/>
  <c r="L1020" i="15"/>
  <c r="I1020" i="15"/>
  <c r="L1019" i="15"/>
  <c r="I1019" i="15"/>
  <c r="L1018" i="15"/>
  <c r="I1018" i="15"/>
  <c r="L1017" i="15"/>
  <c r="I1017" i="15"/>
  <c r="L1016" i="15"/>
  <c r="I1016" i="15"/>
  <c r="L1015" i="15"/>
  <c r="I1015" i="15"/>
  <c r="L1014" i="15"/>
  <c r="I1014" i="15"/>
  <c r="L1013" i="15"/>
  <c r="I1013" i="15"/>
  <c r="L1012" i="15"/>
  <c r="I1012" i="15"/>
  <c r="L1011" i="15"/>
  <c r="I1011" i="15"/>
  <c r="L1010" i="15"/>
  <c r="I1010" i="15"/>
  <c r="L1009" i="15"/>
  <c r="I1009" i="15"/>
  <c r="L1008" i="15"/>
  <c r="I1008" i="15"/>
  <c r="L1007" i="15"/>
  <c r="I1007" i="15"/>
  <c r="L1006" i="15"/>
  <c r="I1006" i="15"/>
  <c r="L1005" i="15"/>
  <c r="I1005" i="15"/>
  <c r="L1004" i="15"/>
  <c r="I1004" i="15"/>
  <c r="L1003" i="15"/>
  <c r="I1003" i="15"/>
  <c r="L1002" i="15"/>
  <c r="I1002" i="15"/>
  <c r="L1001" i="15"/>
  <c r="I1001" i="15"/>
  <c r="L1000" i="15"/>
  <c r="I1000" i="15"/>
  <c r="L999" i="15"/>
  <c r="I999" i="15"/>
  <c r="L998" i="15"/>
  <c r="I998" i="15"/>
  <c r="L997" i="15"/>
  <c r="I997" i="15"/>
  <c r="L996" i="15"/>
  <c r="I996" i="15"/>
  <c r="L995" i="15"/>
  <c r="I995" i="15"/>
  <c r="L994" i="15"/>
  <c r="I994" i="15"/>
  <c r="L993" i="15"/>
  <c r="I993" i="15"/>
  <c r="L992" i="15"/>
  <c r="I992" i="15"/>
  <c r="L991" i="15"/>
  <c r="I991" i="15"/>
  <c r="L990" i="15"/>
  <c r="I990" i="15"/>
  <c r="L989" i="15"/>
  <c r="I989" i="15"/>
  <c r="L988" i="15"/>
  <c r="I988" i="15"/>
  <c r="L987" i="15"/>
  <c r="I987" i="15"/>
  <c r="L986" i="15"/>
  <c r="I986" i="15"/>
  <c r="L985" i="15"/>
  <c r="I985" i="15"/>
  <c r="L984" i="15"/>
  <c r="I984" i="15"/>
  <c r="L983" i="15"/>
  <c r="I983" i="15"/>
  <c r="L982" i="15"/>
  <c r="I982" i="15"/>
  <c r="L981" i="15"/>
  <c r="I981" i="15"/>
  <c r="L980" i="15"/>
  <c r="I980" i="15"/>
  <c r="L979" i="15"/>
  <c r="I979" i="15"/>
  <c r="L978" i="15"/>
  <c r="I978" i="15"/>
  <c r="L977" i="15"/>
  <c r="I977" i="15"/>
  <c r="L976" i="15"/>
  <c r="I976" i="15"/>
  <c r="L975" i="15"/>
  <c r="I975" i="15"/>
  <c r="L974" i="15"/>
  <c r="I974" i="15"/>
  <c r="L973" i="15"/>
  <c r="I973" i="15"/>
  <c r="L972" i="15"/>
  <c r="I972" i="15"/>
  <c r="L971" i="15"/>
  <c r="I971" i="15"/>
  <c r="L970" i="15"/>
  <c r="I970" i="15"/>
  <c r="L969" i="15"/>
  <c r="I969" i="15"/>
  <c r="L968" i="15"/>
  <c r="I968" i="15"/>
  <c r="L967" i="15"/>
  <c r="I967" i="15"/>
  <c r="L966" i="15"/>
  <c r="I966" i="15"/>
  <c r="L965" i="15"/>
  <c r="I965" i="15"/>
  <c r="L964" i="15"/>
  <c r="I964" i="15"/>
  <c r="L963" i="15"/>
  <c r="I963" i="15"/>
  <c r="L962" i="15"/>
  <c r="I962" i="15"/>
  <c r="L961" i="15"/>
  <c r="I961" i="15"/>
  <c r="L960" i="15"/>
  <c r="I960" i="15"/>
  <c r="L959" i="15"/>
  <c r="I959" i="15"/>
  <c r="L958" i="15"/>
  <c r="I958" i="15"/>
  <c r="L957" i="15"/>
  <c r="I957" i="15"/>
  <c r="L956" i="15"/>
  <c r="I956" i="15"/>
  <c r="L955" i="15"/>
  <c r="I955" i="15"/>
  <c r="L954" i="15"/>
  <c r="I954" i="15"/>
  <c r="L953" i="15"/>
  <c r="I953" i="15"/>
  <c r="L952" i="15"/>
  <c r="I952" i="15"/>
  <c r="L951" i="15"/>
  <c r="I951" i="15"/>
  <c r="L950" i="15"/>
  <c r="I950" i="15"/>
  <c r="L949" i="15"/>
  <c r="I949" i="15"/>
  <c r="L948" i="15"/>
  <c r="I948" i="15"/>
  <c r="L947" i="15"/>
  <c r="I947" i="15"/>
  <c r="L946" i="15"/>
  <c r="I946" i="15"/>
  <c r="L945" i="15"/>
  <c r="I945" i="15"/>
  <c r="L944" i="15"/>
  <c r="I944" i="15"/>
  <c r="L943" i="15"/>
  <c r="I943" i="15"/>
  <c r="L942" i="15"/>
  <c r="I942" i="15"/>
  <c r="L941" i="15"/>
  <c r="I941" i="15"/>
  <c r="L940" i="15"/>
  <c r="I940" i="15"/>
  <c r="L939" i="15"/>
  <c r="I939" i="15"/>
  <c r="L938" i="15"/>
  <c r="I938" i="15"/>
  <c r="L937" i="15"/>
  <c r="I937" i="15"/>
  <c r="L936" i="15"/>
  <c r="I936" i="15"/>
  <c r="L935" i="15"/>
  <c r="I935" i="15"/>
  <c r="L934" i="15"/>
  <c r="I934" i="15"/>
  <c r="L933" i="15"/>
  <c r="I933" i="15"/>
  <c r="L932" i="15"/>
  <c r="I932" i="15"/>
  <c r="L931" i="15"/>
  <c r="I931" i="15"/>
  <c r="L930" i="15"/>
  <c r="I930" i="15"/>
  <c r="L929" i="15"/>
  <c r="I929" i="15"/>
  <c r="L928" i="15"/>
  <c r="I928" i="15"/>
  <c r="L927" i="15"/>
  <c r="I927" i="15"/>
  <c r="L926" i="15"/>
  <c r="I926" i="15"/>
  <c r="L925" i="15"/>
  <c r="I925" i="15"/>
  <c r="L924" i="15"/>
  <c r="I924" i="15"/>
  <c r="L923" i="15"/>
  <c r="I923" i="15"/>
  <c r="L922" i="15"/>
  <c r="I922" i="15"/>
  <c r="L921" i="15"/>
  <c r="I921" i="15"/>
  <c r="L920" i="15"/>
  <c r="I920" i="15"/>
  <c r="L919" i="15"/>
  <c r="I919" i="15"/>
  <c r="L918" i="15"/>
  <c r="I918" i="15"/>
  <c r="L917" i="15"/>
  <c r="I917" i="15"/>
  <c r="L916" i="15"/>
  <c r="I916" i="15"/>
  <c r="L915" i="15"/>
  <c r="I915" i="15"/>
  <c r="L914" i="15"/>
  <c r="I914" i="15"/>
  <c r="L913" i="15"/>
  <c r="I913" i="15"/>
  <c r="L912" i="15"/>
  <c r="I912" i="15"/>
  <c r="L911" i="15"/>
  <c r="I911" i="15"/>
  <c r="L910" i="15"/>
  <c r="I910" i="15"/>
  <c r="L909" i="15"/>
  <c r="I909" i="15"/>
  <c r="L908" i="15"/>
  <c r="I908" i="15"/>
  <c r="L907" i="15"/>
  <c r="I907" i="15"/>
  <c r="L906" i="15"/>
  <c r="I906" i="15"/>
  <c r="L905" i="15"/>
  <c r="I905" i="15"/>
  <c r="L904" i="15"/>
  <c r="I904" i="15"/>
  <c r="L903" i="15"/>
  <c r="I903" i="15"/>
  <c r="L902" i="15"/>
  <c r="I902" i="15"/>
  <c r="L901" i="15"/>
  <c r="I901" i="15"/>
  <c r="L900" i="15"/>
  <c r="I900" i="15"/>
  <c r="L899" i="15"/>
  <c r="I899" i="15"/>
  <c r="L898" i="15"/>
  <c r="I898" i="15"/>
  <c r="L897" i="15"/>
  <c r="I897" i="15"/>
  <c r="L896" i="15"/>
  <c r="I896" i="15"/>
  <c r="L895" i="15"/>
  <c r="I895" i="15"/>
  <c r="L894" i="15"/>
  <c r="I894" i="15"/>
  <c r="L893" i="15"/>
  <c r="I893" i="15"/>
  <c r="L892" i="15"/>
  <c r="I892" i="15"/>
  <c r="L891" i="15"/>
  <c r="I891" i="15"/>
  <c r="L890" i="15"/>
  <c r="I890" i="15"/>
  <c r="L889" i="15"/>
  <c r="I889" i="15"/>
  <c r="L888" i="15"/>
  <c r="I888" i="15"/>
  <c r="L887" i="15"/>
  <c r="I887" i="15"/>
  <c r="L886" i="15"/>
  <c r="I886" i="15"/>
  <c r="L885" i="15"/>
  <c r="I885" i="15"/>
  <c r="L884" i="15"/>
  <c r="I884" i="15"/>
  <c r="L883" i="15"/>
  <c r="I883" i="15"/>
  <c r="L882" i="15"/>
  <c r="I882" i="15"/>
  <c r="L881" i="15"/>
  <c r="I881" i="15"/>
  <c r="L880" i="15"/>
  <c r="I880" i="15"/>
  <c r="L879" i="15"/>
  <c r="I879" i="15"/>
  <c r="L878" i="15"/>
  <c r="I878" i="15"/>
  <c r="L877" i="15"/>
  <c r="I877" i="15"/>
  <c r="L876" i="15"/>
  <c r="I876" i="15"/>
  <c r="L875" i="15"/>
  <c r="I875" i="15"/>
  <c r="L874" i="15"/>
  <c r="I874" i="15"/>
  <c r="L873" i="15"/>
  <c r="I873" i="15"/>
  <c r="L872" i="15"/>
  <c r="I872" i="15"/>
  <c r="L871" i="15"/>
  <c r="I871" i="15"/>
  <c r="L870" i="15"/>
  <c r="I870" i="15"/>
  <c r="L869" i="15"/>
  <c r="I869" i="15"/>
  <c r="L868" i="15"/>
  <c r="I868" i="15"/>
  <c r="L867" i="15"/>
  <c r="I867" i="15"/>
  <c r="L866" i="15"/>
  <c r="I866" i="15"/>
  <c r="L865" i="15"/>
  <c r="I865" i="15"/>
  <c r="L864" i="15"/>
  <c r="I864" i="15"/>
  <c r="L863" i="15"/>
  <c r="I863" i="15"/>
  <c r="L862" i="15"/>
  <c r="I862" i="15"/>
  <c r="L861" i="15"/>
  <c r="I861" i="15"/>
  <c r="L860" i="15"/>
  <c r="I860" i="15"/>
  <c r="L859" i="15"/>
  <c r="I859" i="15"/>
  <c r="L858" i="15"/>
  <c r="I858" i="15"/>
  <c r="L857" i="15"/>
  <c r="I857" i="15"/>
  <c r="L856" i="15"/>
  <c r="I856" i="15"/>
  <c r="L855" i="15"/>
  <c r="I855" i="15"/>
  <c r="L854" i="15"/>
  <c r="I854" i="15"/>
  <c r="L853" i="15"/>
  <c r="I853" i="15"/>
  <c r="L852" i="15"/>
  <c r="I852" i="15"/>
  <c r="L851" i="15"/>
  <c r="I851" i="15"/>
  <c r="L850" i="15"/>
  <c r="I850" i="15"/>
  <c r="L849" i="15"/>
  <c r="I849" i="15"/>
  <c r="L848" i="15"/>
  <c r="I848" i="15"/>
  <c r="L847" i="15"/>
  <c r="I847" i="15"/>
  <c r="L846" i="15"/>
  <c r="I846" i="15"/>
  <c r="L845" i="15"/>
  <c r="I845" i="15"/>
  <c r="L844" i="15"/>
  <c r="I844" i="15"/>
  <c r="L843" i="15"/>
  <c r="I843" i="15"/>
  <c r="L842" i="15"/>
  <c r="I842" i="15"/>
  <c r="L841" i="15"/>
  <c r="I841" i="15"/>
  <c r="L840" i="15"/>
  <c r="I840" i="15"/>
  <c r="L839" i="15"/>
  <c r="I839" i="15"/>
  <c r="L838" i="15"/>
  <c r="I838" i="15"/>
  <c r="L837" i="15"/>
  <c r="I837" i="15"/>
  <c r="L836" i="15"/>
  <c r="I836" i="15"/>
  <c r="L835" i="15"/>
  <c r="I835" i="15"/>
  <c r="L834" i="15"/>
  <c r="I834" i="15"/>
  <c r="L833" i="15"/>
  <c r="I833" i="15"/>
  <c r="L832" i="15"/>
  <c r="I832" i="15"/>
  <c r="L831" i="15"/>
  <c r="I831" i="15"/>
  <c r="L830" i="15"/>
  <c r="I830" i="15"/>
  <c r="L829" i="15"/>
  <c r="I829" i="15"/>
  <c r="L828" i="15"/>
  <c r="I828" i="15"/>
  <c r="L827" i="15"/>
  <c r="I827" i="15"/>
  <c r="L826" i="15"/>
  <c r="I826" i="15"/>
  <c r="L825" i="15"/>
  <c r="I825" i="15"/>
  <c r="L824" i="15"/>
  <c r="I824" i="15"/>
  <c r="L823" i="15"/>
  <c r="I823" i="15"/>
  <c r="L822" i="15"/>
  <c r="I822" i="15"/>
  <c r="L821" i="15"/>
  <c r="I821" i="15"/>
  <c r="L820" i="15"/>
  <c r="I820" i="15"/>
  <c r="L819" i="15"/>
  <c r="I819" i="15"/>
  <c r="L818" i="15"/>
  <c r="I818" i="15"/>
  <c r="L817" i="15"/>
  <c r="I817" i="15"/>
  <c r="L816" i="15"/>
  <c r="I816" i="15"/>
  <c r="L815" i="15"/>
  <c r="I815" i="15"/>
  <c r="L814" i="15"/>
  <c r="I814" i="15"/>
  <c r="L813" i="15"/>
  <c r="I813" i="15"/>
  <c r="L812" i="15"/>
  <c r="I812" i="15"/>
  <c r="L811" i="15"/>
  <c r="I811" i="15"/>
  <c r="L810" i="15"/>
  <c r="I810" i="15"/>
  <c r="L809" i="15"/>
  <c r="I809" i="15"/>
  <c r="L808" i="15"/>
  <c r="I808" i="15"/>
  <c r="L807" i="15"/>
  <c r="I807" i="15"/>
  <c r="L806" i="15"/>
  <c r="I806" i="15"/>
  <c r="L805" i="15"/>
  <c r="I805" i="15"/>
  <c r="L804" i="15"/>
  <c r="I804" i="15"/>
  <c r="L803" i="15"/>
  <c r="I803" i="15"/>
  <c r="L802" i="15"/>
  <c r="I802" i="15"/>
  <c r="L801" i="15"/>
  <c r="I801" i="15"/>
  <c r="L800" i="15"/>
  <c r="I800" i="15"/>
  <c r="L799" i="15"/>
  <c r="I799" i="15"/>
  <c r="L798" i="15"/>
  <c r="I798" i="15"/>
  <c r="L797" i="15"/>
  <c r="I797" i="15"/>
  <c r="L796" i="15"/>
  <c r="I796" i="15"/>
  <c r="L795" i="15"/>
  <c r="I795" i="15"/>
  <c r="L794" i="15"/>
  <c r="I794" i="15"/>
  <c r="L793" i="15"/>
  <c r="I793" i="15"/>
  <c r="L792" i="15"/>
  <c r="I792" i="15"/>
  <c r="L791" i="15"/>
  <c r="I791" i="15"/>
  <c r="L790" i="15"/>
  <c r="I790" i="15"/>
  <c r="L789" i="15"/>
  <c r="I789" i="15"/>
  <c r="L788" i="15"/>
  <c r="I788" i="15"/>
  <c r="L787" i="15"/>
  <c r="I787" i="15"/>
  <c r="L786" i="15"/>
  <c r="I786" i="15"/>
  <c r="L785" i="15"/>
  <c r="I785" i="15"/>
  <c r="L784" i="15"/>
  <c r="I784" i="15"/>
  <c r="L783" i="15"/>
  <c r="I783" i="15"/>
  <c r="L782" i="15"/>
  <c r="I782" i="15"/>
  <c r="L781" i="15"/>
  <c r="I781" i="15"/>
  <c r="L780" i="15"/>
  <c r="I780" i="15"/>
  <c r="L779" i="15"/>
  <c r="I779" i="15"/>
  <c r="L778" i="15"/>
  <c r="I778" i="15"/>
  <c r="L777" i="15"/>
  <c r="I777" i="15"/>
  <c r="L776" i="15"/>
  <c r="I776" i="15"/>
  <c r="L775" i="15"/>
  <c r="I775" i="15"/>
  <c r="L774" i="15"/>
  <c r="I774" i="15"/>
  <c r="L773" i="15"/>
  <c r="I773" i="15"/>
  <c r="L772" i="15"/>
  <c r="I772" i="15"/>
  <c r="L771" i="15"/>
  <c r="I771" i="15"/>
  <c r="L770" i="15"/>
  <c r="I770" i="15"/>
  <c r="L769" i="15"/>
  <c r="I769" i="15"/>
  <c r="L768" i="15"/>
  <c r="I768" i="15"/>
  <c r="L767" i="15"/>
  <c r="I767" i="15"/>
  <c r="L766" i="15"/>
  <c r="I766" i="15"/>
  <c r="L765" i="15"/>
  <c r="I765" i="15"/>
  <c r="L764" i="15"/>
  <c r="I764" i="15"/>
  <c r="L763" i="15"/>
  <c r="I763" i="15"/>
  <c r="L762" i="15"/>
  <c r="I762" i="15"/>
  <c r="L761" i="15"/>
  <c r="I761" i="15"/>
  <c r="L760" i="15"/>
  <c r="I760" i="15"/>
  <c r="L759" i="15"/>
  <c r="I759" i="15"/>
  <c r="L758" i="15"/>
  <c r="I758" i="15"/>
  <c r="L757" i="15"/>
  <c r="I757" i="15"/>
  <c r="L756" i="15"/>
  <c r="I756" i="15"/>
  <c r="L755" i="15"/>
  <c r="I755" i="15"/>
  <c r="L754" i="15"/>
  <c r="I754" i="15"/>
  <c r="L753" i="15"/>
  <c r="I753" i="15"/>
  <c r="L752" i="15"/>
  <c r="I752" i="15"/>
  <c r="L751" i="15"/>
  <c r="I751" i="15"/>
  <c r="L750" i="15"/>
  <c r="I750" i="15"/>
  <c r="L749" i="15"/>
  <c r="I749" i="15"/>
  <c r="L748" i="15"/>
  <c r="I748" i="15"/>
  <c r="L747" i="15"/>
  <c r="I747" i="15"/>
  <c r="L746" i="15"/>
  <c r="I746" i="15"/>
  <c r="L745" i="15"/>
  <c r="I745" i="15"/>
  <c r="L744" i="15"/>
  <c r="I744" i="15"/>
  <c r="L743" i="15"/>
  <c r="I743" i="15"/>
  <c r="L742" i="15"/>
  <c r="I742" i="15"/>
  <c r="L741" i="15"/>
  <c r="I741" i="15"/>
  <c r="L740" i="15"/>
  <c r="I740" i="15"/>
  <c r="L739" i="15"/>
  <c r="I739" i="15"/>
  <c r="L738" i="15"/>
  <c r="I738" i="15"/>
  <c r="L737" i="15"/>
  <c r="I737" i="15"/>
  <c r="L736" i="15"/>
  <c r="I736" i="15"/>
  <c r="L735" i="15"/>
  <c r="I735" i="15"/>
  <c r="L734" i="15"/>
  <c r="I734" i="15"/>
  <c r="L733" i="15"/>
  <c r="I733" i="15"/>
  <c r="L732" i="15"/>
  <c r="I732" i="15"/>
  <c r="L731" i="15"/>
  <c r="I731" i="15"/>
  <c r="L730" i="15"/>
  <c r="I730" i="15"/>
  <c r="L729" i="15"/>
  <c r="I729" i="15"/>
  <c r="L728" i="15"/>
  <c r="I728" i="15"/>
  <c r="L727" i="15"/>
  <c r="I727" i="15"/>
  <c r="L726" i="15"/>
  <c r="I726" i="15"/>
  <c r="L725" i="15"/>
  <c r="I725" i="15"/>
  <c r="L724" i="15"/>
  <c r="I724" i="15"/>
  <c r="L723" i="15"/>
  <c r="I723" i="15"/>
  <c r="L722" i="15"/>
  <c r="I722" i="15"/>
  <c r="L721" i="15"/>
  <c r="I721" i="15"/>
  <c r="L720" i="15"/>
  <c r="I720" i="15"/>
  <c r="L719" i="15"/>
  <c r="I719" i="15"/>
  <c r="L718" i="15"/>
  <c r="I718" i="15"/>
  <c r="L717" i="15"/>
  <c r="I717" i="15"/>
  <c r="L716" i="15"/>
  <c r="I716" i="15"/>
  <c r="L715" i="15"/>
  <c r="I715" i="15"/>
  <c r="L714" i="15"/>
  <c r="I714" i="15"/>
  <c r="L713" i="15"/>
  <c r="I713" i="15"/>
  <c r="L712" i="15"/>
  <c r="I712" i="15"/>
  <c r="L711" i="15"/>
  <c r="I711" i="15"/>
  <c r="L710" i="15"/>
  <c r="I710" i="15"/>
  <c r="L709" i="15"/>
  <c r="I709" i="15"/>
  <c r="L708" i="15"/>
  <c r="I708" i="15"/>
  <c r="L707" i="15"/>
  <c r="I707" i="15"/>
  <c r="L706" i="15"/>
  <c r="I706" i="15"/>
  <c r="L705" i="15"/>
  <c r="I705" i="15"/>
  <c r="L704" i="15"/>
  <c r="I704" i="15"/>
  <c r="L703" i="15"/>
  <c r="I703" i="15"/>
  <c r="L702" i="15"/>
  <c r="I702" i="15"/>
  <c r="L701" i="15"/>
  <c r="I701" i="15"/>
  <c r="L700" i="15"/>
  <c r="I700" i="15"/>
  <c r="L699" i="15"/>
  <c r="I699" i="15"/>
  <c r="L698" i="15"/>
  <c r="I698" i="15"/>
  <c r="L697" i="15"/>
  <c r="I697" i="15"/>
  <c r="L696" i="15"/>
  <c r="I696" i="15"/>
  <c r="L695" i="15"/>
  <c r="I695" i="15"/>
  <c r="L694" i="15"/>
  <c r="I694" i="15"/>
  <c r="L693" i="15"/>
  <c r="I693" i="15"/>
  <c r="L692" i="15"/>
  <c r="I692" i="15"/>
  <c r="L691" i="15"/>
  <c r="I691" i="15"/>
  <c r="L690" i="15"/>
  <c r="I690" i="15"/>
  <c r="L689" i="15"/>
  <c r="I689" i="15"/>
  <c r="L688" i="15"/>
  <c r="I688" i="15"/>
  <c r="L687" i="15"/>
  <c r="I687" i="15"/>
  <c r="L686" i="15"/>
  <c r="I686" i="15"/>
  <c r="L685" i="15"/>
  <c r="I685" i="15"/>
  <c r="L684" i="15"/>
  <c r="I684" i="15"/>
  <c r="L683" i="15"/>
  <c r="I683" i="15"/>
  <c r="L682" i="15"/>
  <c r="I682" i="15"/>
  <c r="L681" i="15"/>
  <c r="I681" i="15"/>
  <c r="L680" i="15"/>
  <c r="I680" i="15"/>
  <c r="L679" i="15"/>
  <c r="I679" i="15"/>
  <c r="L678" i="15"/>
  <c r="I678" i="15"/>
  <c r="L677" i="15"/>
  <c r="I677" i="15"/>
  <c r="L676" i="15"/>
  <c r="I676" i="15"/>
  <c r="L675" i="15"/>
  <c r="I675" i="15"/>
  <c r="L674" i="15"/>
  <c r="I674" i="15"/>
  <c r="L673" i="15"/>
  <c r="I673" i="15"/>
  <c r="L672" i="15"/>
  <c r="I672" i="15"/>
  <c r="L671" i="15"/>
  <c r="I671" i="15"/>
  <c r="L670" i="15"/>
  <c r="I670" i="15"/>
  <c r="L669" i="15"/>
  <c r="I669" i="15"/>
  <c r="L668" i="15"/>
  <c r="I668" i="15"/>
  <c r="L667" i="15"/>
  <c r="I667" i="15"/>
  <c r="L666" i="15"/>
  <c r="I666" i="15"/>
  <c r="L665" i="15"/>
  <c r="I665" i="15"/>
  <c r="L664" i="15"/>
  <c r="I664" i="15"/>
  <c r="L663" i="15"/>
  <c r="I663" i="15"/>
  <c r="L662" i="15"/>
  <c r="I662" i="15"/>
  <c r="L661" i="15"/>
  <c r="I661" i="15"/>
  <c r="L660" i="15"/>
  <c r="I660" i="15"/>
  <c r="L659" i="15"/>
  <c r="I659" i="15"/>
  <c r="L658" i="15"/>
  <c r="I658" i="15"/>
  <c r="L657" i="15"/>
  <c r="I657" i="15"/>
  <c r="L656" i="15"/>
  <c r="I656" i="15"/>
  <c r="L655" i="15"/>
  <c r="I655" i="15"/>
  <c r="L654" i="15"/>
  <c r="I654" i="15"/>
  <c r="L653" i="15"/>
  <c r="I653" i="15"/>
  <c r="L652" i="15"/>
  <c r="I652" i="15"/>
  <c r="L651" i="15"/>
  <c r="I651" i="15"/>
  <c r="L650" i="15"/>
  <c r="I650" i="15"/>
  <c r="L649" i="15"/>
  <c r="I649" i="15"/>
  <c r="L648" i="15"/>
  <c r="I648" i="15"/>
  <c r="L647" i="15"/>
  <c r="I647" i="15"/>
  <c r="L646" i="15"/>
  <c r="I646" i="15"/>
  <c r="L645" i="15"/>
  <c r="I645" i="15"/>
  <c r="L644" i="15"/>
  <c r="I644" i="15"/>
  <c r="L643" i="15"/>
  <c r="I643" i="15"/>
  <c r="L642" i="15"/>
  <c r="I642" i="15"/>
  <c r="L641" i="15"/>
  <c r="I641" i="15"/>
  <c r="L640" i="15"/>
  <c r="I640" i="15"/>
  <c r="L639" i="15"/>
  <c r="I639" i="15"/>
  <c r="L638" i="15"/>
  <c r="I638" i="15"/>
  <c r="L637" i="15"/>
  <c r="I637" i="15"/>
  <c r="L636" i="15"/>
  <c r="I636" i="15"/>
  <c r="L635" i="15"/>
  <c r="I635" i="15"/>
  <c r="L634" i="15"/>
  <c r="I634" i="15"/>
  <c r="L633" i="15"/>
  <c r="I633" i="15"/>
  <c r="L632" i="15"/>
  <c r="I632" i="15"/>
  <c r="L631" i="15"/>
  <c r="I631" i="15"/>
  <c r="L630" i="15"/>
  <c r="I630" i="15"/>
  <c r="L629" i="15"/>
  <c r="I629" i="15"/>
  <c r="L628" i="15"/>
  <c r="I628" i="15"/>
  <c r="L627" i="15"/>
  <c r="I627" i="15"/>
  <c r="L626" i="15"/>
  <c r="I626" i="15"/>
  <c r="L625" i="15"/>
  <c r="I625" i="15"/>
  <c r="L624" i="15"/>
  <c r="I624" i="15"/>
  <c r="L623" i="15"/>
  <c r="I623" i="15"/>
  <c r="L622" i="15"/>
  <c r="I622" i="15"/>
  <c r="L621" i="15"/>
  <c r="I621" i="15"/>
  <c r="L620" i="15"/>
  <c r="I620" i="15"/>
  <c r="L619" i="15"/>
  <c r="I619" i="15"/>
  <c r="L618" i="15"/>
  <c r="I618" i="15"/>
  <c r="L617" i="15"/>
  <c r="I617" i="15"/>
  <c r="L616" i="15"/>
  <c r="I616" i="15"/>
  <c r="L615" i="15"/>
  <c r="I615" i="15"/>
  <c r="L614" i="15"/>
  <c r="I614" i="15"/>
  <c r="L613" i="15"/>
  <c r="I613" i="15"/>
  <c r="L612" i="15"/>
  <c r="I612" i="15"/>
  <c r="L611" i="15"/>
  <c r="I611" i="15"/>
  <c r="L610" i="15"/>
  <c r="I610" i="15"/>
  <c r="L609" i="15"/>
  <c r="I609" i="15"/>
  <c r="L608" i="15"/>
  <c r="I608" i="15"/>
  <c r="L607" i="15"/>
  <c r="I607" i="15"/>
  <c r="L606" i="15"/>
  <c r="I606" i="15"/>
  <c r="L605" i="15"/>
  <c r="I605" i="15"/>
  <c r="L604" i="15"/>
  <c r="I604" i="15"/>
  <c r="L603" i="15"/>
  <c r="I603" i="15"/>
  <c r="L602" i="15"/>
  <c r="I602" i="15"/>
  <c r="L601" i="15"/>
  <c r="I601" i="15"/>
  <c r="L600" i="15"/>
  <c r="I600" i="15"/>
  <c r="L599" i="15"/>
  <c r="I599" i="15"/>
  <c r="L598" i="15"/>
  <c r="I598" i="15"/>
  <c r="L597" i="15"/>
  <c r="I597" i="15"/>
  <c r="L596" i="15"/>
  <c r="I596" i="15"/>
  <c r="L595" i="15"/>
  <c r="I595" i="15"/>
  <c r="L594" i="15"/>
  <c r="I594" i="15"/>
  <c r="L593" i="15"/>
  <c r="I593" i="15"/>
  <c r="L592" i="15"/>
  <c r="I592" i="15"/>
  <c r="L591" i="15"/>
  <c r="I591" i="15"/>
  <c r="L590" i="15"/>
  <c r="I590" i="15"/>
  <c r="L589" i="15"/>
  <c r="I589" i="15"/>
  <c r="L588" i="15"/>
  <c r="I588" i="15"/>
  <c r="L587" i="15"/>
  <c r="I587" i="15"/>
  <c r="L586" i="15"/>
  <c r="I586" i="15"/>
  <c r="L585" i="15"/>
  <c r="I585" i="15"/>
  <c r="L584" i="15"/>
  <c r="I584" i="15"/>
  <c r="L583" i="15"/>
  <c r="I583" i="15"/>
  <c r="L582" i="15"/>
  <c r="I582" i="15"/>
  <c r="L581" i="15"/>
  <c r="I581" i="15"/>
  <c r="L580" i="15"/>
  <c r="I580" i="15"/>
  <c r="L579" i="15"/>
  <c r="I579" i="15"/>
  <c r="L578" i="15"/>
  <c r="I578" i="15"/>
  <c r="L577" i="15"/>
  <c r="I577" i="15"/>
  <c r="L576" i="15"/>
  <c r="I576" i="15"/>
  <c r="L575" i="15"/>
  <c r="I575" i="15"/>
  <c r="L574" i="15"/>
  <c r="I574" i="15"/>
  <c r="L573" i="15"/>
  <c r="I573" i="15"/>
  <c r="L572" i="15"/>
  <c r="I572" i="15"/>
  <c r="L571" i="15"/>
  <c r="I571" i="15"/>
  <c r="L570" i="15"/>
  <c r="I570" i="15"/>
  <c r="L569" i="15"/>
  <c r="I569" i="15"/>
  <c r="L568" i="15"/>
  <c r="I568" i="15"/>
  <c r="L567" i="15"/>
  <c r="I567" i="15"/>
  <c r="L566" i="15"/>
  <c r="I566" i="15"/>
  <c r="L565" i="15"/>
  <c r="I565" i="15"/>
  <c r="L564" i="15"/>
  <c r="I564" i="15"/>
  <c r="L563" i="15"/>
  <c r="I563" i="15"/>
  <c r="L562" i="15"/>
  <c r="I562" i="15"/>
  <c r="L561" i="15"/>
  <c r="I561" i="15"/>
  <c r="L560" i="15"/>
  <c r="I560" i="15"/>
  <c r="L559" i="15"/>
  <c r="I559" i="15"/>
  <c r="L558" i="15"/>
  <c r="I558" i="15"/>
  <c r="L557" i="15"/>
  <c r="I557" i="15"/>
  <c r="L556" i="15"/>
  <c r="I556" i="15"/>
  <c r="L555" i="15"/>
  <c r="I555" i="15"/>
  <c r="L554" i="15"/>
  <c r="I554" i="15"/>
  <c r="L553" i="15"/>
  <c r="I553" i="15"/>
  <c r="L552" i="15"/>
  <c r="I552" i="15"/>
  <c r="L551" i="15"/>
  <c r="I551" i="15"/>
  <c r="L550" i="15"/>
  <c r="I550" i="15"/>
  <c r="L549" i="15"/>
  <c r="I549" i="15"/>
  <c r="L548" i="15"/>
  <c r="I548" i="15"/>
  <c r="L547" i="15"/>
  <c r="I547" i="15"/>
  <c r="L546" i="15"/>
  <c r="I546" i="15"/>
  <c r="L545" i="15"/>
  <c r="I545" i="15"/>
  <c r="L544" i="15"/>
  <c r="I544" i="15"/>
  <c r="L543" i="15"/>
  <c r="I543" i="15"/>
  <c r="L542" i="15"/>
  <c r="I542" i="15"/>
  <c r="L541" i="15"/>
  <c r="I541" i="15"/>
  <c r="L540" i="15"/>
  <c r="I540" i="15"/>
  <c r="L539" i="15"/>
  <c r="I539" i="15"/>
  <c r="L538" i="15"/>
  <c r="I538" i="15"/>
  <c r="L537" i="15"/>
  <c r="I537" i="15"/>
  <c r="L536" i="15"/>
  <c r="I536" i="15"/>
  <c r="L535" i="15"/>
  <c r="I535" i="15"/>
  <c r="L534" i="15"/>
  <c r="I534" i="15"/>
  <c r="L533" i="15"/>
  <c r="I533" i="15"/>
  <c r="L532" i="15"/>
  <c r="I532" i="15"/>
  <c r="L531" i="15"/>
  <c r="I531" i="15"/>
  <c r="L530" i="15"/>
  <c r="I530" i="15"/>
  <c r="L529" i="15"/>
  <c r="I529" i="15"/>
  <c r="L528" i="15"/>
  <c r="I528" i="15"/>
  <c r="L527" i="15"/>
  <c r="I527" i="15"/>
  <c r="L526" i="15"/>
  <c r="I526" i="15"/>
  <c r="L525" i="15"/>
  <c r="I525" i="15"/>
  <c r="L524" i="15"/>
  <c r="I524" i="15"/>
  <c r="L523" i="15"/>
  <c r="I523" i="15"/>
  <c r="L522" i="15"/>
  <c r="I522" i="15"/>
  <c r="L521" i="15"/>
  <c r="I521" i="15"/>
  <c r="L520" i="15"/>
  <c r="I520" i="15"/>
  <c r="L519" i="15"/>
  <c r="I519" i="15"/>
  <c r="L518" i="15"/>
  <c r="I518" i="15"/>
  <c r="L517" i="15"/>
  <c r="I517" i="15"/>
  <c r="L516" i="15"/>
  <c r="I516" i="15"/>
  <c r="L515" i="15"/>
  <c r="I515" i="15"/>
  <c r="L514" i="15"/>
  <c r="I514" i="15"/>
  <c r="L513" i="15"/>
  <c r="I513" i="15"/>
  <c r="L512" i="15"/>
  <c r="I512" i="15"/>
  <c r="L511" i="15"/>
  <c r="I511" i="15"/>
  <c r="L510" i="15"/>
  <c r="I510" i="15"/>
  <c r="L509" i="15"/>
  <c r="I509" i="15"/>
  <c r="L508" i="15"/>
  <c r="I508" i="15"/>
  <c r="L507" i="15"/>
  <c r="I507" i="15"/>
  <c r="L506" i="15"/>
  <c r="I506" i="15"/>
  <c r="L505" i="15"/>
  <c r="I505" i="15"/>
  <c r="L504" i="15"/>
  <c r="I504" i="15"/>
  <c r="L503" i="15"/>
  <c r="I503" i="15"/>
  <c r="L502" i="15"/>
  <c r="I502" i="15"/>
  <c r="L501" i="15"/>
  <c r="I501" i="15"/>
  <c r="L500" i="15"/>
  <c r="I500" i="15"/>
  <c r="L499" i="15"/>
  <c r="I499" i="15"/>
  <c r="L498" i="15"/>
  <c r="I498" i="15"/>
  <c r="L497" i="15"/>
  <c r="I497" i="15"/>
  <c r="L496" i="15"/>
  <c r="I496" i="15"/>
  <c r="L495" i="15"/>
  <c r="I495" i="15"/>
  <c r="L494" i="15"/>
  <c r="I494" i="15"/>
  <c r="L493" i="15"/>
  <c r="I493" i="15"/>
  <c r="L492" i="15"/>
  <c r="I492" i="15"/>
  <c r="L491" i="15"/>
  <c r="I491" i="15"/>
  <c r="L490" i="15"/>
  <c r="I490" i="15"/>
  <c r="L489" i="15"/>
  <c r="I489" i="15"/>
  <c r="L488" i="15"/>
  <c r="I488" i="15"/>
  <c r="L487" i="15"/>
  <c r="I487" i="15"/>
  <c r="L486" i="15"/>
  <c r="I486" i="15"/>
  <c r="L485" i="15"/>
  <c r="I485" i="15"/>
  <c r="L484" i="15"/>
  <c r="I484" i="15"/>
  <c r="L483" i="15"/>
  <c r="I483" i="15"/>
  <c r="L482" i="15"/>
  <c r="I482" i="15"/>
  <c r="L481" i="15"/>
  <c r="I481" i="15"/>
  <c r="L480" i="15"/>
  <c r="I480" i="15"/>
  <c r="L479" i="15"/>
  <c r="I479" i="15"/>
  <c r="L478" i="15"/>
  <c r="I478" i="15"/>
  <c r="L477" i="15"/>
  <c r="I477" i="15"/>
  <c r="L476" i="15"/>
  <c r="I476" i="15"/>
  <c r="L475" i="15"/>
  <c r="I475" i="15"/>
  <c r="L474" i="15"/>
  <c r="I474" i="15"/>
  <c r="L473" i="15"/>
  <c r="I473" i="15"/>
  <c r="L472" i="15"/>
  <c r="I472" i="15"/>
  <c r="L471" i="15"/>
  <c r="I471" i="15"/>
  <c r="L470" i="15"/>
  <c r="I470" i="15"/>
  <c r="L469" i="15"/>
  <c r="I469" i="15"/>
  <c r="L468" i="15"/>
  <c r="I468" i="15"/>
  <c r="L467" i="15"/>
  <c r="I467" i="15"/>
  <c r="L466" i="15"/>
  <c r="I466" i="15"/>
  <c r="L465" i="15"/>
  <c r="I465" i="15"/>
  <c r="L464" i="15"/>
  <c r="I464" i="15"/>
  <c r="L463" i="15"/>
  <c r="I463" i="15"/>
  <c r="L462" i="15"/>
  <c r="I462" i="15"/>
  <c r="L461" i="15"/>
  <c r="I461" i="15"/>
  <c r="L460" i="15"/>
  <c r="I460" i="15"/>
  <c r="L459" i="15"/>
  <c r="I459" i="15"/>
  <c r="L458" i="15"/>
  <c r="I458" i="15"/>
  <c r="L457" i="15"/>
  <c r="I457" i="15"/>
  <c r="L456" i="15"/>
  <c r="I456" i="15"/>
  <c r="L455" i="15"/>
  <c r="I455" i="15"/>
  <c r="L454" i="15"/>
  <c r="I454" i="15"/>
  <c r="L453" i="15"/>
  <c r="I453" i="15"/>
  <c r="L452" i="15"/>
  <c r="I452" i="15"/>
  <c r="L451" i="15"/>
  <c r="I451" i="15"/>
  <c r="L450" i="15"/>
  <c r="I450" i="15"/>
  <c r="L449" i="15"/>
  <c r="I449" i="15"/>
  <c r="L448" i="15"/>
  <c r="I448" i="15"/>
  <c r="L447" i="15"/>
  <c r="I447" i="15"/>
  <c r="L446" i="15"/>
  <c r="I446" i="15"/>
  <c r="L445" i="15"/>
  <c r="I445" i="15"/>
  <c r="L444" i="15"/>
  <c r="I444" i="15"/>
  <c r="L443" i="15"/>
  <c r="I443" i="15"/>
  <c r="L442" i="15"/>
  <c r="I442" i="15"/>
  <c r="L441" i="15"/>
  <c r="I441" i="15"/>
  <c r="L440" i="15"/>
  <c r="I440" i="15"/>
  <c r="L439" i="15"/>
  <c r="I439" i="15"/>
  <c r="L438" i="15"/>
  <c r="I438" i="15"/>
  <c r="L437" i="15"/>
  <c r="I437" i="15"/>
  <c r="L436" i="15"/>
  <c r="I436" i="15"/>
  <c r="L435" i="15"/>
  <c r="I435" i="15"/>
  <c r="L434" i="15"/>
  <c r="I434" i="15"/>
  <c r="L433" i="15"/>
  <c r="I433" i="15"/>
  <c r="L432" i="15"/>
  <c r="I432" i="15"/>
  <c r="L431" i="15"/>
  <c r="I431" i="15"/>
  <c r="L430" i="15"/>
  <c r="I430" i="15"/>
  <c r="L429" i="15"/>
  <c r="I429" i="15"/>
  <c r="L428" i="15"/>
  <c r="I428" i="15"/>
  <c r="L427" i="15"/>
  <c r="I427" i="15"/>
  <c r="L426" i="15"/>
  <c r="I426" i="15"/>
  <c r="L425" i="15"/>
  <c r="I425" i="15"/>
  <c r="L424" i="15"/>
  <c r="I424" i="15"/>
  <c r="L423" i="15"/>
  <c r="I423" i="15"/>
  <c r="L422" i="15"/>
  <c r="I422" i="15"/>
  <c r="L421" i="15"/>
  <c r="I421" i="15"/>
  <c r="L420" i="15"/>
  <c r="I420" i="15"/>
  <c r="L419" i="15"/>
  <c r="I419" i="15"/>
  <c r="L418" i="15"/>
  <c r="I418" i="15"/>
  <c r="L417" i="15"/>
  <c r="I417" i="15"/>
  <c r="L416" i="15"/>
  <c r="I416" i="15"/>
  <c r="L415" i="15"/>
  <c r="I415" i="15"/>
  <c r="L414" i="15"/>
  <c r="I414" i="15"/>
  <c r="L413" i="15"/>
  <c r="I413" i="15"/>
  <c r="L412" i="15"/>
  <c r="I412" i="15"/>
  <c r="L411" i="15"/>
  <c r="I411" i="15"/>
  <c r="L410" i="15"/>
  <c r="I410" i="15"/>
  <c r="L409" i="15"/>
  <c r="I409" i="15"/>
  <c r="L408" i="15"/>
  <c r="I408" i="15"/>
  <c r="L407" i="15"/>
  <c r="I407" i="15"/>
  <c r="L406" i="15"/>
  <c r="I406" i="15"/>
  <c r="L405" i="15"/>
  <c r="I405" i="15"/>
  <c r="L404" i="15"/>
  <c r="I404" i="15"/>
  <c r="L403" i="15"/>
  <c r="I403" i="15"/>
  <c r="L402" i="15"/>
  <c r="I402" i="15"/>
  <c r="L401" i="15"/>
  <c r="I401" i="15"/>
  <c r="L400" i="15"/>
  <c r="I400" i="15"/>
  <c r="L399" i="15"/>
  <c r="I399" i="15"/>
  <c r="L398" i="15"/>
  <c r="I398" i="15"/>
  <c r="L397" i="15"/>
  <c r="I397" i="15"/>
  <c r="L396" i="15"/>
  <c r="I396" i="15"/>
  <c r="L395" i="15"/>
  <c r="I395" i="15"/>
  <c r="L394" i="15"/>
  <c r="I394" i="15"/>
  <c r="L393" i="15"/>
  <c r="I393" i="15"/>
  <c r="L392" i="15"/>
  <c r="I392" i="15"/>
  <c r="L391" i="15"/>
  <c r="I391" i="15"/>
  <c r="L390" i="15"/>
  <c r="I390" i="15"/>
  <c r="L389" i="15"/>
  <c r="I389" i="15"/>
  <c r="L388" i="15"/>
  <c r="I388" i="15"/>
  <c r="L387" i="15"/>
  <c r="I387" i="15"/>
  <c r="L386" i="15"/>
  <c r="I386" i="15"/>
  <c r="L385" i="15"/>
  <c r="I385" i="15"/>
  <c r="L384" i="15"/>
  <c r="I384" i="15"/>
  <c r="L383" i="15"/>
  <c r="I383" i="15"/>
  <c r="L382" i="15"/>
  <c r="I382" i="15"/>
  <c r="L381" i="15"/>
  <c r="I381" i="15"/>
  <c r="L380" i="15"/>
  <c r="I380" i="15"/>
  <c r="L379" i="15"/>
  <c r="I379" i="15"/>
  <c r="L378" i="15"/>
  <c r="I378" i="15"/>
  <c r="L377" i="15"/>
  <c r="I377" i="15"/>
  <c r="L376" i="15"/>
  <c r="I376" i="15"/>
  <c r="L375" i="15"/>
  <c r="I375" i="15"/>
  <c r="L374" i="15"/>
  <c r="I374" i="15"/>
  <c r="L373" i="15"/>
  <c r="I373" i="15"/>
  <c r="L372" i="15"/>
  <c r="I372" i="15"/>
  <c r="L371" i="15"/>
  <c r="I371" i="15"/>
  <c r="L370" i="15"/>
  <c r="I370" i="15"/>
  <c r="L369" i="15"/>
  <c r="I369" i="15"/>
  <c r="L368" i="15"/>
  <c r="I368" i="15"/>
  <c r="L367" i="15"/>
  <c r="I367" i="15"/>
  <c r="L366" i="15"/>
  <c r="I366" i="15"/>
  <c r="L365" i="15"/>
  <c r="I365" i="15"/>
  <c r="L364" i="15"/>
  <c r="I364" i="15"/>
  <c r="L363" i="15"/>
  <c r="I363" i="15"/>
  <c r="L362" i="15"/>
  <c r="I362" i="15"/>
  <c r="L361" i="15"/>
  <c r="I361" i="15"/>
  <c r="L360" i="15"/>
  <c r="I360" i="15"/>
  <c r="L359" i="15"/>
  <c r="I359" i="15"/>
  <c r="L358" i="15"/>
  <c r="I358" i="15"/>
  <c r="L357" i="15"/>
  <c r="I357" i="15"/>
  <c r="L356" i="15"/>
  <c r="I356" i="15"/>
  <c r="L355" i="15"/>
  <c r="I355" i="15"/>
  <c r="L354" i="15"/>
  <c r="I354" i="15"/>
  <c r="L353" i="15"/>
  <c r="I353" i="15"/>
  <c r="L352" i="15"/>
  <c r="I352" i="15"/>
  <c r="L351" i="15"/>
  <c r="I351" i="15"/>
  <c r="L350" i="15"/>
  <c r="I350" i="15"/>
  <c r="L349" i="15"/>
  <c r="I349" i="15"/>
  <c r="L348" i="15"/>
  <c r="I348" i="15"/>
  <c r="L347" i="15"/>
  <c r="I347" i="15"/>
  <c r="L346" i="15"/>
  <c r="I346" i="15"/>
  <c r="L345" i="15"/>
  <c r="I345" i="15"/>
  <c r="L344" i="15"/>
  <c r="I344" i="15"/>
  <c r="L343" i="15"/>
  <c r="I343" i="15"/>
  <c r="L342" i="15"/>
  <c r="I342" i="15"/>
  <c r="L341" i="15"/>
  <c r="I341" i="15"/>
  <c r="L340" i="15"/>
  <c r="I340" i="15"/>
  <c r="L339" i="15"/>
  <c r="I339" i="15"/>
  <c r="L338" i="15"/>
  <c r="I338" i="15"/>
  <c r="L337" i="15"/>
  <c r="I337" i="15"/>
  <c r="L336" i="15"/>
  <c r="I336" i="15"/>
  <c r="L335" i="15"/>
  <c r="I335" i="15"/>
  <c r="L334" i="15"/>
  <c r="I334" i="15"/>
  <c r="L333" i="15"/>
  <c r="I333" i="15"/>
  <c r="L332" i="15"/>
  <c r="I332" i="15"/>
  <c r="L331" i="15"/>
  <c r="I331" i="15"/>
  <c r="L330" i="15"/>
  <c r="I330" i="15"/>
  <c r="L329" i="15"/>
  <c r="I329" i="15"/>
  <c r="L328" i="15"/>
  <c r="I328" i="15"/>
  <c r="L327" i="15"/>
  <c r="I327" i="15"/>
  <c r="L326" i="15"/>
  <c r="I326" i="15"/>
  <c r="L325" i="15"/>
  <c r="I325" i="15"/>
  <c r="L324" i="15"/>
  <c r="I324" i="15"/>
  <c r="L323" i="15"/>
  <c r="I323" i="15"/>
  <c r="L322" i="15"/>
  <c r="I322" i="15"/>
  <c r="L321" i="15"/>
  <c r="I321" i="15"/>
  <c r="L320" i="15"/>
  <c r="I320" i="15"/>
  <c r="L319" i="15"/>
  <c r="I319" i="15"/>
  <c r="L318" i="15"/>
  <c r="I318" i="15"/>
  <c r="L317" i="15"/>
  <c r="I317" i="15"/>
  <c r="L316" i="15"/>
  <c r="I316" i="15"/>
  <c r="L315" i="15"/>
  <c r="I315" i="15"/>
  <c r="L314" i="15"/>
  <c r="I314" i="15"/>
  <c r="L313" i="15"/>
  <c r="I313" i="15"/>
  <c r="L312" i="15"/>
  <c r="I312" i="15"/>
  <c r="L311" i="15"/>
  <c r="I311" i="15"/>
  <c r="L310" i="15"/>
  <c r="I310" i="15"/>
  <c r="L309" i="15"/>
  <c r="I309" i="15"/>
  <c r="L308" i="15"/>
  <c r="I308" i="15"/>
  <c r="L307" i="15"/>
  <c r="I307" i="15"/>
  <c r="L306" i="15"/>
  <c r="I306" i="15"/>
  <c r="L305" i="15"/>
  <c r="I305" i="15"/>
  <c r="L304" i="15"/>
  <c r="I304" i="15"/>
  <c r="L303" i="15"/>
  <c r="I303" i="15"/>
  <c r="L302" i="15"/>
  <c r="I302" i="15"/>
  <c r="L301" i="15"/>
  <c r="I301" i="15"/>
  <c r="L300" i="15"/>
  <c r="I300" i="15"/>
  <c r="L299" i="15"/>
  <c r="I299" i="15"/>
  <c r="L298" i="15"/>
  <c r="I298" i="15"/>
  <c r="L297" i="15"/>
  <c r="I297" i="15"/>
  <c r="L296" i="15"/>
  <c r="I296" i="15"/>
  <c r="L295" i="15"/>
  <c r="I295" i="15"/>
  <c r="L294" i="15"/>
  <c r="I294" i="15"/>
  <c r="L293" i="15"/>
  <c r="I293" i="15"/>
  <c r="L292" i="15"/>
  <c r="I292" i="15"/>
  <c r="L291" i="15"/>
  <c r="I291" i="15"/>
  <c r="L290" i="15"/>
  <c r="I290" i="15"/>
  <c r="L289" i="15"/>
  <c r="I289" i="15"/>
  <c r="L288" i="15"/>
  <c r="I288" i="15"/>
  <c r="L287" i="15"/>
  <c r="I287" i="15"/>
  <c r="L286" i="15"/>
  <c r="I286" i="15"/>
  <c r="L285" i="15"/>
  <c r="I285" i="15"/>
  <c r="L284" i="15"/>
  <c r="I284" i="15"/>
  <c r="L283" i="15"/>
  <c r="I283" i="15"/>
  <c r="L282" i="15"/>
  <c r="I282" i="15"/>
  <c r="L281" i="15"/>
  <c r="I281" i="15"/>
  <c r="L280" i="15"/>
  <c r="I280" i="15"/>
  <c r="L279" i="15"/>
  <c r="I279" i="15"/>
  <c r="L278" i="15"/>
  <c r="I278" i="15"/>
  <c r="L277" i="15"/>
  <c r="I277" i="15"/>
  <c r="L276" i="15"/>
  <c r="I276" i="15"/>
  <c r="L275" i="15"/>
  <c r="I275" i="15"/>
  <c r="L274" i="15"/>
  <c r="I274" i="15"/>
  <c r="L273" i="15"/>
  <c r="I273" i="15"/>
  <c r="L272" i="15"/>
  <c r="I272" i="15"/>
  <c r="L271" i="15"/>
  <c r="I271" i="15"/>
  <c r="L270" i="15"/>
  <c r="I270" i="15"/>
  <c r="L269" i="15"/>
  <c r="I269" i="15"/>
  <c r="L268" i="15"/>
  <c r="I268" i="15"/>
  <c r="L267" i="15"/>
  <c r="I267" i="15"/>
  <c r="L266" i="15"/>
  <c r="I266" i="15"/>
  <c r="L265" i="15"/>
  <c r="I265" i="15"/>
  <c r="L264" i="15"/>
  <c r="I264" i="15"/>
  <c r="L263" i="15"/>
  <c r="I263" i="15"/>
  <c r="L262" i="15"/>
  <c r="I262" i="15"/>
  <c r="L261" i="15"/>
  <c r="I261" i="15"/>
  <c r="L260" i="15"/>
  <c r="I260" i="15"/>
  <c r="L259" i="15"/>
  <c r="I259" i="15"/>
  <c r="L258" i="15"/>
  <c r="I258" i="15"/>
  <c r="L257" i="15"/>
  <c r="I257" i="15"/>
  <c r="L256" i="15"/>
  <c r="I256" i="15"/>
  <c r="L255" i="15"/>
  <c r="I255" i="15"/>
  <c r="L254" i="15"/>
  <c r="I254" i="15"/>
  <c r="L253" i="15"/>
  <c r="I253" i="15"/>
  <c r="L252" i="15"/>
  <c r="I252" i="15"/>
  <c r="L251" i="15"/>
  <c r="I251" i="15"/>
  <c r="L250" i="15"/>
  <c r="I250" i="15"/>
  <c r="L249" i="15"/>
  <c r="I249" i="15"/>
  <c r="L248" i="15"/>
  <c r="I248" i="15"/>
  <c r="L247" i="15"/>
  <c r="I247" i="15"/>
  <c r="L246" i="15"/>
  <c r="I246" i="15"/>
  <c r="L245" i="15"/>
  <c r="I245" i="15"/>
  <c r="L244" i="15"/>
  <c r="I244" i="15"/>
  <c r="L243" i="15"/>
  <c r="I243" i="15"/>
  <c r="L242" i="15"/>
  <c r="I242" i="15"/>
  <c r="L241" i="15"/>
  <c r="I241" i="15"/>
  <c r="L240" i="15"/>
  <c r="I240" i="15"/>
  <c r="L239" i="15"/>
  <c r="I239" i="15"/>
  <c r="L238" i="15"/>
  <c r="I238" i="15"/>
  <c r="L237" i="15"/>
  <c r="I237" i="15"/>
  <c r="L236" i="15"/>
  <c r="I236" i="15"/>
  <c r="L235" i="15"/>
  <c r="I235" i="15"/>
  <c r="L234" i="15"/>
  <c r="I234" i="15"/>
  <c r="L233" i="15"/>
  <c r="I233" i="15"/>
  <c r="L232" i="15"/>
  <c r="I232" i="15"/>
  <c r="L231" i="15"/>
  <c r="I231" i="15"/>
  <c r="L230" i="15"/>
  <c r="I230" i="15"/>
  <c r="L229" i="15"/>
  <c r="I229" i="15"/>
  <c r="L228" i="15"/>
  <c r="I228" i="15"/>
  <c r="L227" i="15"/>
  <c r="I227" i="15"/>
  <c r="L226" i="15"/>
  <c r="I226" i="15"/>
  <c r="L225" i="15"/>
  <c r="I225" i="15"/>
  <c r="L224" i="15"/>
  <c r="I224" i="15"/>
  <c r="L223" i="15"/>
  <c r="I223" i="15"/>
  <c r="L222" i="15"/>
  <c r="I222" i="15"/>
  <c r="L221" i="15"/>
  <c r="I221" i="15"/>
  <c r="L220" i="15"/>
  <c r="I220" i="15"/>
  <c r="L219" i="15"/>
  <c r="I219" i="15"/>
  <c r="L218" i="15"/>
  <c r="I218" i="15"/>
  <c r="L217" i="15"/>
  <c r="I217" i="15"/>
  <c r="L216" i="15"/>
  <c r="I216" i="15"/>
  <c r="L215" i="15"/>
  <c r="I215" i="15"/>
  <c r="L214" i="15"/>
  <c r="I214" i="15"/>
  <c r="L213" i="15"/>
  <c r="I213" i="15"/>
  <c r="L212" i="15"/>
  <c r="I212" i="15"/>
  <c r="L211" i="15"/>
  <c r="I211" i="15"/>
  <c r="L210" i="15"/>
  <c r="I210" i="15"/>
  <c r="L209" i="15"/>
  <c r="I209" i="15"/>
  <c r="L208" i="15"/>
  <c r="I208" i="15"/>
  <c r="L207" i="15"/>
  <c r="I207" i="15"/>
  <c r="L206" i="15"/>
  <c r="I206" i="15"/>
  <c r="L205" i="15"/>
  <c r="I205" i="15"/>
  <c r="L204" i="15"/>
  <c r="I204" i="15"/>
  <c r="L203" i="15"/>
  <c r="I203" i="15"/>
  <c r="L202" i="15"/>
  <c r="I202" i="15"/>
  <c r="L201" i="15"/>
  <c r="I201" i="15"/>
  <c r="L200" i="15"/>
  <c r="I200" i="15"/>
  <c r="L199" i="15"/>
  <c r="I199" i="15"/>
  <c r="L198" i="15"/>
  <c r="I198" i="15"/>
  <c r="L197" i="15"/>
  <c r="I197" i="15"/>
  <c r="L196" i="15"/>
  <c r="I196" i="15"/>
  <c r="L195" i="15"/>
  <c r="I195" i="15"/>
  <c r="L194" i="15"/>
  <c r="I194" i="15"/>
  <c r="L193" i="15"/>
  <c r="I193" i="15"/>
  <c r="L192" i="15"/>
  <c r="I192" i="15"/>
  <c r="L191" i="15"/>
  <c r="I191" i="15"/>
  <c r="L190" i="15"/>
  <c r="I190" i="15"/>
  <c r="L189" i="15"/>
  <c r="I189" i="15"/>
  <c r="L188" i="15"/>
  <c r="I188" i="15"/>
  <c r="L187" i="15"/>
  <c r="I187" i="15"/>
  <c r="L186" i="15"/>
  <c r="I186" i="15"/>
  <c r="L185" i="15"/>
  <c r="I185" i="15"/>
  <c r="L184" i="15"/>
  <c r="I184" i="15"/>
  <c r="L183" i="15"/>
  <c r="I183" i="15"/>
  <c r="L182" i="15"/>
  <c r="I182" i="15"/>
  <c r="L181" i="15"/>
  <c r="I181" i="15"/>
  <c r="L180" i="15"/>
  <c r="I180" i="15"/>
  <c r="L179" i="15"/>
  <c r="I179" i="15"/>
  <c r="L178" i="15"/>
  <c r="I178" i="15"/>
  <c r="L177" i="15"/>
  <c r="I177" i="15"/>
  <c r="L176" i="15"/>
  <c r="I176" i="15"/>
  <c r="L175" i="15"/>
  <c r="I175" i="15"/>
  <c r="L174" i="15"/>
  <c r="I174" i="15"/>
  <c r="L173" i="15"/>
  <c r="I173" i="15"/>
  <c r="L172" i="15"/>
  <c r="I172" i="15"/>
  <c r="L171" i="15"/>
  <c r="I171" i="15"/>
  <c r="L170" i="15"/>
  <c r="I170" i="15"/>
  <c r="L169" i="15"/>
  <c r="I169" i="15"/>
  <c r="L168" i="15"/>
  <c r="I168" i="15"/>
  <c r="L167" i="15"/>
  <c r="I167" i="15"/>
  <c r="L166" i="15"/>
  <c r="I166" i="15"/>
  <c r="L165" i="15"/>
  <c r="I165" i="15"/>
  <c r="L164" i="15"/>
  <c r="I164" i="15"/>
  <c r="L163" i="15"/>
  <c r="I163" i="15"/>
  <c r="L162" i="15"/>
  <c r="I162" i="15"/>
  <c r="L161" i="15"/>
  <c r="I161" i="15"/>
  <c r="L160" i="15"/>
  <c r="I160" i="15"/>
  <c r="L159" i="15"/>
  <c r="I159" i="15"/>
  <c r="L158" i="15"/>
  <c r="I158" i="15"/>
  <c r="L157" i="15"/>
  <c r="I157" i="15"/>
  <c r="L156" i="15"/>
  <c r="I156" i="15"/>
  <c r="L155" i="15"/>
  <c r="I155" i="15"/>
  <c r="L154" i="15"/>
  <c r="I154" i="15"/>
  <c r="L153" i="15"/>
  <c r="I153" i="15"/>
  <c r="L152" i="15"/>
  <c r="I152" i="15"/>
  <c r="L151" i="15"/>
  <c r="I151" i="15"/>
  <c r="L150" i="15"/>
  <c r="I150" i="15"/>
  <c r="L149" i="15"/>
  <c r="I149" i="15"/>
  <c r="L148" i="15"/>
  <c r="I148" i="15"/>
  <c r="L147" i="15"/>
  <c r="I147" i="15"/>
  <c r="L146" i="15"/>
  <c r="I146" i="15"/>
  <c r="L145" i="15"/>
  <c r="I145" i="15"/>
  <c r="L144" i="15"/>
  <c r="I144" i="15"/>
  <c r="L143" i="15"/>
  <c r="I143" i="15"/>
  <c r="L142" i="15"/>
  <c r="I142" i="15"/>
  <c r="L141" i="15"/>
  <c r="I141" i="15"/>
  <c r="L140" i="15"/>
  <c r="I140" i="15"/>
  <c r="L139" i="15"/>
  <c r="I139" i="15"/>
  <c r="L138" i="15"/>
  <c r="I138" i="15"/>
  <c r="L137" i="15"/>
  <c r="I137" i="15"/>
  <c r="L136" i="15"/>
  <c r="I136" i="15"/>
  <c r="L135" i="15"/>
  <c r="I135" i="15"/>
  <c r="L134" i="15"/>
  <c r="I134" i="15"/>
  <c r="L133" i="15"/>
  <c r="I133" i="15"/>
  <c r="L132" i="15"/>
  <c r="I132" i="15"/>
  <c r="L131" i="15"/>
  <c r="I131" i="15"/>
  <c r="L130" i="15"/>
  <c r="I130" i="15"/>
  <c r="L129" i="15"/>
  <c r="I129" i="15"/>
  <c r="L128" i="15"/>
  <c r="I128" i="15"/>
  <c r="L127" i="15"/>
  <c r="I127" i="15"/>
  <c r="L126" i="15"/>
  <c r="I126" i="15"/>
  <c r="L125" i="15"/>
  <c r="I125" i="15"/>
  <c r="L124" i="15"/>
  <c r="I124" i="15"/>
  <c r="L123" i="15"/>
  <c r="I123" i="15"/>
  <c r="L122" i="15"/>
  <c r="I122" i="15"/>
  <c r="L121" i="15"/>
  <c r="I121" i="15"/>
  <c r="L120" i="15"/>
  <c r="I120" i="15"/>
  <c r="L119" i="15"/>
  <c r="I119" i="15"/>
  <c r="L118" i="15"/>
  <c r="I118" i="15"/>
  <c r="L117" i="15"/>
  <c r="I117" i="15"/>
  <c r="L116" i="15"/>
  <c r="I116" i="15"/>
  <c r="L115" i="15"/>
  <c r="I115" i="15"/>
  <c r="L114" i="15"/>
  <c r="I114" i="15"/>
  <c r="L113" i="15"/>
  <c r="I113" i="15"/>
  <c r="L112" i="15"/>
  <c r="I112" i="15"/>
  <c r="L111" i="15"/>
  <c r="I111" i="15"/>
  <c r="L110" i="15"/>
  <c r="I110" i="15"/>
  <c r="L109" i="15"/>
  <c r="I109" i="15"/>
  <c r="L108" i="15"/>
  <c r="I108" i="15"/>
  <c r="L107" i="15"/>
  <c r="I107" i="15"/>
  <c r="L106" i="15"/>
  <c r="I106" i="15"/>
  <c r="L105" i="15"/>
  <c r="I105" i="15"/>
  <c r="L104" i="15"/>
  <c r="I104" i="15"/>
  <c r="L103" i="15"/>
  <c r="I103" i="15"/>
  <c r="L102" i="15"/>
  <c r="I102" i="15"/>
  <c r="L101" i="15"/>
  <c r="I101" i="15"/>
  <c r="L100" i="15"/>
  <c r="I100" i="15"/>
  <c r="L99" i="15"/>
  <c r="I99" i="15"/>
  <c r="L98" i="15"/>
  <c r="I98" i="15"/>
  <c r="L97" i="15"/>
  <c r="I97" i="15"/>
  <c r="L96" i="15"/>
  <c r="I96" i="15"/>
  <c r="L95" i="15"/>
  <c r="I95" i="15"/>
  <c r="L94" i="15"/>
  <c r="I94" i="15"/>
  <c r="L93" i="15"/>
  <c r="I93" i="15"/>
  <c r="L92" i="15"/>
  <c r="I92" i="15"/>
  <c r="L91" i="15"/>
  <c r="I91" i="15"/>
  <c r="L90" i="15"/>
  <c r="I90" i="15"/>
  <c r="L89" i="15"/>
  <c r="I89" i="15"/>
  <c r="L88" i="15"/>
  <c r="I88" i="15"/>
  <c r="L87" i="15"/>
  <c r="I87" i="15"/>
  <c r="L86" i="15"/>
  <c r="I86" i="15"/>
  <c r="L85" i="15"/>
  <c r="I85" i="15"/>
  <c r="L84" i="15"/>
  <c r="I84" i="15"/>
  <c r="L83" i="15"/>
  <c r="I83" i="15"/>
  <c r="L82" i="15"/>
  <c r="I82" i="15"/>
  <c r="L81" i="15"/>
  <c r="I81" i="15"/>
  <c r="L80" i="15"/>
  <c r="I80" i="15"/>
  <c r="L79" i="15"/>
  <c r="I79" i="15"/>
  <c r="L78" i="15"/>
  <c r="I78" i="15"/>
  <c r="L77" i="15"/>
  <c r="I77" i="15"/>
  <c r="L76" i="15"/>
  <c r="I76" i="15"/>
  <c r="L75" i="15"/>
  <c r="I75" i="15"/>
  <c r="L73" i="15"/>
  <c r="I73" i="15"/>
  <c r="L72" i="15"/>
  <c r="I72" i="15"/>
  <c r="L71" i="15"/>
  <c r="I71" i="15"/>
  <c r="L70" i="15"/>
  <c r="I70" i="15"/>
  <c r="L69" i="15"/>
  <c r="I69" i="15"/>
  <c r="L68" i="15"/>
  <c r="I68" i="15"/>
  <c r="L67" i="15"/>
  <c r="I67" i="15"/>
  <c r="L66" i="15"/>
  <c r="I66" i="15"/>
  <c r="L65" i="15"/>
  <c r="I65" i="15"/>
  <c r="L64" i="15"/>
  <c r="I64" i="15"/>
  <c r="L63" i="15"/>
  <c r="I63" i="15"/>
  <c r="L62" i="15"/>
  <c r="I62" i="15"/>
  <c r="L61" i="15"/>
  <c r="I61" i="15"/>
  <c r="L60" i="15"/>
  <c r="I60" i="15"/>
  <c r="L59" i="15"/>
  <c r="I59" i="15"/>
  <c r="L58" i="15"/>
  <c r="I58" i="15"/>
  <c r="L57" i="15"/>
  <c r="I57" i="15"/>
  <c r="L56" i="15"/>
  <c r="I56" i="15"/>
  <c r="L55" i="15"/>
  <c r="I55" i="15"/>
  <c r="L54" i="15"/>
  <c r="I54" i="15"/>
  <c r="L53" i="15"/>
  <c r="I53" i="15"/>
  <c r="L52" i="15"/>
  <c r="I52" i="15"/>
  <c r="L51" i="15"/>
  <c r="I51" i="15"/>
  <c r="L50" i="15"/>
  <c r="I50" i="15"/>
  <c r="L49" i="15"/>
  <c r="I49" i="15"/>
  <c r="L48" i="15"/>
  <c r="I48" i="15"/>
  <c r="L47" i="15"/>
  <c r="I47" i="15"/>
  <c r="L46" i="15"/>
  <c r="I46" i="15"/>
  <c r="L45" i="15"/>
  <c r="I45" i="15"/>
  <c r="L44" i="15"/>
  <c r="I44" i="15"/>
  <c r="L43" i="15"/>
  <c r="I43" i="15"/>
  <c r="L42" i="15"/>
  <c r="I42" i="15"/>
  <c r="L41" i="15"/>
  <c r="I41" i="15"/>
  <c r="L40" i="15"/>
  <c r="I40" i="15"/>
  <c r="L39" i="15"/>
  <c r="I39" i="15"/>
  <c r="L38" i="15"/>
  <c r="I38" i="15"/>
  <c r="L37" i="15"/>
  <c r="I37" i="15"/>
  <c r="L36" i="15"/>
  <c r="I36" i="15"/>
  <c r="L35" i="15"/>
  <c r="I35" i="15"/>
  <c r="L34" i="15"/>
  <c r="I34" i="15"/>
  <c r="L33" i="15"/>
  <c r="I33" i="15"/>
  <c r="L32" i="15"/>
  <c r="I32" i="15"/>
  <c r="L31" i="15"/>
  <c r="I31" i="15"/>
  <c r="L30" i="15"/>
  <c r="I30" i="15"/>
  <c r="L29" i="15"/>
  <c r="I29" i="15"/>
  <c r="L28" i="15"/>
  <c r="I28" i="15"/>
  <c r="L27" i="15"/>
  <c r="I27" i="15"/>
  <c r="L26" i="15"/>
  <c r="I26" i="15"/>
  <c r="L25" i="15"/>
  <c r="I25" i="15"/>
  <c r="L24" i="15"/>
  <c r="I24" i="15"/>
  <c r="L23" i="15"/>
  <c r="I23" i="15"/>
  <c r="L22" i="15"/>
  <c r="I22" i="15"/>
  <c r="L21" i="15"/>
  <c r="I21" i="15"/>
  <c r="L20" i="15"/>
  <c r="I20" i="15"/>
  <c r="L19" i="15"/>
  <c r="I19" i="15"/>
  <c r="L18" i="15"/>
  <c r="I18" i="15"/>
  <c r="L17" i="15"/>
  <c r="I17" i="15"/>
  <c r="L16" i="15"/>
  <c r="I16" i="15"/>
  <c r="L15" i="15"/>
  <c r="I15" i="15"/>
  <c r="L14" i="15"/>
  <c r="I14" i="15"/>
  <c r="L13" i="15"/>
  <c r="I13" i="15"/>
  <c r="L12" i="15"/>
  <c r="I12" i="15"/>
  <c r="L11" i="15"/>
  <c r="I11" i="15"/>
  <c r="L10" i="15"/>
  <c r="I10" i="15"/>
  <c r="L9" i="15"/>
  <c r="I9" i="15"/>
  <c r="L8" i="15"/>
  <c r="I8" i="15"/>
  <c r="L7" i="15"/>
  <c r="I7" i="15"/>
  <c r="L6" i="15"/>
  <c r="I6" i="15"/>
  <c r="L5" i="15"/>
  <c r="I5" i="15"/>
  <c r="L4" i="15"/>
  <c r="I4" i="15"/>
  <c r="L3" i="15"/>
  <c r="I3" i="15"/>
  <c r="L2" i="15"/>
  <c r="I2" i="15"/>
  <c r="L1118" i="13" l="1"/>
  <c r="L1117" i="13"/>
  <c r="L1116" i="13"/>
  <c r="L1115" i="13"/>
  <c r="L1114" i="13"/>
  <c r="L1113" i="13"/>
  <c r="L1112" i="13"/>
  <c r="L1111" i="13"/>
  <c r="L1110" i="13"/>
  <c r="L1109" i="13"/>
  <c r="L1108" i="13"/>
  <c r="L1107" i="13"/>
  <c r="L1106" i="13"/>
  <c r="L1105" i="13"/>
  <c r="L1104" i="13"/>
  <c r="L1103" i="13"/>
  <c r="L1102" i="13"/>
  <c r="L1101" i="13"/>
  <c r="L1100" i="13"/>
  <c r="L1099" i="13"/>
  <c r="L1098" i="13"/>
  <c r="L1097" i="13"/>
  <c r="L1096" i="13"/>
  <c r="L1095" i="13"/>
  <c r="L1094" i="13"/>
  <c r="L1093" i="13"/>
  <c r="L1092" i="13"/>
  <c r="L1091" i="13"/>
  <c r="L1090" i="13"/>
  <c r="L1089" i="13"/>
  <c r="L1088" i="13"/>
  <c r="L1087" i="13"/>
  <c r="L1086" i="13"/>
  <c r="L1085" i="13"/>
  <c r="L1084" i="13"/>
  <c r="L1083" i="13"/>
  <c r="L1082" i="13"/>
  <c r="L1081" i="13"/>
  <c r="L1080" i="13"/>
  <c r="L1079" i="13"/>
  <c r="L1078" i="13"/>
  <c r="L1077" i="13"/>
  <c r="L1076" i="13"/>
  <c r="L1075" i="13"/>
  <c r="L1074" i="13"/>
  <c r="L1073" i="13"/>
  <c r="L1072" i="13"/>
  <c r="L1071" i="13"/>
  <c r="L1070" i="13"/>
  <c r="L1069" i="13"/>
  <c r="L1068" i="13"/>
  <c r="L1067" i="13"/>
  <c r="L1066" i="13"/>
  <c r="L1065" i="13"/>
  <c r="L1064" i="13"/>
  <c r="L1063" i="13"/>
  <c r="L1062" i="13"/>
  <c r="L1061" i="13"/>
  <c r="L1060" i="13"/>
  <c r="L1059" i="13"/>
  <c r="L1058" i="13"/>
  <c r="L1057" i="13"/>
  <c r="L1056" i="13"/>
  <c r="L1055" i="13"/>
  <c r="L1054" i="13"/>
  <c r="L1053" i="13"/>
  <c r="L1052" i="13"/>
  <c r="L1051" i="13"/>
  <c r="L1050" i="13"/>
  <c r="L1049" i="13"/>
  <c r="L1048" i="13"/>
  <c r="L1047" i="13"/>
  <c r="L1046" i="13"/>
  <c r="L1045" i="13"/>
  <c r="L1044" i="13"/>
  <c r="L1043" i="13"/>
  <c r="L1042" i="13"/>
  <c r="L1041" i="13"/>
  <c r="L1040" i="13"/>
  <c r="L1039" i="13"/>
  <c r="L1038" i="13"/>
  <c r="L1037" i="13"/>
  <c r="L1036" i="13"/>
  <c r="L1035" i="13"/>
  <c r="L1034" i="13"/>
  <c r="L1033" i="13"/>
  <c r="L1032" i="13"/>
  <c r="L1031" i="13"/>
  <c r="L1030" i="13"/>
  <c r="L1029" i="13"/>
  <c r="L1028" i="13"/>
  <c r="L1027" i="13"/>
  <c r="L1026" i="13"/>
  <c r="L1025" i="13"/>
  <c r="L1024" i="13"/>
  <c r="L1023" i="13"/>
  <c r="L1022" i="13"/>
  <c r="L1021" i="13"/>
  <c r="L1020" i="13"/>
  <c r="L1019" i="13"/>
  <c r="L1018" i="13"/>
  <c r="L1017" i="13"/>
  <c r="L1016" i="13"/>
  <c r="L1015" i="13"/>
  <c r="L1014" i="13"/>
  <c r="L1013" i="13"/>
  <c r="L1012" i="13"/>
  <c r="L1011" i="13"/>
  <c r="L1010" i="13"/>
  <c r="L1009" i="13"/>
  <c r="L1008" i="13"/>
  <c r="L1007" i="13"/>
  <c r="L1006" i="13"/>
  <c r="L1005" i="13"/>
  <c r="L1004" i="13"/>
  <c r="L1003" i="13"/>
  <c r="L1002" i="13"/>
  <c r="L1001" i="13"/>
  <c r="L1000" i="13"/>
  <c r="L999" i="13"/>
  <c r="L998" i="13"/>
  <c r="L997" i="13"/>
  <c r="L996" i="13"/>
  <c r="L995" i="13"/>
  <c r="L994" i="13"/>
  <c r="L993" i="13"/>
  <c r="L992" i="13"/>
  <c r="L991" i="13"/>
  <c r="L990" i="13"/>
  <c r="L989" i="13"/>
  <c r="L988" i="13"/>
  <c r="L987" i="13"/>
  <c r="L986" i="13"/>
  <c r="L985" i="13"/>
  <c r="L984" i="13"/>
  <c r="L983" i="13"/>
  <c r="L982" i="13"/>
  <c r="L981" i="13"/>
  <c r="L980" i="13"/>
  <c r="L979" i="13"/>
  <c r="L978" i="13"/>
  <c r="L977" i="13"/>
  <c r="L976" i="13"/>
  <c r="L975" i="13"/>
  <c r="L974" i="13"/>
  <c r="L973" i="13"/>
  <c r="L972" i="13"/>
  <c r="L971" i="13"/>
  <c r="L970" i="13"/>
  <c r="L969" i="13"/>
  <c r="L968" i="13"/>
  <c r="L967" i="13"/>
  <c r="L966" i="13"/>
  <c r="L965" i="13"/>
  <c r="L964" i="13"/>
  <c r="L963" i="13"/>
  <c r="L962" i="13"/>
  <c r="L961" i="13"/>
  <c r="L960" i="13"/>
  <c r="L959" i="13"/>
  <c r="L958" i="13"/>
  <c r="L957" i="13"/>
  <c r="L956" i="13"/>
  <c r="L955" i="13"/>
  <c r="L954" i="13"/>
  <c r="L953" i="13"/>
  <c r="L952" i="13"/>
  <c r="L951" i="13"/>
  <c r="L950" i="13"/>
  <c r="L949" i="13"/>
  <c r="L948" i="13"/>
  <c r="L947" i="13"/>
  <c r="L946" i="13"/>
  <c r="L945" i="13"/>
  <c r="L944" i="13"/>
  <c r="L943" i="13"/>
  <c r="L942" i="13"/>
  <c r="L941" i="13"/>
  <c r="L940" i="13"/>
  <c r="L939" i="13"/>
  <c r="L938" i="13"/>
  <c r="L937" i="13"/>
  <c r="L936" i="13"/>
  <c r="L935" i="13"/>
  <c r="L934" i="13"/>
  <c r="L933" i="13"/>
  <c r="L932" i="13"/>
  <c r="L931" i="13"/>
  <c r="L930" i="13"/>
  <c r="L929" i="13"/>
  <c r="L928" i="13"/>
  <c r="L927" i="13"/>
  <c r="L926" i="13"/>
  <c r="L925" i="13"/>
  <c r="L924" i="13"/>
  <c r="L923" i="13"/>
  <c r="L922" i="13"/>
  <c r="L921" i="13"/>
  <c r="L920" i="13"/>
  <c r="L919" i="13"/>
  <c r="L918" i="13"/>
  <c r="L917" i="13"/>
  <c r="L916" i="13"/>
  <c r="L915" i="13"/>
  <c r="L914" i="13"/>
  <c r="L913" i="13"/>
  <c r="L912" i="13"/>
  <c r="L911" i="13"/>
  <c r="L910" i="13"/>
  <c r="L909" i="13"/>
  <c r="L908" i="13"/>
  <c r="L907" i="13"/>
  <c r="L906" i="13"/>
  <c r="L905" i="13"/>
  <c r="L904" i="13"/>
  <c r="L903" i="13"/>
  <c r="L902" i="13"/>
  <c r="L901" i="13"/>
  <c r="L900" i="13"/>
  <c r="L899" i="13"/>
  <c r="L898" i="13"/>
  <c r="L897" i="13"/>
  <c r="L896" i="13"/>
  <c r="L895" i="13"/>
  <c r="L894" i="13"/>
  <c r="L893" i="13"/>
  <c r="L892" i="13"/>
  <c r="L891" i="13"/>
  <c r="L890" i="13"/>
  <c r="L889" i="13"/>
  <c r="L888" i="13"/>
  <c r="L887" i="13"/>
  <c r="L886" i="13"/>
  <c r="L885" i="13"/>
  <c r="L884" i="13"/>
  <c r="L883" i="13"/>
  <c r="L882" i="13"/>
  <c r="L881" i="13"/>
  <c r="L880" i="13"/>
  <c r="L879" i="13"/>
  <c r="L878" i="13"/>
  <c r="L877" i="13"/>
  <c r="L876" i="13"/>
  <c r="L875" i="13"/>
  <c r="L874" i="13"/>
  <c r="L873" i="13"/>
  <c r="L872" i="13"/>
  <c r="L871" i="13"/>
  <c r="L870" i="13"/>
  <c r="L869" i="13"/>
  <c r="L868" i="13"/>
  <c r="L867" i="13"/>
  <c r="L866" i="13"/>
  <c r="L865" i="13"/>
  <c r="L864" i="13"/>
  <c r="L863" i="13"/>
  <c r="L862" i="13"/>
  <c r="L861" i="13"/>
  <c r="L860" i="13"/>
  <c r="L859" i="13"/>
  <c r="L858" i="13"/>
  <c r="L857" i="13"/>
  <c r="L856" i="13"/>
  <c r="L855" i="13"/>
  <c r="L854" i="13"/>
  <c r="L853" i="13"/>
  <c r="L852" i="13"/>
  <c r="L851" i="13"/>
  <c r="L850" i="13"/>
  <c r="L849" i="13"/>
  <c r="L848" i="13"/>
  <c r="L847" i="13"/>
  <c r="L846" i="13"/>
  <c r="L845" i="13"/>
  <c r="L844" i="13"/>
  <c r="L843" i="13"/>
  <c r="L842" i="13"/>
  <c r="L841" i="13"/>
  <c r="L840" i="13"/>
  <c r="L839" i="13"/>
  <c r="L838" i="13"/>
  <c r="L837" i="13"/>
  <c r="L836" i="13"/>
  <c r="L835" i="13"/>
  <c r="L834" i="13"/>
  <c r="L833" i="13"/>
  <c r="L832" i="13"/>
  <c r="L831" i="13"/>
  <c r="L830" i="13"/>
  <c r="L829" i="13"/>
  <c r="L828" i="13"/>
  <c r="L827" i="13"/>
  <c r="L826" i="13"/>
  <c r="L825" i="13"/>
  <c r="L824" i="13"/>
  <c r="L823" i="13"/>
  <c r="L822" i="13"/>
  <c r="L821" i="13"/>
  <c r="L820" i="13"/>
  <c r="L819" i="13"/>
  <c r="L818" i="13"/>
  <c r="L817" i="13"/>
  <c r="L816" i="13"/>
  <c r="L815" i="13"/>
  <c r="L814" i="13"/>
  <c r="L813" i="13"/>
  <c r="L812" i="13"/>
  <c r="L811" i="13"/>
  <c r="L810" i="13"/>
  <c r="L809" i="13"/>
  <c r="L808" i="13"/>
  <c r="L807" i="13"/>
  <c r="L806" i="13"/>
  <c r="L805" i="13"/>
  <c r="L804" i="13"/>
  <c r="L803" i="13"/>
  <c r="L802" i="13"/>
  <c r="L801" i="13"/>
  <c r="L800" i="13"/>
  <c r="L799" i="13"/>
  <c r="L798" i="13"/>
  <c r="L797" i="13"/>
  <c r="L796" i="13"/>
  <c r="L795" i="13"/>
  <c r="L794" i="13"/>
  <c r="L793" i="13"/>
  <c r="L792" i="13"/>
  <c r="L791" i="13"/>
  <c r="L790" i="13"/>
  <c r="L789" i="13"/>
  <c r="L788" i="13"/>
  <c r="L787" i="13"/>
  <c r="L786" i="13"/>
  <c r="L785" i="13"/>
  <c r="L784" i="13"/>
  <c r="L783" i="13"/>
  <c r="L782" i="13"/>
  <c r="L781" i="13"/>
  <c r="L780" i="13"/>
  <c r="L779" i="13"/>
  <c r="L778" i="13"/>
  <c r="L777" i="13"/>
  <c r="L776" i="13"/>
  <c r="L775" i="13"/>
  <c r="L774" i="13"/>
  <c r="L773" i="13"/>
  <c r="L772" i="13"/>
  <c r="L771" i="13"/>
  <c r="L770" i="13"/>
  <c r="L769" i="13"/>
  <c r="L768" i="13"/>
  <c r="L767" i="13"/>
  <c r="L766" i="13"/>
  <c r="L765" i="13"/>
  <c r="L764" i="13"/>
  <c r="L763" i="13"/>
  <c r="L762" i="13"/>
  <c r="L761" i="13"/>
  <c r="L760" i="13"/>
  <c r="L759" i="13"/>
  <c r="L758" i="13"/>
  <c r="L757" i="13"/>
  <c r="L756" i="13"/>
  <c r="L755" i="13"/>
  <c r="L754" i="13"/>
  <c r="L753" i="13"/>
  <c r="L752" i="13"/>
  <c r="L751" i="13"/>
  <c r="L750" i="13"/>
  <c r="L749" i="13"/>
  <c r="L748" i="13"/>
  <c r="L747" i="13"/>
  <c r="L746" i="13"/>
  <c r="L745" i="13"/>
  <c r="L744" i="13"/>
  <c r="L743" i="13"/>
  <c r="L742" i="13"/>
  <c r="L741" i="13"/>
  <c r="L740" i="13"/>
  <c r="L739" i="13"/>
  <c r="L738" i="13"/>
  <c r="L737" i="13"/>
  <c r="L736" i="13"/>
  <c r="L735" i="13"/>
  <c r="L734" i="13"/>
  <c r="L733" i="13"/>
  <c r="L732" i="13"/>
  <c r="L731" i="13"/>
  <c r="L730" i="13"/>
  <c r="L729" i="13"/>
  <c r="L728" i="13"/>
  <c r="L727" i="13"/>
  <c r="L726" i="13"/>
  <c r="L725" i="13"/>
  <c r="L724" i="13"/>
  <c r="L723" i="13"/>
  <c r="L722" i="13"/>
  <c r="L721" i="13"/>
  <c r="L720" i="13"/>
  <c r="L719" i="13"/>
  <c r="L718" i="13"/>
  <c r="L717" i="13"/>
  <c r="L716" i="13"/>
  <c r="L715" i="13"/>
  <c r="L714" i="13"/>
  <c r="L713" i="13"/>
  <c r="L712" i="13"/>
  <c r="L711" i="13"/>
  <c r="L710" i="13"/>
  <c r="L709" i="13"/>
  <c r="L708" i="13"/>
  <c r="L707" i="13"/>
  <c r="L706" i="13"/>
  <c r="L705" i="13"/>
  <c r="L704" i="13"/>
  <c r="L703" i="13"/>
  <c r="L702" i="13"/>
  <c r="L701" i="13"/>
  <c r="L700" i="13"/>
  <c r="L699" i="13"/>
  <c r="L698" i="13"/>
  <c r="L697" i="13"/>
  <c r="L696" i="13"/>
  <c r="L695" i="13"/>
  <c r="L694" i="13"/>
  <c r="L693" i="13"/>
  <c r="L692" i="13"/>
  <c r="L691" i="13"/>
  <c r="L690" i="13"/>
  <c r="L689" i="13"/>
  <c r="L688" i="13"/>
  <c r="L687" i="13"/>
  <c r="L686" i="13"/>
  <c r="L685" i="13"/>
  <c r="L684" i="13"/>
  <c r="L683" i="13"/>
  <c r="L682" i="13"/>
  <c r="L681" i="13"/>
  <c r="L680" i="13"/>
  <c r="L679" i="13"/>
  <c r="L678" i="13"/>
  <c r="L677" i="13"/>
  <c r="L676" i="13"/>
  <c r="L675" i="13"/>
  <c r="L674" i="13"/>
  <c r="L673" i="13"/>
  <c r="L672" i="13"/>
  <c r="L671" i="13"/>
  <c r="L670" i="13"/>
  <c r="L669" i="13"/>
  <c r="L668" i="13"/>
  <c r="L667" i="13"/>
  <c r="L666" i="13"/>
  <c r="L665" i="13"/>
  <c r="L664" i="13"/>
  <c r="L663" i="13"/>
  <c r="L662" i="13"/>
  <c r="L661" i="13"/>
  <c r="L660" i="13"/>
  <c r="L659" i="13"/>
  <c r="L658" i="13"/>
  <c r="L657" i="13"/>
  <c r="L656" i="13"/>
  <c r="L655" i="13"/>
  <c r="L654" i="13"/>
  <c r="L653" i="13"/>
  <c r="L652" i="13"/>
  <c r="L651" i="13"/>
  <c r="L650" i="13"/>
  <c r="L649" i="13"/>
  <c r="L648" i="13"/>
  <c r="L647" i="13"/>
  <c r="L646" i="13"/>
  <c r="L645" i="13"/>
  <c r="L644" i="13"/>
  <c r="L643" i="13"/>
  <c r="L642" i="13"/>
  <c r="L641" i="13"/>
  <c r="L640" i="13"/>
  <c r="L639" i="13"/>
  <c r="L638" i="13"/>
  <c r="L637" i="13"/>
  <c r="L636" i="13"/>
  <c r="L635" i="13"/>
  <c r="L634" i="13"/>
  <c r="L633" i="13"/>
  <c r="L632" i="13"/>
  <c r="L631" i="13"/>
  <c r="L630" i="13"/>
  <c r="L629" i="13"/>
  <c r="L628" i="13"/>
  <c r="L627" i="13"/>
  <c r="L626" i="13"/>
  <c r="L625" i="13"/>
  <c r="L624" i="13"/>
  <c r="L623" i="13"/>
  <c r="L622" i="13"/>
  <c r="L621" i="13"/>
  <c r="L620" i="13"/>
  <c r="L619" i="13"/>
  <c r="L618" i="13"/>
  <c r="L617" i="13"/>
  <c r="L616" i="13"/>
  <c r="L615" i="13"/>
  <c r="L614" i="13"/>
  <c r="L613" i="13"/>
  <c r="L612" i="13"/>
  <c r="L611" i="13"/>
  <c r="L610" i="13"/>
  <c r="L609" i="13"/>
  <c r="L608" i="13"/>
  <c r="L607" i="13"/>
  <c r="L606" i="13"/>
  <c r="L605" i="13"/>
  <c r="L604" i="13"/>
  <c r="L603" i="13"/>
  <c r="L602" i="13"/>
  <c r="L601" i="13"/>
  <c r="L600" i="13"/>
  <c r="L599" i="13"/>
  <c r="L598" i="13"/>
  <c r="L597" i="13"/>
  <c r="L596" i="13"/>
  <c r="L595" i="13"/>
  <c r="L594" i="13"/>
  <c r="L593" i="13"/>
  <c r="L592" i="13"/>
  <c r="L591" i="13"/>
  <c r="L590" i="13"/>
  <c r="L589" i="13"/>
  <c r="L588" i="13"/>
  <c r="L587" i="13"/>
  <c r="L586" i="13"/>
  <c r="L585" i="13"/>
  <c r="L584" i="13"/>
  <c r="L583" i="13"/>
  <c r="L582" i="13"/>
  <c r="L581" i="13"/>
  <c r="L580" i="13"/>
  <c r="L579" i="13"/>
  <c r="L578" i="13"/>
  <c r="L577" i="13"/>
  <c r="L576" i="13"/>
  <c r="L575" i="13"/>
  <c r="L574" i="13"/>
  <c r="L573" i="13"/>
  <c r="L572" i="13"/>
  <c r="L571" i="13"/>
  <c r="L570" i="13"/>
  <c r="L569" i="13"/>
  <c r="L568" i="13"/>
  <c r="L567" i="13"/>
  <c r="L566" i="13"/>
  <c r="L565" i="13"/>
  <c r="L564" i="13"/>
  <c r="L563" i="13"/>
  <c r="L562" i="13"/>
  <c r="L561" i="13"/>
  <c r="L560" i="13"/>
  <c r="L559" i="13"/>
  <c r="L558" i="13"/>
  <c r="L557" i="13"/>
  <c r="L556" i="13"/>
  <c r="L555" i="13"/>
  <c r="L554" i="13"/>
  <c r="L553" i="13"/>
  <c r="L552" i="13"/>
  <c r="L551" i="13"/>
  <c r="L550" i="13"/>
  <c r="L549" i="13"/>
  <c r="L548" i="13"/>
  <c r="L547" i="13"/>
  <c r="L546" i="13"/>
  <c r="L545" i="13"/>
  <c r="L544" i="13"/>
  <c r="L543" i="13"/>
  <c r="L542" i="13"/>
  <c r="L541" i="13"/>
  <c r="L540" i="13"/>
  <c r="L539" i="13"/>
  <c r="L538" i="13"/>
  <c r="L537" i="13"/>
  <c r="L536" i="13"/>
  <c r="L535" i="13"/>
  <c r="L534" i="13"/>
  <c r="L533" i="13"/>
  <c r="L532" i="13"/>
  <c r="L531" i="13"/>
  <c r="L530" i="13"/>
  <c r="L529" i="13"/>
  <c r="L528" i="13"/>
  <c r="L527" i="13"/>
  <c r="L526" i="13"/>
  <c r="L525" i="13"/>
  <c r="L524" i="13"/>
  <c r="L523" i="13"/>
  <c r="L522" i="13"/>
  <c r="L521" i="13"/>
  <c r="L520" i="13"/>
  <c r="L519" i="13"/>
  <c r="L518" i="13"/>
  <c r="L517" i="13"/>
  <c r="L516" i="13"/>
  <c r="L515" i="13"/>
  <c r="L514" i="13"/>
  <c r="L513" i="13"/>
  <c r="L512" i="13"/>
  <c r="L511" i="13"/>
  <c r="L510" i="13"/>
  <c r="L509" i="13"/>
  <c r="L508" i="13"/>
  <c r="L507" i="13"/>
  <c r="L506" i="13"/>
  <c r="L505" i="13"/>
  <c r="L504" i="13"/>
  <c r="L503" i="13"/>
  <c r="L502" i="13"/>
  <c r="L501" i="13"/>
  <c r="L500" i="13"/>
  <c r="L499" i="13"/>
  <c r="L498" i="13"/>
  <c r="L497" i="13"/>
  <c r="L496" i="13"/>
  <c r="L495" i="13"/>
  <c r="L494" i="13"/>
  <c r="L493" i="13"/>
  <c r="L492" i="13"/>
  <c r="L491" i="13"/>
  <c r="L490" i="13"/>
  <c r="L489" i="13"/>
  <c r="L488" i="13"/>
  <c r="L487" i="13"/>
  <c r="L486" i="13"/>
  <c r="L485" i="13"/>
  <c r="L484" i="13"/>
  <c r="L483" i="13"/>
  <c r="L482" i="13"/>
  <c r="L481" i="13"/>
  <c r="L480" i="13"/>
  <c r="L479" i="13"/>
  <c r="L478" i="13"/>
  <c r="L477" i="13"/>
  <c r="L476" i="13"/>
  <c r="L475" i="13"/>
  <c r="L474" i="13"/>
  <c r="L473" i="13"/>
  <c r="L472" i="13"/>
  <c r="L471" i="13"/>
  <c r="L470" i="13"/>
  <c r="L469" i="13"/>
  <c r="L468" i="13"/>
  <c r="L467" i="13"/>
  <c r="L466" i="13"/>
  <c r="L465" i="13"/>
  <c r="L464" i="13"/>
  <c r="L463" i="13"/>
  <c r="L462" i="13"/>
  <c r="L461" i="13"/>
  <c r="L460" i="13"/>
  <c r="L459" i="13"/>
  <c r="L458" i="13"/>
  <c r="L457" i="13"/>
  <c r="L456" i="13"/>
  <c r="L455" i="13"/>
  <c r="L454" i="13"/>
  <c r="L453" i="13"/>
  <c r="L452" i="13"/>
  <c r="L451" i="13"/>
  <c r="L450" i="13"/>
  <c r="L449" i="13"/>
  <c r="L448" i="13"/>
  <c r="L447" i="13"/>
  <c r="L446" i="13"/>
  <c r="L445" i="13"/>
  <c r="L444" i="13"/>
  <c r="L443" i="13"/>
  <c r="L442" i="13"/>
  <c r="L441" i="13"/>
  <c r="L440" i="13"/>
  <c r="L439" i="13"/>
  <c r="L438" i="13"/>
  <c r="L437" i="13"/>
  <c r="L436" i="13"/>
  <c r="L435" i="13"/>
  <c r="L434" i="13"/>
  <c r="L433" i="13"/>
  <c r="L432" i="13"/>
  <c r="L431" i="13"/>
  <c r="L430" i="13"/>
  <c r="L429" i="13"/>
  <c r="L428" i="13"/>
  <c r="L427" i="13"/>
  <c r="L426" i="13"/>
  <c r="L425" i="13"/>
  <c r="L424" i="13"/>
  <c r="L423" i="13"/>
  <c r="L422" i="13"/>
  <c r="L421" i="13"/>
  <c r="L420" i="13"/>
  <c r="L419" i="13"/>
  <c r="L418" i="13"/>
  <c r="L417" i="13"/>
  <c r="L416" i="13"/>
  <c r="L415" i="13"/>
  <c r="L414" i="13"/>
  <c r="L413" i="13"/>
  <c r="L412" i="13"/>
  <c r="L411" i="13"/>
  <c r="L410" i="13"/>
  <c r="L409" i="13"/>
  <c r="L408" i="13"/>
  <c r="L407" i="13"/>
  <c r="L406" i="13"/>
  <c r="L405" i="13"/>
  <c r="L404" i="13"/>
  <c r="L403" i="13"/>
  <c r="L402" i="13"/>
  <c r="L401" i="13"/>
  <c r="L400" i="13"/>
  <c r="L399" i="13"/>
  <c r="L398" i="13"/>
  <c r="L397" i="13"/>
  <c r="L396" i="13"/>
  <c r="L395" i="13"/>
  <c r="L394" i="13"/>
  <c r="L393" i="13"/>
  <c r="L392" i="13"/>
  <c r="L391" i="13"/>
  <c r="L390" i="13"/>
  <c r="L389" i="13"/>
  <c r="L388" i="13"/>
  <c r="L387" i="13"/>
  <c r="L386" i="13"/>
  <c r="L385" i="13"/>
  <c r="L384" i="13"/>
  <c r="L383" i="13"/>
  <c r="L382" i="13"/>
  <c r="L381" i="13"/>
  <c r="L380" i="13"/>
  <c r="L379" i="13"/>
  <c r="L378" i="13"/>
  <c r="L377" i="13"/>
  <c r="L376" i="13"/>
  <c r="L375" i="13"/>
  <c r="L374" i="13"/>
  <c r="L373" i="13"/>
  <c r="L372" i="13"/>
  <c r="L371" i="13"/>
  <c r="L370" i="13"/>
  <c r="L369" i="13"/>
  <c r="L368" i="13"/>
  <c r="L367" i="13"/>
  <c r="L366" i="13"/>
  <c r="L365" i="13"/>
  <c r="L364" i="13"/>
  <c r="L363" i="13"/>
  <c r="L362" i="13"/>
  <c r="L361" i="13"/>
  <c r="L360" i="13"/>
  <c r="L359" i="13"/>
  <c r="L358" i="13"/>
  <c r="L357" i="13"/>
  <c r="L356" i="13"/>
  <c r="L355" i="13"/>
  <c r="L354" i="13"/>
  <c r="L353" i="13"/>
  <c r="L352" i="13"/>
  <c r="L351" i="13"/>
  <c r="L350" i="13"/>
  <c r="L349" i="13"/>
  <c r="L348" i="13"/>
  <c r="L347" i="13"/>
  <c r="L346" i="13"/>
  <c r="L345" i="13"/>
  <c r="L344" i="13"/>
  <c r="L343" i="13"/>
  <c r="L342" i="13"/>
  <c r="L341" i="13"/>
  <c r="L340" i="13"/>
  <c r="L339" i="13"/>
  <c r="L338" i="13"/>
  <c r="L337" i="13"/>
  <c r="L336" i="13"/>
  <c r="L335" i="13"/>
  <c r="L334" i="13"/>
  <c r="L333" i="13"/>
  <c r="L332" i="13"/>
  <c r="L331" i="13"/>
  <c r="L330" i="13"/>
  <c r="L329" i="13"/>
  <c r="L328" i="13"/>
  <c r="L327" i="13"/>
  <c r="L326" i="13"/>
  <c r="L325" i="13"/>
  <c r="L324" i="13"/>
  <c r="L323" i="13"/>
  <c r="L322" i="13"/>
  <c r="L321" i="13"/>
  <c r="L320" i="13"/>
  <c r="L319" i="13"/>
  <c r="L318" i="13"/>
  <c r="L317" i="13"/>
  <c r="L316" i="13"/>
  <c r="L315" i="13"/>
  <c r="L314" i="13"/>
  <c r="L313" i="13"/>
  <c r="L312" i="13"/>
  <c r="L311" i="13"/>
  <c r="L310" i="13"/>
  <c r="L309" i="13"/>
  <c r="L308" i="13"/>
  <c r="L307" i="13"/>
  <c r="L306" i="13"/>
  <c r="L305" i="13"/>
  <c r="L304" i="13"/>
  <c r="L303" i="13"/>
  <c r="L302" i="13"/>
  <c r="L301" i="13"/>
  <c r="L300" i="13"/>
  <c r="L299" i="13"/>
  <c r="L298" i="13"/>
  <c r="L297" i="13"/>
  <c r="L296" i="13"/>
  <c r="L295" i="13"/>
  <c r="L294" i="13"/>
  <c r="L293" i="13"/>
  <c r="L292" i="13"/>
  <c r="L291" i="13"/>
  <c r="L290" i="13"/>
  <c r="L289" i="13"/>
  <c r="L288" i="13"/>
  <c r="L287" i="13"/>
  <c r="L286" i="13"/>
  <c r="L285" i="13"/>
  <c r="L284" i="13"/>
  <c r="L283" i="13"/>
  <c r="L282" i="13"/>
  <c r="L281" i="13"/>
  <c r="L280" i="13"/>
  <c r="L279" i="13"/>
  <c r="L278" i="13"/>
  <c r="L277" i="13"/>
  <c r="L276" i="13"/>
  <c r="L275" i="13"/>
  <c r="L274" i="13"/>
  <c r="L273" i="13"/>
  <c r="L272" i="13"/>
  <c r="L271" i="13"/>
  <c r="L270" i="13"/>
  <c r="L269" i="13"/>
  <c r="L268" i="13"/>
  <c r="L267" i="13"/>
  <c r="L266" i="13"/>
  <c r="L265" i="13"/>
  <c r="L264" i="13"/>
  <c r="L263" i="13"/>
  <c r="L262" i="13"/>
  <c r="L261" i="13"/>
  <c r="L260" i="13"/>
  <c r="L259" i="13"/>
  <c r="L258" i="13"/>
  <c r="L257" i="13"/>
  <c r="L256" i="13"/>
  <c r="L255" i="13"/>
  <c r="L254" i="13"/>
  <c r="L253" i="13"/>
  <c r="L252" i="13"/>
  <c r="L251" i="13"/>
  <c r="L250" i="13"/>
  <c r="L249" i="13"/>
  <c r="L248" i="13"/>
  <c r="L247" i="13"/>
  <c r="L246" i="13"/>
  <c r="L245" i="13"/>
  <c r="L244" i="13"/>
  <c r="L243" i="13"/>
  <c r="L242" i="13"/>
  <c r="L241" i="13"/>
  <c r="L240" i="13"/>
  <c r="L239" i="13"/>
  <c r="L238" i="13"/>
  <c r="L237" i="13"/>
  <c r="L236" i="13"/>
  <c r="L235" i="13"/>
  <c r="L234" i="13"/>
  <c r="L233" i="13"/>
  <c r="L232" i="13"/>
  <c r="L231" i="13"/>
  <c r="L230" i="13"/>
  <c r="L229" i="13"/>
  <c r="L228" i="13"/>
  <c r="L227" i="13"/>
  <c r="L226" i="13"/>
  <c r="L225" i="13"/>
  <c r="L224" i="13"/>
  <c r="L223" i="13"/>
  <c r="L222" i="13"/>
  <c r="L221" i="13"/>
  <c r="L220" i="13"/>
  <c r="L219" i="13"/>
  <c r="L218" i="13"/>
  <c r="L217" i="13"/>
  <c r="L216" i="13"/>
  <c r="L215" i="13"/>
  <c r="L214" i="13"/>
  <c r="L213" i="13"/>
  <c r="L212" i="13"/>
  <c r="L211" i="13"/>
  <c r="L210" i="13"/>
  <c r="L209" i="13"/>
  <c r="L208" i="13"/>
  <c r="L207" i="13"/>
  <c r="L206" i="13"/>
  <c r="L205" i="13"/>
  <c r="L204" i="13"/>
  <c r="L203" i="13"/>
  <c r="L202" i="13"/>
  <c r="L201" i="13"/>
  <c r="L200" i="13"/>
  <c r="L199" i="13"/>
  <c r="L198" i="13"/>
  <c r="L197" i="13"/>
  <c r="L196" i="13"/>
  <c r="L195" i="13"/>
  <c r="L194" i="13"/>
  <c r="L193" i="13"/>
  <c r="L192" i="13"/>
  <c r="L191" i="13"/>
  <c r="L190" i="13"/>
  <c r="L189" i="13"/>
  <c r="L188" i="13"/>
  <c r="L187" i="13"/>
  <c r="L186" i="13"/>
  <c r="L185" i="13"/>
  <c r="L184" i="13"/>
  <c r="L183" i="13"/>
  <c r="L182" i="13"/>
  <c r="L181" i="13"/>
  <c r="L180" i="13"/>
  <c r="L179" i="13"/>
  <c r="L178" i="13"/>
  <c r="L177" i="13"/>
  <c r="L176" i="13"/>
  <c r="L175" i="13"/>
  <c r="L174" i="13"/>
  <c r="L173" i="13"/>
  <c r="L172" i="13"/>
  <c r="L171" i="13"/>
  <c r="L170" i="13"/>
  <c r="L169" i="13"/>
  <c r="L168" i="13"/>
  <c r="L167" i="13"/>
  <c r="L166" i="13"/>
  <c r="L165" i="13"/>
  <c r="L164" i="13"/>
  <c r="L163" i="13"/>
  <c r="L162" i="13"/>
  <c r="L161" i="13"/>
  <c r="L160" i="13"/>
  <c r="L159" i="13"/>
  <c r="L158" i="13"/>
  <c r="L157" i="13"/>
  <c r="L156" i="13"/>
  <c r="L155" i="13"/>
  <c r="L154" i="13"/>
  <c r="L153" i="13"/>
  <c r="L152" i="13"/>
  <c r="L151" i="13"/>
  <c r="L150" i="13"/>
  <c r="L149" i="13"/>
  <c r="L148" i="13"/>
  <c r="L147" i="13"/>
  <c r="L146" i="13"/>
  <c r="L145" i="13"/>
  <c r="L144" i="13"/>
  <c r="L143" i="13"/>
  <c r="L142" i="13"/>
  <c r="L141" i="13"/>
  <c r="L140" i="13"/>
  <c r="L139" i="13"/>
  <c r="L138" i="13"/>
  <c r="L137" i="13"/>
  <c r="L136" i="13"/>
  <c r="L135" i="13"/>
  <c r="L134" i="13"/>
  <c r="L133" i="13"/>
  <c r="L132" i="13"/>
  <c r="L131" i="13"/>
  <c r="L130" i="13"/>
  <c r="L129" i="13"/>
  <c r="L128" i="13"/>
  <c r="L127" i="13"/>
  <c r="L126" i="13"/>
  <c r="L125" i="13"/>
  <c r="L124" i="13"/>
  <c r="L123" i="13"/>
  <c r="L122" i="13"/>
  <c r="L121" i="13"/>
  <c r="L120" i="13"/>
  <c r="L119" i="13"/>
  <c r="L118" i="13"/>
  <c r="L117" i="13"/>
  <c r="L116" i="13"/>
  <c r="L115" i="13"/>
  <c r="L114" i="13"/>
  <c r="L113" i="13"/>
  <c r="L112" i="13"/>
  <c r="L111" i="13"/>
  <c r="L110" i="13"/>
  <c r="L109" i="13"/>
  <c r="L108" i="13"/>
  <c r="L107" i="13"/>
  <c r="L106" i="13"/>
  <c r="L105" i="13"/>
  <c r="L104" i="13"/>
  <c r="L103" i="13"/>
  <c r="L102" i="13"/>
  <c r="L101" i="13"/>
  <c r="L100" i="13"/>
  <c r="L99" i="13"/>
  <c r="L98" i="13"/>
  <c r="L97" i="13"/>
  <c r="L96" i="13"/>
  <c r="L95" i="13"/>
  <c r="L94" i="13"/>
  <c r="L93" i="13"/>
  <c r="L92" i="13"/>
  <c r="L91" i="13"/>
  <c r="L90" i="13"/>
  <c r="L89" i="13"/>
  <c r="L88" i="13"/>
  <c r="L87" i="13"/>
  <c r="L86" i="13"/>
  <c r="L85" i="13"/>
  <c r="L84" i="13"/>
  <c r="L83" i="13"/>
  <c r="L82" i="13"/>
  <c r="L81" i="13"/>
  <c r="L80" i="13"/>
  <c r="L79" i="13"/>
  <c r="L78" i="13"/>
  <c r="L77" i="13"/>
  <c r="L76" i="13"/>
  <c r="L75" i="13"/>
  <c r="L73" i="13"/>
  <c r="L72" i="13"/>
  <c r="L71" i="13"/>
  <c r="L70" i="13"/>
  <c r="L69" i="13"/>
  <c r="L68" i="13"/>
  <c r="L67" i="13"/>
  <c r="L66" i="13"/>
  <c r="L65" i="13"/>
  <c r="L64" i="13"/>
  <c r="L63" i="13"/>
  <c r="L62" i="13"/>
  <c r="L61" i="13"/>
  <c r="L60" i="13"/>
  <c r="L59" i="13"/>
  <c r="L58" i="13"/>
  <c r="L57" i="13"/>
  <c r="L56" i="13"/>
  <c r="L55" i="13"/>
  <c r="L54" i="13"/>
  <c r="L53" i="13"/>
  <c r="L52" i="13"/>
  <c r="L51" i="13"/>
  <c r="L50" i="13"/>
  <c r="L49" i="13"/>
  <c r="L48" i="13"/>
  <c r="L47" i="13"/>
  <c r="L46" i="13"/>
  <c r="L45" i="13"/>
  <c r="L44" i="13"/>
  <c r="L43" i="13"/>
  <c r="L42" i="13"/>
  <c r="L41" i="13"/>
  <c r="L40" i="13"/>
  <c r="L39" i="13"/>
  <c r="L38" i="13"/>
  <c r="L37" i="13"/>
  <c r="L36" i="13"/>
  <c r="L35" i="13"/>
  <c r="L34" i="13"/>
  <c r="L33" i="13"/>
  <c r="L32" i="13"/>
  <c r="L31" i="13"/>
  <c r="L30" i="13"/>
  <c r="L29" i="13"/>
  <c r="L28" i="13"/>
  <c r="L27" i="13"/>
  <c r="L26" i="13"/>
  <c r="L25" i="13"/>
  <c r="L24" i="13"/>
  <c r="L23" i="13"/>
  <c r="L22" i="13"/>
  <c r="L21" i="13"/>
  <c r="L20" i="13"/>
  <c r="L19" i="13"/>
  <c r="L18" i="13"/>
  <c r="L17" i="13"/>
  <c r="L16" i="13"/>
  <c r="L15" i="13"/>
  <c r="L14" i="13"/>
  <c r="L13" i="13"/>
  <c r="L12" i="13"/>
  <c r="L11" i="13"/>
  <c r="L10" i="13"/>
  <c r="L9" i="13"/>
  <c r="L8" i="13"/>
  <c r="L7" i="13"/>
  <c r="L6" i="13"/>
  <c r="L5" i="13"/>
  <c r="L3" i="13"/>
  <c r="L4" i="13"/>
  <c r="L2" i="13"/>
  <c r="I1118" i="13"/>
  <c r="I1117" i="13"/>
  <c r="I1116" i="13"/>
  <c r="I1115" i="13"/>
  <c r="I1114" i="13"/>
  <c r="I1113" i="13"/>
  <c r="I1112" i="13"/>
  <c r="I1111" i="13"/>
  <c r="I1110" i="13"/>
  <c r="I1109" i="13"/>
  <c r="I1108" i="13"/>
  <c r="I1107" i="13"/>
  <c r="I1106" i="13"/>
  <c r="I1105" i="13"/>
  <c r="I1104" i="13"/>
  <c r="I1103" i="13"/>
  <c r="I1102" i="13"/>
  <c r="I1101" i="13"/>
  <c r="I1100" i="13"/>
  <c r="I1099" i="13"/>
  <c r="I1098" i="13"/>
  <c r="I1097" i="13"/>
  <c r="I1096" i="13"/>
  <c r="I1095" i="13"/>
  <c r="I1094" i="13"/>
  <c r="I1093" i="13"/>
  <c r="I1092" i="13"/>
  <c r="I1091" i="13"/>
  <c r="I1090" i="13"/>
  <c r="I1089" i="13"/>
  <c r="I1088" i="13"/>
  <c r="I1087" i="13"/>
  <c r="I1086" i="13"/>
  <c r="I1085" i="13"/>
  <c r="I1084" i="13"/>
  <c r="I1083" i="13"/>
  <c r="I1082" i="13"/>
  <c r="I1081" i="13"/>
  <c r="I1080" i="13"/>
  <c r="I1079" i="13"/>
  <c r="I1078" i="13"/>
  <c r="I1077" i="13"/>
  <c r="I1076" i="13"/>
  <c r="I1075" i="13"/>
  <c r="I1074" i="13"/>
  <c r="I1073" i="13"/>
  <c r="I1072" i="13"/>
  <c r="I1071" i="13"/>
  <c r="I1070" i="13"/>
  <c r="I1069" i="13"/>
  <c r="I1068" i="13"/>
  <c r="I1067" i="13"/>
  <c r="I1066" i="13"/>
  <c r="I1065" i="13"/>
  <c r="I1064" i="13"/>
  <c r="I1063" i="13"/>
  <c r="I1062" i="13"/>
  <c r="I1061" i="13"/>
  <c r="I1060" i="13"/>
  <c r="I1059" i="13"/>
  <c r="I1058" i="13"/>
  <c r="I1057" i="13"/>
  <c r="I1056" i="13"/>
  <c r="I1055" i="13"/>
  <c r="I1054" i="13"/>
  <c r="I1053" i="13"/>
  <c r="I1052" i="13"/>
  <c r="I1051" i="13"/>
  <c r="I1050" i="13"/>
  <c r="I1049" i="13"/>
  <c r="I1048" i="13"/>
  <c r="I1047" i="13"/>
  <c r="I1046" i="13"/>
  <c r="I1045" i="13"/>
  <c r="I1044" i="13"/>
  <c r="I1043" i="13"/>
  <c r="I1042" i="13"/>
  <c r="I1041" i="13"/>
  <c r="I1040" i="13"/>
  <c r="I1039" i="13"/>
  <c r="I1038" i="13"/>
  <c r="I1037" i="13"/>
  <c r="I1036" i="13"/>
  <c r="I1035" i="13"/>
  <c r="I1034" i="13"/>
  <c r="I1033" i="13"/>
  <c r="I1032" i="13"/>
  <c r="I1031" i="13"/>
  <c r="I1030" i="13"/>
  <c r="I1029" i="13"/>
  <c r="I1028" i="13"/>
  <c r="I1027" i="13"/>
  <c r="I1026" i="13"/>
  <c r="I1025" i="13"/>
  <c r="I1024" i="13"/>
  <c r="I1023" i="13"/>
  <c r="I1022" i="13"/>
  <c r="I1021" i="13"/>
  <c r="I1020" i="13"/>
  <c r="I1019" i="13"/>
  <c r="I1018" i="13"/>
  <c r="I1017" i="13"/>
  <c r="I1016" i="13"/>
  <c r="I1015" i="13"/>
  <c r="I1014" i="13"/>
  <c r="I1013" i="13"/>
  <c r="I1012" i="13"/>
  <c r="I1011" i="13"/>
  <c r="I1010" i="13"/>
  <c r="I1009" i="13"/>
  <c r="I1008" i="13"/>
  <c r="I1007" i="13"/>
  <c r="I1006" i="13"/>
  <c r="I1005" i="13"/>
  <c r="I1004" i="13"/>
  <c r="I1003" i="13"/>
  <c r="I1002" i="13"/>
  <c r="I1001" i="13"/>
  <c r="I1000" i="13"/>
  <c r="I999" i="13"/>
  <c r="I998" i="13"/>
  <c r="I997" i="13"/>
  <c r="I996" i="13"/>
  <c r="I995" i="13"/>
  <c r="I994" i="13"/>
  <c r="I993" i="13"/>
  <c r="I992" i="13"/>
  <c r="I991" i="13"/>
  <c r="I990" i="13"/>
  <c r="I989" i="13"/>
  <c r="I988" i="13"/>
  <c r="I987" i="13"/>
  <c r="I986" i="13"/>
  <c r="I985" i="13"/>
  <c r="I984" i="13"/>
  <c r="I983" i="13"/>
  <c r="I982" i="13"/>
  <c r="I981" i="13"/>
  <c r="I980" i="13"/>
  <c r="I979" i="13"/>
  <c r="I978" i="13"/>
  <c r="I977" i="13"/>
  <c r="I976" i="13"/>
  <c r="I975" i="13"/>
  <c r="I974" i="13"/>
  <c r="I973" i="13"/>
  <c r="I972" i="13"/>
  <c r="I971" i="13"/>
  <c r="I970" i="13"/>
  <c r="I969" i="13"/>
  <c r="I968" i="13"/>
  <c r="I967" i="13"/>
  <c r="I966" i="13"/>
  <c r="I965" i="13"/>
  <c r="I964" i="13"/>
  <c r="I963" i="13"/>
  <c r="I962" i="13"/>
  <c r="I961" i="13"/>
  <c r="I960" i="13"/>
  <c r="I959" i="13"/>
  <c r="I958" i="13"/>
  <c r="I957" i="13"/>
  <c r="I956" i="13"/>
  <c r="I955" i="13"/>
  <c r="I954" i="13"/>
  <c r="I953" i="13"/>
  <c r="I952" i="13"/>
  <c r="I951" i="13"/>
  <c r="I950" i="13"/>
  <c r="I949" i="13"/>
  <c r="I948" i="13"/>
  <c r="I947" i="13"/>
  <c r="I946" i="13"/>
  <c r="I945" i="13"/>
  <c r="I944" i="13"/>
  <c r="I943" i="13"/>
  <c r="I942" i="13"/>
  <c r="I941" i="13"/>
  <c r="I940" i="13"/>
  <c r="I939" i="13"/>
  <c r="I938" i="13"/>
  <c r="I937" i="13"/>
  <c r="I936" i="13"/>
  <c r="I935" i="13"/>
  <c r="I934" i="13"/>
  <c r="I933" i="13"/>
  <c r="I932" i="13"/>
  <c r="I931" i="13"/>
  <c r="I930" i="13"/>
  <c r="I929" i="13"/>
  <c r="I928" i="13"/>
  <c r="I927" i="13"/>
  <c r="I926" i="13"/>
  <c r="I925" i="13"/>
  <c r="I924" i="13"/>
  <c r="I923" i="13"/>
  <c r="I922" i="13"/>
  <c r="I921" i="13"/>
  <c r="I920" i="13"/>
  <c r="I919" i="13"/>
  <c r="I918" i="13"/>
  <c r="I917" i="13"/>
  <c r="I916" i="13"/>
  <c r="I915" i="13"/>
  <c r="I914" i="13"/>
  <c r="I913" i="13"/>
  <c r="I912" i="13"/>
  <c r="I911" i="13"/>
  <c r="I910" i="13"/>
  <c r="I909" i="13"/>
  <c r="I908" i="13"/>
  <c r="I907" i="13"/>
  <c r="I906" i="13"/>
  <c r="I905" i="13"/>
  <c r="I904" i="13"/>
  <c r="I903" i="13"/>
  <c r="I902" i="13"/>
  <c r="I901" i="13"/>
  <c r="I900" i="13"/>
  <c r="I899" i="13"/>
  <c r="I898" i="13"/>
  <c r="I897" i="13"/>
  <c r="I896" i="13"/>
  <c r="I895" i="13"/>
  <c r="I894" i="13"/>
  <c r="I893" i="13"/>
  <c r="I892" i="13"/>
  <c r="I891" i="13"/>
  <c r="I890" i="13"/>
  <c r="I889" i="13"/>
  <c r="I888" i="13"/>
  <c r="I887" i="13"/>
  <c r="I886" i="13"/>
  <c r="I885" i="13"/>
  <c r="I884" i="13"/>
  <c r="I883" i="13"/>
  <c r="I882" i="13"/>
  <c r="I881" i="13"/>
  <c r="I880" i="13"/>
  <c r="I879" i="13"/>
  <c r="I878" i="13"/>
  <c r="I877" i="13"/>
  <c r="I876" i="13"/>
  <c r="I875" i="13"/>
  <c r="I874" i="13"/>
  <c r="I873" i="13"/>
  <c r="I872" i="13"/>
  <c r="I871" i="13"/>
  <c r="I870" i="13"/>
  <c r="I869" i="13"/>
  <c r="I868" i="13"/>
  <c r="I867" i="13"/>
  <c r="I866" i="13"/>
  <c r="I865" i="13"/>
  <c r="I864" i="13"/>
  <c r="I863" i="13"/>
  <c r="I862" i="13"/>
  <c r="I861" i="13"/>
  <c r="I860" i="13"/>
  <c r="I859" i="13"/>
  <c r="I858" i="13"/>
  <c r="I857" i="13"/>
  <c r="I856" i="13"/>
  <c r="I855" i="13"/>
  <c r="I854" i="13"/>
  <c r="I853" i="13"/>
  <c r="I852" i="13"/>
  <c r="I851" i="13"/>
  <c r="I850" i="13"/>
  <c r="I849" i="13"/>
  <c r="I848" i="13"/>
  <c r="I847" i="13"/>
  <c r="I846" i="13"/>
  <c r="I845" i="13"/>
  <c r="I844" i="13"/>
  <c r="I843" i="13"/>
  <c r="I842" i="13"/>
  <c r="I841" i="13"/>
  <c r="I840" i="13"/>
  <c r="I839" i="13"/>
  <c r="I838" i="13"/>
  <c r="I837" i="13"/>
  <c r="I836" i="13"/>
  <c r="I835" i="13"/>
  <c r="I834" i="13"/>
  <c r="I833" i="13"/>
  <c r="I832" i="13"/>
  <c r="I831" i="13"/>
  <c r="I830" i="13"/>
  <c r="I829" i="13"/>
  <c r="I828" i="13"/>
  <c r="I827" i="13"/>
  <c r="I826" i="13"/>
  <c r="I825" i="13"/>
  <c r="I824" i="13"/>
  <c r="I823" i="13"/>
  <c r="I822" i="13"/>
  <c r="I821" i="13"/>
  <c r="I820" i="13"/>
  <c r="I819" i="13"/>
  <c r="I818" i="13"/>
  <c r="I817" i="13"/>
  <c r="I816" i="13"/>
  <c r="I815" i="13"/>
  <c r="I814" i="13"/>
  <c r="I813" i="13"/>
  <c r="I812" i="13"/>
  <c r="I811" i="13"/>
  <c r="I810" i="13"/>
  <c r="I809" i="13"/>
  <c r="I808" i="13"/>
  <c r="I807" i="13"/>
  <c r="I806" i="13"/>
  <c r="I805" i="13"/>
  <c r="I804" i="13"/>
  <c r="I803" i="13"/>
  <c r="I802" i="13"/>
  <c r="I801" i="13"/>
  <c r="I800" i="13"/>
  <c r="I799" i="13"/>
  <c r="I798" i="13"/>
  <c r="I797" i="13"/>
  <c r="I796" i="13"/>
  <c r="I795" i="13"/>
  <c r="I794" i="13"/>
  <c r="I793" i="13"/>
  <c r="I792" i="13"/>
  <c r="I791" i="13"/>
  <c r="I790" i="13"/>
  <c r="I789" i="13"/>
  <c r="I788" i="13"/>
  <c r="I787" i="13"/>
  <c r="I786" i="13"/>
  <c r="I785" i="13"/>
  <c r="I784" i="13"/>
  <c r="I783" i="13"/>
  <c r="I782" i="13"/>
  <c r="I781" i="13"/>
  <c r="I780" i="13"/>
  <c r="I779" i="13"/>
  <c r="I778" i="13"/>
  <c r="I777" i="13"/>
  <c r="I776" i="13"/>
  <c r="I775" i="13"/>
  <c r="I774" i="13"/>
  <c r="I773" i="13"/>
  <c r="I772" i="13"/>
  <c r="I771" i="13"/>
  <c r="I770" i="13"/>
  <c r="I769" i="13"/>
  <c r="I768" i="13"/>
  <c r="I767" i="13"/>
  <c r="I766" i="13"/>
  <c r="I765" i="13"/>
  <c r="I764" i="13"/>
  <c r="I763" i="13"/>
  <c r="I762" i="13"/>
  <c r="I761" i="13"/>
  <c r="I760" i="13"/>
  <c r="I759" i="13"/>
  <c r="I758" i="13"/>
  <c r="I757" i="13"/>
  <c r="I756" i="13"/>
  <c r="I755" i="13"/>
  <c r="I754" i="13"/>
  <c r="I753" i="13"/>
  <c r="I752" i="13"/>
  <c r="I751" i="13"/>
  <c r="I750" i="13"/>
  <c r="I749" i="13"/>
  <c r="I748" i="13"/>
  <c r="I747" i="13"/>
  <c r="I746" i="13"/>
  <c r="I745" i="13"/>
  <c r="I744" i="13"/>
  <c r="I743" i="13"/>
  <c r="I742" i="13"/>
  <c r="I741" i="13"/>
  <c r="I740" i="13"/>
  <c r="I739" i="13"/>
  <c r="I738" i="13"/>
  <c r="I737" i="13"/>
  <c r="I736" i="13"/>
  <c r="I735" i="13"/>
  <c r="I734" i="13"/>
  <c r="I733" i="13"/>
  <c r="I732" i="13"/>
  <c r="I731" i="13"/>
  <c r="I730" i="13"/>
  <c r="I729" i="13"/>
  <c r="I728" i="13"/>
  <c r="I727" i="13"/>
  <c r="I726" i="13"/>
  <c r="I725" i="13"/>
  <c r="I724" i="13"/>
  <c r="I723" i="13"/>
  <c r="I722" i="13"/>
  <c r="I721" i="13"/>
  <c r="I720" i="13"/>
  <c r="I719" i="13"/>
  <c r="I718" i="13"/>
  <c r="I717" i="13"/>
  <c r="I716" i="13"/>
  <c r="I715" i="13"/>
  <c r="I714" i="13"/>
  <c r="I713" i="13"/>
  <c r="I712" i="13"/>
  <c r="I711" i="13"/>
  <c r="I710" i="13"/>
  <c r="I709" i="13"/>
  <c r="I708" i="13"/>
  <c r="I707" i="13"/>
  <c r="I706" i="13"/>
  <c r="I705" i="13"/>
  <c r="I704" i="13"/>
  <c r="I703" i="13"/>
  <c r="I702" i="13"/>
  <c r="I701" i="13"/>
  <c r="I700" i="13"/>
  <c r="I699" i="13"/>
  <c r="I698" i="13"/>
  <c r="I697" i="13"/>
  <c r="I696" i="13"/>
  <c r="I695" i="13"/>
  <c r="I694" i="13"/>
  <c r="I693" i="13"/>
  <c r="I692" i="13"/>
  <c r="I691" i="13"/>
  <c r="I690" i="13"/>
  <c r="I689" i="13"/>
  <c r="I688" i="13"/>
  <c r="I687" i="13"/>
  <c r="I686" i="13"/>
  <c r="I685" i="13"/>
  <c r="I684" i="13"/>
  <c r="I683" i="13"/>
  <c r="I682" i="13"/>
  <c r="I681" i="13"/>
  <c r="I680" i="13"/>
  <c r="I679" i="13"/>
  <c r="I678" i="13"/>
  <c r="I677" i="13"/>
  <c r="I676" i="13"/>
  <c r="I675" i="13"/>
  <c r="I674" i="13"/>
  <c r="I673" i="13"/>
  <c r="I672" i="13"/>
  <c r="I671" i="13"/>
  <c r="I670" i="13"/>
  <c r="I669" i="13"/>
  <c r="I668" i="13"/>
  <c r="I667" i="13"/>
  <c r="I666" i="13"/>
  <c r="I665" i="13"/>
  <c r="I664" i="13"/>
  <c r="I663" i="13"/>
  <c r="I662" i="13"/>
  <c r="I661" i="13"/>
  <c r="I660" i="13"/>
  <c r="I659" i="13"/>
  <c r="I658" i="13"/>
  <c r="I657" i="13"/>
  <c r="I656" i="13"/>
  <c r="I655" i="13"/>
  <c r="I654" i="13"/>
  <c r="I653" i="13"/>
  <c r="I652" i="13"/>
  <c r="I651" i="13"/>
  <c r="I650" i="13"/>
  <c r="I649" i="13"/>
  <c r="I648" i="13"/>
  <c r="I647" i="13"/>
  <c r="I646" i="13"/>
  <c r="I645" i="13"/>
  <c r="I644" i="13"/>
  <c r="I643" i="13"/>
  <c r="I642" i="13"/>
  <c r="I641" i="13"/>
  <c r="I640" i="13"/>
  <c r="I639" i="13"/>
  <c r="I638" i="13"/>
  <c r="I637" i="13"/>
  <c r="I636" i="13"/>
  <c r="I635" i="13"/>
  <c r="I634" i="13"/>
  <c r="I633" i="13"/>
  <c r="I632" i="13"/>
  <c r="I631" i="13"/>
  <c r="I630" i="13"/>
  <c r="I629" i="13"/>
  <c r="I628" i="13"/>
  <c r="I627" i="13"/>
  <c r="I626" i="13"/>
  <c r="I625" i="13"/>
  <c r="I624" i="13"/>
  <c r="I623" i="13"/>
  <c r="I622" i="13"/>
  <c r="I621" i="13"/>
  <c r="I620" i="13"/>
  <c r="I619" i="13"/>
  <c r="I618" i="13"/>
  <c r="I617" i="13"/>
  <c r="I616" i="13"/>
  <c r="I615" i="13"/>
  <c r="I614" i="13"/>
  <c r="I613" i="13"/>
  <c r="I612" i="13"/>
  <c r="I611" i="13"/>
  <c r="I610" i="13"/>
  <c r="I609" i="13"/>
  <c r="I608" i="13"/>
  <c r="I607" i="13"/>
  <c r="I606" i="13"/>
  <c r="I605" i="13"/>
  <c r="I604" i="13"/>
  <c r="I603" i="13"/>
  <c r="I602" i="13"/>
  <c r="I601" i="13"/>
  <c r="I600" i="13"/>
  <c r="I599" i="13"/>
  <c r="I598" i="13"/>
  <c r="I597" i="13"/>
  <c r="I596" i="13"/>
  <c r="I595" i="13"/>
  <c r="I594" i="13"/>
  <c r="I593" i="13"/>
  <c r="I592" i="13"/>
  <c r="I591" i="13"/>
  <c r="I590" i="13"/>
  <c r="I589" i="13"/>
  <c r="I588" i="13"/>
  <c r="I587" i="13"/>
  <c r="I586" i="13"/>
  <c r="I585" i="13"/>
  <c r="I584" i="13"/>
  <c r="I583" i="13"/>
  <c r="I582" i="13"/>
  <c r="I581" i="13"/>
  <c r="I580" i="13"/>
  <c r="I579" i="13"/>
  <c r="I578" i="13"/>
  <c r="I577" i="13"/>
  <c r="I576" i="13"/>
  <c r="I575" i="13"/>
  <c r="I574" i="13"/>
  <c r="I573" i="13"/>
  <c r="I572" i="13"/>
  <c r="I571" i="13"/>
  <c r="I570" i="13"/>
  <c r="I569" i="13"/>
  <c r="I568" i="13"/>
  <c r="I567" i="13"/>
  <c r="I566" i="13"/>
  <c r="I565" i="13"/>
  <c r="I564" i="13"/>
  <c r="I563" i="13"/>
  <c r="I562" i="13"/>
  <c r="I561" i="13"/>
  <c r="I560" i="13"/>
  <c r="I559" i="13"/>
  <c r="I558" i="13"/>
  <c r="I557" i="13"/>
  <c r="I556" i="13"/>
  <c r="I555" i="13"/>
  <c r="I554" i="13"/>
  <c r="I553" i="13"/>
  <c r="I552" i="13"/>
  <c r="I551" i="13"/>
  <c r="I550" i="13"/>
  <c r="I549" i="13"/>
  <c r="I548" i="13"/>
  <c r="I547" i="13"/>
  <c r="I546" i="13"/>
  <c r="I545" i="13"/>
  <c r="I544" i="13"/>
  <c r="I543" i="13"/>
  <c r="I542" i="13"/>
  <c r="I541" i="13"/>
  <c r="I540" i="13"/>
  <c r="I539" i="13"/>
  <c r="I538" i="13"/>
  <c r="I537" i="13"/>
  <c r="I536" i="13"/>
  <c r="I535" i="13"/>
  <c r="I534" i="13"/>
  <c r="I533" i="13"/>
  <c r="I532" i="13"/>
  <c r="I531" i="13"/>
  <c r="I530" i="13"/>
  <c r="I529" i="13"/>
  <c r="I528" i="13"/>
  <c r="I527" i="13"/>
  <c r="I526" i="13"/>
  <c r="I525" i="13"/>
  <c r="I524" i="13"/>
  <c r="I523" i="13"/>
  <c r="I522" i="13"/>
  <c r="I521" i="13"/>
  <c r="I520" i="13"/>
  <c r="I519" i="13"/>
  <c r="I518" i="13"/>
  <c r="I517" i="13"/>
  <c r="I516" i="13"/>
  <c r="I515" i="13"/>
  <c r="I514" i="13"/>
  <c r="I513" i="13"/>
  <c r="I512" i="13"/>
  <c r="I511" i="13"/>
  <c r="I510" i="13"/>
  <c r="I509" i="13"/>
  <c r="I508" i="13"/>
  <c r="I507" i="13"/>
  <c r="I506" i="13"/>
  <c r="I505" i="13"/>
  <c r="I504" i="13"/>
  <c r="I503" i="13"/>
  <c r="I502" i="13"/>
  <c r="I501" i="13"/>
  <c r="I500" i="13"/>
  <c r="I499" i="13"/>
  <c r="I498" i="13"/>
  <c r="I497" i="13"/>
  <c r="I496" i="13"/>
  <c r="I495" i="13"/>
  <c r="I494" i="13"/>
  <c r="I493" i="13"/>
  <c r="I492" i="13"/>
  <c r="I491" i="13"/>
  <c r="I490" i="13"/>
  <c r="I489" i="13"/>
  <c r="I488" i="13"/>
  <c r="I487" i="13"/>
  <c r="I486" i="13"/>
  <c r="I485" i="13"/>
  <c r="I484" i="13"/>
  <c r="I483" i="13"/>
  <c r="I482" i="13"/>
  <c r="I481" i="13"/>
  <c r="I480" i="13"/>
  <c r="I479" i="13"/>
  <c r="I478" i="13"/>
  <c r="I477" i="13"/>
  <c r="I476" i="13"/>
  <c r="I475" i="13"/>
  <c r="I474" i="13"/>
  <c r="I473" i="13"/>
  <c r="I472" i="13"/>
  <c r="I471" i="13"/>
  <c r="I470" i="13"/>
  <c r="I469" i="13"/>
  <c r="I468" i="13"/>
  <c r="I467" i="13"/>
  <c r="I466" i="13"/>
  <c r="I465" i="13"/>
  <c r="I464" i="13"/>
  <c r="I463" i="13"/>
  <c r="I462" i="13"/>
  <c r="I461" i="13"/>
  <c r="I460" i="13"/>
  <c r="I459" i="13"/>
  <c r="I458" i="13"/>
  <c r="I457" i="13"/>
  <c r="I456" i="13"/>
  <c r="I455" i="13"/>
  <c r="I454" i="13"/>
  <c r="I453" i="13"/>
  <c r="I452" i="13"/>
  <c r="I451" i="13"/>
  <c r="I450" i="13"/>
  <c r="I449" i="13"/>
  <c r="I448" i="13"/>
  <c r="I447" i="13"/>
  <c r="I446" i="13"/>
  <c r="I445" i="13"/>
  <c r="I444" i="13"/>
  <c r="I443" i="13"/>
  <c r="I442" i="13"/>
  <c r="I441" i="13"/>
  <c r="I440" i="13"/>
  <c r="I439" i="13"/>
  <c r="I438" i="13"/>
  <c r="I437" i="13"/>
  <c r="I436" i="13"/>
  <c r="I435" i="13"/>
  <c r="I434" i="13"/>
  <c r="I433" i="13"/>
  <c r="I432" i="13"/>
  <c r="I431" i="13"/>
  <c r="I430" i="13"/>
  <c r="I429" i="13"/>
  <c r="I428" i="13"/>
  <c r="I427" i="13"/>
  <c r="I426" i="13"/>
  <c r="I425" i="13"/>
  <c r="I424" i="13"/>
  <c r="I423" i="13"/>
  <c r="I422" i="13"/>
  <c r="I421" i="13"/>
  <c r="I420" i="13"/>
  <c r="I419" i="13"/>
  <c r="I418" i="13"/>
  <c r="I417" i="13"/>
  <c r="I416" i="13"/>
  <c r="I415" i="13"/>
  <c r="I414" i="13"/>
  <c r="I413" i="13"/>
  <c r="I412" i="13"/>
  <c r="I411" i="13"/>
  <c r="I410" i="13"/>
  <c r="I409" i="13"/>
  <c r="I408" i="13"/>
  <c r="I407" i="13"/>
  <c r="I406" i="13"/>
  <c r="I405" i="13"/>
  <c r="I404" i="13"/>
  <c r="I403" i="13"/>
  <c r="I402" i="13"/>
  <c r="I401" i="13"/>
  <c r="I400" i="13"/>
  <c r="I399" i="13"/>
  <c r="I398" i="13"/>
  <c r="I397" i="13"/>
  <c r="I396" i="13"/>
  <c r="I395" i="13"/>
  <c r="I394" i="13"/>
  <c r="I393" i="13"/>
  <c r="I392" i="13"/>
  <c r="I391" i="13"/>
  <c r="I390" i="13"/>
  <c r="I389" i="13"/>
  <c r="I388" i="13"/>
  <c r="I387" i="13"/>
  <c r="I386" i="13"/>
  <c r="I385" i="13"/>
  <c r="I384" i="13"/>
  <c r="I383" i="13"/>
  <c r="I382" i="13"/>
  <c r="I381" i="13"/>
  <c r="I380" i="13"/>
  <c r="I379" i="13"/>
  <c r="I378" i="13"/>
  <c r="I377" i="13"/>
  <c r="I376" i="13"/>
  <c r="I375" i="13"/>
  <c r="I374" i="13"/>
  <c r="I373" i="13"/>
  <c r="I372" i="13"/>
  <c r="I371" i="13"/>
  <c r="I370" i="13"/>
  <c r="I369" i="13"/>
  <c r="I368" i="13"/>
  <c r="I367" i="13"/>
  <c r="I366" i="13"/>
  <c r="I365" i="13"/>
  <c r="I364" i="13"/>
  <c r="I363" i="13"/>
  <c r="I362" i="13"/>
  <c r="I361" i="13"/>
  <c r="I360" i="13"/>
  <c r="I359" i="13"/>
  <c r="I358" i="13"/>
  <c r="I357" i="13"/>
  <c r="I356" i="13"/>
  <c r="I355" i="13"/>
  <c r="I354" i="13"/>
  <c r="I353" i="13"/>
  <c r="I352" i="13"/>
  <c r="I351" i="13"/>
  <c r="I350" i="13"/>
  <c r="I349" i="13"/>
  <c r="I348" i="13"/>
  <c r="I347" i="13"/>
  <c r="I346" i="13"/>
  <c r="I345" i="13"/>
  <c r="I344" i="13"/>
  <c r="I343" i="13"/>
  <c r="I342" i="13"/>
  <c r="I341" i="13"/>
  <c r="I340" i="13"/>
  <c r="I339" i="13"/>
  <c r="I338" i="13"/>
  <c r="I337" i="13"/>
  <c r="I336" i="13"/>
  <c r="I335" i="13"/>
  <c r="I334" i="13"/>
  <c r="I333" i="13"/>
  <c r="I332" i="13"/>
  <c r="I331" i="13"/>
  <c r="I330" i="13"/>
  <c r="I329" i="13"/>
  <c r="I328" i="13"/>
  <c r="I327" i="13"/>
  <c r="I326" i="13"/>
  <c r="I325" i="13"/>
  <c r="I324" i="13"/>
  <c r="I323" i="13"/>
  <c r="I322" i="13"/>
  <c r="I321" i="13"/>
  <c r="I320" i="13"/>
  <c r="I319" i="13"/>
  <c r="I318" i="13"/>
  <c r="I317" i="13"/>
  <c r="I316" i="13"/>
  <c r="I315" i="13"/>
  <c r="I314" i="13"/>
  <c r="I313" i="13"/>
  <c r="I312" i="13"/>
  <c r="I311" i="13"/>
  <c r="I310" i="13"/>
  <c r="I309" i="13"/>
  <c r="I308" i="13"/>
  <c r="I307" i="13"/>
  <c r="I306" i="13"/>
  <c r="I305" i="13"/>
  <c r="I304" i="13"/>
  <c r="I303" i="13"/>
  <c r="I302" i="13"/>
  <c r="I301" i="13"/>
  <c r="I300" i="13"/>
  <c r="I299" i="13"/>
  <c r="I298" i="13"/>
  <c r="I297" i="13"/>
  <c r="I296" i="13"/>
  <c r="I295" i="13"/>
  <c r="I294" i="13"/>
  <c r="I293" i="13"/>
  <c r="I292" i="13"/>
  <c r="I291" i="13"/>
  <c r="I290" i="13"/>
  <c r="I289" i="13"/>
  <c r="I288" i="13"/>
  <c r="I287" i="13"/>
  <c r="I286" i="13"/>
  <c r="I285" i="13"/>
  <c r="I284" i="13"/>
  <c r="I283" i="13"/>
  <c r="I282" i="13"/>
  <c r="I281" i="13"/>
  <c r="I280" i="13"/>
  <c r="I279" i="13"/>
  <c r="I278" i="13"/>
  <c r="I277" i="13"/>
  <c r="I276" i="13"/>
  <c r="I275" i="13"/>
  <c r="I274" i="13"/>
  <c r="I273" i="13"/>
  <c r="I272" i="13"/>
  <c r="I271" i="13"/>
  <c r="I270" i="13"/>
  <c r="I269" i="13"/>
  <c r="I268" i="13"/>
  <c r="I267" i="13"/>
  <c r="I266" i="13"/>
  <c r="I265" i="13"/>
  <c r="I264" i="13"/>
  <c r="I263" i="13"/>
  <c r="I262" i="13"/>
  <c r="I261" i="13"/>
  <c r="I260" i="13"/>
  <c r="I259" i="13"/>
  <c r="I258" i="13"/>
  <c r="I257" i="13"/>
  <c r="I256" i="13"/>
  <c r="I255" i="13"/>
  <c r="I254" i="13"/>
  <c r="I253" i="13"/>
  <c r="I252" i="13"/>
  <c r="I251" i="13"/>
  <c r="I250" i="13"/>
  <c r="I249" i="13"/>
  <c r="I248" i="13"/>
  <c r="I247" i="13"/>
  <c r="I246" i="13"/>
  <c r="I245" i="13"/>
  <c r="I244" i="13"/>
  <c r="I243" i="13"/>
  <c r="I242" i="13"/>
  <c r="I241" i="13"/>
  <c r="I240" i="13"/>
  <c r="I239" i="13"/>
  <c r="I238" i="13"/>
  <c r="I237" i="13"/>
  <c r="I236" i="13"/>
  <c r="I235" i="13"/>
  <c r="I234" i="13"/>
  <c r="I233" i="13"/>
  <c r="I232" i="13"/>
  <c r="I231" i="13"/>
  <c r="I230" i="13"/>
  <c r="I229" i="13"/>
  <c r="I228" i="13"/>
  <c r="I227" i="13"/>
  <c r="I226" i="13"/>
  <c r="I225" i="13"/>
  <c r="I224" i="13"/>
  <c r="I223" i="13"/>
  <c r="I222" i="13"/>
  <c r="I221" i="13"/>
  <c r="I220" i="13"/>
  <c r="I219" i="13"/>
  <c r="I218" i="13"/>
  <c r="I217" i="13"/>
  <c r="I216" i="13"/>
  <c r="I215" i="13"/>
  <c r="I214" i="13"/>
  <c r="I213" i="13"/>
  <c r="I212" i="13"/>
  <c r="I211" i="13"/>
  <c r="I210" i="13"/>
  <c r="I209" i="13"/>
  <c r="I208" i="13"/>
  <c r="I207" i="13"/>
  <c r="I206" i="13"/>
  <c r="I205" i="13"/>
  <c r="I204" i="13"/>
  <c r="I203" i="13"/>
  <c r="I202" i="13"/>
  <c r="I201" i="13"/>
  <c r="I200" i="13"/>
  <c r="I199" i="13"/>
  <c r="I198" i="13"/>
  <c r="I197" i="13"/>
  <c r="I196" i="13"/>
  <c r="I195" i="13"/>
  <c r="I194" i="13"/>
  <c r="I193" i="13"/>
  <c r="I192" i="13"/>
  <c r="I191" i="13"/>
  <c r="I190" i="13"/>
  <c r="I189" i="13"/>
  <c r="I188" i="13"/>
  <c r="I187" i="13"/>
  <c r="I186" i="13"/>
  <c r="I185" i="13"/>
  <c r="I184" i="13"/>
  <c r="I183" i="13"/>
  <c r="I182" i="13"/>
  <c r="I181" i="13"/>
  <c r="I180" i="13"/>
  <c r="I179" i="13"/>
  <c r="I178" i="13"/>
  <c r="I177" i="13"/>
  <c r="I176" i="13"/>
  <c r="I175" i="13"/>
  <c r="I174" i="13"/>
  <c r="I173" i="13"/>
  <c r="I172" i="13"/>
  <c r="I171" i="13"/>
  <c r="I170" i="13"/>
  <c r="I169" i="13"/>
  <c r="I168" i="13"/>
  <c r="I167" i="13"/>
  <c r="I166" i="13"/>
  <c r="I165" i="13"/>
  <c r="I164" i="13"/>
  <c r="I163" i="13"/>
  <c r="I162" i="13"/>
  <c r="I161" i="13"/>
  <c r="I160" i="13"/>
  <c r="I159" i="13"/>
  <c r="I158" i="13"/>
  <c r="I157" i="13"/>
  <c r="I156" i="13"/>
  <c r="I155" i="13"/>
  <c r="I154" i="13"/>
  <c r="I153" i="13"/>
  <c r="I152" i="13"/>
  <c r="I151" i="13"/>
  <c r="I150" i="13"/>
  <c r="I149" i="13"/>
  <c r="I148" i="13"/>
  <c r="I147" i="13"/>
  <c r="I146" i="13"/>
  <c r="I145" i="13"/>
  <c r="I144" i="13"/>
  <c r="I143" i="13"/>
  <c r="I142" i="13"/>
  <c r="I141" i="13"/>
  <c r="I140" i="13"/>
  <c r="I139" i="13"/>
  <c r="I138" i="13"/>
  <c r="I137" i="13"/>
  <c r="I136" i="13"/>
  <c r="I135" i="13"/>
  <c r="I134" i="13"/>
  <c r="I133" i="13"/>
  <c r="I132" i="13"/>
  <c r="I131" i="13"/>
  <c r="I130" i="13"/>
  <c r="I129" i="13"/>
  <c r="I128" i="13"/>
  <c r="I127" i="13"/>
  <c r="I126" i="13"/>
  <c r="I125" i="13"/>
  <c r="I124" i="13"/>
  <c r="I123" i="13"/>
  <c r="I122" i="13"/>
  <c r="I121" i="13"/>
  <c r="I120" i="13"/>
  <c r="I119" i="13"/>
  <c r="I118" i="13"/>
  <c r="I117" i="13"/>
  <c r="I116" i="13"/>
  <c r="I115" i="13"/>
  <c r="I114" i="13"/>
  <c r="I113" i="13"/>
  <c r="I112" i="13"/>
  <c r="I111" i="13"/>
  <c r="I110" i="13"/>
  <c r="I109" i="13"/>
  <c r="I108" i="13"/>
  <c r="I107" i="13"/>
  <c r="I106" i="13"/>
  <c r="I105" i="13"/>
  <c r="I104" i="13"/>
  <c r="I103" i="13"/>
  <c r="I102" i="13"/>
  <c r="I101" i="13"/>
  <c r="I100" i="13"/>
  <c r="I99" i="13"/>
  <c r="I98" i="13"/>
  <c r="I97" i="13"/>
  <c r="I96" i="13"/>
  <c r="I95" i="13"/>
  <c r="I94" i="13"/>
  <c r="I93" i="13"/>
  <c r="I92" i="13"/>
  <c r="I91" i="13"/>
  <c r="I90" i="13"/>
  <c r="I89" i="13"/>
  <c r="I88" i="13"/>
  <c r="I87" i="13"/>
  <c r="I86" i="13"/>
  <c r="I85" i="13"/>
  <c r="I84" i="13"/>
  <c r="I83" i="13"/>
  <c r="I82" i="13"/>
  <c r="I81" i="13"/>
  <c r="I80" i="13"/>
  <c r="I79" i="13"/>
  <c r="I78" i="13"/>
  <c r="I77" i="13"/>
  <c r="I76" i="13"/>
  <c r="I75" i="13"/>
  <c r="I73" i="13"/>
  <c r="I72" i="13"/>
  <c r="I71" i="13"/>
  <c r="I70" i="13"/>
  <c r="I69" i="13"/>
  <c r="I68" i="13"/>
  <c r="I67" i="13"/>
  <c r="I66" i="13"/>
  <c r="I65" i="13"/>
  <c r="I64" i="13"/>
  <c r="I63" i="13"/>
  <c r="I62" i="13"/>
  <c r="I61" i="13"/>
  <c r="I60" i="13"/>
  <c r="I59" i="13"/>
  <c r="I58" i="13"/>
  <c r="I57" i="13"/>
  <c r="I56" i="13"/>
  <c r="I55" i="13"/>
  <c r="I54" i="13"/>
  <c r="I53" i="13"/>
  <c r="I52" i="13"/>
  <c r="I51" i="13"/>
  <c r="I50" i="13"/>
  <c r="I49" i="13"/>
  <c r="I48" i="13"/>
  <c r="I47" i="13"/>
  <c r="I46" i="13"/>
  <c r="I45" i="13"/>
  <c r="I44" i="13"/>
  <c r="I43" i="13"/>
  <c r="I42" i="13"/>
  <c r="I41" i="13"/>
  <c r="I40" i="13"/>
  <c r="I39" i="13"/>
  <c r="I38" i="13"/>
  <c r="I37" i="13"/>
  <c r="I36" i="13"/>
  <c r="I35" i="13"/>
  <c r="I34" i="13"/>
  <c r="I33" i="13"/>
  <c r="I32" i="13"/>
  <c r="I31" i="13"/>
  <c r="I30" i="13"/>
  <c r="I29" i="13"/>
  <c r="I28" i="13"/>
  <c r="I27" i="13"/>
  <c r="I26" i="13"/>
  <c r="I25" i="13"/>
  <c r="I24" i="13"/>
  <c r="I23" i="13"/>
  <c r="I22" i="13"/>
  <c r="I21" i="13"/>
  <c r="I20" i="13"/>
  <c r="I19" i="13"/>
  <c r="I18" i="13"/>
  <c r="I17" i="13"/>
  <c r="I16" i="13"/>
  <c r="I15" i="13"/>
  <c r="I14" i="13"/>
  <c r="I13" i="13"/>
  <c r="I12" i="13"/>
  <c r="I11" i="13"/>
  <c r="I10" i="13"/>
  <c r="I9" i="13"/>
  <c r="I8" i="13"/>
  <c r="I7" i="13"/>
  <c r="I6" i="13"/>
  <c r="I3" i="13"/>
  <c r="I4" i="13"/>
  <c r="I5" i="13"/>
  <c r="I2" i="13"/>
  <c r="P1301" i="11" l="1"/>
  <c r="P1300" i="11"/>
  <c r="P1299" i="11"/>
  <c r="P1298" i="11"/>
  <c r="P1297" i="11"/>
  <c r="P1296" i="11"/>
  <c r="P1295" i="11"/>
  <c r="P1294" i="11"/>
  <c r="P1293" i="11"/>
  <c r="P1292" i="11"/>
  <c r="P1291" i="11"/>
  <c r="P1290" i="11"/>
  <c r="P1289" i="11"/>
  <c r="P1288" i="11"/>
  <c r="P1287" i="11"/>
  <c r="P1286" i="11"/>
  <c r="P1285" i="11"/>
  <c r="P1284" i="11"/>
  <c r="P1283" i="11"/>
  <c r="P1282" i="11"/>
  <c r="P1281" i="11"/>
  <c r="P1280" i="11"/>
  <c r="P1279" i="11"/>
  <c r="P1278" i="11"/>
  <c r="P1277" i="11"/>
  <c r="P1276" i="11"/>
  <c r="P1275" i="11"/>
  <c r="P1274" i="11"/>
  <c r="P1273" i="11"/>
  <c r="P1272" i="11"/>
  <c r="P1271" i="11"/>
  <c r="P1270" i="11"/>
  <c r="P1269" i="11"/>
  <c r="P1268" i="11"/>
  <c r="P1267" i="11"/>
  <c r="P1266" i="11"/>
  <c r="P1265" i="11"/>
  <c r="P1264" i="11"/>
  <c r="P1263" i="11"/>
  <c r="P1262" i="11"/>
  <c r="P1261" i="11"/>
  <c r="P1260" i="11"/>
  <c r="P1259" i="11"/>
  <c r="P1258" i="11"/>
  <c r="P1257" i="11"/>
  <c r="P1256" i="11"/>
  <c r="P1255" i="11"/>
  <c r="P1254" i="11"/>
  <c r="P1253" i="11"/>
  <c r="P1252" i="11"/>
  <c r="P1251" i="11"/>
  <c r="P1250" i="11"/>
  <c r="P1249" i="11"/>
  <c r="P1248" i="11"/>
  <c r="P1247" i="11"/>
  <c r="P1246" i="11"/>
  <c r="P1245" i="11"/>
  <c r="P1244" i="11"/>
  <c r="P1243" i="11"/>
  <c r="P1242" i="11"/>
  <c r="P1241" i="11"/>
  <c r="P1240" i="11"/>
  <c r="P1239" i="11"/>
  <c r="P1238" i="11"/>
  <c r="P1237" i="11"/>
  <c r="P1236" i="11"/>
  <c r="P1235" i="11"/>
  <c r="P1234" i="11"/>
  <c r="P1233" i="11"/>
  <c r="P1232" i="11"/>
  <c r="P1231" i="11"/>
  <c r="P1230" i="11"/>
  <c r="P1229" i="11"/>
  <c r="P1228" i="11"/>
  <c r="P1227" i="11"/>
  <c r="P1226" i="11"/>
  <c r="P1225" i="11"/>
  <c r="P1224" i="11"/>
  <c r="P1223" i="11"/>
  <c r="P1222" i="11"/>
  <c r="P1221" i="11"/>
  <c r="P1220" i="11"/>
  <c r="P1219" i="11"/>
  <c r="P1218" i="11"/>
  <c r="P1217" i="11"/>
  <c r="P1216" i="11"/>
  <c r="P1215" i="11"/>
  <c r="P1214" i="11"/>
  <c r="P1213" i="11"/>
  <c r="P1212" i="11"/>
  <c r="P1211" i="11"/>
  <c r="P1210" i="11"/>
  <c r="P1209" i="11"/>
  <c r="P1208" i="11"/>
  <c r="P1207" i="11"/>
  <c r="P1206" i="11"/>
  <c r="P1205" i="11"/>
  <c r="P1204" i="11"/>
  <c r="P1203" i="11"/>
  <c r="P1202" i="11"/>
  <c r="P1201" i="11"/>
  <c r="P1200" i="11"/>
  <c r="P1199" i="11"/>
  <c r="P1198" i="11"/>
  <c r="P1197" i="11"/>
  <c r="P1196" i="11"/>
  <c r="P1195" i="11"/>
  <c r="P1194" i="11"/>
  <c r="P1193" i="11"/>
  <c r="P1192" i="11"/>
  <c r="P1191" i="11"/>
  <c r="P1190" i="11"/>
  <c r="P1189" i="11"/>
  <c r="P1188" i="11"/>
  <c r="P1187" i="11"/>
  <c r="P1186" i="11"/>
  <c r="P1185" i="11"/>
  <c r="P1184" i="11"/>
  <c r="P1183" i="11"/>
  <c r="P1182" i="11"/>
  <c r="P1181" i="11"/>
  <c r="P1180" i="11"/>
  <c r="P1179" i="11"/>
  <c r="P1178" i="11"/>
  <c r="P1177" i="11"/>
  <c r="P1176" i="11"/>
  <c r="P1175" i="11"/>
  <c r="P1174" i="11"/>
  <c r="P1173" i="11"/>
  <c r="P1172" i="11"/>
  <c r="P1171" i="11"/>
  <c r="P1170" i="11"/>
  <c r="P1169" i="11"/>
  <c r="P1168" i="11"/>
  <c r="P1167" i="11"/>
  <c r="P1166" i="11"/>
  <c r="P1165" i="11"/>
  <c r="P1164" i="11"/>
  <c r="P1163" i="11"/>
  <c r="P1162" i="11"/>
  <c r="P1161" i="11"/>
  <c r="P1160" i="11"/>
  <c r="P1159" i="11"/>
  <c r="P1158" i="11"/>
  <c r="P1157" i="11"/>
  <c r="P1156" i="11"/>
  <c r="P1155" i="11"/>
  <c r="P1154" i="11"/>
  <c r="P1153" i="11"/>
  <c r="P1152" i="11"/>
  <c r="P1151" i="11"/>
  <c r="P1150" i="11"/>
  <c r="P1149" i="11"/>
  <c r="P1148" i="11"/>
  <c r="P1147" i="11"/>
  <c r="P1146" i="11"/>
  <c r="P1145" i="11"/>
  <c r="P1144" i="11"/>
  <c r="P1143" i="11"/>
  <c r="P1142" i="11"/>
  <c r="P1141" i="11"/>
  <c r="P1140" i="11"/>
  <c r="P1139" i="11"/>
  <c r="P1138" i="11"/>
  <c r="P1137" i="11"/>
  <c r="P1136" i="11"/>
  <c r="P1135" i="11"/>
  <c r="P1134" i="11"/>
  <c r="P1133" i="11"/>
  <c r="P1132" i="11"/>
  <c r="P1131" i="11"/>
  <c r="P1130" i="11"/>
  <c r="P1129" i="11"/>
  <c r="P1128" i="11"/>
  <c r="P1127" i="11"/>
  <c r="P1126" i="11"/>
  <c r="P1125" i="11"/>
  <c r="P1124" i="11"/>
  <c r="P1123" i="11"/>
  <c r="P1122" i="11"/>
  <c r="P1121" i="11"/>
  <c r="P1120" i="11"/>
  <c r="P1119" i="11"/>
  <c r="P1118" i="11"/>
  <c r="P1117" i="11"/>
  <c r="P1116" i="11"/>
  <c r="P1115" i="11"/>
  <c r="P1114" i="11"/>
  <c r="P1113" i="11"/>
  <c r="P1112" i="11"/>
  <c r="P1111" i="11"/>
  <c r="P1110" i="11"/>
  <c r="P1109" i="11"/>
  <c r="P1108" i="11"/>
  <c r="P1107" i="11"/>
  <c r="P1106" i="11"/>
  <c r="P1105" i="11"/>
  <c r="P1104" i="11"/>
  <c r="P1103" i="11"/>
  <c r="P1102" i="11"/>
  <c r="P1101" i="11"/>
  <c r="P1100" i="11"/>
  <c r="P1099" i="11"/>
  <c r="P1098" i="11"/>
  <c r="P1097" i="11"/>
  <c r="P1096" i="11"/>
  <c r="P1095" i="11"/>
  <c r="P1094" i="11"/>
  <c r="P1093" i="11"/>
  <c r="P1092" i="11"/>
  <c r="P1091" i="11"/>
  <c r="P1090" i="11"/>
  <c r="P1089" i="11"/>
  <c r="P1088" i="11"/>
  <c r="P1087" i="11"/>
  <c r="P1086" i="11"/>
  <c r="P1085" i="11"/>
  <c r="P1084" i="11"/>
  <c r="P1083" i="11"/>
  <c r="P1082" i="11"/>
  <c r="P1081" i="11"/>
  <c r="P1080" i="11"/>
  <c r="P1079" i="11"/>
  <c r="P1078" i="11"/>
  <c r="P1077" i="11"/>
  <c r="P1076" i="11"/>
  <c r="P1075" i="11"/>
  <c r="P1074" i="11"/>
  <c r="P1073" i="11"/>
  <c r="P1072" i="11"/>
  <c r="P1071" i="11"/>
  <c r="P1070" i="11"/>
  <c r="P1069" i="11"/>
  <c r="P1068" i="11"/>
  <c r="P1067" i="11"/>
  <c r="P1066" i="11"/>
  <c r="P1065" i="11"/>
  <c r="P1064" i="11"/>
  <c r="P1063" i="11"/>
  <c r="P1062" i="11"/>
  <c r="P1061" i="11"/>
  <c r="P1060" i="11"/>
  <c r="P1059" i="11"/>
  <c r="P1058" i="11"/>
  <c r="P1057" i="11"/>
  <c r="P1056" i="11"/>
  <c r="P1055" i="11"/>
  <c r="P1054" i="11"/>
  <c r="P1053" i="11"/>
  <c r="P1052" i="11"/>
  <c r="P1051" i="11"/>
  <c r="P1050" i="11"/>
  <c r="P1049" i="11"/>
  <c r="P1048" i="11"/>
  <c r="P1047" i="11"/>
  <c r="P1046" i="11"/>
  <c r="P1045" i="11"/>
  <c r="P1044" i="11"/>
  <c r="P1043" i="11"/>
  <c r="P1042" i="11"/>
  <c r="P1041" i="11"/>
  <c r="P1040" i="11"/>
  <c r="P1039" i="11"/>
  <c r="P1038" i="11"/>
  <c r="P1037" i="11"/>
  <c r="P1036" i="11"/>
  <c r="P1035" i="11"/>
  <c r="P1034" i="11"/>
  <c r="P1033" i="11"/>
  <c r="P1032" i="11"/>
  <c r="P1031" i="11"/>
  <c r="P1030" i="11"/>
  <c r="P1029" i="11"/>
  <c r="P1028" i="11"/>
  <c r="P1027" i="11"/>
  <c r="P1026" i="11"/>
  <c r="P1025" i="11"/>
  <c r="P1024" i="11"/>
  <c r="P1023" i="11"/>
  <c r="P1022" i="11"/>
  <c r="P1021" i="11"/>
  <c r="P1020" i="11"/>
  <c r="P1019" i="11"/>
  <c r="P1018" i="11"/>
  <c r="P1017" i="11"/>
  <c r="P1016" i="11"/>
  <c r="P1015" i="11"/>
  <c r="P1014" i="11"/>
  <c r="P1013" i="11"/>
  <c r="P1012" i="11"/>
  <c r="P1011" i="11"/>
  <c r="P1010" i="11"/>
  <c r="P1009" i="11"/>
  <c r="P1008" i="11"/>
  <c r="P1007" i="11"/>
  <c r="P1006" i="11"/>
  <c r="P1005" i="11"/>
  <c r="P1004" i="11"/>
  <c r="P1003" i="11"/>
  <c r="P1002" i="11"/>
  <c r="P1001" i="11"/>
  <c r="P1000" i="11"/>
  <c r="P999" i="11"/>
  <c r="P998" i="11"/>
  <c r="P997" i="11"/>
  <c r="P996" i="11"/>
  <c r="P995" i="11"/>
  <c r="P994" i="11"/>
  <c r="P993" i="11"/>
  <c r="P992" i="11"/>
  <c r="P991" i="11"/>
  <c r="P990" i="11"/>
  <c r="P989" i="11"/>
  <c r="P988" i="11"/>
  <c r="P987" i="11"/>
  <c r="P986" i="11"/>
  <c r="P985" i="11"/>
  <c r="P984" i="11"/>
  <c r="P983" i="11"/>
  <c r="P982" i="11"/>
  <c r="P981" i="11"/>
  <c r="P980" i="11"/>
  <c r="P979" i="11"/>
  <c r="P978" i="11"/>
  <c r="P977" i="11"/>
  <c r="P976" i="11"/>
  <c r="P975" i="11"/>
  <c r="P974" i="11"/>
  <c r="P973" i="11"/>
  <c r="P972" i="11"/>
  <c r="P971" i="11"/>
  <c r="P970" i="11"/>
  <c r="P969" i="11"/>
  <c r="P968" i="11"/>
  <c r="P967" i="11"/>
  <c r="P966" i="11"/>
  <c r="P965" i="11"/>
  <c r="P964" i="11"/>
  <c r="P963" i="11"/>
  <c r="P962" i="11"/>
  <c r="P961" i="11"/>
  <c r="P960" i="11"/>
  <c r="P959" i="11"/>
  <c r="P958" i="11"/>
  <c r="P957" i="11"/>
  <c r="P956" i="11"/>
  <c r="P955" i="11"/>
  <c r="P954" i="11"/>
  <c r="P953" i="11"/>
  <c r="P952" i="11"/>
  <c r="P951" i="11"/>
  <c r="P950" i="11"/>
  <c r="P949" i="11"/>
  <c r="P948" i="11"/>
  <c r="P947" i="11"/>
  <c r="P946" i="11"/>
  <c r="P945" i="11"/>
  <c r="P944" i="11"/>
  <c r="P943" i="11"/>
  <c r="P942" i="11"/>
  <c r="P941" i="11"/>
  <c r="P940" i="11"/>
  <c r="P939" i="11"/>
  <c r="P938" i="11"/>
  <c r="P937" i="11"/>
  <c r="P936" i="11"/>
  <c r="P935" i="11"/>
  <c r="P934" i="11"/>
  <c r="P933" i="11"/>
  <c r="P932" i="11"/>
  <c r="P931" i="11"/>
  <c r="P930" i="11"/>
  <c r="P929" i="11"/>
  <c r="P928" i="11"/>
  <c r="P927" i="11"/>
  <c r="P926" i="11"/>
  <c r="P925" i="11"/>
  <c r="P924" i="11"/>
  <c r="P923" i="11"/>
  <c r="P922" i="11"/>
  <c r="P921" i="11"/>
  <c r="P920" i="11"/>
  <c r="P919" i="11"/>
  <c r="P918" i="11"/>
  <c r="P917" i="11"/>
  <c r="P916" i="11"/>
  <c r="P915" i="11"/>
  <c r="P914" i="11"/>
  <c r="P913" i="11"/>
  <c r="P912" i="11"/>
  <c r="P911" i="11"/>
  <c r="P910" i="11"/>
  <c r="P909" i="11"/>
  <c r="P908" i="11"/>
  <c r="P907" i="11"/>
  <c r="P906" i="11"/>
  <c r="P905" i="11"/>
  <c r="P904" i="11"/>
  <c r="P903" i="11"/>
  <c r="P902" i="11"/>
  <c r="P901" i="11"/>
  <c r="P900" i="11"/>
  <c r="P899" i="11"/>
  <c r="P898" i="11"/>
  <c r="P897" i="11"/>
  <c r="P896" i="11"/>
  <c r="P895" i="11"/>
  <c r="P894" i="11"/>
  <c r="P893" i="11"/>
  <c r="P892" i="11"/>
  <c r="P891" i="11"/>
  <c r="P890" i="11"/>
  <c r="P889" i="11"/>
  <c r="P888" i="11"/>
  <c r="P887" i="11"/>
  <c r="P886" i="11"/>
  <c r="P885" i="11"/>
  <c r="P884" i="11"/>
  <c r="P883" i="11"/>
  <c r="P882" i="11"/>
  <c r="P881" i="11"/>
  <c r="P880" i="11"/>
  <c r="P879" i="11"/>
  <c r="P878" i="11"/>
  <c r="P877" i="11"/>
  <c r="P876" i="11"/>
  <c r="P875" i="11"/>
  <c r="P874" i="11"/>
  <c r="P873" i="11"/>
  <c r="P872" i="11"/>
  <c r="P871" i="11"/>
  <c r="P870" i="11"/>
  <c r="P869" i="11"/>
  <c r="P868" i="11"/>
  <c r="P867" i="11"/>
  <c r="P866" i="11"/>
  <c r="P865" i="11"/>
  <c r="P864" i="11"/>
  <c r="P863" i="11"/>
  <c r="P862" i="11"/>
  <c r="P861" i="11"/>
  <c r="P860" i="11"/>
  <c r="P859" i="11"/>
  <c r="P858" i="11"/>
  <c r="P857" i="11"/>
  <c r="P856" i="11"/>
  <c r="P855" i="11"/>
  <c r="P854" i="11"/>
  <c r="P853" i="11"/>
  <c r="P852" i="11"/>
  <c r="P851" i="11"/>
  <c r="P850" i="11"/>
  <c r="P849" i="11"/>
  <c r="P848" i="11"/>
  <c r="P847" i="11"/>
  <c r="P846" i="11"/>
  <c r="P845" i="11"/>
  <c r="P844" i="11"/>
  <c r="P843" i="11"/>
  <c r="P842" i="11"/>
  <c r="P841" i="11"/>
  <c r="P840" i="11"/>
  <c r="P839" i="11"/>
  <c r="P838" i="11"/>
  <c r="P837" i="11"/>
  <c r="P836" i="11"/>
  <c r="P835" i="11"/>
  <c r="P834" i="11"/>
  <c r="P833" i="11"/>
  <c r="P832" i="11"/>
  <c r="P831" i="11"/>
  <c r="P830" i="11"/>
  <c r="P829" i="11"/>
  <c r="P828" i="11"/>
  <c r="P827" i="11"/>
  <c r="P826" i="11"/>
  <c r="P825" i="11"/>
  <c r="P824" i="11"/>
  <c r="P823" i="11"/>
  <c r="P822" i="11"/>
  <c r="P821" i="11"/>
  <c r="P820" i="11"/>
  <c r="P819" i="11"/>
  <c r="P818" i="11"/>
  <c r="P817" i="11"/>
  <c r="P816" i="11"/>
  <c r="P815" i="11"/>
  <c r="P814" i="11"/>
  <c r="P813" i="11"/>
  <c r="P812" i="11"/>
  <c r="P811" i="11"/>
  <c r="P810" i="11"/>
  <c r="P809" i="11"/>
  <c r="P808" i="11"/>
  <c r="P807" i="11"/>
  <c r="P806" i="11"/>
  <c r="P805" i="11"/>
  <c r="P804" i="11"/>
  <c r="P803" i="11"/>
  <c r="P802" i="11"/>
  <c r="P801" i="11"/>
  <c r="P800" i="11"/>
  <c r="P799" i="11"/>
  <c r="P798" i="11"/>
  <c r="P797" i="11"/>
  <c r="P796" i="11"/>
  <c r="P795" i="11"/>
  <c r="P794" i="11"/>
  <c r="P793" i="11"/>
  <c r="P792" i="11"/>
  <c r="P791" i="11"/>
  <c r="P790" i="11"/>
  <c r="P789" i="11"/>
  <c r="P788" i="11"/>
  <c r="P787" i="11"/>
  <c r="P786" i="11"/>
  <c r="P785" i="11"/>
  <c r="P784" i="11"/>
  <c r="P783" i="11"/>
  <c r="P782" i="11"/>
  <c r="P781" i="11"/>
  <c r="P780" i="11"/>
  <c r="P779" i="11"/>
  <c r="P778" i="11"/>
  <c r="P777" i="11"/>
  <c r="P776" i="11"/>
  <c r="P775" i="11"/>
  <c r="P774" i="11"/>
  <c r="P773" i="11"/>
  <c r="P772" i="11"/>
  <c r="P771" i="11"/>
  <c r="P770" i="11"/>
  <c r="P769" i="11"/>
  <c r="P768" i="11"/>
  <c r="P767" i="11"/>
  <c r="P766" i="11"/>
  <c r="P765" i="11"/>
  <c r="P764" i="11"/>
  <c r="P763" i="11"/>
  <c r="P762" i="11"/>
  <c r="P761" i="11"/>
  <c r="P760" i="11"/>
  <c r="P759" i="11"/>
  <c r="P758" i="11"/>
  <c r="P757" i="11"/>
  <c r="P756" i="11"/>
  <c r="P755" i="11"/>
  <c r="P754" i="11"/>
  <c r="P753" i="11"/>
  <c r="P752" i="11"/>
  <c r="P751" i="11"/>
  <c r="P750" i="11"/>
  <c r="P749" i="11"/>
  <c r="P748" i="11"/>
  <c r="P747" i="11"/>
  <c r="P746" i="11"/>
  <c r="P745" i="11"/>
  <c r="P744" i="11"/>
  <c r="P743" i="11"/>
  <c r="P742" i="11"/>
  <c r="P741" i="11"/>
  <c r="P740" i="11"/>
  <c r="P739" i="11"/>
  <c r="P738" i="11"/>
  <c r="P737" i="11"/>
  <c r="P736" i="11"/>
  <c r="P735" i="11"/>
  <c r="P734" i="11"/>
  <c r="P733" i="11"/>
  <c r="P732" i="11"/>
  <c r="P731" i="11"/>
  <c r="P730" i="11"/>
  <c r="P729" i="11"/>
  <c r="P728" i="11"/>
  <c r="P727" i="11"/>
  <c r="P726" i="11"/>
  <c r="P725" i="11"/>
  <c r="P724" i="11"/>
  <c r="P723" i="11"/>
  <c r="P722" i="11"/>
  <c r="P721" i="11"/>
  <c r="P720" i="11"/>
  <c r="P719" i="11"/>
  <c r="P718" i="11"/>
  <c r="P717" i="11"/>
  <c r="P716" i="11"/>
  <c r="P715" i="11"/>
  <c r="P714" i="11"/>
  <c r="P713" i="11"/>
  <c r="P712" i="11"/>
  <c r="P711" i="11"/>
  <c r="P710" i="11"/>
  <c r="P709" i="11"/>
  <c r="P708" i="11"/>
  <c r="P707" i="11"/>
  <c r="P706" i="11"/>
  <c r="P705" i="11"/>
  <c r="P704" i="11"/>
  <c r="P703" i="11"/>
  <c r="P702" i="11"/>
  <c r="P701" i="11"/>
  <c r="P700" i="11"/>
  <c r="P699" i="11"/>
  <c r="P698" i="11"/>
  <c r="P697" i="11"/>
  <c r="P696" i="11"/>
  <c r="P695" i="11"/>
  <c r="P694" i="11"/>
  <c r="P693" i="11"/>
  <c r="P692" i="11"/>
  <c r="P691" i="11"/>
  <c r="P690" i="11"/>
  <c r="P689" i="11"/>
  <c r="P688" i="11"/>
  <c r="P687" i="11"/>
  <c r="P686" i="11"/>
  <c r="P685" i="11"/>
  <c r="P684" i="11"/>
  <c r="P683" i="11"/>
  <c r="P682" i="11"/>
  <c r="P681" i="11"/>
  <c r="P680" i="11"/>
  <c r="P679" i="11"/>
  <c r="P678" i="11"/>
  <c r="P677" i="11"/>
  <c r="P676" i="11"/>
  <c r="P675" i="11"/>
  <c r="P674" i="11"/>
  <c r="P673" i="11"/>
  <c r="P672" i="11"/>
  <c r="P671" i="11"/>
  <c r="P670" i="11"/>
  <c r="P669" i="11"/>
  <c r="P668" i="11"/>
  <c r="P667" i="11"/>
  <c r="P666" i="11"/>
  <c r="P665" i="11"/>
  <c r="P664" i="11"/>
  <c r="P663" i="11"/>
  <c r="P662" i="11"/>
  <c r="P661" i="11"/>
  <c r="P660" i="11"/>
  <c r="P659" i="11"/>
  <c r="P658" i="11"/>
  <c r="P657" i="11"/>
  <c r="P656" i="11"/>
  <c r="P655" i="11"/>
  <c r="P654" i="11"/>
  <c r="P653" i="11"/>
  <c r="P652" i="11"/>
  <c r="P651" i="11"/>
  <c r="P650" i="11"/>
  <c r="P649" i="11"/>
  <c r="P648" i="11"/>
  <c r="P647" i="11"/>
  <c r="P646" i="11"/>
  <c r="P645" i="11"/>
  <c r="P644" i="11"/>
  <c r="P643" i="11"/>
  <c r="P642" i="11"/>
  <c r="P641" i="11"/>
  <c r="P640" i="11"/>
  <c r="P639" i="11"/>
  <c r="P638" i="11"/>
  <c r="P637" i="11"/>
  <c r="P636" i="11"/>
  <c r="P635" i="11"/>
  <c r="P634" i="11"/>
  <c r="P633" i="11"/>
  <c r="P632" i="11"/>
  <c r="P631" i="11"/>
  <c r="P630" i="11"/>
  <c r="P629" i="11"/>
  <c r="P628" i="11"/>
  <c r="P627" i="11"/>
  <c r="P626" i="11"/>
  <c r="P625" i="11"/>
  <c r="P624" i="11"/>
  <c r="P623" i="11"/>
  <c r="P622" i="11"/>
  <c r="P621" i="11"/>
  <c r="P620" i="11"/>
  <c r="P619" i="11"/>
  <c r="P618" i="11"/>
  <c r="P617" i="11"/>
  <c r="P616" i="11"/>
  <c r="P615" i="11"/>
  <c r="P614" i="11"/>
  <c r="P613" i="11"/>
  <c r="P612" i="11"/>
  <c r="P611" i="11"/>
  <c r="P610" i="11"/>
  <c r="P609" i="11"/>
  <c r="P608" i="11"/>
  <c r="P607" i="11"/>
  <c r="P606" i="11"/>
  <c r="P605" i="11"/>
  <c r="P604" i="11"/>
  <c r="P603" i="11"/>
  <c r="P602" i="11"/>
  <c r="P601" i="11"/>
  <c r="P600" i="11"/>
  <c r="P599" i="11"/>
  <c r="P598" i="11"/>
  <c r="P597" i="11"/>
  <c r="P596" i="11"/>
  <c r="P595" i="11"/>
  <c r="P594" i="11"/>
  <c r="P593" i="11"/>
  <c r="P592" i="11"/>
  <c r="P591" i="11"/>
  <c r="P590" i="11"/>
  <c r="P589" i="11"/>
  <c r="P588" i="11"/>
  <c r="P587" i="11"/>
  <c r="P586" i="11"/>
  <c r="P585" i="11"/>
  <c r="P584" i="11"/>
  <c r="P583" i="11"/>
  <c r="P582" i="11"/>
  <c r="P581" i="11"/>
  <c r="P580" i="11"/>
  <c r="P579" i="11"/>
  <c r="P578" i="11"/>
  <c r="P577" i="11"/>
  <c r="P576" i="11"/>
  <c r="P575" i="11"/>
  <c r="P574" i="11"/>
  <c r="P573" i="11"/>
  <c r="P572" i="11"/>
  <c r="P571" i="11"/>
  <c r="P570" i="11"/>
  <c r="P569" i="11"/>
  <c r="P568" i="11"/>
  <c r="P567" i="11"/>
  <c r="P566" i="11"/>
  <c r="P565" i="11"/>
  <c r="P564" i="11"/>
  <c r="P563" i="11"/>
  <c r="P562" i="11"/>
  <c r="P561" i="11"/>
  <c r="P560" i="11"/>
  <c r="P559" i="11"/>
  <c r="P558" i="11"/>
  <c r="P557" i="11"/>
  <c r="P556" i="11"/>
  <c r="P555" i="11"/>
  <c r="P554" i="11"/>
  <c r="P553" i="11"/>
  <c r="P552" i="11"/>
  <c r="P551" i="11"/>
  <c r="P550" i="11"/>
  <c r="P549" i="11"/>
  <c r="P548" i="11"/>
  <c r="P547" i="11"/>
  <c r="P546" i="11"/>
  <c r="P545" i="11"/>
  <c r="P544" i="11"/>
  <c r="P543" i="11"/>
  <c r="P542" i="11"/>
  <c r="P541" i="11"/>
  <c r="P540" i="11"/>
  <c r="P539" i="11"/>
  <c r="P538" i="11"/>
  <c r="P537" i="11"/>
  <c r="P536" i="11"/>
  <c r="P535" i="11"/>
  <c r="P534" i="11"/>
  <c r="P533" i="11"/>
  <c r="P532" i="11"/>
  <c r="P531" i="11"/>
  <c r="P530" i="11"/>
  <c r="P529" i="11"/>
  <c r="P528" i="11"/>
  <c r="P527" i="11"/>
  <c r="P526" i="11"/>
  <c r="P525" i="11"/>
  <c r="P524" i="11"/>
  <c r="P523" i="11"/>
  <c r="P522" i="11"/>
  <c r="P521" i="11"/>
  <c r="P520" i="11"/>
  <c r="P519" i="11"/>
  <c r="P518" i="11"/>
  <c r="P517" i="11"/>
  <c r="P516" i="11"/>
  <c r="P515" i="11"/>
  <c r="P514" i="11"/>
  <c r="P513" i="11"/>
  <c r="P512" i="11"/>
  <c r="P511" i="11"/>
  <c r="P510" i="11"/>
  <c r="P509" i="11"/>
  <c r="P508" i="11"/>
  <c r="P507" i="11"/>
  <c r="P506" i="11"/>
  <c r="P505" i="11"/>
  <c r="P504" i="11"/>
  <c r="P503" i="11"/>
  <c r="P502" i="11"/>
  <c r="P501" i="11"/>
  <c r="P500" i="11"/>
  <c r="P499" i="11"/>
  <c r="P498" i="11"/>
  <c r="P497" i="11"/>
  <c r="P496" i="11"/>
  <c r="P495" i="11"/>
  <c r="P494" i="11"/>
  <c r="P493" i="11"/>
  <c r="P492" i="11"/>
  <c r="P491" i="11"/>
  <c r="P490" i="11"/>
  <c r="P489" i="11"/>
  <c r="P488" i="11"/>
  <c r="P487" i="11"/>
  <c r="P486" i="11"/>
  <c r="P485" i="11"/>
  <c r="P484" i="11"/>
  <c r="P483" i="11"/>
  <c r="P482" i="11"/>
  <c r="P481" i="11"/>
  <c r="P480" i="11"/>
  <c r="P479" i="11"/>
  <c r="P478" i="11"/>
  <c r="P477" i="11"/>
  <c r="P476" i="11"/>
  <c r="P475" i="11"/>
  <c r="P474" i="11"/>
  <c r="P473" i="11"/>
  <c r="P472" i="11"/>
  <c r="P471" i="11"/>
  <c r="P470" i="11"/>
  <c r="P469" i="11"/>
  <c r="P468" i="11"/>
  <c r="P467" i="11"/>
  <c r="P466" i="11"/>
  <c r="P465" i="11"/>
  <c r="P464" i="11"/>
  <c r="P463" i="11"/>
  <c r="P462" i="11"/>
  <c r="P461" i="11"/>
  <c r="P460" i="11"/>
  <c r="P459" i="11"/>
  <c r="P458" i="11"/>
  <c r="P457" i="11"/>
  <c r="P456" i="11"/>
  <c r="P455" i="11"/>
  <c r="P454" i="11"/>
  <c r="P453" i="11"/>
  <c r="P452" i="11"/>
  <c r="P451" i="11"/>
  <c r="P450" i="11"/>
  <c r="P449" i="11"/>
  <c r="P448" i="11"/>
  <c r="P447" i="11"/>
  <c r="P446" i="11"/>
  <c r="P445" i="11"/>
  <c r="P444" i="11"/>
  <c r="P443" i="11"/>
  <c r="P442" i="11"/>
  <c r="P441" i="11"/>
  <c r="P440" i="11"/>
  <c r="P439" i="11"/>
  <c r="P438" i="11"/>
  <c r="P437" i="11"/>
  <c r="P436" i="11"/>
  <c r="P435" i="11"/>
  <c r="P434" i="11"/>
  <c r="P433" i="11"/>
  <c r="P432" i="11"/>
  <c r="P431" i="11"/>
  <c r="P430" i="11"/>
  <c r="P429" i="11"/>
  <c r="P428" i="11"/>
  <c r="P427" i="11"/>
  <c r="P426" i="11"/>
  <c r="P425" i="11"/>
  <c r="P424" i="11"/>
  <c r="P423" i="11"/>
  <c r="P422" i="11"/>
  <c r="P421" i="11"/>
  <c r="P420" i="11"/>
  <c r="P419" i="11"/>
  <c r="P418" i="11"/>
  <c r="P417" i="11"/>
  <c r="P416" i="11"/>
  <c r="P415" i="11"/>
  <c r="P414" i="11"/>
  <c r="P413" i="11"/>
  <c r="P412" i="11"/>
  <c r="P411" i="11"/>
  <c r="P410" i="11"/>
  <c r="P409" i="11"/>
  <c r="P408" i="11"/>
  <c r="P407" i="11"/>
  <c r="P406" i="11"/>
  <c r="P405" i="11"/>
  <c r="P404" i="11"/>
  <c r="P403" i="11"/>
  <c r="P402" i="11"/>
  <c r="P401" i="11"/>
  <c r="P400" i="11"/>
  <c r="P399" i="11"/>
  <c r="P398" i="11"/>
  <c r="P397" i="11"/>
  <c r="P396" i="11"/>
  <c r="P395" i="11"/>
  <c r="P394" i="11"/>
  <c r="P393" i="11"/>
  <c r="P392" i="11"/>
  <c r="P391" i="11"/>
  <c r="P390" i="11"/>
  <c r="P389" i="11"/>
  <c r="P388" i="11"/>
  <c r="P387" i="11"/>
  <c r="P386" i="11"/>
  <c r="P385" i="11"/>
  <c r="P384" i="11"/>
  <c r="P383" i="11"/>
  <c r="P382" i="11"/>
  <c r="P381" i="11"/>
  <c r="P380" i="11"/>
  <c r="P379" i="11"/>
  <c r="P378" i="11"/>
  <c r="P377" i="11"/>
  <c r="P376" i="11"/>
  <c r="P375" i="11"/>
  <c r="P374" i="11"/>
  <c r="P373" i="11"/>
  <c r="P372" i="11"/>
  <c r="P371" i="11"/>
  <c r="P370" i="11"/>
  <c r="P369" i="11"/>
  <c r="P368" i="11"/>
  <c r="P367" i="11"/>
  <c r="P366" i="11"/>
  <c r="P365" i="11"/>
  <c r="P364" i="11"/>
  <c r="P363" i="11"/>
  <c r="P362" i="11"/>
  <c r="P361" i="11"/>
  <c r="P360" i="11"/>
  <c r="P359" i="11"/>
  <c r="P358" i="11"/>
  <c r="P357" i="11"/>
  <c r="P356" i="11"/>
  <c r="P355" i="11"/>
  <c r="P354" i="11"/>
  <c r="P353" i="11"/>
  <c r="P352" i="11"/>
  <c r="P351" i="11"/>
  <c r="P350" i="11"/>
  <c r="P349" i="11"/>
  <c r="P348" i="11"/>
  <c r="P347" i="11"/>
  <c r="P346" i="11"/>
  <c r="P345" i="11"/>
  <c r="P344" i="11"/>
  <c r="P343" i="11"/>
  <c r="P342" i="11"/>
  <c r="P341" i="11"/>
  <c r="P340" i="11"/>
  <c r="P339" i="11"/>
  <c r="P338" i="11"/>
  <c r="P337" i="11"/>
  <c r="P336" i="11"/>
  <c r="P335" i="11"/>
  <c r="P334" i="11"/>
  <c r="P333" i="11"/>
  <c r="P332" i="11"/>
  <c r="P331" i="11"/>
  <c r="P330" i="11"/>
  <c r="P329" i="11"/>
  <c r="P328" i="11"/>
  <c r="P327" i="11"/>
  <c r="P326" i="11"/>
  <c r="P325" i="11"/>
  <c r="P324" i="11"/>
  <c r="P323" i="11"/>
  <c r="P322" i="11"/>
  <c r="P321" i="11"/>
  <c r="P320" i="11"/>
  <c r="P319" i="11"/>
  <c r="P318" i="11"/>
  <c r="P317" i="11"/>
  <c r="P316" i="11"/>
  <c r="P315" i="11"/>
  <c r="P314" i="11"/>
  <c r="P313" i="11"/>
  <c r="P312" i="11"/>
  <c r="P311" i="11"/>
  <c r="P310" i="11"/>
  <c r="P309" i="11"/>
  <c r="P308" i="11"/>
  <c r="P307" i="11"/>
  <c r="P306" i="11"/>
  <c r="P305" i="11"/>
  <c r="P304" i="11"/>
  <c r="P303" i="11"/>
  <c r="P302" i="11"/>
  <c r="P301" i="11"/>
  <c r="P300" i="11"/>
  <c r="P299" i="11"/>
  <c r="P298" i="11"/>
  <c r="P297" i="11"/>
  <c r="P296" i="11"/>
  <c r="P295" i="11"/>
  <c r="P294" i="11"/>
  <c r="P293" i="11"/>
  <c r="P292" i="11"/>
  <c r="P291" i="11"/>
  <c r="P290" i="11"/>
  <c r="P289" i="11"/>
  <c r="P288" i="11"/>
  <c r="P287" i="11"/>
  <c r="P286" i="11"/>
  <c r="P285" i="11"/>
  <c r="P284" i="11"/>
  <c r="P283" i="11"/>
  <c r="P282" i="11"/>
  <c r="P281" i="11"/>
  <c r="P280" i="11"/>
  <c r="P279" i="11"/>
  <c r="P278" i="11"/>
  <c r="P277" i="11"/>
  <c r="P276" i="11"/>
  <c r="P275" i="11"/>
  <c r="P274" i="11"/>
  <c r="P273" i="11"/>
  <c r="P272" i="11"/>
  <c r="P271" i="11"/>
  <c r="P270" i="11"/>
  <c r="P269" i="11"/>
  <c r="P268" i="11"/>
  <c r="P267" i="11"/>
  <c r="P266" i="11"/>
  <c r="P265" i="11"/>
  <c r="P264" i="11"/>
  <c r="P263" i="11"/>
  <c r="P262" i="11"/>
  <c r="P261" i="11"/>
  <c r="P260" i="11"/>
  <c r="P259" i="11"/>
  <c r="P258" i="11"/>
  <c r="P257" i="11"/>
  <c r="P256" i="11"/>
  <c r="P255" i="11"/>
  <c r="P254" i="11"/>
  <c r="P253" i="11"/>
  <c r="P252" i="11"/>
  <c r="P251" i="11"/>
  <c r="P250" i="11"/>
  <c r="P249" i="11"/>
  <c r="P248" i="11"/>
  <c r="P247" i="11"/>
  <c r="P246" i="11"/>
  <c r="P245" i="11"/>
  <c r="P244" i="11"/>
  <c r="P243" i="11"/>
  <c r="P242" i="11"/>
  <c r="P241" i="11"/>
  <c r="P240" i="11"/>
  <c r="P239" i="11"/>
  <c r="P238" i="11"/>
  <c r="P237" i="11"/>
  <c r="P236" i="11"/>
  <c r="P235" i="11"/>
  <c r="P234" i="11"/>
  <c r="P233" i="11"/>
  <c r="P232" i="11"/>
  <c r="P231" i="11"/>
  <c r="P230" i="11"/>
  <c r="P229" i="11"/>
  <c r="P228" i="11"/>
  <c r="P227" i="11"/>
  <c r="P226" i="11"/>
  <c r="P225" i="11"/>
  <c r="P224" i="11"/>
  <c r="P223" i="11"/>
  <c r="P222" i="11"/>
  <c r="P221" i="11"/>
  <c r="P220" i="11"/>
  <c r="P219" i="11"/>
  <c r="P218" i="11"/>
  <c r="P217" i="11"/>
  <c r="P216" i="11"/>
  <c r="P215" i="11"/>
  <c r="P214" i="11"/>
  <c r="P213" i="11"/>
  <c r="P212" i="11"/>
  <c r="P211" i="11"/>
  <c r="P210" i="11"/>
  <c r="P209" i="11"/>
  <c r="P208" i="11"/>
  <c r="P207" i="11"/>
  <c r="P206" i="11"/>
  <c r="P205" i="11"/>
  <c r="P204" i="11"/>
  <c r="P203" i="11"/>
  <c r="P202" i="11"/>
  <c r="P201" i="11"/>
  <c r="P200" i="11"/>
  <c r="P199" i="11"/>
  <c r="P198" i="11"/>
  <c r="P197" i="11"/>
  <c r="P196" i="11"/>
  <c r="P195" i="11"/>
  <c r="P194" i="11"/>
  <c r="P193" i="11"/>
  <c r="P192" i="11"/>
  <c r="P191" i="11"/>
  <c r="P190" i="11"/>
  <c r="P189" i="11"/>
  <c r="P188" i="11"/>
  <c r="P187" i="11"/>
  <c r="P186" i="11"/>
  <c r="P185" i="11"/>
  <c r="P184" i="11"/>
  <c r="P183" i="11"/>
  <c r="P182" i="11"/>
  <c r="P181" i="11"/>
  <c r="P180" i="11"/>
  <c r="P179" i="11"/>
  <c r="P178" i="11"/>
  <c r="P177" i="11"/>
  <c r="P176" i="11"/>
  <c r="P175" i="11"/>
  <c r="P174" i="11"/>
  <c r="P173" i="11"/>
  <c r="P172" i="11"/>
  <c r="P171" i="11"/>
  <c r="P170" i="11"/>
  <c r="P169" i="11"/>
  <c r="P168" i="11"/>
  <c r="P167" i="11"/>
  <c r="P166" i="11"/>
  <c r="P165" i="11"/>
  <c r="P164" i="11"/>
  <c r="P163" i="11"/>
  <c r="P162" i="11"/>
  <c r="P161" i="11"/>
  <c r="P160" i="11"/>
  <c r="P159" i="11"/>
  <c r="P158" i="11"/>
  <c r="P157" i="11"/>
  <c r="P156" i="11"/>
  <c r="P155" i="11"/>
  <c r="P154" i="11"/>
  <c r="P153" i="11"/>
  <c r="P152" i="11"/>
  <c r="P151" i="11"/>
  <c r="P150" i="11"/>
  <c r="P149" i="11"/>
  <c r="P148" i="11"/>
  <c r="P147" i="11"/>
  <c r="P146" i="11"/>
  <c r="P145" i="11"/>
  <c r="P144" i="11"/>
  <c r="P143" i="11"/>
  <c r="P142" i="11"/>
  <c r="P141" i="11"/>
  <c r="P140" i="11"/>
  <c r="P139" i="11"/>
  <c r="P138" i="11"/>
  <c r="P137" i="11"/>
  <c r="P136" i="11"/>
  <c r="P135" i="11"/>
  <c r="P134" i="11"/>
  <c r="P133" i="11"/>
  <c r="P132" i="11"/>
  <c r="P131" i="11"/>
  <c r="P130" i="11"/>
  <c r="P129" i="11"/>
  <c r="P128" i="11"/>
  <c r="P127" i="11"/>
  <c r="P126" i="11"/>
  <c r="P125" i="11"/>
  <c r="P124" i="11"/>
  <c r="P123" i="11"/>
  <c r="P122" i="11"/>
  <c r="P121" i="11"/>
  <c r="P120" i="11"/>
  <c r="P119" i="11"/>
  <c r="P118" i="11"/>
  <c r="P117" i="11"/>
  <c r="P116" i="11"/>
  <c r="P115" i="11"/>
  <c r="P114" i="11"/>
  <c r="P113" i="11"/>
  <c r="P112" i="11"/>
  <c r="P111" i="11"/>
  <c r="P110" i="11"/>
  <c r="P109" i="11"/>
  <c r="P108" i="11"/>
  <c r="P107" i="11"/>
  <c r="P106" i="11"/>
  <c r="P105" i="11"/>
  <c r="P104" i="11"/>
  <c r="P103" i="11"/>
  <c r="P102" i="11"/>
  <c r="P101" i="11"/>
  <c r="P100" i="11"/>
  <c r="P99" i="11"/>
  <c r="P98" i="11"/>
  <c r="P97" i="11"/>
  <c r="P96" i="11"/>
  <c r="P95" i="11"/>
  <c r="P94" i="11"/>
  <c r="P93" i="11"/>
  <c r="P92" i="11"/>
  <c r="P91" i="11"/>
  <c r="P90" i="11"/>
  <c r="P89" i="11"/>
  <c r="P88" i="11"/>
  <c r="P87" i="11"/>
  <c r="P86" i="11"/>
  <c r="P85" i="11"/>
  <c r="P84" i="11"/>
  <c r="P83" i="11"/>
  <c r="P82" i="11"/>
  <c r="P81" i="11"/>
  <c r="P80" i="11"/>
  <c r="P79" i="11"/>
  <c r="P78" i="11"/>
  <c r="P77" i="11"/>
  <c r="P76" i="11"/>
  <c r="P75" i="11"/>
  <c r="P74" i="11"/>
  <c r="P73" i="11"/>
  <c r="P72" i="11"/>
  <c r="P71" i="11"/>
  <c r="P70" i="11"/>
  <c r="P69" i="11"/>
  <c r="P68" i="11"/>
  <c r="P67" i="11"/>
  <c r="P66" i="11"/>
  <c r="P65" i="11"/>
  <c r="P64" i="11"/>
  <c r="P63" i="11"/>
  <c r="P62" i="11"/>
  <c r="P61" i="11"/>
  <c r="P60" i="11"/>
  <c r="P59" i="11"/>
  <c r="P58" i="11"/>
  <c r="P57" i="11"/>
  <c r="P56" i="11"/>
  <c r="P55" i="11"/>
  <c r="P54" i="11"/>
  <c r="P53" i="11"/>
  <c r="P52" i="11"/>
  <c r="P51" i="11"/>
  <c r="P50" i="11"/>
  <c r="P49" i="11"/>
  <c r="P48" i="11"/>
  <c r="P47" i="11"/>
  <c r="P46" i="11"/>
  <c r="P45" i="11"/>
  <c r="P44" i="11"/>
  <c r="P43" i="11"/>
  <c r="P42" i="11"/>
  <c r="P41" i="11"/>
  <c r="P40" i="11"/>
  <c r="P39" i="11"/>
  <c r="P38" i="11"/>
  <c r="P37" i="11"/>
  <c r="P36" i="11"/>
  <c r="P35" i="11"/>
  <c r="P34" i="11"/>
  <c r="P33" i="11"/>
  <c r="P32" i="11"/>
  <c r="P31" i="11"/>
  <c r="P30" i="11"/>
  <c r="P29" i="11"/>
  <c r="P28" i="11"/>
  <c r="P27" i="11"/>
  <c r="P26" i="11"/>
  <c r="P25" i="11"/>
  <c r="P24" i="11"/>
  <c r="P23" i="11"/>
  <c r="P22" i="11"/>
  <c r="P21" i="11"/>
  <c r="P20" i="11"/>
  <c r="P19" i="11"/>
  <c r="P18" i="11"/>
  <c r="P17" i="11"/>
  <c r="P16" i="11"/>
  <c r="P15" i="11"/>
  <c r="P14" i="11"/>
  <c r="P13" i="11"/>
  <c r="P12" i="11"/>
  <c r="P11" i="11"/>
  <c r="P10" i="11"/>
  <c r="P9" i="11"/>
  <c r="P8" i="11"/>
  <c r="P7" i="11"/>
  <c r="P6" i="11"/>
  <c r="P5" i="11"/>
  <c r="P3" i="11"/>
  <c r="P4" i="11"/>
  <c r="P2" i="11"/>
  <c r="I1301" i="11"/>
  <c r="I1300" i="11"/>
  <c r="I1299" i="11"/>
  <c r="I1298" i="11"/>
  <c r="I1297" i="11"/>
  <c r="I1296" i="11"/>
  <c r="I1295" i="11"/>
  <c r="I1294" i="11"/>
  <c r="I1293" i="11"/>
  <c r="I1292" i="11"/>
  <c r="I1291" i="11"/>
  <c r="I1290" i="11"/>
  <c r="I1289" i="11"/>
  <c r="I1288" i="11"/>
  <c r="I1287" i="11"/>
  <c r="I1286" i="11"/>
  <c r="I1285" i="11"/>
  <c r="I1284" i="11"/>
  <c r="I1283" i="11"/>
  <c r="I1282" i="11"/>
  <c r="I1281" i="11"/>
  <c r="I1280" i="11"/>
  <c r="I1279" i="11"/>
  <c r="I1278" i="11"/>
  <c r="I1277" i="11"/>
  <c r="I1276" i="11"/>
  <c r="I1275" i="11"/>
  <c r="I1274" i="11"/>
  <c r="I1273" i="11"/>
  <c r="I1272" i="11"/>
  <c r="I1271" i="11"/>
  <c r="I1270" i="11"/>
  <c r="I1269" i="11"/>
  <c r="I1268" i="11"/>
  <c r="I1267" i="11"/>
  <c r="I1266" i="11"/>
  <c r="I1265" i="11"/>
  <c r="I1264" i="11"/>
  <c r="I1263" i="11"/>
  <c r="I1262" i="11"/>
  <c r="I1261" i="11"/>
  <c r="I1260" i="11"/>
  <c r="I1259" i="11"/>
  <c r="I1258" i="11"/>
  <c r="I1257" i="11"/>
  <c r="I1256" i="11"/>
  <c r="I1255" i="11"/>
  <c r="I1254" i="11"/>
  <c r="I1253" i="11"/>
  <c r="I1252" i="11"/>
  <c r="I1251" i="11"/>
  <c r="I1250" i="11"/>
  <c r="I1249" i="11"/>
  <c r="I1248" i="11"/>
  <c r="I1247" i="11"/>
  <c r="I1246" i="11"/>
  <c r="I1245" i="11"/>
  <c r="I1244" i="11"/>
  <c r="I1243" i="11"/>
  <c r="I1242" i="11"/>
  <c r="I1241" i="11"/>
  <c r="I1240" i="11"/>
  <c r="I1239" i="11"/>
  <c r="I1238" i="11"/>
  <c r="I1237" i="11"/>
  <c r="I1236" i="11"/>
  <c r="I1235" i="11"/>
  <c r="I1234" i="11"/>
  <c r="I1233" i="11"/>
  <c r="I1232" i="11"/>
  <c r="I1231" i="11"/>
  <c r="I1230" i="11"/>
  <c r="I1229" i="11"/>
  <c r="I1228" i="11"/>
  <c r="I1227" i="11"/>
  <c r="I1226" i="11"/>
  <c r="I1225" i="11"/>
  <c r="I1224" i="11"/>
  <c r="I1223" i="11"/>
  <c r="I1222" i="11"/>
  <c r="I1221" i="11"/>
  <c r="I1220" i="11"/>
  <c r="I1219" i="11"/>
  <c r="I1218" i="11"/>
  <c r="I1217" i="11"/>
  <c r="I1216" i="11"/>
  <c r="I1215" i="11"/>
  <c r="I1214" i="11"/>
  <c r="I1213" i="11"/>
  <c r="I1212" i="11"/>
  <c r="I1211" i="11"/>
  <c r="I1210" i="11"/>
  <c r="I1209" i="11"/>
  <c r="I1208" i="11"/>
  <c r="I1207" i="11"/>
  <c r="I1206" i="11"/>
  <c r="I1205" i="11"/>
  <c r="I1204" i="11"/>
  <c r="I1203" i="11"/>
  <c r="I1202" i="11"/>
  <c r="I1201" i="11"/>
  <c r="I1200" i="11"/>
  <c r="I1199" i="11"/>
  <c r="I1198" i="11"/>
  <c r="I1197" i="11"/>
  <c r="I1196" i="11"/>
  <c r="I1195" i="11"/>
  <c r="I1194" i="11"/>
  <c r="I1193" i="11"/>
  <c r="I1192" i="11"/>
  <c r="I1191" i="11"/>
  <c r="I1190" i="11"/>
  <c r="I1189" i="11"/>
  <c r="I1188" i="11"/>
  <c r="I1187" i="11"/>
  <c r="I1186" i="11"/>
  <c r="I1185" i="11"/>
  <c r="I1184" i="11"/>
  <c r="I1183" i="11"/>
  <c r="I1182" i="11"/>
  <c r="I1181" i="11"/>
  <c r="I1180" i="11"/>
  <c r="I1179" i="11"/>
  <c r="I1178" i="11"/>
  <c r="I1177" i="11"/>
  <c r="I1176" i="11"/>
  <c r="I1175" i="11"/>
  <c r="I1174" i="11"/>
  <c r="I1173" i="11"/>
  <c r="I1172" i="11"/>
  <c r="I1171" i="11"/>
  <c r="I1170" i="11"/>
  <c r="I1169" i="11"/>
  <c r="I1168" i="11"/>
  <c r="I1167" i="11"/>
  <c r="I1166" i="11"/>
  <c r="I1165" i="11"/>
  <c r="I1164" i="11"/>
  <c r="I1163" i="11"/>
  <c r="I1162" i="11"/>
  <c r="I1161" i="11"/>
  <c r="I1160" i="11"/>
  <c r="I1159" i="11"/>
  <c r="I1158" i="11"/>
  <c r="I1157" i="11"/>
  <c r="I1156" i="11"/>
  <c r="I1155" i="11"/>
  <c r="I1154" i="11"/>
  <c r="I1153" i="11"/>
  <c r="I1152" i="11"/>
  <c r="I1151" i="11"/>
  <c r="I1150" i="11"/>
  <c r="I1149" i="11"/>
  <c r="I1148" i="11"/>
  <c r="I1147" i="11"/>
  <c r="I1146" i="11"/>
  <c r="I1145" i="11"/>
  <c r="I1144" i="11"/>
  <c r="I1143" i="11"/>
  <c r="I1142" i="11"/>
  <c r="I1141" i="11"/>
  <c r="I1140" i="11"/>
  <c r="I1139" i="11"/>
  <c r="I1138" i="11"/>
  <c r="I1137" i="11"/>
  <c r="I1136" i="11"/>
  <c r="I1135" i="11"/>
  <c r="I1134" i="11"/>
  <c r="I1133" i="11"/>
  <c r="I1132" i="11"/>
  <c r="I1131" i="11"/>
  <c r="I1130" i="11"/>
  <c r="I1129" i="11"/>
  <c r="I1128" i="11"/>
  <c r="I1127" i="11"/>
  <c r="I1126" i="11"/>
  <c r="I1125" i="11"/>
  <c r="I1124" i="11"/>
  <c r="I1123" i="11"/>
  <c r="I1122" i="11"/>
  <c r="I1121" i="11"/>
  <c r="I1120" i="11"/>
  <c r="I1119" i="11"/>
  <c r="I1118" i="11"/>
  <c r="I1117" i="11"/>
  <c r="I1116" i="11"/>
  <c r="I1115" i="11"/>
  <c r="I1114" i="11"/>
  <c r="I1113" i="11"/>
  <c r="I1112" i="11"/>
  <c r="I1111" i="11"/>
  <c r="I1110" i="11"/>
  <c r="I1109" i="11"/>
  <c r="I1108" i="11"/>
  <c r="I1107" i="11"/>
  <c r="I1106" i="11"/>
  <c r="I1105" i="11"/>
  <c r="I1104" i="11"/>
  <c r="I1103" i="11"/>
  <c r="I1102" i="11"/>
  <c r="I1101" i="11"/>
  <c r="I1100" i="11"/>
  <c r="I1099" i="11"/>
  <c r="I1098" i="11"/>
  <c r="I1097" i="11"/>
  <c r="I1096" i="11"/>
  <c r="I1095" i="11"/>
  <c r="I1094" i="11"/>
  <c r="I1093" i="11"/>
  <c r="I1092" i="11"/>
  <c r="I1091" i="11"/>
  <c r="I1090" i="11"/>
  <c r="I1089" i="11"/>
  <c r="I1088" i="11"/>
  <c r="I1087" i="11"/>
  <c r="I1086" i="11"/>
  <c r="I1085" i="11"/>
  <c r="I1084" i="11"/>
  <c r="I1083" i="11"/>
  <c r="I1082" i="11"/>
  <c r="I1081" i="11"/>
  <c r="I1080" i="11"/>
  <c r="I1079" i="11"/>
  <c r="I1078" i="11"/>
  <c r="I1077" i="11"/>
  <c r="I1076" i="11"/>
  <c r="I1075" i="11"/>
  <c r="I1074" i="11"/>
  <c r="I1073" i="11"/>
  <c r="I1072" i="11"/>
  <c r="I1071" i="11"/>
  <c r="I1070" i="11"/>
  <c r="I1069" i="11"/>
  <c r="I1068" i="11"/>
  <c r="I1067" i="11"/>
  <c r="I1066" i="11"/>
  <c r="I1065" i="11"/>
  <c r="I1064" i="11"/>
  <c r="I1063" i="11"/>
  <c r="I1062" i="11"/>
  <c r="I1061" i="11"/>
  <c r="I1060" i="11"/>
  <c r="I1059" i="11"/>
  <c r="I1058" i="11"/>
  <c r="I1057" i="11"/>
  <c r="I1056" i="11"/>
  <c r="I1055" i="11"/>
  <c r="I1054" i="11"/>
  <c r="I1053" i="11"/>
  <c r="I1052" i="11"/>
  <c r="I1051" i="11"/>
  <c r="I1050" i="11"/>
  <c r="I1049" i="11"/>
  <c r="I1048" i="11"/>
  <c r="I1047" i="11"/>
  <c r="I1046" i="11"/>
  <c r="I1045" i="11"/>
  <c r="I1044" i="11"/>
  <c r="I1043" i="11"/>
  <c r="I1042" i="11"/>
  <c r="I1041" i="11"/>
  <c r="I1040" i="11"/>
  <c r="I1039" i="11"/>
  <c r="I1038" i="11"/>
  <c r="I1037" i="11"/>
  <c r="I1036" i="11"/>
  <c r="I1035" i="11"/>
  <c r="I1034" i="11"/>
  <c r="I1033" i="11"/>
  <c r="I1032" i="11"/>
  <c r="I1031" i="11"/>
  <c r="I1030" i="11"/>
  <c r="I1029" i="11"/>
  <c r="I1028" i="11"/>
  <c r="I1027" i="11"/>
  <c r="I1026" i="11"/>
  <c r="I1025" i="11"/>
  <c r="I1024" i="11"/>
  <c r="I1023" i="11"/>
  <c r="I1022" i="11"/>
  <c r="I1021" i="11"/>
  <c r="I1020" i="11"/>
  <c r="I1019" i="11"/>
  <c r="I1018" i="11"/>
  <c r="I1017" i="11"/>
  <c r="I1016" i="11"/>
  <c r="I1015" i="11"/>
  <c r="I1014" i="11"/>
  <c r="I1013" i="11"/>
  <c r="I1012" i="11"/>
  <c r="I1011" i="11"/>
  <c r="I1010" i="11"/>
  <c r="I1009" i="11"/>
  <c r="I1008" i="11"/>
  <c r="I1007" i="11"/>
  <c r="I1006" i="11"/>
  <c r="I1005" i="11"/>
  <c r="I1004" i="11"/>
  <c r="I1003" i="11"/>
  <c r="I1002" i="11"/>
  <c r="I1001" i="11"/>
  <c r="I1000" i="11"/>
  <c r="I999" i="11"/>
  <c r="I998" i="11"/>
  <c r="I997" i="11"/>
  <c r="I996" i="11"/>
  <c r="I995" i="11"/>
  <c r="I994" i="11"/>
  <c r="I993" i="11"/>
  <c r="I992" i="11"/>
  <c r="I991" i="11"/>
  <c r="I990" i="11"/>
  <c r="I989" i="11"/>
  <c r="I988" i="11"/>
  <c r="I987" i="11"/>
  <c r="I986" i="11"/>
  <c r="I985" i="11"/>
  <c r="I984" i="11"/>
  <c r="I983" i="11"/>
  <c r="I982" i="11"/>
  <c r="I981" i="11"/>
  <c r="I980" i="11"/>
  <c r="I979" i="11"/>
  <c r="I978" i="11"/>
  <c r="I977" i="11"/>
  <c r="I976" i="11"/>
  <c r="I975" i="11"/>
  <c r="I974" i="11"/>
  <c r="I973" i="11"/>
  <c r="I972" i="11"/>
  <c r="I971" i="11"/>
  <c r="I970" i="11"/>
  <c r="I969" i="11"/>
  <c r="I968" i="11"/>
  <c r="I967" i="11"/>
  <c r="I966" i="11"/>
  <c r="I965" i="11"/>
  <c r="I964" i="11"/>
  <c r="I963" i="11"/>
  <c r="I962" i="11"/>
  <c r="I961" i="11"/>
  <c r="I960" i="11"/>
  <c r="I959" i="11"/>
  <c r="I958" i="11"/>
  <c r="I957" i="11"/>
  <c r="I956" i="11"/>
  <c r="I955" i="11"/>
  <c r="I954" i="11"/>
  <c r="I953" i="11"/>
  <c r="I952" i="11"/>
  <c r="I951" i="11"/>
  <c r="I950" i="11"/>
  <c r="I949" i="11"/>
  <c r="I948" i="11"/>
  <c r="I947" i="11"/>
  <c r="I946" i="11"/>
  <c r="I945" i="11"/>
  <c r="I944" i="11"/>
  <c r="I943" i="11"/>
  <c r="I942" i="11"/>
  <c r="I941" i="11"/>
  <c r="I940" i="11"/>
  <c r="I939" i="11"/>
  <c r="I938" i="11"/>
  <c r="I937" i="11"/>
  <c r="I936" i="11"/>
  <c r="I935" i="11"/>
  <c r="I934" i="11"/>
  <c r="I933" i="11"/>
  <c r="I932" i="11"/>
  <c r="I931" i="11"/>
  <c r="I930" i="11"/>
  <c r="I929" i="11"/>
  <c r="I928" i="11"/>
  <c r="I927" i="11"/>
  <c r="I926" i="11"/>
  <c r="I925" i="11"/>
  <c r="I924" i="11"/>
  <c r="I923" i="11"/>
  <c r="I922" i="11"/>
  <c r="I921" i="11"/>
  <c r="I920" i="11"/>
  <c r="I919" i="11"/>
  <c r="I918" i="11"/>
  <c r="I917" i="11"/>
  <c r="I916" i="11"/>
  <c r="I915" i="11"/>
  <c r="I914" i="11"/>
  <c r="I913" i="11"/>
  <c r="I912" i="11"/>
  <c r="I911" i="11"/>
  <c r="I910" i="11"/>
  <c r="I909" i="11"/>
  <c r="I908" i="11"/>
  <c r="I907" i="11"/>
  <c r="I906" i="11"/>
  <c r="I905" i="11"/>
  <c r="I904" i="11"/>
  <c r="I903" i="11"/>
  <c r="I902" i="11"/>
  <c r="I901" i="11"/>
  <c r="I900" i="11"/>
  <c r="I899" i="11"/>
  <c r="I898" i="11"/>
  <c r="I897" i="11"/>
  <c r="I896" i="11"/>
  <c r="I895" i="11"/>
  <c r="I894" i="11"/>
  <c r="I893" i="11"/>
  <c r="I892" i="11"/>
  <c r="I891" i="11"/>
  <c r="I890" i="11"/>
  <c r="I889" i="11"/>
  <c r="I888" i="11"/>
  <c r="I887" i="11"/>
  <c r="I886" i="11"/>
  <c r="I885" i="11"/>
  <c r="I884" i="11"/>
  <c r="I883" i="11"/>
  <c r="I882" i="11"/>
  <c r="I881" i="11"/>
  <c r="I880" i="11"/>
  <c r="I879" i="11"/>
  <c r="I878" i="11"/>
  <c r="I877" i="11"/>
  <c r="I876" i="11"/>
  <c r="I875" i="11"/>
  <c r="I874" i="11"/>
  <c r="I873" i="11"/>
  <c r="I872" i="11"/>
  <c r="I871" i="11"/>
  <c r="I870" i="11"/>
  <c r="I869" i="11"/>
  <c r="I868" i="11"/>
  <c r="I867" i="11"/>
  <c r="I866" i="11"/>
  <c r="I865" i="11"/>
  <c r="I864" i="11"/>
  <c r="I863" i="11"/>
  <c r="I862" i="11"/>
  <c r="I861" i="11"/>
  <c r="I860" i="11"/>
  <c r="I859" i="11"/>
  <c r="I858" i="11"/>
  <c r="I857" i="11"/>
  <c r="I856" i="11"/>
  <c r="I855" i="11"/>
  <c r="I854" i="11"/>
  <c r="I853" i="11"/>
  <c r="I852" i="11"/>
  <c r="I851" i="11"/>
  <c r="I850" i="11"/>
  <c r="I849" i="11"/>
  <c r="I848" i="11"/>
  <c r="I847" i="11"/>
  <c r="I846" i="11"/>
  <c r="I845" i="11"/>
  <c r="I844" i="11"/>
  <c r="I843" i="11"/>
  <c r="I842" i="11"/>
  <c r="I841" i="11"/>
  <c r="I840" i="11"/>
  <c r="I839" i="11"/>
  <c r="I838" i="11"/>
  <c r="I837" i="11"/>
  <c r="I836" i="11"/>
  <c r="I835" i="11"/>
  <c r="I834" i="11"/>
  <c r="I833" i="11"/>
  <c r="I832" i="11"/>
  <c r="I831" i="11"/>
  <c r="I830" i="11"/>
  <c r="I829" i="11"/>
  <c r="I828" i="11"/>
  <c r="I827" i="11"/>
  <c r="I826" i="11"/>
  <c r="I825" i="11"/>
  <c r="I824" i="11"/>
  <c r="I823" i="11"/>
  <c r="I822" i="11"/>
  <c r="I821" i="11"/>
  <c r="I820" i="11"/>
  <c r="I819" i="11"/>
  <c r="I818" i="11"/>
  <c r="I817" i="11"/>
  <c r="I816" i="11"/>
  <c r="I815" i="11"/>
  <c r="I814" i="11"/>
  <c r="I813" i="11"/>
  <c r="I812" i="11"/>
  <c r="I811" i="11"/>
  <c r="I810" i="11"/>
  <c r="I809" i="11"/>
  <c r="I808" i="11"/>
  <c r="I807" i="11"/>
  <c r="I806" i="11"/>
  <c r="I805" i="11"/>
  <c r="I804" i="11"/>
  <c r="I803" i="11"/>
  <c r="I802" i="11"/>
  <c r="I801" i="11"/>
  <c r="I800" i="11"/>
  <c r="I799" i="11"/>
  <c r="I798" i="11"/>
  <c r="I797" i="11"/>
  <c r="I796" i="11"/>
  <c r="I795" i="11"/>
  <c r="I794" i="11"/>
  <c r="I793" i="11"/>
  <c r="I792" i="11"/>
  <c r="I791" i="11"/>
  <c r="I790" i="11"/>
  <c r="I789" i="11"/>
  <c r="I788" i="11"/>
  <c r="I787" i="11"/>
  <c r="I786" i="11"/>
  <c r="I785" i="11"/>
  <c r="I784" i="11"/>
  <c r="I783" i="11"/>
  <c r="I782" i="11"/>
  <c r="I781" i="11"/>
  <c r="I780" i="11"/>
  <c r="I779" i="11"/>
  <c r="I778" i="11"/>
  <c r="I777" i="11"/>
  <c r="I776" i="11"/>
  <c r="I775" i="11"/>
  <c r="I774" i="11"/>
  <c r="I773" i="11"/>
  <c r="I772" i="11"/>
  <c r="I771" i="11"/>
  <c r="I770" i="11"/>
  <c r="I769" i="11"/>
  <c r="I768" i="11"/>
  <c r="I767" i="11"/>
  <c r="I766" i="11"/>
  <c r="I765" i="11"/>
  <c r="I764" i="11"/>
  <c r="I763" i="11"/>
  <c r="I762" i="11"/>
  <c r="I761" i="11"/>
  <c r="I760" i="11"/>
  <c r="I759" i="11"/>
  <c r="I758" i="11"/>
  <c r="I757" i="11"/>
  <c r="I756" i="11"/>
  <c r="I755" i="11"/>
  <c r="I754" i="11"/>
  <c r="I753" i="11"/>
  <c r="I752" i="11"/>
  <c r="I751" i="11"/>
  <c r="I750" i="11"/>
  <c r="I749" i="11"/>
  <c r="I748" i="11"/>
  <c r="I747" i="11"/>
  <c r="I746" i="11"/>
  <c r="I745" i="11"/>
  <c r="I744" i="11"/>
  <c r="I743" i="11"/>
  <c r="I742" i="11"/>
  <c r="I741" i="11"/>
  <c r="I740" i="11"/>
  <c r="I739" i="11"/>
  <c r="I738" i="11"/>
  <c r="I737" i="11"/>
  <c r="I736" i="11"/>
  <c r="I735" i="11"/>
  <c r="I734" i="11"/>
  <c r="I733" i="11"/>
  <c r="I732" i="11"/>
  <c r="I731" i="11"/>
  <c r="I730" i="11"/>
  <c r="I729" i="11"/>
  <c r="I728" i="11"/>
  <c r="I727" i="11"/>
  <c r="I726" i="11"/>
  <c r="I725" i="11"/>
  <c r="I724" i="11"/>
  <c r="I723" i="11"/>
  <c r="I722" i="11"/>
  <c r="I721" i="11"/>
  <c r="I720" i="11"/>
  <c r="I719" i="11"/>
  <c r="I718" i="11"/>
  <c r="I717" i="11"/>
  <c r="I716" i="11"/>
  <c r="I715" i="11"/>
  <c r="I714" i="11"/>
  <c r="I713" i="11"/>
  <c r="I712" i="11"/>
  <c r="I711" i="11"/>
  <c r="I710" i="11"/>
  <c r="I709" i="11"/>
  <c r="I708" i="11"/>
  <c r="I707" i="11"/>
  <c r="I706" i="11"/>
  <c r="I705" i="11"/>
  <c r="I704" i="11"/>
  <c r="I703" i="11"/>
  <c r="I702" i="11"/>
  <c r="I701" i="11"/>
  <c r="I700" i="11"/>
  <c r="I699" i="11"/>
  <c r="I698" i="11"/>
  <c r="I697" i="11"/>
  <c r="I696" i="11"/>
  <c r="I695" i="11"/>
  <c r="I694" i="11"/>
  <c r="I693" i="11"/>
  <c r="I692" i="11"/>
  <c r="I691" i="11"/>
  <c r="I690" i="11"/>
  <c r="I689" i="11"/>
  <c r="I688" i="11"/>
  <c r="I687" i="11"/>
  <c r="I686" i="11"/>
  <c r="I685" i="11"/>
  <c r="I684" i="11"/>
  <c r="I683" i="11"/>
  <c r="I682" i="11"/>
  <c r="I681" i="11"/>
  <c r="I680" i="11"/>
  <c r="I679" i="11"/>
  <c r="I678" i="11"/>
  <c r="I677" i="11"/>
  <c r="I676" i="11"/>
  <c r="I675" i="11"/>
  <c r="I674" i="11"/>
  <c r="I673" i="11"/>
  <c r="I672" i="11"/>
  <c r="I671" i="11"/>
  <c r="I670" i="11"/>
  <c r="I669" i="11"/>
  <c r="I668" i="11"/>
  <c r="I667" i="11"/>
  <c r="I666" i="11"/>
  <c r="I665" i="11"/>
  <c r="I664" i="11"/>
  <c r="I663" i="11"/>
  <c r="I662" i="11"/>
  <c r="I661" i="11"/>
  <c r="I660" i="11"/>
  <c r="I659" i="11"/>
  <c r="I658" i="11"/>
  <c r="I657" i="11"/>
  <c r="I656" i="11"/>
  <c r="I655" i="11"/>
  <c r="I654" i="11"/>
  <c r="I653" i="11"/>
  <c r="I652" i="11"/>
  <c r="I651" i="11"/>
  <c r="I650" i="11"/>
  <c r="I649" i="11"/>
  <c r="I648" i="11"/>
  <c r="I647" i="11"/>
  <c r="I646" i="11"/>
  <c r="I645" i="11"/>
  <c r="I644" i="11"/>
  <c r="I643" i="11"/>
  <c r="I642" i="11"/>
  <c r="I641" i="11"/>
  <c r="I640" i="11"/>
  <c r="I639" i="11"/>
  <c r="I638" i="11"/>
  <c r="I637" i="11"/>
  <c r="I636" i="11"/>
  <c r="I635" i="11"/>
  <c r="I634" i="11"/>
  <c r="I633" i="11"/>
  <c r="I632" i="11"/>
  <c r="I631" i="11"/>
  <c r="I630" i="11"/>
  <c r="I629" i="11"/>
  <c r="I628" i="11"/>
  <c r="I627" i="11"/>
  <c r="I626" i="11"/>
  <c r="I625" i="11"/>
  <c r="I624" i="11"/>
  <c r="I623" i="11"/>
  <c r="I622" i="11"/>
  <c r="I621" i="11"/>
  <c r="I620" i="11"/>
  <c r="I619" i="11"/>
  <c r="I618" i="11"/>
  <c r="I617" i="11"/>
  <c r="I616" i="11"/>
  <c r="I615" i="11"/>
  <c r="I614" i="11"/>
  <c r="I613" i="11"/>
  <c r="I612" i="11"/>
  <c r="I611" i="11"/>
  <c r="I610" i="11"/>
  <c r="I609" i="11"/>
  <c r="I608" i="11"/>
  <c r="I607" i="11"/>
  <c r="I606" i="11"/>
  <c r="I605" i="11"/>
  <c r="I604" i="11"/>
  <c r="I603" i="11"/>
  <c r="I602" i="11"/>
  <c r="I601" i="11"/>
  <c r="I600" i="11"/>
  <c r="I599" i="11"/>
  <c r="I598" i="11"/>
  <c r="I597" i="11"/>
  <c r="I596" i="11"/>
  <c r="I595" i="11"/>
  <c r="I594" i="11"/>
  <c r="I593" i="11"/>
  <c r="I592" i="11"/>
  <c r="I591" i="11"/>
  <c r="I590" i="11"/>
  <c r="I589" i="11"/>
  <c r="I588" i="11"/>
  <c r="I587" i="11"/>
  <c r="I586" i="11"/>
  <c r="I585" i="11"/>
  <c r="I584" i="11"/>
  <c r="I583" i="11"/>
  <c r="I582" i="11"/>
  <c r="I581" i="11"/>
  <c r="I580" i="11"/>
  <c r="I579" i="11"/>
  <c r="I578" i="11"/>
  <c r="I577" i="11"/>
  <c r="I576" i="11"/>
  <c r="I575" i="11"/>
  <c r="I574" i="11"/>
  <c r="I573" i="11"/>
  <c r="I572" i="11"/>
  <c r="I571" i="11"/>
  <c r="I570" i="11"/>
  <c r="I569" i="11"/>
  <c r="I568" i="11"/>
  <c r="I567" i="11"/>
  <c r="I566" i="11"/>
  <c r="I565" i="11"/>
  <c r="I564" i="11"/>
  <c r="I563" i="11"/>
  <c r="I562" i="11"/>
  <c r="I561" i="11"/>
  <c r="I560" i="11"/>
  <c r="I559" i="11"/>
  <c r="I558" i="11"/>
  <c r="I557" i="11"/>
  <c r="I556" i="11"/>
  <c r="I555" i="11"/>
  <c r="I554" i="11"/>
  <c r="I553" i="11"/>
  <c r="I552" i="11"/>
  <c r="I551" i="11"/>
  <c r="I550" i="11"/>
  <c r="I549" i="11"/>
  <c r="I548" i="11"/>
  <c r="I547" i="11"/>
  <c r="I546" i="11"/>
  <c r="I545" i="11"/>
  <c r="I544" i="11"/>
  <c r="I543" i="11"/>
  <c r="I542" i="11"/>
  <c r="I541" i="11"/>
  <c r="I540" i="11"/>
  <c r="I539" i="11"/>
  <c r="I538" i="11"/>
  <c r="I537" i="11"/>
  <c r="I536" i="11"/>
  <c r="I535" i="11"/>
  <c r="I534" i="11"/>
  <c r="I533" i="11"/>
  <c r="I532" i="11"/>
  <c r="I531" i="11"/>
  <c r="I530" i="11"/>
  <c r="I529" i="11"/>
  <c r="I528" i="11"/>
  <c r="I527" i="11"/>
  <c r="I526" i="11"/>
  <c r="I525" i="11"/>
  <c r="I524" i="11"/>
  <c r="I523" i="11"/>
  <c r="I522" i="11"/>
  <c r="I521" i="11"/>
  <c r="I520" i="11"/>
  <c r="I519" i="11"/>
  <c r="I518" i="11"/>
  <c r="I517" i="11"/>
  <c r="I516" i="11"/>
  <c r="I515" i="11"/>
  <c r="I514" i="11"/>
  <c r="I513" i="11"/>
  <c r="I512" i="11"/>
  <c r="I511" i="11"/>
  <c r="I510" i="11"/>
  <c r="I509" i="11"/>
  <c r="I508" i="11"/>
  <c r="I507" i="11"/>
  <c r="I506" i="11"/>
  <c r="I505" i="11"/>
  <c r="I504" i="11"/>
  <c r="I503" i="11"/>
  <c r="I502" i="11"/>
  <c r="I501" i="11"/>
  <c r="I500" i="11"/>
  <c r="I499" i="11"/>
  <c r="I498" i="11"/>
  <c r="I497" i="11"/>
  <c r="I496" i="11"/>
  <c r="I495" i="11"/>
  <c r="I494" i="11"/>
  <c r="I493" i="11"/>
  <c r="I492" i="11"/>
  <c r="I491" i="11"/>
  <c r="I490" i="11"/>
  <c r="I489" i="11"/>
  <c r="I488" i="11"/>
  <c r="I487" i="11"/>
  <c r="I486" i="11"/>
  <c r="I485" i="11"/>
  <c r="I484" i="11"/>
  <c r="I483" i="11"/>
  <c r="I482" i="11"/>
  <c r="I481" i="11"/>
  <c r="I480" i="11"/>
  <c r="I479" i="11"/>
  <c r="I478" i="11"/>
  <c r="I477" i="11"/>
  <c r="I476" i="11"/>
  <c r="I475" i="11"/>
  <c r="I474" i="11"/>
  <c r="I473" i="11"/>
  <c r="I472" i="11"/>
  <c r="I471" i="11"/>
  <c r="I470" i="11"/>
  <c r="I469" i="11"/>
  <c r="I468" i="11"/>
  <c r="I467" i="11"/>
  <c r="I466" i="11"/>
  <c r="I465" i="11"/>
  <c r="I464" i="11"/>
  <c r="I463" i="11"/>
  <c r="I462" i="11"/>
  <c r="I461" i="11"/>
  <c r="I460" i="11"/>
  <c r="I459" i="11"/>
  <c r="I458" i="11"/>
  <c r="I457" i="11"/>
  <c r="I456" i="11"/>
  <c r="I455" i="11"/>
  <c r="I454" i="11"/>
  <c r="I453" i="11"/>
  <c r="I452" i="11"/>
  <c r="I451" i="11"/>
  <c r="I450" i="11"/>
  <c r="I449" i="11"/>
  <c r="I448" i="11"/>
  <c r="I447" i="11"/>
  <c r="I446" i="11"/>
  <c r="I445" i="11"/>
  <c r="I444" i="11"/>
  <c r="I443" i="11"/>
  <c r="I442" i="11"/>
  <c r="I441" i="11"/>
  <c r="I440" i="11"/>
  <c r="I439" i="11"/>
  <c r="I438" i="11"/>
  <c r="I437" i="11"/>
  <c r="I436" i="11"/>
  <c r="I435" i="11"/>
  <c r="I434" i="11"/>
  <c r="I433" i="11"/>
  <c r="I432" i="11"/>
  <c r="I431" i="11"/>
  <c r="I430" i="11"/>
  <c r="I429" i="11"/>
  <c r="I428" i="11"/>
  <c r="I427" i="11"/>
  <c r="I426" i="11"/>
  <c r="I425" i="11"/>
  <c r="I424" i="11"/>
  <c r="I423" i="11"/>
  <c r="I422" i="11"/>
  <c r="I421" i="11"/>
  <c r="I420" i="11"/>
  <c r="I419" i="11"/>
  <c r="I418" i="11"/>
  <c r="I417" i="11"/>
  <c r="I416" i="11"/>
  <c r="I415" i="11"/>
  <c r="I414" i="11"/>
  <c r="I413" i="11"/>
  <c r="I412" i="11"/>
  <c r="I411" i="11"/>
  <c r="I410" i="11"/>
  <c r="I409" i="11"/>
  <c r="I408" i="11"/>
  <c r="I407" i="11"/>
  <c r="I406" i="11"/>
  <c r="I405" i="11"/>
  <c r="I404" i="11"/>
  <c r="I403" i="11"/>
  <c r="I402" i="11"/>
  <c r="I401" i="11"/>
  <c r="I400" i="11"/>
  <c r="I399" i="11"/>
  <c r="I398" i="11"/>
  <c r="I397" i="11"/>
  <c r="I396" i="11"/>
  <c r="I395" i="11"/>
  <c r="I394" i="11"/>
  <c r="I393" i="11"/>
  <c r="I392" i="11"/>
  <c r="I391" i="11"/>
  <c r="I390" i="11"/>
  <c r="I389" i="11"/>
  <c r="I388" i="11"/>
  <c r="I387" i="11"/>
  <c r="I386" i="11"/>
  <c r="I385" i="11"/>
  <c r="I384" i="11"/>
  <c r="I383" i="11"/>
  <c r="I382" i="11"/>
  <c r="I381" i="11"/>
  <c r="I380" i="11"/>
  <c r="I379" i="11"/>
  <c r="I378" i="11"/>
  <c r="I377" i="11"/>
  <c r="I376" i="11"/>
  <c r="I375" i="11"/>
  <c r="I374" i="11"/>
  <c r="I373" i="11"/>
  <c r="I372" i="11"/>
  <c r="I371" i="11"/>
  <c r="I370" i="11"/>
  <c r="I369" i="11"/>
  <c r="I368" i="11"/>
  <c r="I367" i="11"/>
  <c r="I366" i="11"/>
  <c r="I365" i="11"/>
  <c r="I364" i="11"/>
  <c r="I363" i="11"/>
  <c r="I362" i="11"/>
  <c r="I361" i="11"/>
  <c r="I360" i="11"/>
  <c r="I359" i="11"/>
  <c r="I358" i="11"/>
  <c r="I357" i="11"/>
  <c r="I356" i="11"/>
  <c r="I355" i="11"/>
  <c r="I354" i="11"/>
  <c r="I353" i="11"/>
  <c r="I352" i="11"/>
  <c r="I351" i="11"/>
  <c r="I350" i="11"/>
  <c r="I349" i="11"/>
  <c r="I348" i="11"/>
  <c r="I347" i="11"/>
  <c r="I346" i="11"/>
  <c r="I345" i="11"/>
  <c r="I344" i="11"/>
  <c r="I343" i="11"/>
  <c r="I342" i="11"/>
  <c r="I341" i="11"/>
  <c r="I340" i="11"/>
  <c r="I339" i="11"/>
  <c r="I338" i="11"/>
  <c r="I337" i="11"/>
  <c r="I336" i="11"/>
  <c r="I335" i="11"/>
  <c r="I334" i="11"/>
  <c r="I333" i="11"/>
  <c r="I332" i="11"/>
  <c r="I331" i="11"/>
  <c r="I330" i="11"/>
  <c r="I329" i="11"/>
  <c r="I328" i="11"/>
  <c r="I327" i="11"/>
  <c r="I326" i="11"/>
  <c r="I325" i="11"/>
  <c r="I324" i="11"/>
  <c r="I323" i="11"/>
  <c r="I322" i="11"/>
  <c r="I321" i="11"/>
  <c r="I320" i="11"/>
  <c r="I319" i="11"/>
  <c r="I318" i="11"/>
  <c r="I317" i="11"/>
  <c r="I316" i="11"/>
  <c r="I315" i="11"/>
  <c r="I314" i="11"/>
  <c r="I313" i="11"/>
  <c r="I312" i="11"/>
  <c r="I311" i="11"/>
  <c r="I310" i="11"/>
  <c r="I309" i="11"/>
  <c r="I308" i="11"/>
  <c r="I307" i="11"/>
  <c r="I306" i="11"/>
  <c r="I305" i="11"/>
  <c r="I304" i="11"/>
  <c r="I303" i="11"/>
  <c r="I302" i="11"/>
  <c r="I301" i="11"/>
  <c r="I300" i="11"/>
  <c r="I299" i="11"/>
  <c r="I298" i="11"/>
  <c r="I297" i="11"/>
  <c r="I296" i="11"/>
  <c r="I295" i="11"/>
  <c r="I294" i="11"/>
  <c r="I293" i="11"/>
  <c r="I292" i="11"/>
  <c r="I291" i="11"/>
  <c r="I290" i="11"/>
  <c r="I289" i="11"/>
  <c r="I288" i="11"/>
  <c r="I287" i="11"/>
  <c r="I286" i="11"/>
  <c r="I285" i="11"/>
  <c r="I284" i="11"/>
  <c r="I283" i="11"/>
  <c r="I282" i="11"/>
  <c r="I281" i="11"/>
  <c r="I280" i="11"/>
  <c r="I279" i="11"/>
  <c r="I278" i="11"/>
  <c r="I277" i="11"/>
  <c r="I276" i="11"/>
  <c r="I275" i="11"/>
  <c r="I274" i="11"/>
  <c r="I273" i="11"/>
  <c r="I272" i="11"/>
  <c r="I271" i="11"/>
  <c r="I270" i="11"/>
  <c r="I269" i="11"/>
  <c r="I268" i="11"/>
  <c r="I267" i="11"/>
  <c r="I266" i="11"/>
  <c r="I265" i="11"/>
  <c r="I264" i="11"/>
  <c r="I263" i="11"/>
  <c r="I262" i="11"/>
  <c r="I261" i="11"/>
  <c r="I260" i="11"/>
  <c r="I259" i="11"/>
  <c r="I258" i="11"/>
  <c r="I257" i="11"/>
  <c r="I256" i="11"/>
  <c r="I255" i="11"/>
  <c r="I254" i="11"/>
  <c r="I253" i="11"/>
  <c r="I252" i="11"/>
  <c r="I251" i="11"/>
  <c r="I250" i="11"/>
  <c r="I249" i="11"/>
  <c r="I248" i="11"/>
  <c r="I247" i="11"/>
  <c r="I246" i="11"/>
  <c r="I245" i="11"/>
  <c r="I244" i="11"/>
  <c r="I243" i="11"/>
  <c r="I242" i="11"/>
  <c r="I241" i="11"/>
  <c r="I240" i="11"/>
  <c r="I239" i="11"/>
  <c r="I238" i="11"/>
  <c r="I237" i="11"/>
  <c r="I236" i="11"/>
  <c r="I235" i="11"/>
  <c r="I234" i="11"/>
  <c r="I233" i="11"/>
  <c r="I232" i="11"/>
  <c r="I231" i="11"/>
  <c r="I230" i="11"/>
  <c r="I229" i="11"/>
  <c r="I228" i="11"/>
  <c r="I227" i="11"/>
  <c r="I226" i="11"/>
  <c r="I225" i="11"/>
  <c r="I224" i="11"/>
  <c r="I223" i="11"/>
  <c r="I222" i="11"/>
  <c r="I221" i="11"/>
  <c r="I220" i="11"/>
  <c r="I219" i="11"/>
  <c r="I218" i="11"/>
  <c r="I217" i="11"/>
  <c r="I216" i="11"/>
  <c r="I215" i="11"/>
  <c r="I214" i="11"/>
  <c r="I213" i="11"/>
  <c r="I212" i="11"/>
  <c r="I211" i="11"/>
  <c r="I210" i="11"/>
  <c r="I209" i="11"/>
  <c r="I208" i="11"/>
  <c r="I207" i="11"/>
  <c r="I206" i="11"/>
  <c r="I205" i="11"/>
  <c r="I204" i="11"/>
  <c r="I203" i="11"/>
  <c r="I202" i="11"/>
  <c r="I201" i="11"/>
  <c r="I200" i="11"/>
  <c r="I199" i="11"/>
  <c r="I198" i="11"/>
  <c r="I197" i="11"/>
  <c r="I196" i="11"/>
  <c r="I195" i="11"/>
  <c r="I194" i="11"/>
  <c r="I193" i="11"/>
  <c r="I192" i="11"/>
  <c r="I191" i="11"/>
  <c r="I190" i="11"/>
  <c r="I189" i="11"/>
  <c r="I188" i="11"/>
  <c r="I187" i="11"/>
  <c r="I186" i="11"/>
  <c r="I185" i="11"/>
  <c r="I184" i="11"/>
  <c r="I183" i="11"/>
  <c r="I182" i="11"/>
  <c r="I181" i="11"/>
  <c r="I180" i="11"/>
  <c r="I179" i="11"/>
  <c r="I178" i="11"/>
  <c r="I177" i="11"/>
  <c r="I176" i="11"/>
  <c r="I175" i="11"/>
  <c r="I174" i="11"/>
  <c r="I173" i="11"/>
  <c r="I172" i="11"/>
  <c r="I171" i="11"/>
  <c r="I170" i="11"/>
  <c r="I169" i="11"/>
  <c r="I168" i="11"/>
  <c r="I167" i="11"/>
  <c r="I166" i="11"/>
  <c r="I165" i="11"/>
  <c r="I164" i="11"/>
  <c r="I163" i="11"/>
  <c r="I162" i="11"/>
  <c r="I161" i="11"/>
  <c r="I160" i="11"/>
  <c r="I159" i="11"/>
  <c r="I158" i="11"/>
  <c r="I157" i="11"/>
  <c r="I156" i="11"/>
  <c r="I155" i="11"/>
  <c r="I154" i="11"/>
  <c r="I153" i="11"/>
  <c r="I152" i="11"/>
  <c r="I151" i="11"/>
  <c r="I150" i="11"/>
  <c r="I149" i="11"/>
  <c r="I148" i="11"/>
  <c r="I147" i="11"/>
  <c r="I146" i="11"/>
  <c r="I145" i="11"/>
  <c r="I144" i="11"/>
  <c r="I143" i="11"/>
  <c r="I142" i="11"/>
  <c r="I141" i="11"/>
  <c r="I140" i="11"/>
  <c r="I139" i="11"/>
  <c r="I138" i="11"/>
  <c r="I137" i="11"/>
  <c r="I136" i="11"/>
  <c r="I135" i="11"/>
  <c r="I134" i="11"/>
  <c r="I133" i="11"/>
  <c r="I132" i="11"/>
  <c r="I131" i="11"/>
  <c r="I130" i="11"/>
  <c r="I129" i="11"/>
  <c r="I128" i="11"/>
  <c r="I127" i="11"/>
  <c r="I126" i="11"/>
  <c r="I125" i="11"/>
  <c r="I124" i="11"/>
  <c r="I123" i="11"/>
  <c r="I122" i="11"/>
  <c r="I121" i="11"/>
  <c r="I120" i="11"/>
  <c r="I119" i="11"/>
  <c r="I118" i="11"/>
  <c r="I117" i="11"/>
  <c r="I116" i="11"/>
  <c r="I115" i="11"/>
  <c r="I114" i="11"/>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9" i="11"/>
  <c r="I78" i="11"/>
  <c r="I77" i="11"/>
  <c r="I76" i="11"/>
  <c r="I75" i="11"/>
  <c r="I74" i="11"/>
  <c r="I73" i="11"/>
  <c r="I72" i="11"/>
  <c r="I71" i="11"/>
  <c r="I70" i="11"/>
  <c r="I69" i="11"/>
  <c r="I68" i="11"/>
  <c r="I67" i="11"/>
  <c r="I66" i="11"/>
  <c r="I65" i="11"/>
  <c r="I64" i="11"/>
  <c r="I63" i="11"/>
  <c r="I62" i="11"/>
  <c r="I61" i="11"/>
  <c r="I60" i="11"/>
  <c r="I59" i="11"/>
  <c r="I58" i="11"/>
  <c r="I57" i="11"/>
  <c r="I56" i="11"/>
  <c r="I55" i="11"/>
  <c r="I54" i="11"/>
  <c r="I53" i="11"/>
  <c r="I52" i="11"/>
  <c r="I51" i="11"/>
  <c r="I50" i="11"/>
  <c r="I49" i="11"/>
  <c r="I48" i="11"/>
  <c r="I47" i="11"/>
  <c r="I46" i="11"/>
  <c r="I45" i="11"/>
  <c r="I44" i="11"/>
  <c r="I43" i="11"/>
  <c r="I42" i="11"/>
  <c r="I41" i="11"/>
  <c r="I40" i="11"/>
  <c r="I39" i="11"/>
  <c r="I38" i="11"/>
  <c r="I37" i="11"/>
  <c r="I36" i="11"/>
  <c r="I35" i="11"/>
  <c r="I34" i="11"/>
  <c r="I33" i="11"/>
  <c r="I32" i="11"/>
  <c r="I31" i="11"/>
  <c r="I30" i="11"/>
  <c r="I29" i="11"/>
  <c r="I28" i="11"/>
  <c r="I27" i="11"/>
  <c r="I26" i="11"/>
  <c r="I25" i="11"/>
  <c r="I24" i="11"/>
  <c r="I23" i="11"/>
  <c r="I22" i="11"/>
  <c r="I21" i="11"/>
  <c r="I20" i="11"/>
  <c r="I19" i="11"/>
  <c r="I18" i="11"/>
  <c r="I17" i="11"/>
  <c r="I16" i="11"/>
  <c r="I15" i="11"/>
  <c r="I14" i="11"/>
  <c r="I13" i="11"/>
  <c r="I12" i="11"/>
  <c r="I11" i="11"/>
  <c r="I10" i="11"/>
  <c r="I9" i="11"/>
  <c r="I8" i="11"/>
  <c r="I7" i="11"/>
  <c r="I3" i="11"/>
  <c r="I4" i="11"/>
  <c r="I5" i="11"/>
  <c r="I6" i="11"/>
  <c r="I2" i="11"/>
  <c r="G2" i="6" l="1"/>
  <c r="G3" i="6"/>
  <c r="G4" i="6"/>
  <c r="G5" i="6"/>
  <c r="G6" i="6"/>
  <c r="G7" i="6"/>
  <c r="G8" i="6"/>
  <c r="G9" i="6"/>
  <c r="G10" i="6"/>
  <c r="G11" i="6"/>
  <c r="G12" i="6"/>
  <c r="G13" i="6"/>
  <c r="G14" i="6"/>
  <c r="G15" i="6"/>
  <c r="G16" i="6"/>
  <c r="G17" i="6"/>
  <c r="G18" i="6"/>
  <c r="G19" i="6"/>
  <c r="G20" i="6"/>
  <c r="G21" i="6"/>
  <c r="G22" i="6"/>
  <c r="G23" i="6"/>
  <c r="G24" i="6"/>
  <c r="G25" i="6"/>
  <c r="G1" i="6"/>
</calcChain>
</file>

<file path=xl/sharedStrings.xml><?xml version="1.0" encoding="utf-8"?>
<sst xmlns="http://schemas.openxmlformats.org/spreadsheetml/2006/main" count="49324" uniqueCount="2365">
  <si>
    <t>category1</t>
  </si>
  <si>
    <t>category2</t>
  </si>
  <si>
    <t>category3</t>
  </si>
  <si>
    <t>isHeavycarVisible</t>
  </si>
  <si>
    <t>type</t>
  </si>
  <si>
    <t>brand</t>
  </si>
  <si>
    <t>model</t>
  </si>
  <si>
    <t>name</t>
  </si>
  <si>
    <t>oldPartNo</t>
  </si>
  <si>
    <t>newPartNo</t>
  </si>
  <si>
    <t>amount</t>
  </si>
  <si>
    <t>itemUnit</t>
  </si>
  <si>
    <t>priceCustomer</t>
  </si>
  <si>
    <t>priceFinal</t>
  </si>
  <si>
    <t>priceUnit</t>
  </si>
  <si>
    <t>description</t>
  </si>
  <si>
    <t>crmDescription</t>
  </si>
  <si>
    <t>modelTon</t>
  </si>
  <si>
    <t>madeYear</t>
  </si>
  <si>
    <t>madeMonth</t>
  </si>
  <si>
    <t>width</t>
  </si>
  <si>
    <t>height</t>
  </si>
  <si>
    <t>length</t>
  </si>
  <si>
    <t>weight</t>
  </si>
  <si>
    <t>leftRight</t>
  </si>
  <si>
    <t>topBottom</t>
  </si>
  <si>
    <t>frontBack</t>
  </si>
  <si>
    <t>sawtoothNum</t>
  </si>
  <si>
    <t>circumference</t>
  </si>
  <si>
    <t>tireSize</t>
  </si>
  <si>
    <t>material</t>
  </si>
  <si>
    <t>volt</t>
  </si>
  <si>
    <t>location</t>
  </si>
  <si>
    <t>customerIds</t>
  </si>
  <si>
    <t>priceSupplys</t>
  </si>
  <si>
    <t>customerPriceUnit</t>
  </si>
  <si>
    <t>imageIds</t>
  </si>
  <si>
    <t>memo1</t>
  </si>
  <si>
    <t>memo2</t>
  </si>
  <si>
    <t>memo3</t>
  </si>
  <si>
    <t>memo4</t>
  </si>
  <si>
    <t>folder</t>
  </si>
  <si>
    <t>Attachment&amp;Parts</t>
  </si>
  <si>
    <t>Grapple</t>
  </si>
  <si>
    <t>06돌집게</t>
  </si>
  <si>
    <t>manufacturingOem</t>
  </si>
  <si>
    <t>02풀세트</t>
  </si>
  <si>
    <t>010-4535-7305</t>
  </si>
  <si>
    <t>06대한돌집게</t>
  </si>
  <si>
    <t>010-4857-8209</t>
  </si>
  <si>
    <t>대한06돌집게</t>
  </si>
  <si>
    <t>전화주세요</t>
  </si>
  <si>
    <t>A</t>
  </si>
  <si>
    <t>10크락샤</t>
  </si>
  <si>
    <t>010-8440-0013</t>
  </si>
  <si>
    <t>010-2584-1757</t>
  </si>
  <si>
    <t>Bucket</t>
  </si>
  <si>
    <t>010-2565-1125</t>
  </si>
  <si>
    <t>06유림돌집게</t>
  </si>
  <si>
    <t>06딱따구리집게</t>
  </si>
  <si>
    <t>010-2749-0010</t>
  </si>
  <si>
    <t>딱따구리06집게</t>
  </si>
  <si>
    <t>06망바가지</t>
  </si>
  <si>
    <t>010-4055-3004</t>
  </si>
  <si>
    <t>02대바가지</t>
  </si>
  <si>
    <t>010-5015-0202</t>
  </si>
  <si>
    <t>상태좋습니다</t>
  </si>
  <si>
    <t>010-5428-5640</t>
  </si>
  <si>
    <t>ㅁㅁ</t>
  </si>
  <si>
    <t>010-5444-5845</t>
  </si>
  <si>
    <t>..</t>
  </si>
  <si>
    <t>010-5324-2002</t>
  </si>
  <si>
    <t>회전돌집게06</t>
  </si>
  <si>
    <t>예초기</t>
  </si>
  <si>
    <t>011-517-3623</t>
  </si>
  <si>
    <t>480바가지</t>
  </si>
  <si>
    <t>017크라샤</t>
  </si>
  <si>
    <t>480롱붐</t>
  </si>
  <si>
    <t>Ripper</t>
  </si>
  <si>
    <t>010 5424-7793</t>
  </si>
  <si>
    <t>010-5424-7793</t>
  </si>
  <si>
    <t>06돌집게고정식</t>
  </si>
  <si>
    <t>010-3627-1465</t>
  </si>
  <si>
    <t>02뿌레카.</t>
  </si>
  <si>
    <t>010-9433-6604</t>
  </si>
  <si>
    <t>02쪽바가지</t>
  </si>
  <si>
    <t>06스톤그랩</t>
  </si>
  <si>
    <t>010-2634-6216</t>
  </si>
  <si>
    <t>영원5500</t>
  </si>
  <si>
    <t>06클램프</t>
  </si>
  <si>
    <t>010-5263-5008</t>
  </si>
  <si>
    <t>///</t>
  </si>
  <si>
    <t>010-9291-3500</t>
  </si>
  <si>
    <t>06대한딱따구리</t>
  </si>
  <si>
    <t>08돌집게</t>
  </si>
  <si>
    <t>10클램프</t>
  </si>
  <si>
    <t>06딱다구리집게</t>
  </si>
  <si>
    <t>06쪽바가지</t>
  </si>
  <si>
    <t>010-4793-6262</t>
  </si>
  <si>
    <t>딱다구리집게06</t>
  </si>
  <si>
    <t>동양06뿌레카</t>
  </si>
  <si>
    <t>06회전나무집게</t>
  </si>
  <si>
    <t>06지게발</t>
  </si>
  <si>
    <t>06크라샤</t>
  </si>
  <si>
    <t>06부광크라샤</t>
  </si>
  <si>
    <t>010-3711-7450</t>
  </si>
  <si>
    <t>회전06돌집게</t>
  </si>
  <si>
    <t>사진전송가능</t>
  </si>
  <si>
    <t>010-3135-1001</t>
  </si>
  <si>
    <t>02회전돌집게</t>
  </si>
  <si>
    <t>망바가지06</t>
  </si>
  <si>
    <t>SB81TRF</t>
  </si>
  <si>
    <t>360바가지</t>
  </si>
  <si>
    <t>03대쪽바가지</t>
  </si>
  <si>
    <t>10바가지</t>
  </si>
  <si>
    <t>06대통보강</t>
  </si>
  <si>
    <t>330암붐</t>
  </si>
  <si>
    <t>06딱따구리</t>
  </si>
  <si>
    <t>06채바가지</t>
  </si>
  <si>
    <t>06뿌레카</t>
  </si>
  <si>
    <t>06회전돌집게</t>
  </si>
  <si>
    <t>영창돌집게06</t>
  </si>
  <si>
    <t>04뿌레카</t>
  </si>
  <si>
    <t>06대바가지</t>
  </si>
  <si>
    <t>10채바가지</t>
  </si>
  <si>
    <t>06회전집게</t>
  </si>
  <si>
    <t>영원5500-3</t>
  </si>
  <si>
    <t>02회전나무집게</t>
  </si>
  <si>
    <t>06영창돌집게</t>
  </si>
  <si>
    <t>10니빠</t>
  </si>
  <si>
    <t>06돌집게!</t>
  </si>
  <si>
    <t>SB50</t>
  </si>
  <si>
    <t>02지게발2.5</t>
  </si>
  <si>
    <t>3루베죽통</t>
  </si>
  <si>
    <t>SB40</t>
  </si>
  <si>
    <t>015미니뿌레카</t>
  </si>
  <si>
    <t>02회전집게</t>
  </si>
  <si>
    <t>06딱다구리!</t>
  </si>
  <si>
    <t>02풀셋</t>
  </si>
  <si>
    <t>08쪽바가지</t>
  </si>
  <si>
    <t>06바가지링크</t>
  </si>
  <si>
    <t>08크략사</t>
  </si>
  <si>
    <t>SB140S</t>
  </si>
  <si>
    <t>06바가지</t>
  </si>
  <si>
    <t>동양뿌레카06</t>
  </si>
  <si>
    <t>06돌집게!!</t>
  </si>
  <si>
    <t>수산06뿌레카</t>
  </si>
  <si>
    <t>바가지링크06</t>
  </si>
  <si>
    <t>돌집게</t>
  </si>
  <si>
    <t>02돌집게</t>
  </si>
  <si>
    <t>10뿌레카</t>
  </si>
  <si>
    <t>대신500G</t>
  </si>
  <si>
    <t>딱따구리대한06</t>
  </si>
  <si>
    <t>06뿌레카동양</t>
  </si>
  <si>
    <t>06신형뿌레카</t>
  </si>
  <si>
    <t>한우08BK</t>
  </si>
  <si>
    <t>영원5200F</t>
  </si>
  <si>
    <t>10집게</t>
  </si>
  <si>
    <t>SB50올수리</t>
  </si>
  <si>
    <t>06수산뿌레카</t>
  </si>
  <si>
    <t>02뿌레카</t>
  </si>
  <si>
    <t>06돌집게대한</t>
  </si>
  <si>
    <t>06망바가지!</t>
  </si>
  <si>
    <t>광림K-1텐뿌</t>
  </si>
  <si>
    <t>10브레카</t>
  </si>
  <si>
    <t>030-035</t>
  </si>
  <si>
    <t>영창06돌집게</t>
  </si>
  <si>
    <t>06신품리퍼</t>
  </si>
  <si>
    <t>03돌집게</t>
  </si>
  <si>
    <t>진동리퍼</t>
  </si>
  <si>
    <t>미니~10리퍼</t>
  </si>
  <si>
    <t>02신형뿌레카</t>
  </si>
  <si>
    <t>017뿌레카</t>
  </si>
  <si>
    <t>330붐</t>
  </si>
  <si>
    <t>10급돌집게</t>
  </si>
  <si>
    <t>대바가지02</t>
  </si>
  <si>
    <t>06JK딱따구리</t>
  </si>
  <si>
    <t>06브레카</t>
  </si>
  <si>
    <t>06지겟발</t>
  </si>
  <si>
    <t>017채바가지</t>
  </si>
  <si>
    <t>380돌집게</t>
  </si>
  <si>
    <t>10크라샤</t>
  </si>
  <si>
    <t>미니크라샤</t>
  </si>
  <si>
    <t>신형02뿌레카</t>
  </si>
  <si>
    <t>08크랴샤</t>
  </si>
  <si>
    <t>02돌집게특</t>
  </si>
  <si>
    <t>06딱따구리대한</t>
  </si>
  <si>
    <t>380바가지</t>
  </si>
  <si>
    <t>380망바가지</t>
  </si>
  <si>
    <t>10급진동리퍼</t>
  </si>
  <si>
    <t>06채버켓</t>
  </si>
  <si>
    <t>10고정식돌집게</t>
  </si>
  <si>
    <t>06멀티크라샤</t>
  </si>
  <si>
    <t>06돌집게.</t>
  </si>
  <si>
    <t>06돌집게영창</t>
  </si>
  <si>
    <t>06딱다구리</t>
  </si>
  <si>
    <t>06강토집게</t>
  </si>
  <si>
    <t>06고정식돌집게</t>
  </si>
  <si>
    <t>성진06뿌레카</t>
  </si>
  <si>
    <t>영원5200뿌레</t>
  </si>
  <si>
    <t>습식크리너</t>
  </si>
  <si>
    <t>영창02돌집게</t>
  </si>
  <si>
    <t>02대바가지.</t>
  </si>
  <si>
    <t>10돌집게</t>
  </si>
  <si>
    <t>02광림뿌레카</t>
  </si>
  <si>
    <t>017미니뿌레카</t>
  </si>
  <si>
    <t>슈퍼140</t>
  </si>
  <si>
    <t>06돌집게유림</t>
  </si>
  <si>
    <t>10급크렌프</t>
  </si>
  <si>
    <t>공구리통2루베</t>
  </si>
  <si>
    <t>10망바가지</t>
  </si>
  <si>
    <t>SB130G</t>
  </si>
  <si>
    <t>02쁘레카</t>
  </si>
  <si>
    <t>대한회전돌집게</t>
  </si>
  <si>
    <t>각종바가지</t>
  </si>
  <si>
    <t>04뿌레카.</t>
  </si>
  <si>
    <t>10대현빔가위</t>
  </si>
  <si>
    <t>08회전돌집게</t>
  </si>
  <si>
    <t>06브레이카</t>
  </si>
  <si>
    <t>바가지링크10</t>
  </si>
  <si>
    <t>06형제회전집게</t>
  </si>
  <si>
    <t>08고철집게</t>
  </si>
  <si>
    <t>바가지링크</t>
  </si>
  <si>
    <t>08크라샤</t>
  </si>
  <si>
    <t>06딱다구리.</t>
  </si>
  <si>
    <t>고정식06돌집게</t>
  </si>
  <si>
    <t>하월바가지</t>
  </si>
  <si>
    <t>고무트랙</t>
  </si>
  <si>
    <t>수산130-3L</t>
  </si>
  <si>
    <t>08수산뿌레카</t>
  </si>
  <si>
    <t>영창06돌집게.</t>
  </si>
  <si>
    <t>10링크</t>
  </si>
  <si>
    <t>06농장돌집게</t>
  </si>
  <si>
    <t>수산10뿌레카</t>
  </si>
  <si>
    <t>02채바가지</t>
  </si>
  <si>
    <t>08뿌레카</t>
  </si>
  <si>
    <t>330버켓</t>
  </si>
  <si>
    <t>알루미늄사다리</t>
  </si>
  <si>
    <t>380급클램프</t>
  </si>
  <si>
    <t>바가지360</t>
  </si>
  <si>
    <t>06GB뿌레카</t>
  </si>
  <si>
    <t>015그라플</t>
  </si>
  <si>
    <t>020미니뿌레카</t>
  </si>
  <si>
    <t>02브레카</t>
  </si>
  <si>
    <t>360클램프</t>
  </si>
  <si>
    <t>03채버켓</t>
  </si>
  <si>
    <t>SB40뿌레카</t>
  </si>
  <si>
    <t>06스톤집게</t>
  </si>
  <si>
    <t>02브레카신품</t>
  </si>
  <si>
    <t>06동남바가지링</t>
  </si>
  <si>
    <t>06농장용돌집게</t>
  </si>
  <si>
    <t>대한06딱따구리</t>
  </si>
  <si>
    <t>03회전돌집게</t>
  </si>
  <si>
    <t>10멍텅구리</t>
  </si>
  <si>
    <t>10리퍼몸체보강</t>
  </si>
  <si>
    <t>10볼보클램프</t>
  </si>
  <si>
    <t>04뿌레카04</t>
  </si>
  <si>
    <t>06w회전돌집게</t>
  </si>
  <si>
    <t>10멍텅크라샤</t>
  </si>
  <si>
    <t>06바가지링크.</t>
  </si>
  <si>
    <t>10급박아지</t>
  </si>
  <si>
    <t>농장06돌집게.</t>
  </si>
  <si>
    <t>회전나무집게02</t>
  </si>
  <si>
    <t>SPS코어치즐</t>
  </si>
  <si>
    <t>06대바가지06</t>
  </si>
  <si>
    <t>02무유압집게</t>
  </si>
  <si>
    <t>02신품뿌레카</t>
  </si>
  <si>
    <t>020반자동집게</t>
  </si>
  <si>
    <t>06니퍼</t>
  </si>
  <si>
    <t>02채버켓</t>
  </si>
  <si>
    <t>신품미니뿌레카</t>
  </si>
  <si>
    <t>03w대바가지</t>
  </si>
  <si>
    <t>10크라샤멍텅</t>
  </si>
  <si>
    <t>10월드크라샤</t>
  </si>
  <si>
    <t>수산50청색</t>
  </si>
  <si>
    <t>08곡물대바가지</t>
  </si>
  <si>
    <t>02대.쪽바가지</t>
  </si>
  <si>
    <t>10지게발</t>
  </si>
  <si>
    <t>06채-신모델</t>
  </si>
  <si>
    <t>지게차얼음어터치</t>
  </si>
  <si>
    <t>210W숏암숏붐</t>
  </si>
  <si>
    <t>03부렉카</t>
  </si>
  <si>
    <t>017수산뿌레카</t>
  </si>
  <si>
    <t>06스피드크라샤</t>
  </si>
  <si>
    <t>08채바가지</t>
  </si>
  <si>
    <t>영창지겟발3톤</t>
  </si>
  <si>
    <t>04대바가지</t>
  </si>
  <si>
    <t>360암붐</t>
  </si>
  <si>
    <t>준CS그라플</t>
  </si>
  <si>
    <t>슈퍼140최상</t>
  </si>
  <si>
    <t>10바가지링크</t>
  </si>
  <si>
    <t>02니빠</t>
  </si>
  <si>
    <t>06보강버켓</t>
  </si>
  <si>
    <t>08대바가지</t>
  </si>
  <si>
    <t>회전돌집게02</t>
  </si>
  <si>
    <t>020뿌레카</t>
  </si>
  <si>
    <t>06무유압집게</t>
  </si>
  <si>
    <t>06집게</t>
  </si>
  <si>
    <t>미니집게</t>
  </si>
  <si>
    <t>08크락샤</t>
  </si>
  <si>
    <t>017반자동집게</t>
  </si>
  <si>
    <t>480고철집게</t>
  </si>
  <si>
    <t>회전돌집게03</t>
  </si>
  <si>
    <t>브레카</t>
  </si>
  <si>
    <t>06크라샤멀티</t>
  </si>
  <si>
    <t>015반자동집게</t>
  </si>
  <si>
    <t>10급브레이카</t>
  </si>
  <si>
    <t>회전돌집게</t>
  </si>
  <si>
    <t>06나라시버켓</t>
  </si>
  <si>
    <t>06쪽바가지..</t>
  </si>
  <si>
    <t>03지게발</t>
  </si>
  <si>
    <t>06크라샤스피드</t>
  </si>
  <si>
    <t>03급신형브레커</t>
  </si>
  <si>
    <t>06닛빠</t>
  </si>
  <si>
    <t>수산브레카셋</t>
  </si>
  <si>
    <t>신품바가지미니</t>
  </si>
  <si>
    <t>480버켓</t>
  </si>
  <si>
    <t>농장용06돌집게</t>
  </si>
  <si>
    <t>010미니뿌레카</t>
  </si>
  <si>
    <t>멀티06크라샤</t>
  </si>
  <si>
    <t>06관로덧발</t>
  </si>
  <si>
    <t>06뿌레카셋</t>
  </si>
  <si>
    <t>3핀준CS집게</t>
  </si>
  <si>
    <t>08회전고철집게</t>
  </si>
  <si>
    <t>06본박아지</t>
  </si>
  <si>
    <t>06뿌레카쪽박</t>
  </si>
  <si>
    <t>03회전돌집개</t>
  </si>
  <si>
    <t>3W봉타입지게발</t>
  </si>
  <si>
    <t>03쪽바가지</t>
  </si>
  <si>
    <t>W07뿌렉카터널</t>
  </si>
  <si>
    <t>03오렌지그라플</t>
  </si>
  <si>
    <t>08습지트랙</t>
  </si>
  <si>
    <t>08W숏붐암클램</t>
  </si>
  <si>
    <t>02브레이카</t>
  </si>
  <si>
    <t>06망바가지06</t>
  </si>
  <si>
    <t>020그라플</t>
  </si>
  <si>
    <t>10급체바가지</t>
  </si>
  <si>
    <t>06고철집게</t>
  </si>
  <si>
    <t>130쓰리</t>
  </si>
  <si>
    <t>017그라플</t>
  </si>
  <si>
    <t>06고정돌집게</t>
  </si>
  <si>
    <t>06돌집게농장용</t>
  </si>
  <si>
    <t>대운5000</t>
  </si>
  <si>
    <t>06돌집게바가지</t>
  </si>
  <si>
    <t>10암바가지</t>
  </si>
  <si>
    <t>SB60</t>
  </si>
  <si>
    <t>08리퍼</t>
  </si>
  <si>
    <t>02신품리퍼</t>
  </si>
  <si>
    <t>SB-40</t>
  </si>
  <si>
    <t>SB130G3-</t>
  </si>
  <si>
    <t>03대박하독스</t>
  </si>
  <si>
    <t>06크램프</t>
  </si>
  <si>
    <t>영원10텐브레카</t>
  </si>
  <si>
    <t>SB60뿌레카</t>
  </si>
  <si>
    <t>10버켓</t>
  </si>
  <si>
    <t>수산02브레카</t>
  </si>
  <si>
    <t>*6체버켓최신형</t>
  </si>
  <si>
    <t>광림sg3400</t>
  </si>
  <si>
    <t>06두산클램프</t>
  </si>
  <si>
    <t>420LC암버켓</t>
  </si>
  <si>
    <t>02원주회전집게</t>
  </si>
  <si>
    <t>03대버켓</t>
  </si>
  <si>
    <t>06w6손바가지</t>
  </si>
  <si>
    <t>DX420스탠다</t>
  </si>
  <si>
    <t>015한우뿌레카</t>
  </si>
  <si>
    <t>03회전B게</t>
  </si>
  <si>
    <t>345캐타바가지</t>
  </si>
  <si>
    <t>02바가지링크</t>
  </si>
  <si>
    <t>HM017그라플</t>
  </si>
  <si>
    <t>360채바가지</t>
  </si>
  <si>
    <t>*2지게발2.5</t>
  </si>
  <si>
    <t>02리퍼</t>
  </si>
  <si>
    <t>460모래버켓</t>
  </si>
  <si>
    <t>02고무트랙</t>
  </si>
  <si>
    <t>HM015그라플</t>
  </si>
  <si>
    <t>02DMA돌집게</t>
  </si>
  <si>
    <t>급매380바가지</t>
  </si>
  <si>
    <t>10급망박아지</t>
  </si>
  <si>
    <t>030ㅡ035</t>
  </si>
  <si>
    <t>030신형뿌레카</t>
  </si>
  <si>
    <t>10오렌지그라플</t>
  </si>
  <si>
    <t>영창03돌집게</t>
  </si>
  <si>
    <t>02풀셋트</t>
  </si>
  <si>
    <t>02한우뿌레카</t>
  </si>
  <si>
    <t>10돌집게특A</t>
  </si>
  <si>
    <t>017브레커</t>
  </si>
  <si>
    <t>02돌집게JK</t>
  </si>
  <si>
    <t>06표준버켓</t>
  </si>
  <si>
    <t>죽통</t>
  </si>
  <si>
    <t>02BK올수리</t>
  </si>
  <si>
    <t>02리퍼신품</t>
  </si>
  <si>
    <t>02지게발</t>
  </si>
  <si>
    <t>GB뿌레카06</t>
  </si>
  <si>
    <t>대신10브레카</t>
  </si>
  <si>
    <t>신품02딱다구리</t>
  </si>
  <si>
    <t>6W뿌래카쪽지게</t>
  </si>
  <si>
    <t>SB130-3L</t>
  </si>
  <si>
    <t>광림10브레이카</t>
  </si>
  <si>
    <t>02회전나무집</t>
  </si>
  <si>
    <t>06영창돌집게.</t>
  </si>
  <si>
    <t>10SB140S</t>
  </si>
  <si>
    <t>08파일노미</t>
  </si>
  <si>
    <t>08망바가지신품</t>
  </si>
  <si>
    <t>회전돌집게08</t>
  </si>
  <si>
    <t>신형06뿌레카</t>
  </si>
  <si>
    <t>06면삭기</t>
  </si>
  <si>
    <t>10체버켓최신형</t>
  </si>
  <si>
    <t>06돌집게..</t>
  </si>
  <si>
    <t>300D탑신특A</t>
  </si>
  <si>
    <t>08대모멍텅크라</t>
  </si>
  <si>
    <t>정품굴삭기의자</t>
  </si>
  <si>
    <t>텐클램프신품</t>
  </si>
  <si>
    <t>10월드멍텅크라</t>
  </si>
  <si>
    <t>10대신뿌레카</t>
  </si>
  <si>
    <t>210w붐암</t>
  </si>
  <si>
    <t>03돌집게.</t>
  </si>
  <si>
    <t>03다짐기</t>
  </si>
  <si>
    <t>017나무집게</t>
  </si>
  <si>
    <t>06SB60</t>
  </si>
  <si>
    <t>sb-50</t>
  </si>
  <si>
    <t>03회전나무집게</t>
  </si>
  <si>
    <t>돌집게06대한</t>
  </si>
  <si>
    <t>지성06브레이카</t>
  </si>
  <si>
    <t>06부렉카</t>
  </si>
  <si>
    <t>010한우뿌레카</t>
  </si>
  <si>
    <t>015수산뿌레카</t>
  </si>
  <si>
    <t>02돌집게대한</t>
  </si>
  <si>
    <t>360버켓</t>
  </si>
  <si>
    <t>02중바가지02</t>
  </si>
  <si>
    <t>03뿌레카</t>
  </si>
  <si>
    <t>03바가지</t>
  </si>
  <si>
    <t>유림돌회전집게</t>
  </si>
  <si>
    <t>08고철회전집게</t>
  </si>
  <si>
    <t>360암바가지</t>
  </si>
  <si>
    <t>10벗켓</t>
  </si>
  <si>
    <t>06뿌레카쪽바가</t>
  </si>
  <si>
    <t>360링크</t>
  </si>
  <si>
    <t>08데모텅텅크라</t>
  </si>
  <si>
    <t>017신형뿌레카</t>
  </si>
  <si>
    <t>02우드그랩</t>
  </si>
  <si>
    <t>06SB60뿌레</t>
  </si>
  <si>
    <t>10고철가위회전</t>
  </si>
  <si>
    <t>10본버켓</t>
  </si>
  <si>
    <t>태성08브레카</t>
  </si>
  <si>
    <t>06채바가지대우</t>
  </si>
  <si>
    <t>동남바가지링06</t>
  </si>
  <si>
    <t>08빔캡</t>
  </si>
  <si>
    <t>06-바가지링크</t>
  </si>
  <si>
    <t>06돌집게A</t>
  </si>
  <si>
    <t>관로덧발06</t>
  </si>
  <si>
    <t>1톤로라세루시동</t>
  </si>
  <si>
    <t>08찝게파쇄기</t>
  </si>
  <si>
    <t>텐회전식크라샤</t>
  </si>
  <si>
    <t>신품포크레인의자</t>
  </si>
  <si>
    <t>SB40신형</t>
  </si>
  <si>
    <t>06대우채바가지</t>
  </si>
  <si>
    <t>신형미니뿌레카</t>
  </si>
  <si>
    <t>02바가지</t>
  </si>
  <si>
    <t>017브레이카</t>
  </si>
  <si>
    <t>R3700-7</t>
  </si>
  <si>
    <t>08급지게발</t>
  </si>
  <si>
    <t>02한우뿌레카2</t>
  </si>
  <si>
    <t>017지성뿌레카</t>
  </si>
  <si>
    <t>미니~대형크락샤</t>
  </si>
  <si>
    <t>06뿌레카/한성</t>
  </si>
  <si>
    <t>06쪽박지게발</t>
  </si>
  <si>
    <t>015나무집게</t>
  </si>
  <si>
    <t>145B</t>
  </si>
  <si>
    <t>02뿌레카광림</t>
  </si>
  <si>
    <t>360모래바가지</t>
  </si>
  <si>
    <t>02급돌집게</t>
  </si>
  <si>
    <t>08데모멍텅크라</t>
  </si>
  <si>
    <t>10회전돌집게</t>
  </si>
  <si>
    <t>08급리퍼</t>
  </si>
  <si>
    <t>(급)6회전집게</t>
  </si>
  <si>
    <t>10급저소음뿌레</t>
  </si>
  <si>
    <t>06W압쇄기</t>
  </si>
  <si>
    <t>10크럭샤</t>
  </si>
  <si>
    <t>10급닛빠</t>
  </si>
  <si>
    <t>대한코낟집게</t>
  </si>
  <si>
    <t>06w본버켓</t>
  </si>
  <si>
    <t>한우10뿌레카</t>
  </si>
  <si>
    <t>미니회전돌집게반</t>
  </si>
  <si>
    <t>대신10뿌레카</t>
  </si>
  <si>
    <t>06급집게</t>
  </si>
  <si>
    <t>월드텐회전식크라</t>
  </si>
  <si>
    <t>08망바가지</t>
  </si>
  <si>
    <t>03지게발[신품</t>
  </si>
  <si>
    <t>03니빠06니빠</t>
  </si>
  <si>
    <t>트레일러</t>
  </si>
  <si>
    <t>미니뿌레카신품</t>
  </si>
  <si>
    <t>영원K5200</t>
  </si>
  <si>
    <t>04한뿌레카쪽대</t>
  </si>
  <si>
    <t>지산650e브레</t>
  </si>
  <si>
    <t>06채박</t>
  </si>
  <si>
    <t>03채박</t>
  </si>
  <si>
    <t>미니다용도집게</t>
  </si>
  <si>
    <t>10동남170v</t>
  </si>
  <si>
    <t>정비공장임대</t>
  </si>
  <si>
    <t>캐타망바가지</t>
  </si>
  <si>
    <t>02.고무트랙</t>
  </si>
  <si>
    <t>06브렉카풀셋</t>
  </si>
  <si>
    <t>영창06돌집게!</t>
  </si>
  <si>
    <t>06일자쁘</t>
  </si>
  <si>
    <t>020미니그라플</t>
  </si>
  <si>
    <t>017미니그라플</t>
  </si>
  <si>
    <t>R520바가지셋</t>
  </si>
  <si>
    <t>10본바가지</t>
  </si>
  <si>
    <t>10급오렌지</t>
  </si>
  <si>
    <t>03휠.타이어</t>
  </si>
  <si>
    <t>에버가06브레카</t>
  </si>
  <si>
    <t>정품포크레인의자</t>
  </si>
  <si>
    <t>SB130H</t>
  </si>
  <si>
    <t>03리퍼무료배송</t>
  </si>
  <si>
    <t>03하독스대박</t>
  </si>
  <si>
    <t>10저소음</t>
  </si>
  <si>
    <t>SB50뿌레카</t>
  </si>
  <si>
    <t>365롱붐대</t>
  </si>
  <si>
    <t>03돌집게대한</t>
  </si>
  <si>
    <t>6w돌집게</t>
  </si>
  <si>
    <t>017뿌레카지성</t>
  </si>
  <si>
    <t>수산140뿌레카</t>
  </si>
  <si>
    <t>02수산bk</t>
  </si>
  <si>
    <t>08일자형뿌</t>
  </si>
  <si>
    <t>06일자브레카</t>
  </si>
  <si>
    <t>10NKTE크라</t>
  </si>
  <si>
    <t>06딱따꾸리</t>
  </si>
  <si>
    <t>클램프</t>
  </si>
  <si>
    <t>저소음브레이커</t>
  </si>
  <si>
    <t>*06지게발3톤</t>
  </si>
  <si>
    <t>06SB50</t>
  </si>
  <si>
    <t>06저소음BK</t>
  </si>
  <si>
    <t>공구리통4루베</t>
  </si>
  <si>
    <t>수산140</t>
  </si>
  <si>
    <t>범면다짐기</t>
  </si>
  <si>
    <t>325쪽바가지</t>
  </si>
  <si>
    <t>볼보360링크</t>
  </si>
  <si>
    <t>08대우채바가지</t>
  </si>
  <si>
    <t>02망대쪽뿌</t>
  </si>
  <si>
    <t>EC700HD</t>
  </si>
  <si>
    <t>10닛빠</t>
  </si>
  <si>
    <t>06형뿌레카</t>
  </si>
  <si>
    <t>닛빠</t>
  </si>
  <si>
    <t>신품02뿌레카</t>
  </si>
  <si>
    <t>R37007</t>
  </si>
  <si>
    <t>08선진면삭기</t>
  </si>
  <si>
    <t>부광멀티크락샤</t>
  </si>
  <si>
    <t>380채박아지</t>
  </si>
  <si>
    <t>현대380리바</t>
  </si>
  <si>
    <t>멀티크락샤</t>
  </si>
  <si>
    <t>텐집게</t>
  </si>
  <si>
    <t>015020집게</t>
  </si>
  <si>
    <t>6리퍼무료배송</t>
  </si>
  <si>
    <t>30진동리퍼</t>
  </si>
  <si>
    <t>08급버켓돌집게</t>
  </si>
  <si>
    <t>06지게발중고</t>
  </si>
  <si>
    <t>06망바가지.</t>
  </si>
  <si>
    <t>02신품체바가지</t>
  </si>
  <si>
    <t>텐뿌레카성진</t>
  </si>
  <si>
    <t>06망바가지..</t>
  </si>
  <si>
    <t>290버켓</t>
  </si>
  <si>
    <t>무유압집게06</t>
  </si>
  <si>
    <t>오리지날진동닛바</t>
  </si>
  <si>
    <t>06본버켓</t>
  </si>
  <si>
    <t>에버바가지링06</t>
  </si>
  <si>
    <t>06박아지</t>
  </si>
  <si>
    <t>10두산채바가지</t>
  </si>
  <si>
    <t>슈퍼140덴뿌</t>
  </si>
  <si>
    <t>06멀티크라샤.</t>
  </si>
  <si>
    <t>R520바가지</t>
  </si>
  <si>
    <t>03바가지시린다</t>
  </si>
  <si>
    <t>03브레카</t>
  </si>
  <si>
    <t>06막집게</t>
  </si>
  <si>
    <t>2.7루베죽통</t>
  </si>
  <si>
    <t>텐바가지</t>
  </si>
  <si>
    <t>460토사바가지</t>
  </si>
  <si>
    <t>08리퍼할인</t>
  </si>
  <si>
    <t>SB80뿌레카</t>
  </si>
  <si>
    <t>06w</t>
  </si>
  <si>
    <t>수산80뿌레카</t>
  </si>
  <si>
    <t>텐인발기</t>
  </si>
  <si>
    <t>140딱따구리</t>
  </si>
  <si>
    <t>08BK크락샤</t>
  </si>
  <si>
    <t>06뿌레카니빠</t>
  </si>
  <si>
    <t>02돌집게한천</t>
  </si>
  <si>
    <t>06크라샤부광</t>
  </si>
  <si>
    <t>sb140s</t>
  </si>
  <si>
    <t>06수산60뿌레</t>
  </si>
  <si>
    <t>015미니그라플</t>
  </si>
  <si>
    <t>1톤로라키시동</t>
  </si>
  <si>
    <t>06유림회전집게</t>
  </si>
  <si>
    <t>380모래박아지</t>
  </si>
  <si>
    <t>06뿌러카</t>
  </si>
  <si>
    <t>08지성일뿌레특</t>
  </si>
  <si>
    <t>2루베죽통</t>
  </si>
  <si>
    <t>130-3L텐뿌</t>
  </si>
  <si>
    <t>08급크럇샤</t>
  </si>
  <si>
    <t>03버켓</t>
  </si>
  <si>
    <t>성진텐뿌레카14</t>
  </si>
  <si>
    <t>영원10브레카</t>
  </si>
  <si>
    <t>다용도트레일러</t>
  </si>
  <si>
    <t>3.5루베죽통</t>
  </si>
  <si>
    <t>영원10부렉카</t>
  </si>
  <si>
    <t>10급절단기</t>
  </si>
  <si>
    <t>380암바가지</t>
  </si>
  <si>
    <t>300바가지</t>
  </si>
  <si>
    <t>55쪽박</t>
  </si>
  <si>
    <t>03고철집게</t>
  </si>
  <si>
    <t>08급매돌집게</t>
  </si>
  <si>
    <t>HM015집게</t>
  </si>
  <si>
    <t>브레이카</t>
  </si>
  <si>
    <t>10돌집게할인</t>
  </si>
  <si>
    <t>*10리퍼할인*</t>
  </si>
  <si>
    <t>저소음브레이카</t>
  </si>
  <si>
    <t>에버06바가지링</t>
  </si>
  <si>
    <t>06에버바가지링</t>
  </si>
  <si>
    <t>고흥10크락샤</t>
  </si>
  <si>
    <t>02신품지겟발</t>
  </si>
  <si>
    <t>06지게발06</t>
  </si>
  <si>
    <t>구형뿌.쪽06</t>
  </si>
  <si>
    <t>현대10클램프</t>
  </si>
  <si>
    <t>부광06크라샤</t>
  </si>
  <si>
    <t>3핀그라플</t>
  </si>
  <si>
    <t>대신500g</t>
  </si>
  <si>
    <t>02유림돌집게</t>
  </si>
  <si>
    <t>중기짱지게발</t>
  </si>
  <si>
    <t>10족바가지</t>
  </si>
  <si>
    <t>볼보360브레카</t>
  </si>
  <si>
    <t>10딱따구리폐기</t>
  </si>
  <si>
    <t>미니신형뿌레카</t>
  </si>
  <si>
    <t>dx140was</t>
  </si>
  <si>
    <t>08딱따구리집게</t>
  </si>
  <si>
    <t>10급뿌레카</t>
  </si>
  <si>
    <t>10급회전집게</t>
  </si>
  <si>
    <t>02망바가지</t>
  </si>
  <si>
    <t>쪽바가지폭500</t>
  </si>
  <si>
    <t>쪽바가지06</t>
  </si>
  <si>
    <t>지산81뿌레카</t>
  </si>
  <si>
    <t>수산40</t>
  </si>
  <si>
    <t>10지산저소음</t>
  </si>
  <si>
    <t>03휠.타이어포</t>
  </si>
  <si>
    <t>10r급절단기</t>
  </si>
  <si>
    <t>02크락사가위겸</t>
  </si>
  <si>
    <t>06집게니빠</t>
  </si>
  <si>
    <t>06일자BK</t>
  </si>
  <si>
    <t>채바가지</t>
  </si>
  <si>
    <t>06유성고철가위</t>
  </si>
  <si>
    <t>볼보015고무트</t>
  </si>
  <si>
    <t>140super</t>
  </si>
  <si>
    <t>02뿌레카최신</t>
  </si>
  <si>
    <t>텐쪽바가지</t>
  </si>
  <si>
    <t>017크랴샤</t>
  </si>
  <si>
    <t>신품정품의자</t>
  </si>
  <si>
    <t>06월성사크라샤</t>
  </si>
  <si>
    <t>08딱따구리</t>
  </si>
  <si>
    <t>08뿌레카지성</t>
  </si>
  <si>
    <t>10집게폐기물</t>
  </si>
  <si>
    <t>06형제집게</t>
  </si>
  <si>
    <t>08멀티자동회전</t>
  </si>
  <si>
    <t>06딱다구리..</t>
  </si>
  <si>
    <t>06콤팩트</t>
  </si>
  <si>
    <t>02신품제겟발</t>
  </si>
  <si>
    <t>탠부레커</t>
  </si>
  <si>
    <t>10대모일자가위</t>
  </si>
  <si>
    <t>대모02뿌레카</t>
  </si>
  <si>
    <t>10급절단가위</t>
  </si>
  <si>
    <t>1차크라샤8w</t>
  </si>
  <si>
    <t>10원드멍텅크라</t>
  </si>
  <si>
    <t>10브레이카</t>
  </si>
  <si>
    <t>06형제나무집게</t>
  </si>
  <si>
    <t>진동닛바</t>
  </si>
  <si>
    <t>08뿌레카신품</t>
  </si>
  <si>
    <t>0203회전집게</t>
  </si>
  <si>
    <t>02관로덧발</t>
  </si>
  <si>
    <t>R480암바가지</t>
  </si>
  <si>
    <t>한우333</t>
  </si>
  <si>
    <t>06쪽바가지06</t>
  </si>
  <si>
    <t>R380리바</t>
  </si>
  <si>
    <t>영원XO-10F</t>
  </si>
  <si>
    <t>광림</t>
  </si>
  <si>
    <t>330CL버켓</t>
  </si>
  <si>
    <t>06쪽바가지.</t>
  </si>
  <si>
    <t>020동양뿌레카</t>
  </si>
  <si>
    <t>멀티크라샤</t>
  </si>
  <si>
    <t>미니크락샤</t>
  </si>
  <si>
    <t>08신품망바가지</t>
  </si>
  <si>
    <t>SB140</t>
  </si>
  <si>
    <t>미니집게신품</t>
  </si>
  <si>
    <t>06뿌레카지성</t>
  </si>
  <si>
    <t>02딱다구리신품</t>
  </si>
  <si>
    <t>gb02브레카</t>
  </si>
  <si>
    <t>법면다짐기</t>
  </si>
  <si>
    <t>210w숏붐</t>
  </si>
  <si>
    <t>0.2딱따구리</t>
  </si>
  <si>
    <t>공팔채바가지</t>
  </si>
  <si>
    <t>06일자bk</t>
  </si>
  <si>
    <t>텐140S</t>
  </si>
  <si>
    <t>준CS3핀집게</t>
  </si>
  <si>
    <t>회전집게</t>
  </si>
  <si>
    <t>02대ㆍ망바가지</t>
  </si>
  <si>
    <t>130쓰리쁘</t>
  </si>
  <si>
    <t>신품바가지02</t>
  </si>
  <si>
    <t>수산140최상급</t>
  </si>
  <si>
    <t>SB80</t>
  </si>
  <si>
    <t>02뿌레카노미신</t>
  </si>
  <si>
    <t>안는타입06</t>
  </si>
  <si>
    <t>03평바가지</t>
  </si>
  <si>
    <t>볼보015트랙</t>
  </si>
  <si>
    <t>R380니빠</t>
  </si>
  <si>
    <t>10뿌래카대운</t>
  </si>
  <si>
    <t>06신품클램프</t>
  </si>
  <si>
    <t>미니그라플</t>
  </si>
  <si>
    <t>면삭기06</t>
  </si>
  <si>
    <t>03회전집게</t>
  </si>
  <si>
    <t>06회전링크</t>
  </si>
  <si>
    <t>06저소음부레가</t>
  </si>
  <si>
    <t>1.4급회크략</t>
  </si>
  <si>
    <t>HM020그라플</t>
  </si>
  <si>
    <t>공투딱따구리</t>
  </si>
  <si>
    <t>유림06집게</t>
  </si>
  <si>
    <t>08폐기물집게</t>
  </si>
  <si>
    <t>020뿌러카</t>
  </si>
  <si>
    <t>미라클06브레카</t>
  </si>
  <si>
    <t>10회전가위</t>
  </si>
  <si>
    <t>02급회전집게</t>
  </si>
  <si>
    <t>대버켓망바가2</t>
  </si>
  <si>
    <t>*2지게발무료배</t>
  </si>
  <si>
    <t>텐쁘레카</t>
  </si>
  <si>
    <t>10폐기물딱따</t>
  </si>
  <si>
    <t>6w풀셋트</t>
  </si>
  <si>
    <t>회전02나무집게</t>
  </si>
  <si>
    <t>06대박</t>
  </si>
  <si>
    <t>380브레카A</t>
  </si>
  <si>
    <t>380급뿌레카</t>
  </si>
  <si>
    <t>08클램프</t>
  </si>
  <si>
    <t>DX55본네트</t>
  </si>
  <si>
    <t>수산SB50</t>
  </si>
  <si>
    <t>06중버켓</t>
  </si>
  <si>
    <t>06대망쪽3종</t>
  </si>
  <si>
    <t>02채신품</t>
  </si>
  <si>
    <t>02쪽바가지신품</t>
  </si>
  <si>
    <t>02본바가지신품</t>
  </si>
  <si>
    <t>017뿌러카</t>
  </si>
  <si>
    <t>480크략샤</t>
  </si>
  <si>
    <t>틸트로테이터06</t>
  </si>
  <si>
    <t>06회전쟙게</t>
  </si>
  <si>
    <t>신품02리퍼</t>
  </si>
  <si>
    <t>신품02클램프</t>
  </si>
  <si>
    <t>미라클360BK</t>
  </si>
  <si>
    <t>신품02지게발</t>
  </si>
  <si>
    <t>농장돌집게06</t>
  </si>
  <si>
    <t>02BK수리완료</t>
  </si>
  <si>
    <t>06딱따구리.</t>
  </si>
  <si>
    <t>08한국멍텅크라</t>
  </si>
  <si>
    <t>02정품트랙</t>
  </si>
  <si>
    <t>06현대클램프</t>
  </si>
  <si>
    <t>원주회전집게</t>
  </si>
  <si>
    <t>02-풀셋</t>
  </si>
  <si>
    <t>신품06딱다구리</t>
  </si>
  <si>
    <t>죽통중고</t>
  </si>
  <si>
    <t>급매06지게발</t>
  </si>
  <si>
    <t>06크라샤06</t>
  </si>
  <si>
    <t>06면삭기06</t>
  </si>
  <si>
    <t>6w풀세트</t>
  </si>
  <si>
    <t>회전돌집게06!</t>
  </si>
  <si>
    <t>유압식02집게</t>
  </si>
  <si>
    <t>02본바가지02</t>
  </si>
  <si>
    <t>03채바가지</t>
  </si>
  <si>
    <t>02고철가위신</t>
  </si>
  <si>
    <t>08딱다구리</t>
  </si>
  <si>
    <t>020-030</t>
  </si>
  <si>
    <t>수산SB140S</t>
  </si>
  <si>
    <t>급06지게발</t>
  </si>
  <si>
    <t>10리퍼특</t>
  </si>
  <si>
    <t>형제06회전집게</t>
  </si>
  <si>
    <t>Sb30수산</t>
  </si>
  <si>
    <t>06리퍼10투스</t>
  </si>
  <si>
    <t>140텐뿌러카</t>
  </si>
  <si>
    <t>420바가지특</t>
  </si>
  <si>
    <t>Sb35수산</t>
  </si>
  <si>
    <t>볼보380클램프</t>
  </si>
  <si>
    <t>EC700HDF</t>
  </si>
  <si>
    <t>03회전짚게</t>
  </si>
  <si>
    <t>02고철가위</t>
  </si>
  <si>
    <t>수산130-2</t>
  </si>
  <si>
    <t>뿌레카셋트</t>
  </si>
  <si>
    <t>기은뿌레카셋트</t>
  </si>
  <si>
    <t>02대박쪽박</t>
  </si>
  <si>
    <t>03스페어타이어</t>
  </si>
  <si>
    <t>010-5015-0202/▶ 각종 중고 다량 보유합니다 ◀//▷ 상담환영  대차가능합니다 ◁//각종 중고 당일현금 매입합니다//렌탈가능합니다//(네이버에서)  경북종합중기 치세요//네이버카페//홈페이지///TEL☏ 010-5015-0202 ☎ 054-655-0620</t>
  </si>
  <si>
    <t>상태아주양호</t>
  </si>
  <si>
    <t>사장님의 사업에 대박나는 장비를 소개 및 판매에 성심성의껏 상담해드리겠습니다./믿음이 곧 저의 신조입니다. 바로 연락주세요. 감사합니다./☎ : 010-7612-2222</t>
  </si>
  <si>
    <t>캣 330 붐/2007년/상태 최강!/특AAA~!/800만</t>
  </si>
  <si>
    <t>상태양호</t>
  </si>
  <si>
    <t>♣♣♣♣♣♣♣♣♣♣♣♣♣♣♣♣♣♣♣♣♣♣♣♣♣♣//♬ 비젼코리아 장  호  상♬//☎:010-6775-5550///↗매물다량 보유중/현금 최고가매입/위탁판매/대차 / 임대 전문입니다//↗농장용장비.수출.폐차. 캐피탈할부까지/고객님의 만족을 위해 최선을 다하겠습니다//↗주기장주소:경북 고령군 성산면 고탄공단길 6/사무실전화:054-954-9955/팩스:054-954-9956//↗상세사진이 필요하시거나 문의사항 전화주시면/친절하고 정직하게 상담드리겠습니다 ^-^//♡더 많은 정보를 원하신다면 여기를 클릭해주세요////♣♣♣♣♣♣♣♣♣♣♣♣♣♣♣♣♣♣♣♣♣♣♣♣♣♣♣</t>
  </si>
  <si>
    <t>06쪽바가지/상태 좋습니다/언제든 편안히 연락주십시오 감사합니다~^^</t>
  </si>
  <si>
    <t>특</t>
  </si>
  <si>
    <t>장비특 A급/장비고가 매입및 위탁판매.수출.렌탈/전액 캐피탈할부 및  운영자금대출/민중기  매매상사  .정성균/010-3644-0708</t>
  </si>
  <si>
    <t>...</t>
  </si>
  <si>
    <t>상태굿</t>
  </si>
  <si>
    <t>연락주세요</t>
  </si>
  <si>
    <t>AAA</t>
  </si>
  <si>
    <t>AAAAA</t>
  </si>
  <si>
    <t>수리완료</t>
  </si>
  <si>
    <t>*03리퍼 40/*06리퍼 75/*08 리퍼 140만원/*10리퍼 180/*도자 D9N투스사용./*마모 부위 특수강 보강./*버켓전문 제작공장입니다. 주문제작은 물론 미니굴삭기버켓에서 대형까지 전화주십시요. 최선을 다하겠습니다./*아래의 홈페이지를 방문하시면 더 많은 제품을 보실 수 있습니다.//</t>
  </si>
  <si>
    <t>문의주세요</t>
  </si>
  <si>
    <t>ㅁㅁㅁ</t>
  </si>
  <si>
    <t>ㅣ</t>
  </si>
  <si>
    <t>상태 좋습니다/언제든 편안히 연락주십시오 감사합니다~^^</t>
  </si>
  <si>
    <t>언제든지 연락주세요</t>
  </si>
  <si>
    <t>`</t>
  </si>
  <si>
    <t>010-4857-8209/전화주세요~^^</t>
  </si>
  <si>
    <t>좋아요..</t>
  </si>
  <si>
    <t>☆ 상태 좋습니다./연락 주십시요.//☆ 신품과 중고 어태치먼트/전문매매 회사입니다.//☆ 전차종 중고 어태치먼트/매입합니다.//☆ 필요하신 어태치먼트가/있으시면 언제든지/연락 주십시요.//☆ 대전 어태치먼트/010 5424~7793//☆ 대전 어태치먼트/010 4857~8209//※※※※※ 감사합니다 ※※※※※</t>
  </si>
  <si>
    <t>전화주시면 감사하겠습니다.</t>
  </si>
  <si>
    <t>● 다른매물도있으니 둘러보고가세요 ^-^////○ 여기클릭☞/○////● 네이버에 "굴삭기나라" 를 검색하셔도 나옵니다 ●//└───────────────────────┘////청주 비전 코리아 ☎ 010-4181-5558 김서기///☞ 장비 고가매입/ 임대/ 대차/ 수출상담 위탁판매 합니다   ( 할부 가능 )///☞장비성실히 상담해 드리겠습니다. 전화주세요^-^</t>
  </si>
  <si>
    <t>상태좋아요</t>
  </si>
  <si>
    <t>상태좋음</t>
  </si>
  <si>
    <t>최상급</t>
  </si>
  <si>
    <t>AAA.../전화문의 환영합니다...</t>
  </si>
  <si>
    <t>★(세부사진전송가능)★///&lt;이외 매물 다수/고가 매입/수출 견적 친절히 상담/운반/캐피탈 작업가능&gt;//★기타..자세한 사항은 전화 상담요망 24시간 친절히 상담해 드립니다.★///★ 김 윤 대  ☎ 010-4926-0024 ★/★ 김 윤 대  ☎ 010-4926-0024 ★/★ 김 윤 대  ☎ 010-4926-0024 ★</t>
  </si>
  <si>
    <t>사진전송</t>
  </si>
  <si>
    <t>♥ 기적이란 천천히 이루어지는 것이다. ♥//《경서건설기계매매상사》//오해성▶ 010-9291-3500 ▶ FAX:053-581-6602//건설기계 고가매입/견적친절상담/이외매물다수/항상 최선을 다하겠습니다. 연락주세요^^</t>
  </si>
  <si>
    <t>★ 대전 어태치먼트 박용수 ★/010 4857 8209///♠♤♠♤♠♤♠♤♠♤♠♤♠♤♠♤♠♤♠♤♠///네이버 블로그 :///네이버 카페 :///다음 카페 :///카카오톡 ID : pys7242 친구추가.//Email :///페이스북 :////♠♤♠♤♠♤♠♤♠♤♠♤♠♤♠♤♠♤♠♤♠</t>
  </si>
  <si>
    <t>.</t>
  </si>
  <si>
    <t>A급</t>
  </si>
  <si>
    <t>델 명 : 볼보 360 암붐/년 식 : 2007년/차량상태 : 특급~!!!/차량 판매 금액 : 250만원///(주) 탑 건설기계 매매상사</t>
  </si>
  <si>
    <t>상태최상</t>
  </si>
  <si>
    <t>*올보강버켓입니다/*판스프링으로 보강하였습니다/*버켓전문 제작공장입니다. 주문제작은 물론 미니굴삭기버켓에서 대형까지 전화주십시요. 최선을 다하겠습니다./*아래의 홈페이지를 방문하시면 더 많은 제품을 보실 수 있습니다.//</t>
  </si>
  <si>
    <t>**청광건설기계매매**//M)010-5211-7382/T)032-326-4392~3/F)032-326-4394/E)//E)//////주기장 주소 : 인천 서구 경서동 374-25</t>
  </si>
  <si>
    <t>010-6315-5904</t>
  </si>
  <si>
    <t>모 델 명 : R520바가지셋트/년 식 : 2012년/암 바가지 채 바가지/차량상태 : 특급~!!!/차량 금액 : 1300만원///(주) 탑 건설기계 매매상사</t>
  </si>
  <si>
    <t>장비상태 최상급입니다.../각종장비 매매 및 임대/중장비할부 및 운영자금대출/임주호  010-4279-1265</t>
  </si>
  <si>
    <t>010-9382-1992</t>
  </si>
  <si>
    <t>노미 신품 장착/영원 k5200 텐 브레카/올수리 후 미사용 상태 특특특//대구구일세림박길수/010-3508-7370</t>
  </si>
  <si>
    <t>양호</t>
  </si>
  <si>
    <t>*2.5Ton 포크사용/*버켓전문 제작공장입니다. 주문제작은 물론 미니굴삭기버켓에서 대형까지 전화주십시요. 최선을 다하겠습니다./*아래의 홈페이지를 방문하시면 더 많은 제품을 보실 수 있습니다.//</t>
  </si>
  <si>
    <t>....</t>
  </si>
  <si>
    <t>새것입니다</t>
  </si>
  <si>
    <t>★장비상태-특특상/★중고 장비 최고가 당일 현금 매입합니다/★전화주세요/★성실히 상담해 드리겠습니다/☎010-5332-6985/☎010-5332-6985/★황부장/♥♥♥수출장비 상담 환영합니다♥♥♥/♥♥♥위탁 판매도 해드립니다♥♥ `/◀(세부사진전송가능)▶</t>
  </si>
  <si>
    <t>모 델 명 : 두산 DX420 스탠다드 붐!/년 식 : 2010년 6월/판매 금액 : 1300만원/차량 상태 : 특급~!///(주) 탑 건설기계 매매상사</t>
  </si>
  <si>
    <t>삼개월써읍니다.필요하신분열락주세요.</t>
  </si>
  <si>
    <t>02뿌레카 올수리완료/상태최상입니다/전화주세요</t>
  </si>
  <si>
    <t>06표준버켓 가격은 100만원 입니다./버켓보강한 상태 입니다.//010-5465-8969//자세한점은 전화주시길 바랍니다./사진도 필요하시면 카톡으로 보내드립니다..//* 찾아오시는 길*//위치 : 청주시 서원구 남이면 청남로 1246/네이버카페:/</t>
  </si>
  <si>
    <t>***세부사진전송***//08용(현대)    채바가지  :  130만원//대구구일세림박길수/010-3508-7370</t>
  </si>
  <si>
    <t>대신 TB500G 브레카(10급)/현재 사용중 입니다./상태 좋아요~//대구구일세림박길수/010-3508-7370</t>
  </si>
  <si>
    <t>전화주세요.</t>
  </si>
  <si>
    <t>상태양호 별도판매가능</t>
  </si>
  <si>
    <t>현대210w스탠다드 붐대암대팝니다 사진전송해드립니다</t>
  </si>
  <si>
    <t>신품</t>
  </si>
  <si>
    <t>상태특~~~~~~~~~</t>
  </si>
  <si>
    <t>최고!</t>
  </si>
  <si>
    <t>08급 가위는신품입니다 -월드-/08급 크라샤는 2013년식입니다  -애버다임-/사진은문자로 드리겟습니다/연락주세요   010-3837-6355</t>
  </si>
  <si>
    <t>제주지역 회전집게 구매합니다.</t>
  </si>
  <si>
    <t>현대것도잇음.상태매우좋스니다</t>
  </si>
  <si>
    <t>수산130-3L 텐뿌레카입니다/상태좋습니다</t>
  </si>
  <si>
    <t>그 외 어테치 다수 보유중입니다.//언제든 연락 주세요.//24시간 열린번호 010 8677 2050</t>
  </si>
  <si>
    <t>수산 08뿌레카 (탑형)/좋습니다~^^/언제든 연락주십시오 감사합니다~^^</t>
  </si>
  <si>
    <t>전화주세요/신품</t>
  </si>
  <si>
    <t>거창집게입니다/전남이고요 250에팝니다/사용하는데 이상없습니다</t>
  </si>
  <si>
    <t>24시간 열린번호//010 8677 2050//언제든 연락주세요 *^^*</t>
  </si>
  <si>
    <t>사진전송해드립니다.</t>
  </si>
  <si>
    <t>에버다임 신형 06뿌레카입니다/상태좋습니다</t>
  </si>
  <si>
    <t>회전 됩니다. 연락주세요.</t>
  </si>
  <si>
    <t>언제든지 연락죽세요</t>
  </si>
  <si>
    <t>기재년식과 제작년식이 상이함///# 06채바가지    80만원//# 08채바가지   150만원//# 10채바가지   200만원//# 10오렌지그라플  300만원//# 08버켓  120만원//# 06브레카(디엔비) 200만원//# 10본버켓 (현대) 260만원///그외 물건///# 10바가지링크(동남제품) 80만원//# 각종엔진(신품외 중고) * 가격협의가능//# 각종붐대 *가격협의가능//# DX300-3 신품붐대세트  700만원//# EC290 붐대세트 500만원//# EC290 실린더 바가지링크포함 160만원//# 현대6W 붐대세트 400만원//# R140W오무리 200만원//# EC290오무리 200만원</t>
  </si>
  <si>
    <t>씰교환. 수산81과동일</t>
  </si>
  <si>
    <t>삼사 사용가능</t>
  </si>
  <si>
    <t>삼영1톤로라 세루모터 키시동방식 엔진.(밧데리없음)/상태양호 경정비완료/표기된 제작년월일은 불명확함. 마지막 매물임.</t>
  </si>
  <si>
    <t>08급 S220LC-V 장착사용함. 년식불명./크럇샤 파쇄기 모텔:K200./문의 010-3501-6602. 054-285-5900</t>
  </si>
  <si>
    <t>'''''/$$  올보강한 10급바가지입니다.../3사 사용가능합니다  010-3663-8415</t>
  </si>
  <si>
    <t>올수리 하독스 c    텔테이블올수리  사진전송가능</t>
  </si>
  <si>
    <t>2016년 고객만족도 1위제품!!/현대 정품 굴삭기 의자를 소개해드립니다./장시간 작업에도 피로감이 덜하구요./전국 어디에도 이런가격 없습니다./언제든 연락 주세요//24시간 열린번호 010 8677 2050/아버님께 올 명절 선물로 현대정품굴삭기 의자는 어떠세요?</t>
  </si>
  <si>
    <t>텐 5톤 지게발입니다/필요하신분 연락주세요</t>
  </si>
  <si>
    <t>영원5500-3텐뿌레카/올수리완료 상태최상입니다/전화주세요</t>
  </si>
  <si>
    <t>전화주세요./사진 전송해드립니다./신품 미니 뿌레카 180만원 부가세별도.</t>
  </si>
  <si>
    <t>정회수 010-7436-3747//상태좋아요.타격잘나옴.최근 노미교체.자세한 내용 사진은 전화주세요</t>
  </si>
  <si>
    <t>쪽바가지 33만원./본바가지 40만원./대바가지 40만원./망바가지 60만원./전화주세요.</t>
  </si>
  <si>
    <t>광림sg3400텐뿌레카/타격력좋고 상태최상입니다/전화주세요</t>
  </si>
  <si>
    <t>구보다17적용 에버다임브레이카/상태최상</t>
  </si>
  <si>
    <t>2개입니다. 개당 130만원 타격은 잘나옵니다. 누유없습니다.</t>
  </si>
  <si>
    <t>도색노랑색으로 했습니다. 아래사진입니다.</t>
  </si>
  <si>
    <t>신품 03W봉타입지게발</t>
  </si>
  <si>
    <t>성능양호!!!수산SB50과동일한스팩으로부품공용제품입니다.</t>
  </si>
  <si>
    <t>360 380 모래 바가지 입니다</t>
  </si>
  <si>
    <t>각각 140만원에 정리합니다./언제든 열린번호/010 8677 2050</t>
  </si>
  <si>
    <t>고철 나무집게 용이합니다 상태좋습니다</t>
  </si>
  <si>
    <t>300박아지</t>
  </si>
  <si>
    <t>대한 10회전돌집게입니다/얼마사용안함/상태최상입니다</t>
  </si>
  <si>
    <t>06회전집게 급판매 합니다~ 실린더 상태 좋구요 잘관리된 상태 입니다~ 장비정리하면서 정리하게 되었습니다/가격은 300에 올립니다~ 문의010 6661 5621 연락주세요</t>
  </si>
  <si>
    <t>저소음브레이커 900만원/올수리 완료</t>
  </si>
  <si>
    <t>크라샤 1200만원/올수리 완료</t>
  </si>
  <si>
    <t>돌집게 600만원/올수리 완료</t>
  </si>
  <si>
    <t>닛빠 120만원</t>
  </si>
  <si>
    <t>대한06코끼리집게 팝니다</t>
  </si>
  <si>
    <t>★최선을 다하겠습니다 이 창 은입니다★/☎:010-3829-2152//◐◑토. 일 정상근무합니다./365일 연중 무휴~~장비보러 오세요 환영합니다///↗매물다량 보유중.현금 최고가매입.위탁판매/대차.임대 전문입니다//↗농장용장비.수출.폐차. 캐피탈할부까지/고객님의 만족을 위해 최선을 다하겠습니다//비젼코리아:경북 고령군 성산면 고탄공단길 6/전화:054-954-9955/팩스:054-954-9956//♡더 많은 정보를 원하신다면 여기를 클릭해주세요/</t>
  </si>
  <si>
    <t>준씨에스제품/2시간사용/얀먀035장착/290만원구매</t>
  </si>
  <si>
    <t>장비를 정리를 해서 이렇게 글을 올리게 되었습니다  상태 좋은 대한 돌집게 구요~/급가격 300에 판매합니다~ 많은 관심 부탁드립니다.</t>
  </si>
  <si>
    <t>본바가지는 판매 완료했음...</t>
  </si>
  <si>
    <t>010-9466-5691</t>
  </si>
  <si>
    <t>★비 젼 코 리 아  문 정 식 과장 입니다★///♡더 많은 정보를 원하신다면 여기를 클릭해주세요.//네이버 블로그-///☎:010-9266-4615///-비젼코리아:경북 고령군 성산면 고탄공단길 6-//전화:054-954-9955/팩스:054-954-9956///---------믿 음 에 보 답 하 겠 습 니 다---------</t>
  </si>
  <si>
    <t>포크제질중 최상급 제질인 보론강 포크를 직수입하여 제작을합니다//5톤급부터 사용하는 17bmb보론강을 사용하여 부러지지 않는 강력한 포크를 장착해 드리며 포크 흔들림도 거의 없습니다.//기존 포크인 크롬강포크보다 강한 제질이며//보론강포크는 포크 만드는 제질중 최상위 제질입니다////////03지게발 2.5톤- 98만//06지게발 2.5톤- 109만//06지게발 3톤 - 115만////////언제든 열린번호 010 8677 2050</t>
  </si>
  <si>
    <t>특.</t>
  </si>
  <si>
    <t>특...020    030용입니다////할부 / 대차 가능합니다   *장비고가매입*//장비에대한 모든것 전화주시면 성실하게 설명드리도록 하겠습니다////ㅊ청원건설기계매매상사//대표   김 홍 서//청원(남청주)IC 에서 5분거리</t>
  </si>
  <si>
    <t>신품 미니뿌레카 180만원입니다./전화주세요.</t>
  </si>
  <si>
    <t>특사진전송가능</t>
  </si>
  <si>
    <t>필요하신분은 연락주세요.</t>
  </si>
  <si>
    <t>수리완료.누유없고.파워굳.호스1개드림니다</t>
  </si>
  <si>
    <t>흙한봉45c 32파이 옆판간살  45c 22T/08급재료사용하였읍니다/외폭 1140 망사이즈 100/100/특판가 1400000/010-9382-1992</t>
  </si>
  <si>
    <t>중고와 교환 합니다/보강시 대여 합니다</t>
  </si>
  <si>
    <t>볼보중고바가지로 만든거로 두산 현대도 사용가능합니다.</t>
  </si>
  <si>
    <t>새재품입니다...</t>
  </si>
  <si>
    <t>최근까지사용함/특</t>
  </si>
  <si>
    <t>상태좋아요.</t>
  </si>
  <si>
    <t>1.SB-40 겉부싱.속부싱.셀.노미교환/140만원/2.SB-40 노랭이 셀교환/160만원</t>
  </si>
  <si>
    <t>수산브렉카/중기짱지게발/쪽버켓.니퍼   상태특A급</t>
  </si>
  <si>
    <t>**동작 기능 양호 **  0000  시간 아래참조 **//쁘레카 및 어태치/06급-영원300-충남**\ 280 만/06급- 본버켓(120만)-채버켓(90만)-일자쁘(\350만) 니퍼 60만/06 숏붐 두산정품(\160만)---별도판매//10급-수산SB130G-2010년-인천**\ 550 만--양호/10급-XO-10 BK-충남-1400 만----양호/460급-옥진회전식크략샤--2016-10월-경기**\ 3800 만--4개월사용//건강하시고 사업번창 하시길 기원합니다/그외 매물 궤도 타이어 다수보유 친절하게 상담해드립니다/** 천일 박장수 입니다  010-3733-3097</t>
  </si>
  <si>
    <t>그라죠/10급</t>
  </si>
  <si>
    <t>특특 상태좋습니다</t>
  </si>
  <si>
    <t>현대 정품 굴삭기 의자(쇼바)입니다.////저희 best 상품이구요////워낙에 유명하니 다들 아실거에요.////전 기종 호환 가능하구요.////지게차 의자도 있으니 언제든 연락 주세요.////010 2749 0010</t>
  </si>
  <si>
    <t>올수리 했습니다.//전화주시면 감사하겠습니다.</t>
  </si>
  <si>
    <t>하독스대박 550000/일반용대박 450000/010-9382-1992</t>
  </si>
  <si>
    <t>06채버켓 폭1200mm 110만원///▶˙˙˙ 영신건설기계(수출/할부/매매) ˙˙˙◀//안녕하세요 *^^*/항상 “최선“을 다하는 영신건기 입니다.//언제나 ★정직하게★ 상담하오니/→ 편안하게 전화 주세요 ←//●카톡이나 문자 주시면 상세사진 보내드릴께요.~♥//▷문의: 010-9500-3600 (양광규)◁/사무실: 053-586-3041</t>
  </si>
  <si>
    <t>10급 저소음 브레이커/상태최상/올수리 완료</t>
  </si>
  <si>
    <t>사진전송가능/언제든지 연락주세요</t>
  </si>
  <si>
    <t>상태 좋아요/언제든 연락 주세요/010 2749 0010</t>
  </si>
  <si>
    <t>사진전송 가능.</t>
  </si>
  <si>
    <t>사진전송 가능</t>
  </si>
  <si>
    <t>중고바가지와 교환가능/보강시 대여합니다</t>
  </si>
  <si>
    <t>노미유격한게도없네요 아주쓸만해요</t>
  </si>
  <si>
    <t>상태양호합니다.</t>
  </si>
  <si>
    <t>수산 SB81TRF 일자형 08뿌레카</t>
  </si>
  <si>
    <t>신품입니다/370만원</t>
  </si>
  <si>
    <t>텐급 클램프 130만원/올수리 완료</t>
  </si>
  <si>
    <t>화인06뿌레카입니다</t>
  </si>
  <si>
    <t>06 저소음 브레이카/올수리 완료</t>
  </si>
  <si>
    <t>각.각.60만원</t>
  </si>
  <si>
    <t>06수산저소음BK 450만원///▶˙˙˙ 영신건설기계(수출/할부/매매) ˙˙˙◀//안녕하세요 *^^*/항상 “최선“을 다하는 영신건기 입니다.//언제나 ★정직하게★ 상담하오니/→ 편안하게 전화 주세요 ←//●카톡이나 문자 주시면 상세사진 보내드릴께요.~♥//▷문의: 010-9500-3600 (양광규)◁/사무실: 053-586-3041</t>
  </si>
  <si>
    <t>06지겟발 80만원///▶˙˙˙ 영신건설기계(수출/할부/매매) ˙˙˙◀//안녕하세요 *^^*/항상 “최선“을 다하는 영신건기 입니다.//언제나 ★정직하게★ 상담하오니/→ 편안하게 전화 주세요 ←//●카톡이나 문자 주시면 상세사진 보내드릴께요.~♥//▷문의: 010-9500-3600 (양광규)◁/사무실: 053-586-3041</t>
  </si>
  <si>
    <t>010-9429-0482</t>
  </si>
  <si>
    <t>신품입니다./4루베입니다./연락주세요.</t>
  </si>
  <si>
    <t>R300</t>
  </si>
  <si>
    <t>절충가능!상담환영!</t>
  </si>
  <si>
    <t>유격한개도없네요</t>
  </si>
  <si>
    <t>사용을 많이 하지 않아/상태 양호 합니다./한우 06~08겸용 범면 다짐기 입니다./유압호스는 교환 해 드립니다.</t>
  </si>
  <si>
    <t>보강 잘 되어 있읍니다</t>
  </si>
  <si>
    <t>상태 아주 좋아요~//대구구일세림박길수/010-3508-7370</t>
  </si>
  <si>
    <t>수산 08뿌레카 (탑형)/상태 좋습니다/언제든 편안히 연락주십시오 감사합니다~^^</t>
  </si>
  <si>
    <t>수리완료.수산81과동일</t>
  </si>
  <si>
    <t>*모델명 : EC700 HD DF/* 일련번호 197420/* 신형 입니다.</t>
  </si>
  <si>
    <t>신품 텐 닛빠 160만원</t>
  </si>
  <si>
    <t>★ 영원브레이카 5500-3   750만원들여서 올수리한 장비입니다.  상태A급//★ 연합건설기계매매상사 김창수 010-2584-1757//★★ 각종 중고 건설기계 최고가 매입 ★★//★ 매물 다량 보유중 ★//★ 전화주시면 고객님의 입장에서 응대해 드리겠습니다 ★//★ 믿음과 정직으로 매매합니다</t>
  </si>
  <si>
    <t>광림 신형 06뿌레카입니다.</t>
  </si>
  <si>
    <t>중고 닛빠 120만원</t>
  </si>
  <si>
    <t>광림K-1 텐뿌레카입니다/파워 내구성 아주좋습니다</t>
  </si>
  <si>
    <t>02닛빠 35만원/06닛빠 70만원</t>
  </si>
  <si>
    <t>고흥10 크락샤/올수리 완료</t>
  </si>
  <si>
    <t>부광 멀티 크락샤/올수리 완료</t>
  </si>
  <si>
    <t>그린중기매매상사/노 진 석/010 - 6665 - 6200</t>
  </si>
  <si>
    <t>015 017 020 025  미니굴삭기 호환됩니다./전화주세요.</t>
  </si>
  <si>
    <t>세이브30 진동리퍼/올수리 완료</t>
  </si>
  <si>
    <t>상태 좋아요./실 사용횟수 얼마 안되요/연락주세요</t>
  </si>
  <si>
    <t>전</t>
  </si>
  <si>
    <t>성진 텐뿌레카/1. 위치:경기도 양주시/2. 연락처:010-5050-0832/꼭 사실분만 연락 부탁드리겠습니다.</t>
  </si>
  <si>
    <t>상태양호함.</t>
  </si>
  <si>
    <t>06본버켓외폭110입니다.</t>
  </si>
  <si>
    <t>상태굿. 연락주세요</t>
  </si>
  <si>
    <t>수산 SB81TRF 일자형  08뿌레카입니다/010-3846-7987 권혁도 울산</t>
  </si>
  <si>
    <t>연락주시면사진보내드리겠습니다``개인</t>
  </si>
  <si>
    <t>210w 숏암 숏붐 각각40cm</t>
  </si>
  <si>
    <t>A/S 6개월 해드립니다.//전화주시면 감사하겠습니다.</t>
  </si>
  <si>
    <t>수산40  180만  03브레카 140만  한우03  110만</t>
  </si>
  <si>
    <t>세부사진및 자세한사항은 연락바랍니다...</t>
  </si>
  <si>
    <t>좋아요</t>
  </si>
  <si>
    <t>사진전송 가능 올수리</t>
  </si>
  <si>
    <t>김해에 있구요/올 수리/도색/완료된/착한아이랍니다/연락주세요/010 2749 0010</t>
  </si>
  <si>
    <t>수산130-3L텐뿌레카/쎌교환 겉부싱 교환 올수리완료/상태최상입니다/전화주세요</t>
  </si>
  <si>
    <t>두산 140에서 떼어 놓은겁니다</t>
  </si>
  <si>
    <t>08 크락샤//제작사: BK//문의전화 환영합니다.//그린중기 노진석/010-6665-6200///--------------------------------------------------------------------------------</t>
  </si>
  <si>
    <t>한우06뿌레카 250만원 니빠 거의 세것 110 주고산거 70만원  합 320 만원에 팔아요</t>
  </si>
  <si>
    <t>삼영1톤진동로라 키시동/상태 좋음. 현장바로투입 가능./사용시간 적으나 현장에서 관리소홀로 외부도색 섭섭함.</t>
  </si>
  <si>
    <t>신품 2루르배박아지</t>
  </si>
  <si>
    <t>에버다임 신형06뿌레카입니다/상태최상입니다</t>
  </si>
  <si>
    <t>잘 때려 집니다. 좋습니다~^^/언제든 편안히 연락주십시오 감사합니다~^^</t>
  </si>
  <si>
    <t>미사용.3.5루베-155만원</t>
  </si>
  <si>
    <t>보강 잘  되어있고  상태 좋아요</t>
  </si>
  <si>
    <t>08급 S220LC-V 장착사용함. 년식불명./크럇샤 2차파쇄기 모텔:K200./문의 010-3501-6602. 054-285-5900</t>
  </si>
  <si>
    <t>장비라인 설치하고 집게 테스트만 했음 전화주셔봐요.</t>
  </si>
  <si>
    <t>04이빨개조 상태좋음.</t>
  </si>
  <si>
    <t>세부사진및 자세한 사항은연락바랍니다...</t>
  </si>
  <si>
    <t>현장에서 다용도로 쓰기에좋아요.</t>
  </si>
  <si>
    <t>.....</t>
  </si>
  <si>
    <t>영원5500-3 텐뿌레카/쎌교환 올수리완료/상태최상입니다/전화주세요</t>
  </si>
  <si>
    <t>장비특 A급/장비고가 매입및 위탁판매.수출.렌탈/전액 캐피탈할부 및  운영자금대출/민중기  매매상사  .정성균/010-3644-0708/영원5200임</t>
  </si>
  <si>
    <t>연일기계절단기</t>
  </si>
  <si>
    <t>전체특</t>
  </si>
  <si>
    <t>동작 확인 가능합니다.</t>
  </si>
  <si>
    <t>협의</t>
  </si>
  <si>
    <t>수산SB140S 브레이커/올수리 완료</t>
  </si>
  <si>
    <t>수산 06저소음 브레이카/올수리 완료</t>
  </si>
  <si>
    <t>신품 10 닛빠</t>
  </si>
  <si>
    <t>상태 좋습니다.</t>
  </si>
  <si>
    <t>고흥 10 크락샤/올수리완료</t>
  </si>
  <si>
    <t>Aaa</t>
  </si>
  <si>
    <t>신형02뿌레카 입니다./190만원 부가세별도입니다./감사합니다.</t>
  </si>
  <si>
    <t>상태넘 좋아요../사진전송가능</t>
  </si>
  <si>
    <t>중고와 교환/현대 볼보 사용가능 합니다</t>
  </si>
  <si>
    <t>사진전송기능</t>
  </si>
  <si>
    <t>중고와 교환 합니다</t>
  </si>
  <si>
    <t>중고와교환 합니다/보강시 대체 합니다</t>
  </si>
  <si>
    <t>사진전송가능합니다</t>
  </si>
  <si>
    <t>두산 볼보 사용 합니다/중고와 교환 합니다</t>
  </si>
  <si>
    <t>2루베-120만원.기타 주문제작 합니다.</t>
  </si>
  <si>
    <t>수산 08뿌레카 (탑형)/상태 좋습니다. 자~알 때려집니다~^^/언제든 편안히 연락주십시오 감사합니다~^^</t>
  </si>
  <si>
    <t>한번작업함</t>
  </si>
  <si>
    <t>대신 10급 뿌레카 자세한건 전화주세요</t>
  </si>
  <si>
    <t>대한10급 회전집게 필요하신분 연락주세요</t>
  </si>
  <si>
    <t>두산 DX140에 사용하던 녀석입니다/연락주세요//010 8677 2050</t>
  </si>
  <si>
    <t>작동 잘 되고 힘도 좋습니다.</t>
  </si>
  <si>
    <t>08뿌레카 입니다/수리완료 됐구요/도색도 완료했답니다/언제든 연락주세요/010 8677 2050</t>
  </si>
  <si>
    <t>연일기계</t>
  </si>
  <si>
    <t>대운5000 텐뿌레카입니다/상태좋습니다</t>
  </si>
  <si>
    <t>가위 크락샤  바꿔끼울수 있음   두개다 보유//010-8440-0013   꼭 필요하신분만 전화 주세요  상태 특A</t>
  </si>
  <si>
    <t>"010-8511-7146"으로 전화주세요</t>
  </si>
  <si>
    <t>010-8511-7146 으로 전화주세요</t>
  </si>
  <si>
    <t>볼보 EC15B용 고무트랙 신품1벌...</t>
  </si>
  <si>
    <t>수산140s입니다/누유업고 상태최상입니다/절충가능</t>
  </si>
  <si>
    <t>텐 쪽바가지/상태양호합니다</t>
  </si>
  <si>
    <t>......</t>
  </si>
  <si>
    <t>지산 81모델이구요//08뿌레카 입니다//수리완료했구요//도색도 완료 됐어요//언제든 연락 주세요//010 8677 2050</t>
  </si>
  <si>
    <t>대모회전식자동멀티크러셔입니다올수리되어있습니다바로사용하시면됩니다감사합니다 죠는하독스로용접보강하였습니다</t>
  </si>
  <si>
    <t>JK 10돌집게/올수리 완료</t>
  </si>
  <si>
    <t>전기종 고무트랙 보유중/언제든 연락주세요//010 8677 2050</t>
  </si>
  <si>
    <t>샐교환 상태좋와요</t>
  </si>
  <si>
    <t>올수리 시린다셀교환 커터날교환 좋습니다전화주세요감사합니다</t>
  </si>
  <si>
    <t>연락주시면사진보내드리겠습니다</t>
  </si>
  <si>
    <t>06 돌집게 팜니다  두산사용했습니다상태좋아요</t>
  </si>
  <si>
    <t>장비 라인 깔고 테스트만 했음. 신품입니다.</t>
  </si>
  <si>
    <t>연일기계제품!!</t>
  </si>
  <si>
    <t>03돌집게130별도판매</t>
  </si>
  <si>
    <t>사진전승가능  최신형</t>
  </si>
  <si>
    <t>볼보 신형타입으로 호스 제작 상태양호</t>
  </si>
  <si>
    <t>언제든지 연락 주세요//자체제작품으로 가격대비 기능 짱짱 좋습니다.//010 8677 2050</t>
  </si>
  <si>
    <t>기재년식과 제작년식이 상이함///# 06채바가지    80만원//# 08채바가지   150만원//# 10채바가지   200만원//# 10오렌지그라플  300만원//# 08버켓  120만원//# 06브레카(디엔비) 200만원//# 10본버켓 (현대) 260만원//# 08돌집게(우진) 300만원</t>
  </si>
  <si>
    <t>상태아주양호함.</t>
  </si>
  <si>
    <t>세부사진및 자세한 사항은 연락바랍니다...</t>
  </si>
  <si>
    <t>특급임니다</t>
  </si>
  <si>
    <t>010-8511-7146 으로 전화 주세요</t>
  </si>
  <si>
    <t>02.돌집게 교환도가능.</t>
  </si>
  <si>
    <t>세부사진및 자세한문의는 연락바랍니다...</t>
  </si>
  <si>
    <t>타격 좋습니다.   가스 정량    바로 사용하시면 됨  010-8440-0013</t>
  </si>
  <si>
    <t>언제든 연락 주세요 010 8677 2050</t>
  </si>
  <si>
    <t>상태 좋아요. 연락주세요//010 8677 2050</t>
  </si>
  <si>
    <t>쎌 모두교환</t>
  </si>
  <si>
    <t>고흥  미니 17-20  투실린더이고 스피드밸브있는/크락샤 입니다/사진은 전송 됩니다</t>
  </si>
  <si>
    <t>언제든 연락 주세요//010 8677 2050</t>
  </si>
  <si>
    <t>연락주세요/010 8677 2050</t>
  </si>
  <si>
    <t>수산텐뿌레카입니다</t>
  </si>
  <si>
    <t>2년전에 한번 장착만 한 제품입니다</t>
  </si>
  <si>
    <t>210w숏암  숏붐 각각40cm</t>
  </si>
  <si>
    <t>세부사진및 자세한 사항은 연락바랍니다..</t>
  </si>
  <si>
    <t>DMA 06 회전돌집게 입니다/얼마사용안했으며 상태좋습니다</t>
  </si>
  <si>
    <t>두산용 06쪽바가지</t>
  </si>
  <si>
    <t>상태좋아요./연락주세요.</t>
  </si>
  <si>
    <t>두산장비사용 상태좋아요</t>
  </si>
  <si>
    <t>03대박/스프링105cm</t>
  </si>
  <si>
    <t>A버다임</t>
  </si>
  <si>
    <t>상태최상/현제사용중이고 누유없습니다</t>
  </si>
  <si>
    <t>06돌집게  입니다</t>
  </si>
  <si>
    <t>06회전집게 판매합니다. 연락주시면 사진전송해드리겠습니다.</t>
  </si>
  <si>
    <t>600시간 사용 사진전송가능</t>
  </si>
  <si>
    <t>수산슈퍼140 최상급 1100만원////* ━━ 유성건설기계매매상사 정기석입니다 ━━ *//☞ 장비문의 언제든지 상담 가능하오니 ☎전화 많이 주세요~ ^^.☜/오늘도 행복하시고 즐거운 하루 보내세요!!/▷매입문의: 010-9595-0019 (정기석)◁ ▷매입문의: 010-9595-0019 (정기석)◁</t>
  </si>
  <si>
    <t>경남 김해에있고//올 수리된 녀석입니다.//도색도 완료 됐구요.//상태 좋아요//언제든지 연락주세요//010 8677 2050</t>
  </si>
  <si>
    <t>10회전돌집게 상태 특</t>
  </si>
  <si>
    <t>장비 라인 깔고 테스트만 했습니다. 신품입니다.</t>
  </si>
  <si>
    <t>노미신품 전화주세요ㅕ</t>
  </si>
  <si>
    <t>볼보015용입니다</t>
  </si>
  <si>
    <t>대운5000 상태양호</t>
  </si>
  <si>
    <t>ㅍ</t>
  </si>
  <si>
    <t>06 SD 회전 링크입니다</t>
  </si>
  <si>
    <t>뿌레카 최근에 올수리했습니다. 파워좋습니다. 대필입니다.~~~연락주세요</t>
  </si>
  <si>
    <t>**동작 기능 양호 **  0000  시간 아래참조 **//쁘레카 및 어태치/06급-영원300-충남**\ 280 만/06급- 본버켓(120만)-채버켓(90만)-일자쁘(\350만) 니퍼 60만/06 숏붐 두산정품(\160만)---별도판매/06급-회전돌집게--2010-5-충남**\ 550 만/06급-버켓돌집게-2012-05-충남**\ 400 만//10급-수산SB130G-2010년-인천**\ 550 만--양호/10급-영원 V5200-2009-05-경기**\600 만--양호/10급-XO-10 BK-충남-1400 만----양호/10급-영원 V5500-3-2014-05-충남**\ 1100 만/460급-옥진회전식크략샤--2016-10월-경기**\ 3800 만--4개월사용//건강하시고 사업번창 하시길 기원합니다/그외 매물 궤도 타이어 다수보유 친절하게 상담해드립니다/** 천일 박장수 입니다  010-3733-3097</t>
  </si>
  <si>
    <t>자세한 문의는 연락바랍니다.</t>
  </si>
  <si>
    <t>두산06쪽바가지/한번도사용안함</t>
  </si>
  <si>
    <t>2루베 120만원</t>
  </si>
  <si>
    <t>10멍텅구리 크라샤입니다/실린더 셀교환중이며/08용을10으로 개조</t>
  </si>
  <si>
    <t>유림06집게팝니다/01053723438</t>
  </si>
  <si>
    <t>얼마사용안함/작동상태좋습니다</t>
  </si>
  <si>
    <t>상태특</t>
  </si>
  <si>
    <t>10회전가위사진전송가대모것</t>
  </si>
  <si>
    <t>06돌집게 특A급입니다/구매후 사용 얼마않했습니다</t>
  </si>
  <si>
    <t>EC55C용 나무회전집게</t>
  </si>
  <si>
    <t>사진전송가능 16년식입니다</t>
  </si>
  <si>
    <t>사용량이 얼마 안되 신품급입니다.</t>
  </si>
  <si>
    <t>원주에 있습니다/6w  뿌레카 쪽바가지 니빠/있습니다/사진보내드립니다</t>
  </si>
  <si>
    <t>06대박폭1500입니다/상태최상입니다01038463727</t>
  </si>
  <si>
    <t>신품구매후1번사용</t>
  </si>
  <si>
    <t>06 회전링크입니다/삼사 사용가능합니다</t>
  </si>
  <si>
    <t>개인판매 현제 사용중 호수 올보강</t>
  </si>
  <si>
    <t>연일기계제품.</t>
  </si>
  <si>
    <t>06 바가지 3종  판매 합니다//대 망 쪽  바가지 이구요  쪽바가지 나라시판  장착 되어 있습니다//사진 전송 가능 합니다  실사용은  몇번   안됩니다//새바가지나  다름 없습니다//010 2752  0285   연락 주세요</t>
  </si>
  <si>
    <t>지게발 팝니다</t>
  </si>
  <si>
    <t>보통 입니다/제조사 한국에테치</t>
  </si>
  <si>
    <t>어태치부속 팝니다</t>
  </si>
  <si>
    <t>안전체크밸브. 쿠션내장/시화공단/031-488-8783</t>
  </si>
  <si>
    <t>재조사월드</t>
  </si>
  <si>
    <t>06jk돌집게/상태 굳입니다/딱다구리로 바꾸려고 판매하려합니다</t>
  </si>
  <si>
    <t>가격 협의가능</t>
  </si>
  <si>
    <t>연락주시면 사진전송 해드리겠습니다.</t>
  </si>
  <si>
    <t>연락주시면사진전송해드리겠습니다</t>
  </si>
  <si>
    <t>♥ 기적이란 천천히 이루어지는 것이다. ♥//《경서건설기계매매상사》//오해성▶ 010-9291-3500 ▶ FAX:053-581-6602//건설기계 고가매입/견적친절상담/이외매물다수/항상 최선을 다하겠습니다. 연락주세요^^//♥매매 / 매입 / 렌탈 가능</t>
  </si>
  <si>
    <t>★ 연합건설기계매매상사 김창수 010-2584-1757//★★ 각종 중고 건설기계 최고가 매입 ★★//★ 매물 다량 보유중 ★//★ 전화주시면 고객님의 입장에서 응대해 드리겠습니다 ★//★ 믿음과 정직으로 매매합니다</t>
  </si>
  <si>
    <t>*3Ton 포크사용/*버켓전문 제작공장입니다. 주문제작은 물론 미니굴삭기버켓에서 대형까지 전화주십시요. 최선을 다하겠습니다./*아래의 홈페이지를 방문하시면 더 많은 제품을 보실 수 있습니다.//</t>
  </si>
  <si>
    <t>- 형제정공 나무집게/- 사용빈도 적음//010-8787-8118</t>
  </si>
  <si>
    <t>장비좋습니다.</t>
  </si>
  <si>
    <t>.개인...011.455.0805</t>
  </si>
  <si>
    <t>DMA 06회전돌집게입니다/얼마사용안했으며 상태좋습니다</t>
  </si>
  <si>
    <t>특급입니다</t>
  </si>
  <si>
    <t>사진 전송 가능/01073121500</t>
  </si>
  <si>
    <t>상태양호 06lc장착가능</t>
  </si>
  <si>
    <t>상태 아주 좋음</t>
  </si>
  <si>
    <t>*상태A급/*굴삭기 전차종 고가매입/*각종 뿌레카 매입 및 판매/*문의전화 환영//케이피 무역   이 기 만 이사</t>
  </si>
  <si>
    <t>유림06고정돌집게/특a급이며 구매후 사용별로않했음/전화주세요</t>
  </si>
  <si>
    <t>10급 리퍼!!</t>
  </si>
  <si>
    <t>채바가지 팝니다/경기도 화성입니다</t>
  </si>
  <si>
    <t>기재년식과 제작년식이 상이함//# 06채바가지    80만원//# 08채바가지   150만원//# 10채바가지   200만원//# 10오렌지그라플  300만원//# 08버켓  120만원//# 06브레카(디엔비) 200만원//# 10본버켓 (현대) 260만원//# 08돌집게(우진) 300만원</t>
  </si>
  <si>
    <t>경기도 이천입니다  문자로부탁드려요</t>
  </si>
  <si>
    <t>디엠에이 02회전집게/돌/나무 겸용/작동상태좋습니다</t>
  </si>
  <si>
    <t>수산 140수퍼 입니다/현제 사용중이며 상태최상입니다/누유없으며 깔끔합니다/삼사모두 사용가능</t>
  </si>
  <si>
    <t>실사용시간은 한달 밖에 안 쓰고 계속 보관하다가 이번에 매물로 내 놓게 되었습니다./위치는 천안입니다./상태는 사진에 보이는 그대로 투스도 처음 산 상태 그대로입니다.</t>
  </si>
  <si>
    <t>\세부사진전송//두산 420 장착사용//올보강 특특특//2.3M3//대구구일세림박길수/010-3508-7370</t>
  </si>
  <si>
    <t>020ㅡ030뿌러카</t>
  </si>
  <si>
    <t>상태양호 대운5000</t>
  </si>
  <si>
    <t>08용 10으로개조사용/누유없음</t>
  </si>
  <si>
    <t>성진 동양 06뿌레카입니다</t>
  </si>
  <si>
    <t>많이안쓴바가지 신품140십짜리입니다</t>
  </si>
  <si>
    <t>경기 여주에 있습니다. 문자로 부탁드려요 상태 좋습니다.</t>
  </si>
  <si>
    <t>경기 이천입니다. 상태좋습니다. 문자로 연락부탁드려요</t>
  </si>
  <si>
    <t>볼보EW60E  스페어타이어 아쎄이(림 포함)/***신품입니다  ***</t>
  </si>
  <si>
    <t>전화주심 사진첨부</t>
  </si>
  <si>
    <t>한번도 사용안한 제품/특특aaaa문의환영</t>
  </si>
  <si>
    <t>010-2526-4518</t>
  </si>
  <si>
    <t>010-6632-0083</t>
  </si>
  <si>
    <t>010-7612-2222</t>
  </si>
  <si>
    <t>010-7175-9919</t>
  </si>
  <si>
    <t>010-5376-3326</t>
  </si>
  <si>
    <t>010-5288-0076</t>
  </si>
  <si>
    <t>010-7121-7382</t>
  </si>
  <si>
    <t>010-8542-2376</t>
  </si>
  <si>
    <t>010-5465-8969</t>
  </si>
  <si>
    <t>010-5287-6178</t>
  </si>
  <si>
    <t>010-3807-4989</t>
  </si>
  <si>
    <t>010-7290-6917</t>
  </si>
  <si>
    <t>010-6515-5290</t>
  </si>
  <si>
    <t>010-6775-5550</t>
  </si>
  <si>
    <t>010-4579-8783</t>
  </si>
  <si>
    <t>010-2524-0606</t>
  </si>
  <si>
    <t>010-3816-4373</t>
  </si>
  <si>
    <t>043-269-4401</t>
  </si>
  <si>
    <t>010-4734-4181</t>
  </si>
  <si>
    <t>010-4926-0024</t>
  </si>
  <si>
    <t>010-3795-0232</t>
  </si>
  <si>
    <t>010-3644-0708</t>
  </si>
  <si>
    <t>010-9266-4615</t>
  </si>
  <si>
    <t>010-3072-0912</t>
  </si>
  <si>
    <t>010-9570-2666</t>
  </si>
  <si>
    <t>010-6780-2071</t>
  </si>
  <si>
    <t>010-3508-7370</t>
  </si>
  <si>
    <t>010-5394-2743</t>
  </si>
  <si>
    <t>011-659-3779</t>
  </si>
  <si>
    <t>010-8848-4502</t>
  </si>
  <si>
    <t>010 4449-1177</t>
  </si>
  <si>
    <t>010-5161-2015</t>
  </si>
  <si>
    <t>010-3506-7590</t>
  </si>
  <si>
    <t>010-3663-8415</t>
  </si>
  <si>
    <t>010-5213-2070</t>
  </si>
  <si>
    <t>010-3733-3097</t>
  </si>
  <si>
    <t>010-9158-1471</t>
  </si>
  <si>
    <t>010-5093-1665.</t>
  </si>
  <si>
    <t>010-2987-0002</t>
  </si>
  <si>
    <t>010-3357-8728</t>
  </si>
  <si>
    <t>010-4531-5750</t>
  </si>
  <si>
    <t>010-8215-4242</t>
  </si>
  <si>
    <t>053-289-0655</t>
  </si>
  <si>
    <t>010-8803-1683</t>
  </si>
  <si>
    <t>010-5323-9552</t>
  </si>
  <si>
    <t>010-3742-7768</t>
  </si>
  <si>
    <t>010-3509-4477</t>
  </si>
  <si>
    <t>010-3829-2152</t>
  </si>
  <si>
    <t>010-4538-1001</t>
  </si>
  <si>
    <t>010-3824-2739</t>
  </si>
  <si>
    <t>010-4544-6084</t>
  </si>
  <si>
    <t>010-8892-1294</t>
  </si>
  <si>
    <t>031-488-8783</t>
  </si>
  <si>
    <t>010-5434-1546</t>
  </si>
  <si>
    <t>010-9595-0019</t>
  </si>
  <si>
    <t>011-9006-9200</t>
  </si>
  <si>
    <t>010-4181-5558</t>
  </si>
  <si>
    <t>010-3507-3651</t>
  </si>
  <si>
    <t>010-4603-3029</t>
  </si>
  <si>
    <t>010-9711-6006</t>
  </si>
  <si>
    <t>054-859-3010</t>
  </si>
  <si>
    <t>010-9399-3801</t>
  </si>
  <si>
    <t>010-5153-1001</t>
  </si>
  <si>
    <t>010'3543'8784</t>
  </si>
  <si>
    <t>010-3175-1414</t>
  </si>
  <si>
    <t>010-2433-29122</t>
  </si>
  <si>
    <t>010-6422-7772</t>
  </si>
  <si>
    <t>010-6760-9005</t>
  </si>
  <si>
    <t>010-2939-6670</t>
  </si>
  <si>
    <t>010-3560-0495</t>
  </si>
  <si>
    <t>010-2208-1154</t>
  </si>
  <si>
    <t>010-3563-6002</t>
  </si>
  <si>
    <t>010-5418-0346</t>
  </si>
  <si>
    <t>010-5209-1435</t>
  </si>
  <si>
    <t>010-4198-8942</t>
  </si>
  <si>
    <t>010-6232-3600</t>
  </si>
  <si>
    <t>010-5491-8663</t>
  </si>
  <si>
    <t>010-6625-8887</t>
  </si>
  <si>
    <t>010-8620-5204</t>
  </si>
  <si>
    <t>010-5211-7382</t>
  </si>
  <si>
    <t>010-7173-6722</t>
  </si>
  <si>
    <t>010-4150-2461</t>
  </si>
  <si>
    <t>010-8623-4411</t>
  </si>
  <si>
    <t>010-4279-1265</t>
  </si>
  <si>
    <t>010-3320-0586</t>
  </si>
  <si>
    <t>010-3557-0602</t>
  </si>
  <si>
    <t>010-3814-9987</t>
  </si>
  <si>
    <t>010-2400-1096</t>
  </si>
  <si>
    <t>010-3898-2982</t>
  </si>
  <si>
    <t>010-3846-7987</t>
  </si>
  <si>
    <t>010-3528-8877</t>
  </si>
  <si>
    <t>010-3824-3851</t>
  </si>
  <si>
    <t>011-455-0805</t>
  </si>
  <si>
    <t>010-5332-6985</t>
  </si>
  <si>
    <t>010-8516-1413</t>
  </si>
  <si>
    <t>010-4775-0606</t>
  </si>
  <si>
    <t>010-9500-3600</t>
  </si>
  <si>
    <t>010-3529-7093</t>
  </si>
  <si>
    <t>010-3655-6126</t>
  </si>
  <si>
    <t>010-9485-3984</t>
  </si>
  <si>
    <t>010-7310-5757</t>
  </si>
  <si>
    <t>010-5372-3438</t>
  </si>
  <si>
    <t>010-4055-5065</t>
  </si>
  <si>
    <t>010-4176-8999</t>
  </si>
  <si>
    <t>010-9304-8849</t>
  </si>
  <si>
    <t>010-7342-6100</t>
  </si>
  <si>
    <t>010-3540-4424</t>
  </si>
  <si>
    <t>010-5368-9600</t>
  </si>
  <si>
    <t>010-7436-3747</t>
  </si>
  <si>
    <t>010-32329669</t>
  </si>
  <si>
    <t>010-3680-6091</t>
  </si>
  <si>
    <t>010-3837-6355</t>
  </si>
  <si>
    <t>010-7655-3388</t>
  </si>
  <si>
    <t>010-3212-5290</t>
  </si>
  <si>
    <t>010-5356-2787</t>
  </si>
  <si>
    <t>010-3501-6602</t>
  </si>
  <si>
    <t>010-5453-4867</t>
  </si>
  <si>
    <t>011-312-9643</t>
  </si>
  <si>
    <t>011-373-1211</t>
  </si>
  <si>
    <t>010-7548-8804</t>
  </si>
  <si>
    <t>010-6661-5621</t>
  </si>
  <si>
    <t>010-4197-3134</t>
  </si>
  <si>
    <t>010-6337-9741</t>
  </si>
  <si>
    <t>010-6223-8464</t>
  </si>
  <si>
    <t>010-6804-7780</t>
  </si>
  <si>
    <t>010-03581-8849</t>
  </si>
  <si>
    <t>010-3443-8600</t>
  </si>
  <si>
    <t>010-2324-5717</t>
  </si>
  <si>
    <t>010-8008-2997</t>
  </si>
  <si>
    <t>010-3654-3537</t>
  </si>
  <si>
    <t>062-574-7817</t>
  </si>
  <si>
    <t>010-4544-3341</t>
  </si>
  <si>
    <t>010-6486-8577</t>
  </si>
  <si>
    <t>010-2070-7779</t>
  </si>
  <si>
    <t>010-3535-6880</t>
  </si>
  <si>
    <t>010-6665-6200</t>
  </si>
  <si>
    <t>010-8677-2050</t>
  </si>
  <si>
    <t>010-5050-0832</t>
  </si>
  <si>
    <t>010-9350-6989</t>
  </si>
  <si>
    <t>010-5315-3455</t>
  </si>
  <si>
    <t>010`3812`7369</t>
  </si>
  <si>
    <t>010-7312-1500</t>
  </si>
  <si>
    <t>010-3812-7369</t>
  </si>
  <si>
    <t>010-3664-2795</t>
  </si>
  <si>
    <t>010-3525-5265</t>
  </si>
  <si>
    <t>010-3666-7749</t>
  </si>
  <si>
    <t>010-9044-3235</t>
  </si>
  <si>
    <t>010-9989-8989</t>
  </si>
  <si>
    <t>010-2847-5068</t>
  </si>
  <si>
    <t>010-9198-0409</t>
  </si>
  <si>
    <t>010-5401-8202</t>
  </si>
  <si>
    <t>010-8356-0133</t>
  </si>
  <si>
    <t>010-3850-9888</t>
  </si>
  <si>
    <t>010-4186-5125</t>
  </si>
  <si>
    <t>010-6637-3000</t>
  </si>
  <si>
    <t>010ㅡ4772ㅡ5365</t>
  </si>
  <si>
    <t>010-3205-5191</t>
  </si>
  <si>
    <t>010-3783-9266</t>
  </si>
  <si>
    <t>011-609-9242</t>
  </si>
  <si>
    <t>010-5380-8857</t>
  </si>
  <si>
    <t>010-8511-7146</t>
  </si>
  <si>
    <t>010-9324-3258</t>
  </si>
  <si>
    <t>010-6603-0706</t>
  </si>
  <si>
    <t>010-8000-8002</t>
  </si>
  <si>
    <t>010-3542-6222</t>
  </si>
  <si>
    <t>010-7205-0970</t>
  </si>
  <si>
    <t>010-4117-3917</t>
  </si>
  <si>
    <t>010-6370-6773</t>
  </si>
  <si>
    <t>010-3846-3727</t>
  </si>
  <si>
    <t>010--2752--0285</t>
  </si>
  <si>
    <t>010-4872-4949</t>
  </si>
  <si>
    <t>010-9452-3680</t>
  </si>
  <si>
    <t>010-8599-1371</t>
  </si>
  <si>
    <t>010-8787-8118</t>
  </si>
  <si>
    <t>010-7385-6911</t>
  </si>
  <si>
    <t>010-9096-5942</t>
  </si>
  <si>
    <t>010-3893-4922</t>
  </si>
  <si>
    <t>010-5453-4804</t>
  </si>
  <si>
    <t>053-527-9101</t>
  </si>
  <si>
    <t>010-5214-5425</t>
  </si>
  <si>
    <t>010-8818-6607</t>
  </si>
  <si>
    <t>010-5361-4192</t>
  </si>
  <si>
    <t>010-5364-8466</t>
  </si>
  <si>
    <t>Lift Fork</t>
  </si>
  <si>
    <t>Crusher</t>
    <phoneticPr fontId="18" type="noConversion"/>
  </si>
  <si>
    <t>Grapple</t>
    <phoneticPr fontId="18" type="noConversion"/>
  </si>
  <si>
    <t>Bucket</t>
    <phoneticPr fontId="18" type="noConversion"/>
  </si>
  <si>
    <t>Hydraulic Breaker</t>
    <phoneticPr fontId="18" type="noConversion"/>
  </si>
  <si>
    <t>Compactor</t>
    <phoneticPr fontId="18" type="noConversion"/>
  </si>
  <si>
    <t>Orange Grapple</t>
    <phoneticPr fontId="18" type="noConversion"/>
  </si>
  <si>
    <t>Thumb grapple</t>
    <phoneticPr fontId="18" type="noConversion"/>
  </si>
  <si>
    <t>Hydraulic Breaker</t>
    <phoneticPr fontId="18" type="noConversion"/>
  </si>
  <si>
    <t>Quick Coupler</t>
  </si>
  <si>
    <t>Vibro Hammer</t>
  </si>
  <si>
    <t>Core Drill</t>
  </si>
  <si>
    <t>Compactor</t>
    <phoneticPr fontId="18" type="noConversion"/>
  </si>
  <si>
    <t>ETC</t>
    <phoneticPr fontId="18" type="noConversion"/>
  </si>
  <si>
    <t>사이드타입</t>
    <phoneticPr fontId="18" type="noConversion"/>
  </si>
  <si>
    <t>탑타입</t>
    <phoneticPr fontId="18" type="noConversion"/>
  </si>
  <si>
    <t>박스타입</t>
    <phoneticPr fontId="18" type="noConversion"/>
  </si>
  <si>
    <t>스페셜타입</t>
    <phoneticPr fontId="18" type="noConversion"/>
  </si>
  <si>
    <t>호랑이집게</t>
    <phoneticPr fontId="18" type="noConversion"/>
  </si>
  <si>
    <t>딱다구리집게</t>
    <phoneticPr fontId="18" type="noConversion"/>
  </si>
  <si>
    <t>코끼리집게</t>
    <phoneticPr fontId="18" type="noConversion"/>
  </si>
  <si>
    <t>Progressive Thumb grapple</t>
    <phoneticPr fontId="18" type="noConversion"/>
  </si>
  <si>
    <t>Standard Bucket</t>
    <phoneticPr fontId="18" type="noConversion"/>
  </si>
  <si>
    <t>Small Bucket</t>
    <phoneticPr fontId="18" type="noConversion"/>
  </si>
  <si>
    <t>쪽버켓</t>
    <phoneticPr fontId="18" type="noConversion"/>
  </si>
  <si>
    <t>본버켓</t>
    <phoneticPr fontId="18" type="noConversion"/>
  </si>
  <si>
    <t>대버켓</t>
    <phoneticPr fontId="18" type="noConversion"/>
  </si>
  <si>
    <t>채버켓</t>
    <phoneticPr fontId="18" type="noConversion"/>
  </si>
  <si>
    <t>Wide Bucket</t>
    <phoneticPr fontId="18" type="noConversion"/>
  </si>
  <si>
    <t>Skeleton Bucket</t>
    <phoneticPr fontId="18" type="noConversion"/>
  </si>
  <si>
    <t>Bucket</t>
    <phoneticPr fontId="18" type="noConversion"/>
  </si>
  <si>
    <t>스페셜버켓</t>
    <phoneticPr fontId="18" type="noConversion"/>
  </si>
  <si>
    <t>기타버켓</t>
    <phoneticPr fontId="18" type="noConversion"/>
  </si>
  <si>
    <t>기타딱다구리</t>
    <phoneticPr fontId="18" type="noConversion"/>
  </si>
  <si>
    <t>기타타입</t>
    <phoneticPr fontId="18" type="noConversion"/>
  </si>
  <si>
    <t>Side Breaker</t>
    <phoneticPr fontId="18" type="noConversion"/>
  </si>
  <si>
    <t>Top Breaker</t>
    <phoneticPr fontId="18" type="noConversion"/>
  </si>
  <si>
    <t>Box Breaker</t>
    <phoneticPr fontId="18" type="noConversion"/>
  </si>
  <si>
    <t>Special Breaker</t>
    <phoneticPr fontId="18" type="noConversion"/>
  </si>
  <si>
    <t>Etc Breaker</t>
    <phoneticPr fontId="18" type="noConversion"/>
  </si>
  <si>
    <t>Special Bucket</t>
    <phoneticPr fontId="18" type="noConversion"/>
  </si>
  <si>
    <t>Etc Bucket</t>
    <phoneticPr fontId="18" type="noConversion"/>
  </si>
  <si>
    <t>Etc Thumb grapple</t>
    <phoneticPr fontId="18" type="noConversion"/>
  </si>
  <si>
    <t>무유압집게</t>
    <phoneticPr fontId="18" type="noConversion"/>
  </si>
  <si>
    <t>Multi Grapple</t>
    <phoneticPr fontId="18" type="noConversion"/>
  </si>
  <si>
    <t>Scrap Grapple</t>
    <phoneticPr fontId="18" type="noConversion"/>
  </si>
  <si>
    <t>Stone Grapple</t>
    <phoneticPr fontId="18" type="noConversion"/>
  </si>
  <si>
    <t>고철집게</t>
    <phoneticPr fontId="18" type="noConversion"/>
  </si>
  <si>
    <t>돌집게</t>
    <phoneticPr fontId="18" type="noConversion"/>
  </si>
  <si>
    <t>나무집게</t>
    <phoneticPr fontId="18" type="noConversion"/>
  </si>
  <si>
    <t>Wood Grapple</t>
    <phoneticPr fontId="18" type="noConversion"/>
  </si>
  <si>
    <t>Orange Grapple</t>
    <phoneticPr fontId="18" type="noConversion"/>
  </si>
  <si>
    <t>ClamShell Grapple</t>
    <phoneticPr fontId="18" type="noConversion"/>
  </si>
  <si>
    <t>Crusher</t>
    <phoneticPr fontId="18" type="noConversion"/>
  </si>
  <si>
    <t>Shear&amp;Cutter</t>
    <phoneticPr fontId="18" type="noConversion"/>
  </si>
  <si>
    <t>Hydraulic Crusher</t>
    <phoneticPr fontId="18" type="noConversion"/>
  </si>
  <si>
    <t>Hydraulic Pulverizer</t>
    <phoneticPr fontId="18" type="noConversion"/>
  </si>
  <si>
    <t>Hydraulic Multi Processor</t>
    <phoneticPr fontId="18" type="noConversion"/>
  </si>
  <si>
    <t>멍텅구리크러셔</t>
    <phoneticPr fontId="18" type="noConversion"/>
  </si>
  <si>
    <t>회전식크러셔</t>
    <phoneticPr fontId="18" type="noConversion"/>
  </si>
  <si>
    <t>반자동크러셔</t>
    <phoneticPr fontId="18" type="noConversion"/>
  </si>
  <si>
    <t>오렌지집게</t>
    <phoneticPr fontId="18" type="noConversion"/>
  </si>
  <si>
    <t>클렘집게</t>
    <phoneticPr fontId="18" type="noConversion"/>
  </si>
  <si>
    <t>Thumb Grapple</t>
    <phoneticPr fontId="18" type="noConversion"/>
  </si>
  <si>
    <t>Progressive Thumb Grapple</t>
    <phoneticPr fontId="18" type="noConversion"/>
  </si>
  <si>
    <t>Advanced Grapple</t>
    <phoneticPr fontId="18" type="noConversion"/>
  </si>
  <si>
    <t>Etc Grapple</t>
    <phoneticPr fontId="18" type="noConversion"/>
  </si>
  <si>
    <t>Etc Crusher</t>
    <phoneticPr fontId="18" type="noConversion"/>
  </si>
  <si>
    <t>기타 크러셔</t>
    <phoneticPr fontId="18" type="noConversion"/>
  </si>
  <si>
    <t>브레이커</t>
    <phoneticPr fontId="18" type="noConversion"/>
  </si>
  <si>
    <t>뿌레카</t>
    <phoneticPr fontId="18" type="noConversion"/>
  </si>
  <si>
    <t>쁘레카</t>
    <phoneticPr fontId="18" type="noConversion"/>
  </si>
  <si>
    <t>뿌렉카</t>
    <phoneticPr fontId="18" type="noConversion"/>
  </si>
  <si>
    <t>브레이카</t>
    <phoneticPr fontId="18" type="noConversion"/>
  </si>
  <si>
    <t>브레카</t>
    <phoneticPr fontId="18" type="noConversion"/>
  </si>
  <si>
    <t>쁘래카</t>
    <phoneticPr fontId="18" type="noConversion"/>
  </si>
  <si>
    <t>뿌래카</t>
    <phoneticPr fontId="18" type="noConversion"/>
  </si>
  <si>
    <t>브래카</t>
    <phoneticPr fontId="18" type="noConversion"/>
  </si>
  <si>
    <t>부레카</t>
    <phoneticPr fontId="18" type="noConversion"/>
  </si>
  <si>
    <t>뿌레커</t>
    <phoneticPr fontId="18" type="noConversion"/>
  </si>
  <si>
    <t>쁘레커</t>
    <phoneticPr fontId="18" type="noConversion"/>
  </si>
  <si>
    <t>뿌렉커</t>
    <phoneticPr fontId="18" type="noConversion"/>
  </si>
  <si>
    <t>브레커</t>
    <phoneticPr fontId="18" type="noConversion"/>
  </si>
  <si>
    <t>쁘래커</t>
    <phoneticPr fontId="18" type="noConversion"/>
  </si>
  <si>
    <t>뿌래커</t>
    <phoneticPr fontId="18" type="noConversion"/>
  </si>
  <si>
    <t>브래커</t>
    <phoneticPr fontId="18" type="noConversion"/>
  </si>
  <si>
    <t>부레커</t>
    <phoneticPr fontId="18" type="noConversion"/>
  </si>
  <si>
    <t>뿌</t>
    <phoneticPr fontId="18" type="noConversion"/>
  </si>
  <si>
    <t>쪽버켓</t>
    <phoneticPr fontId="18" type="noConversion"/>
  </si>
  <si>
    <t>본버켓</t>
    <phoneticPr fontId="18" type="noConversion"/>
  </si>
  <si>
    <t>대버켓</t>
    <phoneticPr fontId="18" type="noConversion"/>
  </si>
  <si>
    <t>채버켓</t>
    <phoneticPr fontId="18" type="noConversion"/>
  </si>
  <si>
    <t>스페셜버켓</t>
    <phoneticPr fontId="18" type="noConversion"/>
  </si>
  <si>
    <t>기타버켓</t>
    <phoneticPr fontId="18" type="noConversion"/>
  </si>
  <si>
    <t>무유압집게</t>
    <phoneticPr fontId="18" type="noConversion"/>
  </si>
  <si>
    <t>고철집게</t>
    <phoneticPr fontId="18" type="noConversion"/>
  </si>
  <si>
    <t>돌집게</t>
    <phoneticPr fontId="18" type="noConversion"/>
  </si>
  <si>
    <t>나무집게</t>
    <phoneticPr fontId="18" type="noConversion"/>
  </si>
  <si>
    <t>오렌지집게</t>
    <phoneticPr fontId="18" type="noConversion"/>
  </si>
  <si>
    <t>클렘집게</t>
    <phoneticPr fontId="18" type="noConversion"/>
  </si>
  <si>
    <t>딱다구리</t>
    <phoneticPr fontId="18" type="noConversion"/>
  </si>
  <si>
    <t>버켓클램프</t>
    <phoneticPr fontId="18" type="noConversion"/>
  </si>
  <si>
    <t>리퍼</t>
    <phoneticPr fontId="18" type="noConversion"/>
  </si>
  <si>
    <t>딱다구리집게</t>
    <phoneticPr fontId="18" type="noConversion"/>
  </si>
  <si>
    <t>호랑이집게</t>
    <phoneticPr fontId="18" type="noConversion"/>
  </si>
  <si>
    <t>코끼리집게</t>
    <phoneticPr fontId="18" type="noConversion"/>
  </si>
  <si>
    <t>반자동크러셔</t>
    <phoneticPr fontId="18" type="noConversion"/>
  </si>
  <si>
    <t>멍텅구리크러셔</t>
    <phoneticPr fontId="18" type="noConversion"/>
  </si>
  <si>
    <t>회전식크러셔</t>
    <phoneticPr fontId="18" type="noConversion"/>
  </si>
  <si>
    <t>기타 크러셔</t>
    <phoneticPr fontId="18" type="noConversion"/>
  </si>
  <si>
    <t>쪽바가지</t>
    <phoneticPr fontId="18" type="noConversion"/>
  </si>
  <si>
    <t>쪽박아지</t>
    <phoneticPr fontId="18" type="noConversion"/>
  </si>
  <si>
    <t>쪽버캣</t>
    <phoneticPr fontId="18" type="noConversion"/>
  </si>
  <si>
    <t>쪽바케스</t>
    <phoneticPr fontId="18" type="noConversion"/>
  </si>
  <si>
    <t>쪽버케스</t>
    <phoneticPr fontId="18" type="noConversion"/>
  </si>
  <si>
    <t>쪽바캣</t>
    <phoneticPr fontId="18" type="noConversion"/>
  </si>
  <si>
    <t>쪽바켓</t>
    <phoneticPr fontId="18" type="noConversion"/>
  </si>
  <si>
    <t>본바가지</t>
    <phoneticPr fontId="18" type="noConversion"/>
  </si>
  <si>
    <t>본박아지</t>
    <phoneticPr fontId="18" type="noConversion"/>
  </si>
  <si>
    <t>본버캣</t>
    <phoneticPr fontId="18" type="noConversion"/>
  </si>
  <si>
    <t>쪽박</t>
    <phoneticPr fontId="18" type="noConversion"/>
  </si>
  <si>
    <t>본박</t>
    <phoneticPr fontId="18" type="noConversion"/>
  </si>
  <si>
    <t>본바케스</t>
    <phoneticPr fontId="18" type="noConversion"/>
  </si>
  <si>
    <t>본버케스</t>
    <phoneticPr fontId="18" type="noConversion"/>
  </si>
  <si>
    <t>본바캣</t>
    <phoneticPr fontId="18" type="noConversion"/>
  </si>
  <si>
    <t>본바켓</t>
    <phoneticPr fontId="18" type="noConversion"/>
  </si>
  <si>
    <t>일반버켓</t>
    <phoneticPr fontId="18" type="noConversion"/>
  </si>
  <si>
    <t>일반버캣</t>
    <phoneticPr fontId="18" type="noConversion"/>
  </si>
  <si>
    <t>대바가지</t>
    <phoneticPr fontId="18" type="noConversion"/>
  </si>
  <si>
    <t>대박아지</t>
    <phoneticPr fontId="18" type="noConversion"/>
  </si>
  <si>
    <t>대버캣</t>
    <phoneticPr fontId="18" type="noConversion"/>
  </si>
  <si>
    <t>대박</t>
    <phoneticPr fontId="18" type="noConversion"/>
  </si>
  <si>
    <t>대바케스</t>
    <phoneticPr fontId="18" type="noConversion"/>
  </si>
  <si>
    <t>대버케스</t>
    <phoneticPr fontId="18" type="noConversion"/>
  </si>
  <si>
    <t>대바캣</t>
    <phoneticPr fontId="18" type="noConversion"/>
  </si>
  <si>
    <t>대바켓</t>
    <phoneticPr fontId="18" type="noConversion"/>
  </si>
  <si>
    <t>채바가지</t>
    <phoneticPr fontId="18" type="noConversion"/>
  </si>
  <si>
    <t>채박아지</t>
    <phoneticPr fontId="18" type="noConversion"/>
  </si>
  <si>
    <t>채바케스</t>
    <phoneticPr fontId="18" type="noConversion"/>
  </si>
  <si>
    <t>채버케스</t>
    <phoneticPr fontId="18" type="noConversion"/>
  </si>
  <si>
    <t>채박</t>
    <phoneticPr fontId="18" type="noConversion"/>
  </si>
  <si>
    <t>채바캣</t>
    <phoneticPr fontId="18" type="noConversion"/>
  </si>
  <si>
    <t>채바켓</t>
    <phoneticPr fontId="18" type="noConversion"/>
  </si>
  <si>
    <t>체바가지</t>
    <phoneticPr fontId="18" type="noConversion"/>
  </si>
  <si>
    <t>체박아지</t>
    <phoneticPr fontId="18" type="noConversion"/>
  </si>
  <si>
    <t>체버캣</t>
    <phoneticPr fontId="18" type="noConversion"/>
  </si>
  <si>
    <t>체박</t>
    <phoneticPr fontId="18" type="noConversion"/>
  </si>
  <si>
    <t>체바케스</t>
    <phoneticPr fontId="18" type="noConversion"/>
  </si>
  <si>
    <t>체버케스</t>
    <phoneticPr fontId="18" type="noConversion"/>
  </si>
  <si>
    <t>체바캣</t>
    <phoneticPr fontId="18" type="noConversion"/>
  </si>
  <si>
    <t>체바켓</t>
    <phoneticPr fontId="18" type="noConversion"/>
  </si>
  <si>
    <t>망버켓</t>
    <phoneticPr fontId="18" type="noConversion"/>
  </si>
  <si>
    <t>망바가지</t>
    <phoneticPr fontId="18" type="noConversion"/>
  </si>
  <si>
    <t>망박아지</t>
    <phoneticPr fontId="18" type="noConversion"/>
  </si>
  <si>
    <t>망버캣</t>
    <phoneticPr fontId="18" type="noConversion"/>
  </si>
  <si>
    <t>망박</t>
    <phoneticPr fontId="18" type="noConversion"/>
  </si>
  <si>
    <t>망바케스</t>
    <phoneticPr fontId="18" type="noConversion"/>
  </si>
  <si>
    <t>망버케스</t>
    <phoneticPr fontId="18" type="noConversion"/>
  </si>
  <si>
    <t>망바캣</t>
    <phoneticPr fontId="18" type="noConversion"/>
  </si>
  <si>
    <t>망바켓</t>
    <phoneticPr fontId="18" type="noConversion"/>
  </si>
  <si>
    <t>버캣클렘프</t>
    <phoneticPr fontId="18" type="noConversion"/>
  </si>
  <si>
    <t>버켓크렘프</t>
    <phoneticPr fontId="18" type="noConversion"/>
  </si>
  <si>
    <t>버캣크렘프</t>
    <phoneticPr fontId="18" type="noConversion"/>
  </si>
  <si>
    <t>클렘프</t>
    <phoneticPr fontId="18" type="noConversion"/>
  </si>
  <si>
    <t>크렘프</t>
    <phoneticPr fontId="18" type="noConversion"/>
  </si>
  <si>
    <t>바가지링크</t>
    <phoneticPr fontId="18" type="noConversion"/>
  </si>
  <si>
    <t>버켓링크</t>
    <phoneticPr fontId="18" type="noConversion"/>
  </si>
  <si>
    <t>클렘프버켓</t>
    <phoneticPr fontId="18" type="noConversion"/>
  </si>
  <si>
    <t>크렘프버켓</t>
    <phoneticPr fontId="18" type="noConversion"/>
  </si>
  <si>
    <t>집게바가지</t>
    <phoneticPr fontId="18" type="noConversion"/>
  </si>
  <si>
    <t>퀵커플러</t>
    <phoneticPr fontId="18" type="noConversion"/>
  </si>
  <si>
    <t>커플러</t>
    <phoneticPr fontId="18" type="noConversion"/>
  </si>
  <si>
    <t>버캣크램프</t>
    <phoneticPr fontId="18" type="noConversion"/>
  </si>
  <si>
    <t>버캣클램프</t>
    <phoneticPr fontId="18" type="noConversion"/>
  </si>
  <si>
    <t>클램프</t>
    <phoneticPr fontId="18" type="noConversion"/>
  </si>
  <si>
    <t>크램프</t>
    <phoneticPr fontId="18" type="noConversion"/>
  </si>
  <si>
    <t>버캣링크</t>
    <phoneticPr fontId="18" type="noConversion"/>
  </si>
  <si>
    <t>클램프버켓</t>
    <phoneticPr fontId="18" type="noConversion"/>
  </si>
  <si>
    <t>크램프버켓</t>
    <phoneticPr fontId="18" type="noConversion"/>
  </si>
  <si>
    <t>집개바가지</t>
    <phoneticPr fontId="18" type="noConversion"/>
  </si>
  <si>
    <t>리빠</t>
    <phoneticPr fontId="18" type="noConversion"/>
  </si>
  <si>
    <t>닛빠</t>
    <phoneticPr fontId="18" type="noConversion"/>
  </si>
  <si>
    <t>니빠</t>
    <phoneticPr fontId="18" type="noConversion"/>
  </si>
  <si>
    <t>니퍼</t>
    <phoneticPr fontId="18" type="noConversion"/>
  </si>
  <si>
    <t>무유압집개</t>
    <phoneticPr fontId="18" type="noConversion"/>
  </si>
  <si>
    <t>멀티그랩</t>
    <phoneticPr fontId="18" type="noConversion"/>
  </si>
  <si>
    <t>멀티그라플</t>
    <phoneticPr fontId="18" type="noConversion"/>
  </si>
  <si>
    <t>멀티그렙</t>
    <phoneticPr fontId="18" type="noConversion"/>
  </si>
  <si>
    <t>멀티그래플</t>
    <phoneticPr fontId="18" type="noConversion"/>
  </si>
  <si>
    <t>다용도집게</t>
    <phoneticPr fontId="18" type="noConversion"/>
  </si>
  <si>
    <t>다용도집개</t>
    <phoneticPr fontId="18" type="noConversion"/>
  </si>
  <si>
    <t>무유압짚게</t>
    <phoneticPr fontId="18" type="noConversion"/>
  </si>
  <si>
    <t>무유앞집개</t>
    <phoneticPr fontId="18" type="noConversion"/>
  </si>
  <si>
    <t>고철집개</t>
    <phoneticPr fontId="18" type="noConversion"/>
  </si>
  <si>
    <t>고철짚게</t>
    <phoneticPr fontId="18" type="noConversion"/>
  </si>
  <si>
    <t>고철짚개</t>
    <phoneticPr fontId="18" type="noConversion"/>
  </si>
  <si>
    <t>돌집개</t>
    <phoneticPr fontId="18" type="noConversion"/>
  </si>
  <si>
    <t>돌짚게</t>
    <phoneticPr fontId="18" type="noConversion"/>
  </si>
  <si>
    <t>돌짚개</t>
    <phoneticPr fontId="18" type="noConversion"/>
  </si>
  <si>
    <t>회전돌집게</t>
    <phoneticPr fontId="18" type="noConversion"/>
  </si>
  <si>
    <t>회전돌집개</t>
    <phoneticPr fontId="18" type="noConversion"/>
  </si>
  <si>
    <t>스톤그랩</t>
    <phoneticPr fontId="18" type="noConversion"/>
  </si>
  <si>
    <t>스톤그래플</t>
    <phoneticPr fontId="18" type="noConversion"/>
  </si>
  <si>
    <t>스톤그라플</t>
    <phoneticPr fontId="18" type="noConversion"/>
  </si>
  <si>
    <t>나무집개</t>
    <phoneticPr fontId="18" type="noConversion"/>
  </si>
  <si>
    <t>나무짚게</t>
    <phoneticPr fontId="18" type="noConversion"/>
  </si>
  <si>
    <t>나무짚개</t>
    <phoneticPr fontId="18" type="noConversion"/>
  </si>
  <si>
    <t>회전나무집게</t>
    <phoneticPr fontId="18" type="noConversion"/>
  </si>
  <si>
    <t>회전나무집개</t>
    <phoneticPr fontId="18" type="noConversion"/>
  </si>
  <si>
    <t>우드그랩</t>
    <phoneticPr fontId="18" type="noConversion"/>
  </si>
  <si>
    <t>우드그래플</t>
    <phoneticPr fontId="18" type="noConversion"/>
  </si>
  <si>
    <t>우드그라플</t>
    <phoneticPr fontId="18" type="noConversion"/>
  </si>
  <si>
    <t>오랜지</t>
    <phoneticPr fontId="18" type="noConversion"/>
  </si>
  <si>
    <t>오렌지</t>
    <phoneticPr fontId="18" type="noConversion"/>
  </si>
  <si>
    <t>오렌지그라플</t>
    <phoneticPr fontId="18" type="noConversion"/>
  </si>
  <si>
    <t>오렌지그래플</t>
    <phoneticPr fontId="18" type="noConversion"/>
  </si>
  <si>
    <t>오랜지그라플</t>
    <phoneticPr fontId="18" type="noConversion"/>
  </si>
  <si>
    <t>오랜지그래플</t>
    <phoneticPr fontId="18" type="noConversion"/>
  </si>
  <si>
    <t>오렌지그랩</t>
    <phoneticPr fontId="18" type="noConversion"/>
  </si>
  <si>
    <t>오랜지그랩</t>
    <phoneticPr fontId="18" type="noConversion"/>
  </si>
  <si>
    <t>스톤그랍</t>
    <phoneticPr fontId="18" type="noConversion"/>
  </si>
  <si>
    <t>우드그랍</t>
    <phoneticPr fontId="18" type="noConversion"/>
  </si>
  <si>
    <t>오렌지그랍</t>
    <phoneticPr fontId="18" type="noConversion"/>
  </si>
  <si>
    <t>오랜지그랍</t>
    <phoneticPr fontId="18" type="noConversion"/>
  </si>
  <si>
    <t>클렘집개</t>
    <phoneticPr fontId="18" type="noConversion"/>
  </si>
  <si>
    <t>클램짚게</t>
    <phoneticPr fontId="18" type="noConversion"/>
  </si>
  <si>
    <t>오렌지집개</t>
    <phoneticPr fontId="18" type="noConversion"/>
  </si>
  <si>
    <t>클램집개</t>
    <phoneticPr fontId="18" type="noConversion"/>
  </si>
  <si>
    <t>폐기물집게</t>
    <phoneticPr fontId="18" type="noConversion"/>
  </si>
  <si>
    <t>폐기물집개</t>
    <phoneticPr fontId="18" type="noConversion"/>
  </si>
  <si>
    <t>폐기물그랩</t>
    <phoneticPr fontId="18" type="noConversion"/>
  </si>
  <si>
    <t>폐기물그래플</t>
    <phoneticPr fontId="18" type="noConversion"/>
  </si>
  <si>
    <t>폐기물그라플</t>
    <phoneticPr fontId="18" type="noConversion"/>
  </si>
  <si>
    <t>딱따구리</t>
    <phoneticPr fontId="18" type="noConversion"/>
  </si>
  <si>
    <t>딱따구리집개</t>
    <phoneticPr fontId="18" type="noConversion"/>
  </si>
  <si>
    <t>딱다구리집개</t>
    <phoneticPr fontId="18" type="noConversion"/>
  </si>
  <si>
    <t>딱따구리집게</t>
    <phoneticPr fontId="18" type="noConversion"/>
  </si>
  <si>
    <t>호랑이</t>
    <phoneticPr fontId="18" type="noConversion"/>
  </si>
  <si>
    <t>호랑이집개</t>
    <phoneticPr fontId="18" type="noConversion"/>
  </si>
  <si>
    <t>코끼리</t>
    <phoneticPr fontId="18" type="noConversion"/>
  </si>
  <si>
    <t>코끼리집개</t>
    <phoneticPr fontId="18" type="noConversion"/>
  </si>
  <si>
    <t>독수리</t>
    <phoneticPr fontId="18" type="noConversion"/>
  </si>
  <si>
    <t>독수리집게</t>
    <phoneticPr fontId="18" type="noConversion"/>
  </si>
  <si>
    <t>독수리집개</t>
    <phoneticPr fontId="18" type="noConversion"/>
  </si>
  <si>
    <t>독수리발톱</t>
    <phoneticPr fontId="18" type="noConversion"/>
  </si>
  <si>
    <t>반자동크라샤</t>
    <phoneticPr fontId="18" type="noConversion"/>
  </si>
  <si>
    <t>반자동크락샤</t>
    <phoneticPr fontId="18" type="noConversion"/>
  </si>
  <si>
    <t>반자동크랴샤</t>
    <phoneticPr fontId="18" type="noConversion"/>
  </si>
  <si>
    <t>반자동크랏샤</t>
    <phoneticPr fontId="18" type="noConversion"/>
  </si>
  <si>
    <t>반자동크라셔</t>
    <phoneticPr fontId="18" type="noConversion"/>
  </si>
  <si>
    <t>멍텅구리</t>
    <phoneticPr fontId="18" type="noConversion"/>
  </si>
  <si>
    <t>멍텅</t>
    <phoneticPr fontId="18" type="noConversion"/>
  </si>
  <si>
    <t>멍텅크러셔</t>
    <phoneticPr fontId="18" type="noConversion"/>
  </si>
  <si>
    <t>멍텅크라샤</t>
    <phoneticPr fontId="18" type="noConversion"/>
  </si>
  <si>
    <t>멍텅크락샤</t>
    <phoneticPr fontId="18" type="noConversion"/>
  </si>
  <si>
    <t>멍텅크랴샤</t>
    <phoneticPr fontId="18" type="noConversion"/>
  </si>
  <si>
    <t>멍텅크랏샤</t>
    <phoneticPr fontId="18" type="noConversion"/>
  </si>
  <si>
    <t>멍텅크라셔</t>
    <phoneticPr fontId="18" type="noConversion"/>
  </si>
  <si>
    <t>멍텅구리크라샤</t>
    <phoneticPr fontId="18" type="noConversion"/>
  </si>
  <si>
    <t>멍텅구리크락샤</t>
    <phoneticPr fontId="18" type="noConversion"/>
  </si>
  <si>
    <t>멍텅구리크랴샤</t>
    <phoneticPr fontId="18" type="noConversion"/>
  </si>
  <si>
    <t>멍텅구리크랏샤</t>
    <phoneticPr fontId="18" type="noConversion"/>
  </si>
  <si>
    <t>멍텅구리크라셔</t>
    <phoneticPr fontId="18" type="noConversion"/>
  </si>
  <si>
    <t>회전크라샤</t>
    <phoneticPr fontId="18" type="noConversion"/>
  </si>
  <si>
    <t>회전크락샤</t>
    <phoneticPr fontId="18" type="noConversion"/>
  </si>
  <si>
    <t>회전크랴샤</t>
    <phoneticPr fontId="18" type="noConversion"/>
  </si>
  <si>
    <t>회전크랏샤</t>
    <phoneticPr fontId="18" type="noConversion"/>
  </si>
  <si>
    <t>회전크러셔</t>
    <phoneticPr fontId="18" type="noConversion"/>
  </si>
  <si>
    <t>회전식</t>
    <phoneticPr fontId="18" type="noConversion"/>
  </si>
  <si>
    <t>지게발</t>
    <phoneticPr fontId="18" type="noConversion"/>
  </si>
  <si>
    <t>고철가위&amp;커터</t>
    <phoneticPr fontId="18" type="noConversion"/>
  </si>
  <si>
    <t>함마</t>
    <phoneticPr fontId="18" type="noConversion"/>
  </si>
  <si>
    <t>코어드릴</t>
    <phoneticPr fontId="18" type="noConversion"/>
  </si>
  <si>
    <t>콤펙터</t>
    <phoneticPr fontId="18" type="noConversion"/>
  </si>
  <si>
    <t>기타</t>
    <phoneticPr fontId="18" type="noConversion"/>
  </si>
  <si>
    <t>지개발</t>
    <phoneticPr fontId="18" type="noConversion"/>
  </si>
  <si>
    <t>지게차덧발</t>
    <phoneticPr fontId="18" type="noConversion"/>
  </si>
  <si>
    <t>지개차덧발</t>
    <phoneticPr fontId="18" type="noConversion"/>
  </si>
  <si>
    <t>지게덧발</t>
    <phoneticPr fontId="18" type="noConversion"/>
  </si>
  <si>
    <t>지개덧발</t>
    <phoneticPr fontId="18" type="noConversion"/>
  </si>
  <si>
    <t>덧발</t>
    <phoneticPr fontId="18" type="noConversion"/>
  </si>
  <si>
    <t>가위</t>
    <phoneticPr fontId="18" type="noConversion"/>
  </si>
  <si>
    <t>쉐어</t>
    <phoneticPr fontId="18" type="noConversion"/>
  </si>
  <si>
    <t>빔커터</t>
    <phoneticPr fontId="18" type="noConversion"/>
  </si>
  <si>
    <t>빔카타</t>
    <phoneticPr fontId="18" type="noConversion"/>
  </si>
  <si>
    <t>커터기</t>
    <phoneticPr fontId="18" type="noConversion"/>
  </si>
  <si>
    <t>카타기</t>
    <phoneticPr fontId="18" type="noConversion"/>
  </si>
  <si>
    <t>경량가위</t>
    <phoneticPr fontId="18" type="noConversion"/>
  </si>
  <si>
    <t>빔가위</t>
    <phoneticPr fontId="18" type="noConversion"/>
  </si>
  <si>
    <t>커터</t>
    <phoneticPr fontId="18" type="noConversion"/>
  </si>
  <si>
    <t>카터기</t>
    <phoneticPr fontId="18" type="noConversion"/>
  </si>
  <si>
    <t>카터</t>
    <phoneticPr fontId="18" type="noConversion"/>
  </si>
  <si>
    <t>캇팅기</t>
    <phoneticPr fontId="18" type="noConversion"/>
  </si>
  <si>
    <t>컷팅기</t>
    <phoneticPr fontId="18" type="noConversion"/>
  </si>
  <si>
    <t>캇타기</t>
    <phoneticPr fontId="18" type="noConversion"/>
  </si>
  <si>
    <t>해머</t>
    <phoneticPr fontId="18" type="noConversion"/>
  </si>
  <si>
    <t>유압함마</t>
    <phoneticPr fontId="18" type="noConversion"/>
  </si>
  <si>
    <t>유압해머</t>
    <phoneticPr fontId="18" type="noConversion"/>
  </si>
  <si>
    <t>바이브로함마</t>
    <phoneticPr fontId="18" type="noConversion"/>
  </si>
  <si>
    <t>바이브로해머</t>
    <phoneticPr fontId="18" type="noConversion"/>
  </si>
  <si>
    <t>함머</t>
    <phoneticPr fontId="18" type="noConversion"/>
  </si>
  <si>
    <t>유압함머</t>
    <phoneticPr fontId="18" type="noConversion"/>
  </si>
  <si>
    <t>바이브로함머</t>
    <phoneticPr fontId="18" type="noConversion"/>
  </si>
  <si>
    <t>코아드릴</t>
    <phoneticPr fontId="18" type="noConversion"/>
  </si>
  <si>
    <t>콘크리트절단기</t>
    <phoneticPr fontId="18" type="noConversion"/>
  </si>
  <si>
    <t>콘크리트절단</t>
    <phoneticPr fontId="18" type="noConversion"/>
  </si>
  <si>
    <t>코어</t>
    <phoneticPr fontId="18" type="noConversion"/>
  </si>
  <si>
    <t>코아</t>
    <phoneticPr fontId="18" type="noConversion"/>
  </si>
  <si>
    <t>절단기</t>
    <phoneticPr fontId="18" type="noConversion"/>
  </si>
  <si>
    <t>건식코아</t>
    <phoneticPr fontId="18" type="noConversion"/>
  </si>
  <si>
    <t>건식코어</t>
    <phoneticPr fontId="18" type="noConversion"/>
  </si>
  <si>
    <t>콤펙타</t>
    <phoneticPr fontId="18" type="noConversion"/>
  </si>
  <si>
    <t>콤팩터</t>
    <phoneticPr fontId="18" type="noConversion"/>
  </si>
  <si>
    <t>콤팩타</t>
    <phoneticPr fontId="18" type="noConversion"/>
  </si>
  <si>
    <t>다짐</t>
    <phoneticPr fontId="18" type="noConversion"/>
  </si>
  <si>
    <t>다짐기</t>
    <phoneticPr fontId="18" type="noConversion"/>
  </si>
  <si>
    <t>흙다짐기</t>
    <phoneticPr fontId="18" type="noConversion"/>
  </si>
  <si>
    <t>땅다짐기</t>
    <phoneticPr fontId="18" type="noConversion"/>
  </si>
  <si>
    <t>면삭기</t>
    <phoneticPr fontId="18" type="noConversion"/>
  </si>
  <si>
    <t>예초기</t>
    <phoneticPr fontId="18" type="noConversion"/>
  </si>
  <si>
    <t>기타크라샤</t>
    <phoneticPr fontId="18" type="noConversion"/>
  </si>
  <si>
    <t>기타크락샤</t>
    <phoneticPr fontId="18" type="noConversion"/>
  </si>
  <si>
    <t>기타크랴샤</t>
    <phoneticPr fontId="18" type="noConversion"/>
  </si>
  <si>
    <t>기타크랏샤</t>
    <phoneticPr fontId="18" type="noConversion"/>
  </si>
  <si>
    <t>기타크라셔</t>
    <phoneticPr fontId="18" type="noConversion"/>
  </si>
  <si>
    <t>스페셜바가지</t>
    <phoneticPr fontId="18" type="noConversion"/>
  </si>
  <si>
    <t>스페셜박아지</t>
    <phoneticPr fontId="18" type="noConversion"/>
  </si>
  <si>
    <t>스페셜버캣</t>
    <phoneticPr fontId="18" type="noConversion"/>
  </si>
  <si>
    <t>스페셜박</t>
    <phoneticPr fontId="18" type="noConversion"/>
  </si>
  <si>
    <t>스페셜바케스</t>
    <phoneticPr fontId="18" type="noConversion"/>
  </si>
  <si>
    <t>스페셜버케스</t>
    <phoneticPr fontId="18" type="noConversion"/>
  </si>
  <si>
    <t>스페셜바캣</t>
    <phoneticPr fontId="18" type="noConversion"/>
  </si>
  <si>
    <t>스페셜바켓</t>
    <phoneticPr fontId="18" type="noConversion"/>
  </si>
  <si>
    <t>기타바가지</t>
    <phoneticPr fontId="18" type="noConversion"/>
  </si>
  <si>
    <t>기타박아지</t>
    <phoneticPr fontId="18" type="noConversion"/>
  </si>
  <si>
    <t>기타버캣</t>
    <phoneticPr fontId="18" type="noConversion"/>
  </si>
  <si>
    <t>기타박</t>
    <phoneticPr fontId="18" type="noConversion"/>
  </si>
  <si>
    <t>기타바케스</t>
    <phoneticPr fontId="18" type="noConversion"/>
  </si>
  <si>
    <t>기타버케스</t>
    <phoneticPr fontId="18" type="noConversion"/>
  </si>
  <si>
    <t>기타바캣</t>
    <phoneticPr fontId="18" type="noConversion"/>
  </si>
  <si>
    <t>기타바켓</t>
    <phoneticPr fontId="18" type="noConversion"/>
  </si>
  <si>
    <t>족바가지</t>
    <phoneticPr fontId="18" type="noConversion"/>
  </si>
  <si>
    <t>족박아지</t>
    <phoneticPr fontId="18" type="noConversion"/>
  </si>
  <si>
    <t>족버캣</t>
    <phoneticPr fontId="18" type="noConversion"/>
  </si>
  <si>
    <t>족박</t>
    <phoneticPr fontId="18" type="noConversion"/>
  </si>
  <si>
    <t>족바케스</t>
    <phoneticPr fontId="18" type="noConversion"/>
  </si>
  <si>
    <t>족버케스</t>
    <phoneticPr fontId="18" type="noConversion"/>
  </si>
  <si>
    <t>족바캣</t>
    <phoneticPr fontId="18" type="noConversion"/>
  </si>
  <si>
    <t>족바켓</t>
    <phoneticPr fontId="18" type="noConversion"/>
  </si>
  <si>
    <t>유무압집게</t>
    <phoneticPr fontId="18" type="noConversion"/>
  </si>
  <si>
    <t>유무압집개</t>
    <phoneticPr fontId="18" type="noConversion"/>
  </si>
  <si>
    <t>기타집게</t>
    <phoneticPr fontId="18" type="noConversion"/>
  </si>
  <si>
    <t>기타집게</t>
    <phoneticPr fontId="18" type="noConversion"/>
  </si>
  <si>
    <t>기타집개</t>
    <phoneticPr fontId="18" type="noConversion"/>
  </si>
  <si>
    <t>기타짚게</t>
    <phoneticPr fontId="18" type="noConversion"/>
  </si>
  <si>
    <t>기타짚개</t>
    <phoneticPr fontId="18" type="noConversion"/>
  </si>
  <si>
    <t>스마트집게</t>
    <phoneticPr fontId="18" type="noConversion"/>
  </si>
  <si>
    <t>스마트집개</t>
    <phoneticPr fontId="18" type="noConversion"/>
  </si>
  <si>
    <t>BK</t>
    <phoneticPr fontId="18" type="noConversion"/>
  </si>
  <si>
    <t>회전집게</t>
    <phoneticPr fontId="18" type="noConversion"/>
  </si>
  <si>
    <t>회전집개</t>
    <phoneticPr fontId="18" type="noConversion"/>
  </si>
  <si>
    <t>버켓클렘프</t>
    <phoneticPr fontId="18" type="noConversion"/>
  </si>
  <si>
    <t>사이드브레이커</t>
    <phoneticPr fontId="18" type="noConversion"/>
  </si>
  <si>
    <t>탑브레이커</t>
    <phoneticPr fontId="18" type="noConversion"/>
  </si>
  <si>
    <t>박스브레이커</t>
    <phoneticPr fontId="18" type="noConversion"/>
  </si>
  <si>
    <t>스페셜브레이커</t>
    <phoneticPr fontId="18" type="noConversion"/>
  </si>
  <si>
    <t>기타브레이커</t>
    <phoneticPr fontId="18" type="noConversion"/>
  </si>
  <si>
    <t>사이드뿌레카</t>
    <phoneticPr fontId="18" type="noConversion"/>
  </si>
  <si>
    <t>사이드쁘레카</t>
    <phoneticPr fontId="18" type="noConversion"/>
  </si>
  <si>
    <t>사이드뿌렉카</t>
    <phoneticPr fontId="18" type="noConversion"/>
  </si>
  <si>
    <t>사이드브레이카</t>
    <phoneticPr fontId="18" type="noConversion"/>
  </si>
  <si>
    <t>사이드브레카</t>
    <phoneticPr fontId="18" type="noConversion"/>
  </si>
  <si>
    <t>사이드쁘래카</t>
    <phoneticPr fontId="18" type="noConversion"/>
  </si>
  <si>
    <t>사이드뿌래카</t>
    <phoneticPr fontId="18" type="noConversion"/>
  </si>
  <si>
    <t>사이드브래카</t>
    <phoneticPr fontId="18" type="noConversion"/>
  </si>
  <si>
    <t>사이드부레카</t>
    <phoneticPr fontId="18" type="noConversion"/>
  </si>
  <si>
    <t>사이드뿌레커</t>
    <phoneticPr fontId="18" type="noConversion"/>
  </si>
  <si>
    <t>사이드쁘레커</t>
    <phoneticPr fontId="18" type="noConversion"/>
  </si>
  <si>
    <t>사이드뿌렉커</t>
    <phoneticPr fontId="18" type="noConversion"/>
  </si>
  <si>
    <t>사이드브레커</t>
    <phoneticPr fontId="18" type="noConversion"/>
  </si>
  <si>
    <t>사이드쁘래커</t>
    <phoneticPr fontId="18" type="noConversion"/>
  </si>
  <si>
    <t>사이드뿌래커</t>
    <phoneticPr fontId="18" type="noConversion"/>
  </si>
  <si>
    <t>사이드브래커</t>
    <phoneticPr fontId="18" type="noConversion"/>
  </si>
  <si>
    <t>사이드부레커</t>
    <phoneticPr fontId="18" type="noConversion"/>
  </si>
  <si>
    <t>사이드뿌</t>
    <phoneticPr fontId="18" type="noConversion"/>
  </si>
  <si>
    <t>탑뿌레카</t>
    <phoneticPr fontId="18" type="noConversion"/>
  </si>
  <si>
    <t>탑쁘레카</t>
    <phoneticPr fontId="18" type="noConversion"/>
  </si>
  <si>
    <t>탑뿌렉카</t>
    <phoneticPr fontId="18" type="noConversion"/>
  </si>
  <si>
    <t>탑브레이카</t>
    <phoneticPr fontId="18" type="noConversion"/>
  </si>
  <si>
    <t>탑브레카</t>
    <phoneticPr fontId="18" type="noConversion"/>
  </si>
  <si>
    <t>탑쁘래카</t>
    <phoneticPr fontId="18" type="noConversion"/>
  </si>
  <si>
    <t>탑뿌래카</t>
    <phoneticPr fontId="18" type="noConversion"/>
  </si>
  <si>
    <t>탑브래카</t>
    <phoneticPr fontId="18" type="noConversion"/>
  </si>
  <si>
    <t>탑부레카</t>
    <phoneticPr fontId="18" type="noConversion"/>
  </si>
  <si>
    <t>탑뿌레커</t>
    <phoneticPr fontId="18" type="noConversion"/>
  </si>
  <si>
    <t>탑쁘레커</t>
    <phoneticPr fontId="18" type="noConversion"/>
  </si>
  <si>
    <t>탑뿌렉커</t>
    <phoneticPr fontId="18" type="noConversion"/>
  </si>
  <si>
    <t>탑브레커</t>
    <phoneticPr fontId="18" type="noConversion"/>
  </si>
  <si>
    <t>탑쁘래커</t>
    <phoneticPr fontId="18" type="noConversion"/>
  </si>
  <si>
    <t>탑뿌래커</t>
    <phoneticPr fontId="18" type="noConversion"/>
  </si>
  <si>
    <t>탑브래커</t>
    <phoneticPr fontId="18" type="noConversion"/>
  </si>
  <si>
    <t>탑뿌렉커</t>
    <phoneticPr fontId="18" type="noConversion"/>
  </si>
  <si>
    <t>탑부레커</t>
    <phoneticPr fontId="18" type="noConversion"/>
  </si>
  <si>
    <t>탑뿌</t>
    <phoneticPr fontId="18" type="noConversion"/>
  </si>
  <si>
    <t>박스뿌레카</t>
    <phoneticPr fontId="18" type="noConversion"/>
  </si>
  <si>
    <t>박스쁘레카</t>
    <phoneticPr fontId="18" type="noConversion"/>
  </si>
  <si>
    <t>박스뿌렉카</t>
    <phoneticPr fontId="18" type="noConversion"/>
  </si>
  <si>
    <t>박스브레이카</t>
    <phoneticPr fontId="18" type="noConversion"/>
  </si>
  <si>
    <t>박스브레카</t>
    <phoneticPr fontId="18" type="noConversion"/>
  </si>
  <si>
    <t>박스쁘래카</t>
    <phoneticPr fontId="18" type="noConversion"/>
  </si>
  <si>
    <t>박스뿌래카</t>
    <phoneticPr fontId="18" type="noConversion"/>
  </si>
  <si>
    <t>박스브래카</t>
    <phoneticPr fontId="18" type="noConversion"/>
  </si>
  <si>
    <t>박스부레카</t>
    <phoneticPr fontId="18" type="noConversion"/>
  </si>
  <si>
    <t>박스뿌레커</t>
    <phoneticPr fontId="18" type="noConversion"/>
  </si>
  <si>
    <t>박스쁘레커</t>
    <phoneticPr fontId="18" type="noConversion"/>
  </si>
  <si>
    <t>박스뿌렉커</t>
    <phoneticPr fontId="18" type="noConversion"/>
  </si>
  <si>
    <t>박스브레커</t>
    <phoneticPr fontId="18" type="noConversion"/>
  </si>
  <si>
    <t>박스쁘래커</t>
    <phoneticPr fontId="18" type="noConversion"/>
  </si>
  <si>
    <t>박스뿌래커</t>
    <phoneticPr fontId="18" type="noConversion"/>
  </si>
  <si>
    <t>박스브래커</t>
    <phoneticPr fontId="18" type="noConversion"/>
  </si>
  <si>
    <t>박스부레커</t>
    <phoneticPr fontId="18" type="noConversion"/>
  </si>
  <si>
    <t>박스뿌</t>
    <phoneticPr fontId="18" type="noConversion"/>
  </si>
  <si>
    <t>스페셜뿌레카</t>
    <phoneticPr fontId="18" type="noConversion"/>
  </si>
  <si>
    <t>스페셜쁘레카</t>
    <phoneticPr fontId="18" type="noConversion"/>
  </si>
  <si>
    <t>스페셜뿌렉카</t>
    <phoneticPr fontId="18" type="noConversion"/>
  </si>
  <si>
    <t>스페셜브레이카</t>
    <phoneticPr fontId="18" type="noConversion"/>
  </si>
  <si>
    <t>스페셜브레카</t>
    <phoneticPr fontId="18" type="noConversion"/>
  </si>
  <si>
    <t>스페셜쁘래카</t>
    <phoneticPr fontId="18" type="noConversion"/>
  </si>
  <si>
    <t>스페셜뿌래카</t>
    <phoneticPr fontId="18" type="noConversion"/>
  </si>
  <si>
    <t>스페셜브래카</t>
    <phoneticPr fontId="18" type="noConversion"/>
  </si>
  <si>
    <t>스페셜부레카</t>
    <phoneticPr fontId="18" type="noConversion"/>
  </si>
  <si>
    <t>스페셜뿌레커</t>
    <phoneticPr fontId="18" type="noConversion"/>
  </si>
  <si>
    <t>스페셜쁘레커</t>
    <phoneticPr fontId="18" type="noConversion"/>
  </si>
  <si>
    <t>스페셜뿌렉커</t>
    <phoneticPr fontId="18" type="noConversion"/>
  </si>
  <si>
    <t>스페셜브레커</t>
    <phoneticPr fontId="18" type="noConversion"/>
  </si>
  <si>
    <t>스페셜쁘래커</t>
    <phoneticPr fontId="18" type="noConversion"/>
  </si>
  <si>
    <t>스페셜뿌래커</t>
    <phoneticPr fontId="18" type="noConversion"/>
  </si>
  <si>
    <t>스페셜브래커</t>
    <phoneticPr fontId="18" type="noConversion"/>
  </si>
  <si>
    <t>스페셜부레커</t>
    <phoneticPr fontId="18" type="noConversion"/>
  </si>
  <si>
    <t>스페셜뿌</t>
    <phoneticPr fontId="18" type="noConversion"/>
  </si>
  <si>
    <t>기타뿌레카</t>
    <phoneticPr fontId="18" type="noConversion"/>
  </si>
  <si>
    <t>기타쁘레카</t>
    <phoneticPr fontId="18" type="noConversion"/>
  </si>
  <si>
    <t>기타뿌렉카</t>
    <phoneticPr fontId="18" type="noConversion"/>
  </si>
  <si>
    <t>기타브레이카</t>
    <phoneticPr fontId="18" type="noConversion"/>
  </si>
  <si>
    <t>기타브레카</t>
    <phoneticPr fontId="18" type="noConversion"/>
  </si>
  <si>
    <t>기타쁘래카</t>
    <phoneticPr fontId="18" type="noConversion"/>
  </si>
  <si>
    <t>기타뿌래카</t>
    <phoneticPr fontId="18" type="noConversion"/>
  </si>
  <si>
    <t>기타브래카</t>
    <phoneticPr fontId="18" type="noConversion"/>
  </si>
  <si>
    <t>기타부레카</t>
    <phoneticPr fontId="18" type="noConversion"/>
  </si>
  <si>
    <t>기타뿌레커</t>
    <phoneticPr fontId="18" type="noConversion"/>
  </si>
  <si>
    <t>기타쁘레커</t>
    <phoneticPr fontId="18" type="noConversion"/>
  </si>
  <si>
    <t>기타뿌렉커</t>
    <phoneticPr fontId="18" type="noConversion"/>
  </si>
  <si>
    <t>기타브레커</t>
    <phoneticPr fontId="18" type="noConversion"/>
  </si>
  <si>
    <t>기타쁘래커</t>
    <phoneticPr fontId="18" type="noConversion"/>
  </si>
  <si>
    <t>기타뿌래커</t>
    <phoneticPr fontId="18" type="noConversion"/>
  </si>
  <si>
    <t>기타브래커</t>
    <phoneticPr fontId="18" type="noConversion"/>
  </si>
  <si>
    <t>기타부레커</t>
    <phoneticPr fontId="18" type="noConversion"/>
  </si>
  <si>
    <t>기타뿌</t>
    <phoneticPr fontId="18" type="noConversion"/>
  </si>
  <si>
    <t>탑형뿌</t>
    <phoneticPr fontId="18" type="noConversion"/>
  </si>
  <si>
    <t>박스형뿌</t>
    <phoneticPr fontId="18" type="noConversion"/>
  </si>
  <si>
    <t>사이드형뿌</t>
    <phoneticPr fontId="18" type="noConversion"/>
  </si>
  <si>
    <t>박스형브</t>
    <phoneticPr fontId="18" type="noConversion"/>
  </si>
  <si>
    <t>탑형브</t>
    <phoneticPr fontId="18" type="noConversion"/>
  </si>
  <si>
    <t>사이드형브</t>
    <phoneticPr fontId="18" type="noConversion"/>
  </si>
  <si>
    <t>암바가지</t>
    <phoneticPr fontId="18" type="noConversion"/>
  </si>
  <si>
    <t>암박아지</t>
    <phoneticPr fontId="18" type="noConversion"/>
  </si>
  <si>
    <t>암버캣</t>
    <phoneticPr fontId="18" type="noConversion"/>
  </si>
  <si>
    <t>암바케스</t>
    <phoneticPr fontId="18" type="noConversion"/>
  </si>
  <si>
    <t>암버케스</t>
    <phoneticPr fontId="18" type="noConversion"/>
  </si>
  <si>
    <t>암바캣</t>
    <phoneticPr fontId="18" type="noConversion"/>
  </si>
  <si>
    <t>암바켓</t>
    <phoneticPr fontId="18" type="noConversion"/>
  </si>
  <si>
    <t>암박</t>
    <phoneticPr fontId="18" type="noConversion"/>
  </si>
  <si>
    <t>암버켓</t>
    <phoneticPr fontId="18" type="noConversion"/>
  </si>
  <si>
    <t>탑형</t>
    <phoneticPr fontId="18" type="noConversion"/>
  </si>
  <si>
    <t>텅텅</t>
    <phoneticPr fontId="18" type="noConversion"/>
  </si>
  <si>
    <t>버켓</t>
    <phoneticPr fontId="18" type="noConversion"/>
  </si>
  <si>
    <t>바가지</t>
    <phoneticPr fontId="18" type="noConversion"/>
  </si>
  <si>
    <t>박아지</t>
    <phoneticPr fontId="18" type="noConversion"/>
  </si>
  <si>
    <t>버캣</t>
    <phoneticPr fontId="18" type="noConversion"/>
  </si>
  <si>
    <t>박</t>
    <phoneticPr fontId="18" type="noConversion"/>
  </si>
  <si>
    <t>바케스</t>
    <phoneticPr fontId="18" type="noConversion"/>
  </si>
  <si>
    <t>버케스</t>
    <phoneticPr fontId="18" type="noConversion"/>
  </si>
  <si>
    <t>바캣</t>
    <phoneticPr fontId="18" type="noConversion"/>
  </si>
  <si>
    <t>바켓</t>
    <phoneticPr fontId="18" type="noConversion"/>
  </si>
  <si>
    <t>집게</t>
    <phoneticPr fontId="18" type="noConversion"/>
  </si>
  <si>
    <t>집개</t>
    <phoneticPr fontId="18" type="noConversion"/>
  </si>
  <si>
    <t>짚게</t>
    <phoneticPr fontId="18" type="noConversion"/>
  </si>
  <si>
    <t>짚개</t>
    <phoneticPr fontId="18" type="noConversion"/>
  </si>
  <si>
    <t>그랩</t>
    <phoneticPr fontId="18" type="noConversion"/>
  </si>
  <si>
    <t>그래플</t>
    <phoneticPr fontId="18" type="noConversion"/>
  </si>
  <si>
    <t>그라플</t>
    <phoneticPr fontId="18" type="noConversion"/>
  </si>
  <si>
    <t>그랍</t>
    <phoneticPr fontId="18" type="noConversion"/>
  </si>
  <si>
    <t>크러셔</t>
    <phoneticPr fontId="18" type="noConversion"/>
  </si>
  <si>
    <t>크락샤</t>
    <phoneticPr fontId="18" type="noConversion"/>
  </si>
  <si>
    <t>크라샤</t>
    <phoneticPr fontId="18" type="noConversion"/>
  </si>
  <si>
    <t>크랴샤</t>
    <phoneticPr fontId="18" type="noConversion"/>
  </si>
  <si>
    <t>크랏샤</t>
    <phoneticPr fontId="18" type="noConversion"/>
  </si>
  <si>
    <t>크라셔</t>
    <phoneticPr fontId="18" type="noConversion"/>
  </si>
  <si>
    <t>Hydraulic Breaker</t>
    <phoneticPr fontId="18" type="noConversion"/>
  </si>
  <si>
    <t>크라</t>
    <phoneticPr fontId="18" type="noConversion"/>
  </si>
  <si>
    <t>크락</t>
    <phoneticPr fontId="18" type="noConversion"/>
  </si>
  <si>
    <t>크러</t>
    <phoneticPr fontId="18" type="noConversion"/>
  </si>
  <si>
    <t>바가지링</t>
    <phoneticPr fontId="18" type="noConversion"/>
  </si>
  <si>
    <t>버캣링</t>
    <phoneticPr fontId="18" type="noConversion"/>
  </si>
  <si>
    <t>벗켓</t>
    <phoneticPr fontId="18" type="noConversion"/>
  </si>
  <si>
    <t>벗캣</t>
    <phoneticPr fontId="18" type="noConversion"/>
  </si>
  <si>
    <t>displayName</t>
  </si>
  <si>
    <t>**동작 기능 양호 **  0000  시간 아래참조 **//쁘레카 및 어태치/06급-영원300-충남**\ 280 만/06급- 본버켓(120만)-채버켓(90만)-일자쁘(\350만) 니퍼 60만/06 숏붐 두산정품(\160만)---별도판매/06급-회전돌집게--2010-5-충남**\ 550 만/06급-버켓돌집게-2012-05-충남**\ 400 만//10급-수산SB130G-2010년-인천**\ 500 만--양호/10급-영원 V5200-2009-05-경기**\600 만--양호/10급-XO-10 BK-충남-1400 만----양호/10급-영원 V5500-3-2014-05-충남**\ 1100 만/460급-옥진회전식크략샤--2016-10월-경기**\ 3800 만--4개월사용//건강하시고 사업번창 하시길 기원합니다/그외 매물 다수보유-캐피탈 문의 친절하게 상담해드립니다/** CHUN-IL M/K 박장수 입니다  010-3733-3097</t>
  </si>
  <si>
    <t>뿌레카ㆍ쪽바가지ㆍ니빠입니다/상태양호합니다 연락주세요/010-6370-6773</t>
  </si>
  <si>
    <t>08뿌레카 특a급/구매후 거의사용 않했음/타격력좋고 상태깨끗합니다/전화주세요</t>
  </si>
  <si>
    <t>210W 숏암 숏붐 각각40cm</t>
  </si>
  <si>
    <t>수산 SB81TRF 일자형 08뿌레카/전화문의 010-3846-7987</t>
  </si>
  <si>
    <t>장비 좋습니다.</t>
  </si>
  <si>
    <t>두달사용했음다</t>
  </si>
  <si>
    <t>구입후 한번 사용.</t>
  </si>
  <si>
    <t>중기짱06지게발90만원 별도판매</t>
  </si>
  <si>
    <t>특특 3일사용했습니다</t>
  </si>
  <si>
    <t>외폭110cm/상태굿! 연락주세요</t>
  </si>
  <si>
    <t>구매후 30분사용(거의 신품)</t>
  </si>
  <si>
    <t>10뿌레카 팔아요./언제든 연락 주세요</t>
  </si>
  <si>
    <t>대신500g 특a급/쎌교환 겉부싱 교환 올수리완료/상태최상입니다/전화주세요</t>
  </si>
  <si>
    <t>상태좋습니다 다양한 어태치 많습니다</t>
  </si>
  <si>
    <t>수산130-3L 텐뿌레카입니다</t>
  </si>
  <si>
    <t>170만원+부가세별도./장착포함.</t>
  </si>
  <si>
    <t>상태양호 두산 볼보 현대 6lc표준붐대에적용</t>
  </si>
  <si>
    <t>영창 돌집게</t>
  </si>
  <si>
    <t>한번사용했습니다 특특급</t>
  </si>
  <si>
    <t>수리완료 사진전송가능</t>
  </si>
  <si>
    <t>신품 02 뿌레카 입니다./사진전송해드립니다./전화주세요.</t>
  </si>
  <si>
    <t>월드크라샤 파워형 올수리 사용중 손볼데없고  바로사용가능사진보내드림</t>
  </si>
  <si>
    <t>중고와 교환 합니다/보강시 대체 합니다</t>
  </si>
  <si>
    <t>현대380사용합니다  임대 합니다/중고와 교환 합니다</t>
  </si>
  <si>
    <t>DX420LC -암작업 버켓/특수용접봉으로 보강/010-3528-8877/연락수세요~~</t>
  </si>
  <si>
    <t>06 콤팩트 300만원/08 콤팩트 250만원/올수리 완료</t>
  </si>
  <si>
    <t>나무집게 사용</t>
  </si>
  <si>
    <t>상태최상  사진전송가능</t>
  </si>
  <si>
    <t>올수리 완료</t>
  </si>
  <si>
    <t>대우210W사용</t>
  </si>
  <si>
    <t>현재 사용중 입니다 . 꼭필용하신분만 연락주세요</t>
  </si>
  <si>
    <t>특급입니다.</t>
  </si>
  <si>
    <t>미니부터 대형까지 스피드 밸브 기본장착 투실린더/크락샤 제작합니다/빔가위 제작</t>
  </si>
  <si>
    <t>가로1500 길이2400 높이1000  2루베죽통-130만원. 기타주문제작</t>
  </si>
  <si>
    <t>한달사용</t>
  </si>
  <si>
    <t>텐 클램프 130만원/올수리 완료</t>
  </si>
  <si>
    <t>고흥 08 멀티크락샤/올수리 완료</t>
  </si>
  <si>
    <t>수산노란색뿌레카교환가능</t>
  </si>
  <si>
    <t>06회전집게개인입니다연락주시면사진전송해드리겠습니다</t>
  </si>
  <si>
    <t>210w숏암 숏붐  각각 40cn</t>
  </si>
  <si>
    <t>2루베-130만원.기타 주문제작</t>
  </si>
  <si>
    <t>10저소음 브레이커/올수리 완료</t>
  </si>
  <si>
    <t>수산130-3L텐뿌레카/올수리완료 상태최상입니다/전화주세요</t>
  </si>
  <si>
    <t>미니 17-20 스피드밸브있고 투실린더 크락샤입니다/사진 전송합니다</t>
  </si>
  <si>
    <t>특...020    030////할부 / 대차 가능합니다   *장비고가매입*//장비에대한 모든것 전화주시면 성실하게 설명드리도록 하겠습니다////ㅊ청원건설기계매매상사//대표   김 홍 서//청원(남청주)IC 에서 5분거리</t>
  </si>
  <si>
    <t>울산에 있습니다.</t>
  </si>
  <si>
    <t>수산 SB81TRF 일자형 08뿌레카 상태특급/010-3846-7987 권혁도 울산</t>
  </si>
  <si>
    <t>상태아주양호 아주쓸만해요 대 쪽바가지따로따로판매강능</t>
  </si>
  <si>
    <t>개인..가격절충가능..특급장비...011.455.0805</t>
  </si>
  <si>
    <t>장비라인깔고 테스트만 했습니다. 신품입니다</t>
  </si>
  <si>
    <t>문의주세여</t>
  </si>
  <si>
    <t>사진전송가능합니다.</t>
  </si>
  <si>
    <t>한우333 도판매함니다. 저나주세요</t>
  </si>
  <si>
    <t>특a</t>
  </si>
  <si>
    <t>테스트만 한 제품이구요//중고라기도 애매하네요.//저렴하게 내놨으니 가져가세요//010 8677 2050</t>
  </si>
  <si>
    <t>상태좋고 잘 때려집니다~^^/언제든 편안히 연락주십시오 감사합니다~^^</t>
  </si>
  <si>
    <t>상태 좋습니다. 경기 여주에 있습니다 문자로 부탁드립니다.</t>
  </si>
  <si>
    <t>개인이 얼마쓰지도 안았습니다 02딱딱  대한것입니다  콘토레트 까지 호수까지 다드립니다 산판용이니도 일반용 용접해서 장착만 하시면 됩니다  개인입니다 사진휴대폰으로 전송합니다 꼭하신다면 절중도 가능합니다</t>
  </si>
  <si>
    <t>06크라샤/스피드 밸브/사진전송/010 2749 0010</t>
  </si>
  <si>
    <t>각종 신품 다있습니다./전화주세요.</t>
  </si>
  <si>
    <t>06jk/돌집게/상태최상</t>
  </si>
  <si>
    <t>JK 입니다</t>
  </si>
  <si>
    <t>10 니빠/언제든 편안히 연락주십시오 감사합니다~^^</t>
  </si>
  <si>
    <t>수산SB-50 파랭이/브라켓트 서운하네요/속내용은좋습니다.싸게쓰실분 연락주세요</t>
  </si>
  <si>
    <t>외폭110입니다.</t>
  </si>
  <si>
    <t>EW60E 신품 타이어아세이 &lt;&lt;</t>
  </si>
  <si>
    <t>010-4857-8209/전화주세요~</t>
  </si>
  <si>
    <t>광림08뿌레카/특A급 구매후 사용거의않했음/상태최상입니다 전화주세요</t>
  </si>
  <si>
    <t>경기 여주에 있습니다. 문자로 부탁드립니다.</t>
  </si>
  <si>
    <t>고흥 미니부터 대형까지 기본 스피드밸브있고/투 실린더 크락샤 제작합니다/미니 17-20  크락샤 50 벌어집니다/빔가위 제작</t>
  </si>
  <si>
    <t>대한딱딱구리  얼마 쓰지도 안아습니다 콘토레트  션스 호수까지 일채 드립니다 사진은 휴대폰으로 전송 합니다 개인적으로   쓰던것라서 좋습니다</t>
  </si>
  <si>
    <t>06부광크라샤입니다/스피드밸브 장착되어있고요/손볼곳없이 상태최상급입니다/구입원하시면 전화주세요/**********************************************************/*굴삭기 렌탈 !!!/*언제든 상담 환영합니다!!///많은 굴삭기가 준비 되있습니다.//☞///010-2749-0010/*************************************************************************</t>
  </si>
  <si>
    <t>06돌집게/상태 좋습니다/언제든 편안히 연락주십시오 감사합니다~^^</t>
  </si>
  <si>
    <t>필요시 사진전송</t>
  </si>
  <si>
    <t>성진1400텐뿌레카/신품구매한지 1년 조금넘었음/타격력좋고 상태최상입니다/전화주세요</t>
  </si>
  <si>
    <t>상태 좋습니다  한번 사용했습니다 이년전에 경기도 이천에 있습니다. 문자로 연락부탁드립니다.</t>
  </si>
  <si>
    <t>상태 좋습니다. 경기 여주에 있습니다. 최근까지 조금씩 사용하던겁니다. 문자로 부탁드립니다.</t>
  </si>
  <si>
    <t>08면삭기/개인입니다.  011-551-1804/연락주세요</t>
  </si>
  <si>
    <t>딱딱구리 공투 대한 얼마안쓰 딱딱구리 공투 깨끗합니다  콜롤로별버 긴호수 일체 드립니다   그냥  용접해서 써기하시면 됩니다  개인입니다 사진휴대폰으로 전송합니다</t>
  </si>
  <si>
    <t>월드구형</t>
  </si>
  <si>
    <t>제작 판매</t>
  </si>
  <si>
    <t>08 습지트랙/개인입니다. 011-551-1804</t>
  </si>
  <si>
    <t>개인입니다~ 06장비운송용 9.5톤트럭을 판매하고자 이렇게 내놓습니다.../차량상태는 아주 최상이고요 구조변경또한 모두되있는 차량입니다~ 부득이한 사정으로/필요치가않아서 내놓고요.궁금하신분이나 필요하신분들은 010.5451.7499 로 연락주세요/참고로 여기는 충남입니다~ 절충또한 가능하니 많이많이 연락주세요</t>
  </si>
  <si>
    <t>as기간있습니다. 정비다해놨습니다.</t>
  </si>
  <si>
    <t>제조사:연일/모델명:고철 10급가위/제작년월:2009년/상태:최상급/장비위치:전국/판매가격:1천5백만원/꼭 필요하신분이 매입하셨으면 합니다/빠른연락주세요(파실장비도 있으면 전화주세요)/010-6422-7772(24시간 언제든 통화가능)/더많은 사진과 매물정보는  -&gt;//더많은 사진과 매물정보는  -&gt;//(더많은 매물정보는 네이버 검색창에 "" 래드중기 "" 치셔도 확인가능)</t>
  </si>
  <si>
    <t>제조사:연일/모델명:10급 임목집게(고철집게)/제작년월:2014년01월/상태:최상급/장비위치:경기/판매가격:1천2백만원/꼭 필요하신분이 매입하셨으면 합니다/빠른연락주세요(파실장비도 있으면 전화주세요)/010-6422-7772(24시간 언제든 통화가능)/할부가능/더많은 사진과 매물정보는  -&gt;//더많은 사진과 매물정보는  -&gt;//(더많은 매물정보는 네이버 검색창에 "" 래드중기 "" 치셔도 확인가능)</t>
  </si>
  <si>
    <t>두달사용햇어요 구입가 110만원 관로공사 그만두어서 올립니다/6w용입니다</t>
  </si>
  <si>
    <t>011-548-5523</t>
  </si>
  <si>
    <t>01066030706윤</t>
  </si>
  <si>
    <t>010-6363-9917</t>
  </si>
  <si>
    <t>010-5364-1094</t>
  </si>
  <si>
    <t>010-532-2002</t>
  </si>
  <si>
    <t>010-7286-1804</t>
  </si>
  <si>
    <t>010-8899-5416</t>
  </si>
  <si>
    <t>010-5406-4828</t>
  </si>
  <si>
    <t>010-8829-6365</t>
  </si>
  <si>
    <t>345망바가지</t>
  </si>
  <si>
    <t>공투딱딱구리</t>
  </si>
  <si>
    <t>06JK회전돌집</t>
  </si>
  <si>
    <t>06브래카급매</t>
  </si>
  <si>
    <t>미니바가지신품</t>
  </si>
  <si>
    <t>jk06돌집게</t>
  </si>
  <si>
    <t>06일자부레가</t>
  </si>
  <si>
    <t>두산480닛빠</t>
  </si>
  <si>
    <t>한국08멍텅크라</t>
  </si>
  <si>
    <t>DX210W숏풀</t>
  </si>
  <si>
    <t>06안는타입</t>
  </si>
  <si>
    <t>06회전돌</t>
  </si>
  <si>
    <t>스페어타이어</t>
  </si>
  <si>
    <t>회전02돌집게</t>
  </si>
  <si>
    <t>08뿌레카특A</t>
  </si>
  <si>
    <t>380브레카</t>
  </si>
  <si>
    <t>딱딱구리대한</t>
  </si>
  <si>
    <t>10페기물딱따</t>
  </si>
  <si>
    <t>365롱붐</t>
  </si>
  <si>
    <t>06막돌집게</t>
  </si>
  <si>
    <t>SB50브래카</t>
  </si>
  <si>
    <t>성진1400텐</t>
  </si>
  <si>
    <t>02브레카GB</t>
  </si>
  <si>
    <t>02집게유압식</t>
  </si>
  <si>
    <t>06LC딱다구리</t>
  </si>
  <si>
    <t>460압쇄기</t>
  </si>
  <si>
    <t>02-회전돌집게</t>
  </si>
  <si>
    <t>신품퀵클램프</t>
  </si>
  <si>
    <t>코끼집게06</t>
  </si>
  <si>
    <t>08면삭기</t>
  </si>
  <si>
    <t>딱딱구리공투</t>
  </si>
  <si>
    <t>06YLC돌집게</t>
  </si>
  <si>
    <t>02대모퀵클램프</t>
  </si>
  <si>
    <t>06호랑이</t>
  </si>
  <si>
    <t>9.5장비운송</t>
  </si>
  <si>
    <t>신품02대바가지</t>
  </si>
  <si>
    <t>020ㅡ030</t>
  </si>
  <si>
    <t>고철가위10급</t>
  </si>
  <si>
    <t>집게10급/상급</t>
  </si>
  <si>
    <t>02뿌레카02</t>
  </si>
  <si>
    <t>06현대퀵클램프</t>
  </si>
  <si>
    <t>DX55퀵클램프</t>
  </si>
  <si>
    <t>EC55퀵클램프</t>
  </si>
  <si>
    <t>Special Bucket</t>
  </si>
  <si>
    <t>Stone Grapple</t>
  </si>
  <si>
    <t>Wood Grapple</t>
  </si>
  <si>
    <t>Etc Grapple</t>
  </si>
  <si>
    <t>Side Breaker</t>
  </si>
  <si>
    <t>Skeleton Bucket</t>
  </si>
  <si>
    <t>Wide Bucket</t>
  </si>
  <si>
    <t>Hydraulic Pulverizer</t>
  </si>
  <si>
    <t>Thumb Grapple</t>
  </si>
  <si>
    <t>Small Bucket</t>
  </si>
  <si>
    <t>Orange Grapple</t>
  </si>
  <si>
    <t>Standard Bucket</t>
  </si>
  <si>
    <t>Hydraulic Multi Processor</t>
  </si>
  <si>
    <t>Scrap Grapple</t>
  </si>
  <si>
    <t>Multi Grapple</t>
  </si>
  <si>
    <t>ClamShell Grapple</t>
  </si>
  <si>
    <t>Progressive Thumb Grapple</t>
  </si>
  <si>
    <t>Excavator(33t over),10급이상</t>
    <phoneticPr fontId="18" type="noConversion"/>
  </si>
  <si>
    <t>Excavator(28~32t),10급</t>
    <phoneticPr fontId="18" type="noConversion"/>
  </si>
  <si>
    <t>Excavator(20~27t),08급</t>
    <phoneticPr fontId="18" type="noConversion"/>
  </si>
  <si>
    <t>Excavator(16~19t),07급</t>
    <phoneticPr fontId="18" type="noConversion"/>
  </si>
  <si>
    <t>Excavator(12~15.5t),06급</t>
    <phoneticPr fontId="18" type="noConversion"/>
  </si>
  <si>
    <t>Excavator(7~11t),04급</t>
    <phoneticPr fontId="18" type="noConversion"/>
  </si>
  <si>
    <t>Excavator(4.5t~6t),02급(03)</t>
    <phoneticPr fontId="18" type="noConversion"/>
  </si>
  <si>
    <t>Mini Excavator(2.6~4t),030급(035)</t>
  </si>
  <si>
    <t>Mini Excavator(2.6~4t),030급(035)</t>
    <phoneticPr fontId="18" type="noConversion"/>
  </si>
  <si>
    <t>Mini Excavator(1.7~2.5t),017급(020)</t>
  </si>
  <si>
    <t>Mini Excavator(1.7~2.5t),017급(020)</t>
    <phoneticPr fontId="18" type="noConversion"/>
  </si>
  <si>
    <t>Mini Excavator(0.1~1.6t),010급(015)</t>
  </si>
  <si>
    <t>Mini Excavator(0.1~1.6t),010급(015)</t>
    <phoneticPr fontId="18" type="noConversion"/>
  </si>
  <si>
    <t>Excavator(28~32t)</t>
  </si>
  <si>
    <t>Mini Excavator(0.1~1.6t)</t>
  </si>
  <si>
    <t>krw</t>
  </si>
  <si>
    <t>productStateAPlus</t>
  </si>
  <si>
    <t>common</t>
    <phoneticPr fontId="18" type="noConversion"/>
  </si>
  <si>
    <t>manufacturing</t>
    <phoneticPr fontId="18" type="noConversion"/>
  </si>
  <si>
    <t>★ 대전 어태치먼트 (D.J.A) 박용수 ★//☎  010 4857 8209   ☎///♠♤♠♤♠♤♠♤♠♤♠♤♠♤♠♤♠♤♠♤♠♤♠♤♠♤♠♤♠♤///네이버 블로그 :///네이버 카페 :///다음 카페 :///카카오톡 ID : pys7242 친구추가.//Email :///페이스북 :////♠♤♠♤♠♤♠♤♠♤♠♤♠♤♠♤♠♤♠♤♠♤♠♤♠♤♠♤♠♤///☎ 24시간 친절상담 010 4857 8209 전화주세요 ☎//▶ 모든 어태치먼트 신품  중고 있습니다.//▶ 고정식 ( 돌집게   나무집게 )  회전식 ( 돌집게   나무집게 ) 매입 매매 위탁가능//▶ 미니 02  03  06  08  10  10이상 브레이커 ( 뿌레카 ) 매입 매매 위탁가능//▶ 미니  02  03  06  08  10  10이상 크라샤 반자동 회전식 ( 스피드 ) 매입 매매 위탁가능 멀티 가세 가위//▶ 바가지링크   퀵 클램프   바가지 신품  중고 매입 매매 위탁가능//▶ 쪽바가지   본바가지   대바가지   채바가지   망바가지   관로바가지//▶ 신품  중고 어태치먼트 매입 매매 위탁가능//▶ 중고 굴삭기 매매 위탁가능//▶ 신품 굴삭기   신품 어태치먼트 판매//▶ 100% 실물만 판매합니다.//☎ 24시간 친절상담 010 4857 8209 전화주세요 ☎///♠♤♠♤♠♤♠♤♠♤♠♤♠♤♠♤♠♤♠♤♠♤♠♤♠♤♠♤♠♤///★ 대전 어태치먼트 박용수 ★//010 4857 8209//////★ 대전 어태치먼트 ★/무한궤도 논산중기//010 5424 7793///♠♤♠♤♠♤♠♤♠♤♠♤♠♤♠♤♠♤♠♤♠♤♠♤♠♤♠♤♠♤///신품 중고 굴삭기 농사용굴삭기 농업용굴삭기 미니굴삭기 포크레인//신품 중고 어태치먼트 부품 바가지 대바가지 채바가지 망바가지 본바가지 쪽바가지 채바가지//신품 중고 중장비 브레이커 뿌레카 돌집게 회전돌집게 나무집게 회전나무집게 오렌지그랩 스톤그램 우드그램 폐기물그랩//신품 중고 다짐기 딱다구리 스마트집게 코끼리집게 독수리발톱 호랑이발톱집게 멍텅구리 미니 절단기 콤팩타 크라샤 회전크라샤//매매 매입 위탁/////♠♤♠♤♠♤♠♤♠♤♠♤♠♤♠♤♠♤♠♤♠♤♠♤♠♤♠♤♠♤//엑스센트릭 월드중공업WHI 대한중공업 JK제이케이 DMA 영창공업 중기쟁이중공업 오거토크코리아 도호틸트//대동이엔지 영원중공업 주현틸트 성진유압브레이커 PA중공업 성도중공업 GB지비 삼성특장 대흥중공업//삼영중공업 HM에이치엠 태건개발 대원이엔지 삼성 볼보 대우 두산 현대 한라 한국산업 한일중공업 부광 월성사//태성중공업 한진기계 제일이앤비 세우엠아이씨 수산중공업 동양 한우 라이노 에버다임 MT엠티중공업 에스엔씨//♠♤♠♤♠♤♠♤♠♤♠♤♠♤♠♤♠♤♠♤♠♤♠♤♠♤♠♤♠♤//010 4857 8209////008 대바가지      신품////008 쪽바가지      신품////008 본바가지      신품////008 리퍼            신품////008 뿌레카         신품//////////010 대바가지      신품////010 쪽바가지      신품////010 본바가지      신품////010 리퍼            신품////010 뿌레카         신품/////////017 대바가지      신품////017 쪽바가지      신품//////017 본바가지      신품////017 망바가지      신품////017 리퍼            신품////017 뿌레카         신품////////////020 대바가지      신품////020 쪽바가지      신품////020 본바가지      신품////020 망바가지      신품////020 리퍼          신품////020 뿌레카        신품///////030 대바가지      신품////030 쪽바가지      신품////030 본바가지      신품////030 망바가지      신품////030 리퍼            신품////030 뿌레카         신품////////////02 관로바가지   신품////02 쪽바가지      신품////02 중바가지      신품////02 중바가지      신품////02 본바가지      신품////02 대바가지      신품////02 망바가지      신품////02 망바가지      신품////02리퍼             신품////02지게발          신품////02 뿌레카         신품///////////06 쪽바가지             신품////06 본바가지             신품////06 대바가지(1100)    신품////06 대바가지(1200)    신품////06 대바가지(1300)    신품////06 대바가지(1500)    신품////06 망바가지            신품////06리퍼                   신품////06지게발                신품////06 뿌레카               신품////////////08 쪽바가지     신품////08 본바가지     신품////08 대바가지     신품////08 망바가지     신품////08 리퍼           신품////08 뿌레카        신품//////////10 쪽바가지      신품////10 본바가지      신품////10 대바가지      신품////10 망바가지      신품////10 리퍼            신품////10 뿌레카         신품///010 4857 8209//♠♤♠♤♠♤♠♤♠♤♠♤♠♤♠♤♠♤♠♤♠♤♠♤♠♤♠♤♠♤///※ 네이버 블로그 ※//굴삭기 농장용 나무집게 돌집게 딱따구리 미니 바가지 브레이커 뿌레카 크라샤//굴삭기 중장비 미니굴삭기 농사용굴삭기 농업용굴삭기 신품 중고 매입 매매 위탁//굴삭기동영상 교육 안전 신품 중고 미니 02 06 08 10 10이상//굴삭기 돌집게 나무집게 바가지 뿌레카 크라샤//스키로다 스키로우더 스키로더 바가지 집게 청소솔  신품 중고//지게차 힌지드 흰지드 전동지게차 1톤 2톤 3톤 2.5톤 3.5톤 5톤 7톤 7.5톤</t>
  </si>
  <si>
    <t>소비자를위한합리적인가격"  타사제품비교후구매요망!    ***  신  품  ***/두산10투스 사용/캐터225투스 사용한것도 있습니다./도자D9N 샹크   투스     핀 열처리     나라시보강 하독스 사용  140만원/고정식돌집게 리퍼 지게발 각종 브레이커 브라켓트 제작 (위치-시화공단)/</t>
  </si>
  <si>
    <t>*******************************************************/### 중고 굴삭기 고가 매입합니다. ###//안녕하세요.//중고굴삭기매매 이젠건설기계 신 윤 철 입니다./[ 010-7290-6917 ]//# 중고굴삭기 매매  매입  대차  위탁판매  캐피탈업무  할부  수출 #//관련하여 문의 있으실 때 언제든 말씀 주십시오.//기타 현 매물은 제 블로그 혹은 홈페이지에 오셔서 구경하세요.//////오늘도 행복한 하루되세요 ^-^/고맙습니다.//### 중고 굴삭기 고가 매입합니다. ###/*******************************************************</t>
  </si>
  <si>
    <t>쪽  25만   나라시바가지   25만/쪽 바가지는  보강후 몇번 사용안함</t>
  </si>
  <si>
    <t>안녕하십니까!//대국건설기계매매상사 전상현이사 입니다.//각종 중장비 전문 취급 업체!!//↘↘ 모든 기종 매매/렌탈 전문 상사↙↙///중장비 사고 파실때 연락주시면 //↘↘고가매입 //저가판매 해 드리겠습니다↙↙///꼭! 꼭! 연락주십시요.  -항상 친절상담-//☎ 대국건설기계매매상사 전상현이사 :010-9711-6006 / 053.583.8006 ☎</t>
  </si>
  <si>
    <t>★ 대전 어태치먼트 (D.J.A) 박용수 ★//☎  010 4857 8209  ☎///♠♤♠♤♠♤♠♤♠♤♠♤♠♤♠♤♠♤♠♤♠♤♠♤♠♤♠♤♠♤///네이버 블로그 :///네이버 카페 :///다음 카페 :///카카오톡 ID : pys7242 친구추가.//Email :///페이스북 :////♠♤♠♤♠♤♠♤♠♤♠♤♠♤♠♤♠♤♠♤♠♤♠♤♠♤♠♤♠♤///☎ 24시간 친절상담 010 4857 8209 전화주세요 ☎//▶ 모든 어태치먼트 신품  중고 있습니다.//▶ 고정식 ( 돌집게   나무집게 )  회전식 ( 돌집게   나무집게 ) 매입 매매 위탁가능//▶ 미니 02  03  06  08  10  10이상 브레이커 ( 뿌레카 ) 매입 매매 위탁가능//▶ 미니  02  03  06  08  10  10이상 크라샤 반자동 회전식 ( 스피드 ) 매입 매매 위탁가능 멀티 가세 가위//▶ 바가지링크   퀵 클램프   바가지 신품  중고 매입 매매 위탁가능//▶ 쪽바가지   본바가지   대바가지   채바가지   망바가지   관로바가지//▶ 신품  중고 어태치먼트 매입 매매 위탁가능//▶ 중고 굴삭기 매매 위탁가능//▶ 신품 굴삭기   신품 어태치먼트 판매//▶ 100% 실물만 판매합니다.//☎ 24시간 친절상담 010 4857 8209 전화주세요 ☎///♠♤♠♤♠♤♠♤♠♤♠♤♠♤♠♤♠♤♠♤♠♤♠♤♠♤♠♤♠♤///★ 대전 어태치먼트 박용수 ★//010 4857 8209//////★ 대전 어태치먼트 ★/무한궤도 논산중기//010 5424 7793///♠♤♠♤♠♤♠♤♠♤♠♤♠♤♠♤♠♤♠♤♠♤♠♤♠♤♠♤♠♤///신품 중고 굴삭기 농사용굴삭기 농업용굴삭기 미니굴삭기 포크레인//신품 중고 어태치먼트 부품 바가지 대바가지 채바가지 망바가지 본바가지 쪽바가지 채바가지//신품 중고 중장비 브레이커 뿌레카 돌집게 회전돌집게 나무집게 회전나무집게 오렌지그랩 스톤그램 우드그램 폐기물그랩//신품 중고 다짐기 딱다구리 스마트집게 코끼리집게 독수리발톱 호랑이발톱집게 멍텅구리 미니 절단기 콤팩타 크라샤 회전크라샤//매매 매입 위탁/////♠♤♠♤♠♤♠♤♠♤♠♤♠♤♠♤♠♤♠♤♠♤♠♤♠♤♠♤♠♤//엑스센트릭 월드중공업WHI 대한중공업 JK제이케이 DMA 영창공업 중기쟁이중공업 오거토크코리아 도호틸트//대동이엔지 영원중공업 주현틸트 성진유압브레이커 PA중공업 성도중공업 GB지비 삼성특장 대흥중공업//삼영중공업 HM에이치엠 태건개발 대원이엔지 삼성 볼보 대우 두산 현대 한라 한국산업 한일중공업 부광 월성사//태성중공업 한진기계 제일이앤비 세우엠아이씨 수산중공업 동양 한우 라이노 에버다임 MT엠티중공업 에스엔씨//♠♤♠♤♠♤♠♤♠♤♠♤♠♤♠♤♠♤♠♤♠♤♠♤♠♤♠♤♠♤//010 4857 8209////008 대바가지      신품////008 쪽바가지      신품////008 본바가지      신품////008 리퍼            신품////008 뿌레카        신품//////////010 대바가지      신품////010 쪽바가지      신품////010 본바가지      신품////010 리퍼            신품////010 뿌레카        신품/////////017 대바가지      신품////017 쪽바가지      신품//////017 본바가지      신품////017 망바가지      신품////017 리퍼            신품////017 뿌레카        신품////////////020 대바가지      신품////020 쪽바가지      신품////020 본바가지      신품////020 망바가지      신품////020 리퍼          신품////020 뿌레카        신품///////030 대바가지      신품////030 쪽바가지      신품////030 본바가지      신품////030 망바가지      신품////030 리퍼            신품////030 뿌레카        신품////////////02 관로바가지  신품////02 쪽바가지      신품////02 중바가지      신품////02 중바가지      신품////02 본바가지      신품////02 대바가지      신품////02 망바가지      신품////02 망바가지      신품////02리퍼            신품////02지게발          신품////02 뿌레카        신품///////////06 쪽바가지            신품////06 본바가지            신품////06 대바가지(1100)    신품////06 대바가지(1200)    신품////06 대바가지(1300)    신품////06 대바가지(1500)    신품////06 망바가지            신품////06리퍼                  신품////06지게발                신품////06 뿌레카              신품////////////08 쪽바가지    신품////08 본바가지    신품////08 대바가지    신품////08 망바가지    신품////08 리퍼          신품////08 뿌레카        신품//////////10 쪽바가지      신품////10 본바가지      신품////10 대바가지      신품////10 망바가지      신품////10 리퍼            신품////10 뿌레카        신품///010 4857 8209//♠♤♠♤♠♤♠♤♠♤♠♤♠♤♠♤♠♤♠♤♠♤♠♤♠♤♠♤♠♤///※ 네이버 블로그 ※//굴삭기 농장용 나무집게 돌집게 딱따구리 미니 바가지 브레이커 뿌레카 크라샤//굴삭기 중장비 미니굴삭기 농사용굴삭기 농업용굴삭기 신품 중고 매입 매매 위탁//굴삭기동영상 교육 안전 신품 중고 미니 02 06 08 10 10이상//굴삭기 돌집게 나무집게 바가지 뿌레카 크라샤//스키로다 스키로우더 스키로더 바가지 집게 청소솔  신품 중고//지게차 힌지드 흰지드 전동지게차 1톤 2톤 3톤 2.5톤 3.5톤 5톤 7톤 7.5톤</t>
  </si>
  <si>
    <t xml:space="preserve">신품     사용안함  수산  성진  등    </t>
  </si>
  <si>
    <t>- 렌탈합니다-//◎권    원   기 ◎//★태하건설기계매매입니다★///☎:010-6780-2071//☎:사무실 053-581-0848//대차 매입 임대 전문업체입니다//위치:대구시 달서구 장기동 629번지</t>
  </si>
  <si>
    <t>02용 풀셋(대바가지 중바가지 쪽바가지 브레이커)2셋트 있습니다./※찾아오시는길/충남 천안시 서북구 2공단 4로 40-19/충남 천안시 서북구 성성동 335-1/번영자동차매매단지 4동1층3호/세계건기산업</t>
  </si>
  <si>
    <t>두가지중  선택    800미리</t>
  </si>
  <si>
    <t>소비자를위한합리적인가격"  타사제품비교후구매요망!    ***  신  품  ***/두산10투스 사용.  무료배송 ****/대용량 안전체크벨브   업그레이드 파워실린더     보강 튼튼 합니다./고정식돌집게 리퍼 지게발 각종 브레이커 브라켓트 제작 (위치-시화공단)/</t>
  </si>
  <si>
    <t xml:space="preserve">상태좋으나   밑판 약간 배부름     </t>
  </si>
  <si>
    <t>전기종 고무트랙 보유중 입니다./중국산 / 국산 보유중이며/장비명   사이즈 알고 연락 주시면/바로 안내 가능합니다//24시간 열린번호//010 8677 2050//언제든 연락 주세요 *^^*</t>
  </si>
  <si>
    <t>****  무 료 배 송  ****/소비자를위한합리적인가격"  타사제품비교후구매요망!    ***  신  품  ***/2.5톤포크   핀 열처리   보강 튼튼합니다.(환봉추가)     롱발 판매 합니다./06급 08급 10급 제작 판매 합니다./고정식돌집게 리퍼 지게발 각종 브레이커 브라켓트 제작 (위치-시화공단)/</t>
  </si>
  <si>
    <t>현대08장비에사용  상태양호</t>
  </si>
  <si>
    <t>소비자를위한합리적인가격"  타사제품비교후구매요망!    ***  신  품  ***/포크50x150x1500   핀 열처리   보강 튼튼합니다.(환봉추가)/포크 변경 가능합니다./02급 06급 08급 제작 판매 합니다./고정식돌집게 리퍼 지게발 각종 브레이커 브라켓트 제작 (위치-시화공단)/</t>
  </si>
  <si>
    <t>소비자를위한합리적인가격"  타사제품비교후구매요망!    ***  신  품  ***/철판 10급 동일/포크45x125x1200   핀 열처리   보강 튼튼합니다.(환봉추가)/포크 변경 가능합니다./02급 06급 10급 제작 판매 합니다./고정식돌집게 리퍼 지게발 각종 브레이커 브라켓트 제작 (위치-시화공단)/</t>
  </si>
  <si>
    <t>현대 두산06w사용가능한 올보강 버켓 판매합니다.010-9548-5523 언제든지 연락주세요.나라시판도 드려요.</t>
  </si>
  <si>
    <t>소비자를위한합리적인가격"  타사제품비교후구매요망!    ***  신  품  ***/**    무 료 배 송    **/망간격150x145   장삽1400    두산10투스사용    주문제작/고정식돌집게 리퍼 지게발 각종 브레이커 브라켓트 제작 (위치-시화공단)/</t>
  </si>
  <si>
    <t>두산55v 골드사용  투쓰5개</t>
  </si>
  <si>
    <t>옆면을 강철판 45C14T 통판으로 제작/간살 : S45C강철판14T사용/환봉 : 25￠사용/외폭 870 960  망간격80*80/*버켓전문 제작공장입니다. 주문제작은 물론 미니굴삭기버켓에서 대형까지 전화주십시요. 최선을 다하겠습니다./*아래의 홈페이지를 방문하시면 더 많은 제품을 보실 수 있습니다.//</t>
  </si>
  <si>
    <t>현대정품 굴삭기 의자입니다./장시간 작업시에도 허리에 무리가 덜 가는 쇼바의자이구요/2016년도 엑스카 인기상품입니다/그 외에도지게차의자  요트의자  크레인의자 등등 많은 물건을 보유하고 있으니/언제든 연락주세요/24시간 열린번호/010 8677 2050</t>
  </si>
  <si>
    <t>사장님의 사업에 대박나는 장비을 소개및 판매에 성심성의껏/상담해 드리겠습니다 믿음이 곧 저희 신조입니다./바로 연락주세요.감사합니다.../대국건설매매  임  종  근 TEL: 010-7612-2222</t>
  </si>
  <si>
    <t>*** 무 료 배 송 ***/소비자를위한합리적인가격"  타사제품비교후구매요망!    ***  신  품  ***/3톤포크   핀 열처리   보강 튼튼합니다.(환봉추가)     롱발 판매 합니다./02급 08급 10급 제작 판매 합니다.    *** 무 료 배 송 ***/고정식돌집게 리퍼 지게발 각종 브레이커 브라켓트 제작 (위치-시화공단)/</t>
  </si>
  <si>
    <t>특A급  EW60CPRO에사용  수산저소음브레커 신품급</t>
  </si>
  <si>
    <t>*** 무 료 배 송  ***/소비자를위한합리적인가격"  타사제품비교후구매요망!    ***  신  품  ***/두산06투스 샹크사용     핀 열처리     리퍼길이 긴편입니다./고정식돌집게 리퍼 지게발 각종 브레이커 브라켓트 제작 (위치-시화공단)/</t>
  </si>
  <si>
    <t>장비 특급입니다 ^^/세부사진 전송가능/기능품 누유없음/전화주세요^^//*** 전액할부가능***//각종중고건설기계 최고가매입/매매알선  위탁판매(보관료 무료)  대차(교환)/임대  농장용  수출  폐차 중고캐피탈 할부까지/성심성의껏 상담하여 드립니다.//♡♡진 명 건 설 중 기 매 매♡♡/♡♡주 은 중 기 판 매 점♡♡/♡♡가산매매단지♡♡//♡♡TEL :(대      구) 053-852-3399. ♡♡/♡♡FAX :(대      구) 053-854-2111. ♡♡/♡♡FAX :(가      산) 054-973-5686. ♡♡//♡♡대구 광역시 서구 상리동 225-11(대구건설기계판매점) 주은중기매매상사//♡♡경북 가산면 칠곡군 석우리 901번지 (주) 동영 진명건기매매상사//♡♡충남 천안시 서북구 성성동335-5 번영자동차매매단지 (주)보담</t>
  </si>
  <si>
    <t>합금강으로 앞부분에 날보강 되어있습니다.//////03급몸체도 45c철판 60T를 사용하여 타사 50T제품보다 강한 내구성을 확보하였으며//험한 작업에도 견고한 내구성을 자랑합니다.//반영구적 사용이 가능합니다.////핀은 용접으로 붙인 제품이 아니라서 부러지면 교환이 가능하구요//제품 기장도 초기제품보다 길어 사용하시기 편리합니다.//강한재질을 사용하면서 경량화를 실현하였습니다.////03급은 투스를 06용으로 교체//기존 40w잇몸의 골질적인 단첨인 함하게 사용하면 잇몸이 부러져버리는 단점을 보완했구요.////딱딱한 지반터파기  얼은곳 띁어내기  아스콘작업  하월작업  풍암  마사작업등 써보신분들이 매우 만족하셨습니다.////현장에서도 좋아하며 경쟁력을 갖추시는데도 도움이 됩니다.//무게도 가벼워 차에 부담을 주지 않으며 쪽바가지나 원바가지에 담아 다니면 됩니다~//06리퍼 (08샹크 45날형)////합금강으로 앞부분에 날보강 되어있구요//투스 각이 잘 잡혀 아스콘등 제끼는 작업시 작업 능률이 뛰어납니다.////S45C철판을 사용하여 일반철판을 사용한 타 제품보다 마모에 강합니다.////제품들 크기는 국내 대형 메이커와 같구요////06급 몸체 80T 상픈 22T 45C//타사대비 최대 두께의 상판과 몸체를 사용하여 상판이 찢어지거나 뭄체가 부러지지 않습니다.////투스는 볼보 10급투스(노란색)와 호환됩니다~///06용리퍼는 10샹크 끼고 상부 22T 몸체80T (험한 작업용 제품)//(퀘타 225 암반용투스끼워 출고)//동급최고의 두깨내구성을 보장합니다.//굴삭기 투스 사용시 볼보 290투스 사용하시면 되구요//판은 용접타입이 아닙니다. 부러지면 빠지는 제품이구요//용접타입처럼 부러지면 큰 돈이 들어가지 않으며 정품 핀 구매하셔서 갈아끼우시면 됩니다.////6개월 잇몸포함  운반비포함 무상 수리해드립니다.////전체크기는 메이커 제품들과 같습니다</t>
  </si>
  <si>
    <t>DX210W에 사용(실린더포함) /*08W 강토클램프 별도 판매-110만원 /누유없고 동작*기능 최상 /전화주시면 상세하게 소개해드립니다!/주소창에 '미강건설기계매매상사'치시면 사진을 보실수 있습니다 /여기 클릭---&gt;//미강건기 박 용 호 053-593-1641 010-2524-0606</t>
  </si>
  <si>
    <t>타집게의 1/4 무게이므로 상하좌우 석축 내장철거 나무작업 어떤작업시에도안전하며 작업진도가 두배 이상 빠르고 정미니다용도집게는 밀하여 많이 O는제품입니다/중량1톤급45Kg2톤3톤급60Kg/미니다용도집게 1톤급 1.450.000 2톤 3톤급 1.650.000/홈폐이지로 방문하시면 동영상을 보실수 있습니다.//010-9382-1992</t>
  </si>
  <si>
    <t>대박!!!!!/안정된수입 일감차고넘침!!!주변거래처300여개(관리대수7-1000대/2001년이후판매대수3000여대임)/*당사고정일감만월300-800만원정도로서수입보장/5톤셀프추레라외시설일체사용/*문의전화/(주)현대중장비/박금용/033-732-1994/010-3357-8728/*3월초입주가능!!!!****전화주시면상세사진보내드립니다.(50매)</t>
  </si>
  <si>
    <t>상태 최상급 필요시 사진전송 가능 캐타345</t>
  </si>
  <si>
    <t>210w숏암 숏붐 각각40cm</t>
  </si>
  <si>
    <t>유압브레이커 치즐중 혁신적인 제품인 SPS코어치즐입니다. 인천 남동공단에서 유압브레이커의 노미를 제조해서 일본등 외국으로 수출하는 전문업체입니다.//사진에서 보시는 바와 같이 텐노미속에 직경48mm*길이는 약36cm정도의 특수강 코어(심)를 박아넣어 잘 닳지 않게하였으며  심이 잘 닳지 않기때문에 코어치즐은 뾰족한 상태로 끝까지 쓸수 있습니다. 또한 저희 코어치즐의 제조방법에 관련하여 특허및 의장등록이 되어있습니다.///저희 SPS코어치즐을 쓰시면 이러한 장점이 있습니다.//첫째  저희 코어치즐은 노미끝이 항상 뾰족하므로 땅을 잘파고 들어가고 힘이 한점에 집중되어 암반을 더 잘 깰수 있습니다.  따라서 작업생산성이 올라가므로 현장에서 환영받습니다.//둘째  저희 코어치즐은 수명이 일반노미의 3배이상이므로 노미사용 경비를 약 절반정도로 줄여줍니다. 또한 자주 노미를 교환할 필요가 없으므로 시간절약도 됩니다.//셋째  저희 코어치즐을 쓰시면 재생단조가 필요없으므로 한번에 몇만원씩하는 노미의 재생단조비용을 절약할수 있습니다. 또한 재생단조 노미의 배달착오로 인해 내가 단조업체로 보낸 노미보다 짧은길이의 노미를 받게될지도 모를 불쾌감에서도 해방됩니다.///화강암등 단단한 암반이 많은 석산과 토목공사현장  광산  터널공사현장에서 브레이커 작업위주로 하시는 차주분들께 아주 도움되는 치즐이므로 한번 써보십시오. 강력하게추천드립니다.//기존 노미와 코어치즐의 내구수명 테스트를 원하시는 현장에서 신청하시면  저희가 일반노미와 코어치즐을 보내드려 수명평가를 해드릴수도 있습니다.//국내 유압브레이커 업체(수산중공업  영원중공업 대신중공업등등)의 모든 노미제품 공급가능합니다./위사진은 수산 텐브레이커용 코어치즐(155파이*1600MM)이며  영원XO-10(158파이*1600MM)  영원5700(155파이*1600MM)등등 텐브레이커용 신품 코어치즐을 69만원(부가세  택배비별도)에 드립니다./궁금하신사항 있으시면 친절하게 상담해드리겠습니다./고맙습니다.   에스피에스 임직원일동.///에스피에스(Special Parts Supply Corp.)/주소; 인천시 남동구 고잔동 674-10번지  남동공단86블록10롯트/전화 032)822-7998  FAX 032)822-7999/H/P; 010-2433-2912   E-MAIL;//*주문 또는 견적의뢰는 가능한 이메일(E-MAIL;/)로 부탁드립니다.</t>
  </si>
  <si>
    <t>★ 대전 어태치먼트 (D.J.A) 박용수 ★//☎  010 4857 8209  ☎///♠♤♠♤♠♤♠♤♠♤♠♤♠♤♠♤♠♤♠♤♠♤♠♤♠♤♠♤♠♤///네이버 블로그 :///네이버 카페 :///다음 카페 :///카카오톡 ID : pys7242 친구추가.//Email :///페이스북 :////♠♤♠♤♠♤♠♤♠♤♠♤♠♤♠♤♠♤♠♤♠♤♠♤♠♤♠♤♠♤///☎ 24시간 친절상담 010 4857 8209 전화주세요 ☎//▶ 모든 어태치먼트 신품  중고 있습니다.//▶ 고정식 ( 돌집게   나무집게 )  회전식 ( 돌집게   나무집게 ) 매입 매매 위탁가능//▶ 미니 02  03  06  08  10  10이상 브레이커 ( 뿌레카 ) 매입 매매 위탁가능//▶ 미니  02  03  06  08  10  10이상 크라샤 반자동 회전식 ( 스피드 ) 매입 매매 위탁가능 멀티 가세 가위//▶ 바가지링크   퀵 클램프   바가지 신품  중고 매입 매매 위탁가능//▶ 쪽바가지   본바가지   대바가지   채바가지   망바가지   관로바가지//▶ 신품  중고 어태치먼트 매입 매매 위탁가능//▶ 중고 굴삭기 매매 위탁가능//▶ 신품 굴삭기   신품 어태치먼트 판매//▶ 100% 실물만 판매합니다.//☎ 24시간 친절상담 010 4857 8209 전화주세요 ☎///♠♤♠♤♠♤♠♤♠♤♠♤♠♤♠♤♠♤♠♤♠♤♠♤♠♤♠♤♠♤///★ 대전 어태치먼트 박용수 ★//010 4857 8209//////★ 대전 어태치먼트 ★/무한궤도 논산중기//010 5424 7793///♠♤♠♤♠♤♠♤♠♤♠♤♠♤♠♤♠♤♠♤♠♤♠♤♠♤♠♤♠♤///신품 중고 굴삭기 농사용굴삭기 농업용굴삭기 미니굴삭기 포크레인//신품 중고 어태치먼트 부품 바가지 대바가지 채바가지 망바가지 본바가지 쪽바가지 채바가지//신품 중고 중장비 브레이커 뿌레카 돌집게 회전돌집게 나무집게 회전나무집게 오렌지그랩 스톤그램 우드그램 폐기물그랩//신품 중고 다짐기 딱다구리 스마트집게 코끼리집게 독수리발톱 호랑이발톱집게 멍텅구리 미니 절단기 콤팩타 크라샤 회전크라샤//매매 매입 위탁/////♠♤♠♤♠♤♠♤♠♤♠♤♠♤♠♤♠♤♠♤♠♤♠♤♠♤♠♤♠♤//엑스센트릭 월드중공업WHI 대한중공업 JK제이케이 DMA 영창공업 중기쟁이중공업 오거토크코리아 도호틸트//대동이엔지 영원중공업 주현틸트 성진유압브레이커 PA중공업 성도중공업 GB지비 삼성특장 대흥중공업//삼영중공업 HM에이치엠 태건개발 대원이엔지 삼성 볼보 대우 두산 현대 한라 한국산업 한일중공업 부광 월성사//태성중공업 한진기계 제일이앤비 세우엠아이씨 수산중공업 동양 한우 라이노 에버다임 MT엠티중공업 에스엔씨//♠♤♠♤♠♤♠♤♠♤♠♤♠♤♠♤♠♤♠♤♠♤♠♤♠♤♠♤♠♤//010 4857 8209////008 대바가지      신품////008 쪽바가지      신품////008 본바가지      신품////008 리퍼            신품////008 뿌레카        신품//////////010 대바가지      신품////010 쪽바가지      신품////010 본바가지      신품////010 리퍼            신품////010 뿌레카        신품/////////017 대바가지      신품////017 쪽바가지      신품//////017 본바가지      신품////017 망바가지      신품////017 리퍼            신품////017 뿌레카        신품////////////020 대바가지      신품////020 쪽바가지      신품////020 본바가지      신품////020 망바가지      신품////020 리퍼          신품////020 뿌레카        신품///////030 대바가지      신품////030 쪽바가지      신품////030 본바가지      신품////030 망바가지      신품////030 리퍼            신품////030 뿌레카        신품////////////02 관로바가지  신품////02 쪽바가지      신품////02 중바가지      신품////02 중바가지      신품////02 본바가지      신품////02 대바가지      신품////02 망바가지      신품////02 망바가지      신품////02리퍼            신품////02지게발          신품////02 뿌레카        신품///////////06 쪽바가지            신품////06 본바가지            신품////06 대바가지(1100)    신품////06 대바가지(1200)    신품////06 대바가지(1300)    신품////06 대바가지(1500)    신품////06 망바가지            신품////06리퍼                  신품////06지게발                신품////06 뿌레카              신품////////////08 쪽바가지    신품////08 본바가지    신품////08 대바가지    신품////08 망바가지    신품////08 리퍼          신품////08 뿌레카        신품//////////10 쪽바가지      신품////10 본바가지      신품////10 대바가지      신품////10 망바가지      신품////10 리퍼            신품////10 뿌레카        신품///010 4857 8209//♠♤♠♤♠♤♠♤♠♤♠♤♠♤♠♤♠♤♠♤♠♤♠♤♠♤♠♤♠♤///※ 네이버 블로그 ※//굴삭기 농장용 나무집게 돌집게 딱따구리 미니 바가지 브레이커 뿌레카 크라샤//굴삭기 중장비 미니굴삭기 농사용굴삭기 농업용굴삭기 신품 중고 매입 매매 위탁//굴삭기동영상 교육 안전 신품 중고 미니 02 06 08 10 10이상//굴삭기 돌집게 나무집게 바가지 뿌레카 크라샤//스키로다 스키로우더 스키로더 바가지 집게 청소솔  신품 중고</t>
  </si>
  <si>
    <t>//kakaotalk ID : sd18130//사업자번호 : 608-81-64388/주기장주소 : 경북 고령군 성산면 고탄리 112-1/e-mail ://대한건기 이맹곤 ; 010-3563-6002/장진익 ; 010-4741-9981///*미니급 매물/IHI-15 (10) 버켙 1650만원 대구소재//IHI-30 (10) 버켙 1750만원 대구소재//구보다 U-30 (11.11) 버켙3종 2250만원 대구소재//히타치 ZX-30 (08) 버켙1종 1750만원 대구소재//코마츠 PC-35 (10) 풀세트 2100만원 대구소재//얀마 VIO-15 (06) 버켙3종 1350만원 대구소재////*02급 매물/대우 S55V (00) 1100만원 대구소재//두산 DX55MT ACE 2700만원 대구소재//볼보 EC55BP (08.03) 1950만원 대구소재//볼보 EC55C (12) 3100만원 스윙붐  대구소재//볼보 EC55C (14) 4100만원  2900시간 가동//볼보 EC60E (15.06) 4700만원 1950시간 대구소재//현대 R55 (10) 2000만원 대구소재//현대 R55산 (13) 3200만원 대구소재/////*타이어급 매물/현대 R55W (13) 4200만원 대구소재//현대 R55W (13) 4200만원  코끼리집게 장착 대구소재/R55W (14) 4500만원  코끼리집게 장착 대구소재//현대 R55W (14) 4500만원 대구소재//현대 R140W (14.12) 8700만원  경남소재  코끼리 집게 장착  3500시간 가동//볼보 EW60C (13) 4800만원 대구소재//볼보 EW145BP (10) 7200만원 경북소재  새타이어교체//두산 DX140WACE (13) 8700만원 대구소재//두산 DX210WA (10) 8400만원 대구소재////*04-08급 게다 매물/삼성 MX222 (96) 1900만원 대구소재//코벨코 SK75 (13) 5800만원 대구소재//두산 DX140LC (11) 7500만원 경북소재////*10급 매물/현대 R300LC (10) 6600만원 대구소재//현대 HX480LC (15.06) 24000만원  신차급  충북소재//볼보 EC290B (07) 4900만원 경북소재//볼보 EC290BP (10) 7400만원 경북소재//대우 S300 (04) 4200만원 대구소재//두산 DX300LC (09) 6300만원 충북소재//두산 DX300LC (09) 6400만원 경북소재////*기타장비/진동롤라 CAT CS531C (97) 2500만원 대구소재//현대 페이로다 HL770-7A (07.06) 6850만원 대구 소재  작년 올볼링완료//페이로다 LX15 (92) 2800만원 대구소재//지게차 클라크 FX453D 01년식 1150만원 대구소재//스키드로다 겔3825 농장용 830만원 대구소재//불도자 삼성 SD20 88년식 3500만원 대구소재//로다 삼성 SL 10 (93) 1200만원 대구소재/////아래 클릭 하시면 장비에 대한 자세한 사진 보실 수 있습니다.////kakaotalk ID : sd18130/대한건기 이맹곤 010-3563-6002</t>
  </si>
  <si>
    <t>연식 모름/상태 매우양호 올수리후 1개월사용./전북 익산시 위치</t>
  </si>
  <si>
    <t>옆면을 강철판 45C19T 통판으로 제작/간살 : S45C강철판19T사용/환봉 : 30￠사용/외폭 1100  망간격 100*100/*버켓전문 제작공장입니다. 주문제작은 물론 미니굴삭기버켓에서 대형까지 전화주십시요. 최선을 다하겠습니다./*아래의 홈페이지를 방문하시면 더 많은 제품을 보실 수 있습니다.//</t>
  </si>
  <si>
    <t>상부 신품으로 교체 했습니다./하부 A급/수리완료. 테스트완료.//★ 대전 어태치먼트 (D.J.A) 박용수 ★//☎  010 4857 8209   ☎///♠♤♠♤♠♤♠♤♠♤♠♤♠♤♠♤♠♤♠♤♠♤♠♤♠♤♠♤♠♤///네이버 블로그 :///네이버 카페 :///다음 카페 :///카카오톡 ID : pys7242 친구추가.//Email :///페이스북 :////♠♤♠♤♠♤♠♤♠♤♠♤♠♤♠♤♠♤♠♤♠♤♠♤♠♤♠♤♠♤///☎ 24시간 친절상담 010 4857 8209 전화주세요 ☎//▶ 모든 어태치먼트 신품  중고 있습니다.//▶ 고정식 ( 돌집게   나무집게 )  회전식 ( 돌집게   나무집게 ) 매입 매매 위탁가능//▶ 미니 02  03  06  08  10  10이상 브레이커 ( 뿌레카 ) 매입 매매 위탁가능//▶ 미니  02  03  06  08  10  10이상 크라샤 반자동 회전식 ( 스피드 ) 매입 매매 위탁가능 멀티 가세 가위//▶ 바가지링크   퀵 클램프   바가지 신품  중고 매입 매매 위탁가능//▶ 쪽바가지   본바가지   대바가지   채바가지   망바가지   관로바가지//▶ 신품  중고 어태치먼트 매입 매매 위탁가능//▶ 중고 굴삭기 매매 위탁가능//▶ 신품 굴삭기   신품 어태치먼트 판매//▶ 100% 실물만 판매합니다.//☎ 24시간 친절상담 010 4857 8209 전화주세요 ☎///♠♤♠♤♠♤♠♤♠♤♠♤♠♤♠♤♠♤♠♤♠♤♠♤♠♤♠♤♠♤///★ 대전 어태치먼트 박용수 ★//010 4857 8209//////★ 대전 어태치먼트 ★/무한궤도 논산중기//010 5424 7793///♠♤♠♤♠♤♠♤♠♤♠♤♠♤♠♤♠♤♠♤♠♤♠♤♠♤♠♤♠♤///신품 중고 굴삭기 농사용굴삭기 농업용굴삭기 미니굴삭기 포크레인//신품 중고 어태치먼트 부품 바가지 대바가지 채바가지 망바가지 본바가지 쪽바가지 채바가지//신품 중고 중장비 브레이커 뿌레카 돌집게 회전돌집게 나무집게 회전나무집게 오렌지그랩 스톤그램 우드그램 폐기물그랩//신품 중고 다짐기 딱다구리 스마트집게 코끼리집게 독수리발톱 호랑이발톱집게 멍텅구리 미니 절단기 콤팩타 크라샤 회전크라샤//매매 매입 위탁/////♠♤♠♤♠♤♠♤♠♤♠♤♠♤♠♤♠♤♠♤♠♤♠♤♠♤♠♤♠♤//엑스센트릭 월드중공업WHI 대한중공업 JK제이케이 DMA 영창공업 중기쟁이중공업 오거토크코리아 도호틸트//대동이엔지 영원중공업 주현틸트 성진유압브레이커 PA중공업 성도중공업 GB지비 삼성특장 대흥중공업//삼영중공업 HM에이치엠 태건개발 대원이엔지 삼성 볼보 대우 두산 현대 한라 한국산업 한일중공업 부광 월성사//태성중공업 한진기계 제일이앤비 세우엠아이씨 수산중공업 동양 한우 라이노 에버다임 MT엠티중공업 에스엔씨//♠♤♠♤♠♤♠♤♠♤♠♤♠♤♠♤♠♤♠♤♠♤♠♤♠♤♠♤♠♤//010 4857 8209////008 대바가지      신품////008 쪽바가지      신품////008 본바가지      신품////008 리퍼            신품////008 뿌레카         신품//////////010 대바가지      신품////010 쪽바가지      신품////010 본바가지      신품////010 리퍼            신품////010 뿌레카         신품/////////017 대바가지      신품////017 쪽바가지      신품//////017 본바가지      신품////017 망바가지      신품////017 리퍼            신품////017 뿌레카         신품////////////020 대바가지      신품////020 쪽바가지      신품////020 본바가지      신품////020 망바가지      신품////020 리퍼          신품////020 뿌레카        신품///////030 대바가지      신품////030 쪽바가지      신품////030 본바가지      신품////030 망바가지      신품////030 리퍼            신품////030 뿌레카         신품////////////02 관로바가지   신품////02 쪽바가지      신품////02 중바가지      신품////02 중바가지      신품////02 본바가지      신품////02 대바가지      신품////02 망바가지      신품////02 망바가지      신품////02리퍼             신품////02지게발          신품////02 뿌레카         신품///////////06 쪽바가지             신품////06 본바가지             신품////06 대바가지(1100)    신품////06 대바가지(1200)    신품////06 대바가지(1300)    신품////06 대바가지(1500)    신품////06 망바가지            신품////06리퍼                   신품////06지게발                신품////06 뿌레카               신품////////////08 쪽바가지     신품////08 본바가지     신품////08 대바가지     신품////08 망바가지     신품////08 리퍼           신품////08 뿌레카        신품//////////10 쪽바가지      신품////10 본바가지      신품////10 대바가지      신품////10 망바가지      신품////10 리퍼            신품////10 뿌레카         신품///010 4857 8209//♠♤♠♤♠♤♠♤♠♤♠♤♠♤♠♤♠♤♠♤♠♤♠♤♠♤♠♤♠♤///※ 네이버 블로그 ※//굴삭기 농장용 나무집게 돌집게 딱따구리 미니 바가지 브레이커 뿌레카 크라샤//굴삭기 중장비 미니굴삭기 농사용굴삭기 농업용굴삭기 신품 중고 매입 매매 위탁//굴삭기동영상 교육 안전 신품 중고 미니 02 06 08 10 10이상//굴삭기 돌집게 나무집게 바가지 뿌레카 크라샤//스키로다 스키로우더 스키로더 바가지 집게 청소솔  신품 중고//지게차 힌지드 흰지드 전동지게차 1톤 2톤 3톤 2.5톤 3.5톤 5톤 7톤 7.5톤</t>
  </si>
  <si>
    <t>소비자를위한합리적인가격"  타사제품비교후구매요망!    ***  신  품  ***/대용량 안전체크벨브   업그레이드 파워실린더     보강 튼튼 합니다./고정식돌집게 리퍼 지게발 각종 브레이커 브라켓트 제작 (위치-시화공단)/</t>
  </si>
  <si>
    <t>소비자를위한합리적인가격"  타사제품비교후구매요망!    ***  신  품  ***//캐터225투스 사용     상부 특수재질(하독스 사용)    **  무료배송//두산10투스  78만원//도자D9N샹크 투스사용     80T     핀 열처리     상부보강 하독스 사용  85만원//고정식돌집게 리퍼 지게발 각종 브레이커 브라켓트 제작 (위치-시화공단)//</t>
  </si>
  <si>
    <t>소비자를위한합리적인가격"  타사제품비교후구매요망!    ***  신  품  ***/포크60x150x1500   핀 열처리   보강 튼튼합니다.(환봉추가)/포크 변경 가능합니다./02급 06급 08급 제작 판매 합니다./고정식돌집게 리퍼 지게발 각종 브레이커 브라켓트 제작 (위치-시화공단)/</t>
  </si>
  <si>
    <t>크기: 2 000mm x 1 200mm x 1 200mm(높이)//깨끗합니다.</t>
  </si>
  <si>
    <t>오리지날진동닛바 임대 및 중고  신품 판매/엑센트릭 코리아 영남지사 010 3557 0602./가격 : 문의//모델별기종별 판매  임대 합니다</t>
  </si>
  <si>
    <t>★ 대전 어태치먼트 (D.J.A) 박용수 ★//☎  010 4857 8209   ☎///♠♤♠♤♠♤♠♤♠♤♠♤♠♤♠♤♠♤♠♤♠♤♠♤♠♤♠♤♠♤///네이버 블로그 :///네이버 카페 :///다음 카페 :///카카오톡 ID : pys7242 친구추가.//Email :///페이스북 :////♠♤♠♤♠♤♠♤♠♤♠♤♠♤♠♤♠♤♠♤♠♤♠♤♠♤♠♤♠♤///☎ 24시간 친절상담 010 4857 8209 전화주세요 ☎//▶ 모든 어태치먼트 신품  중고 있습니다.//▶ 고정식 ( 돌집게   나무집게 )  회전식 ( 돌집게   나무집게 ) 매입 매매 위탁가능//▶ 미니 02  03  06  08  10  10이상 브레이커 ( 뿌레카 ) 매입 매매 위탁가능//▶ 미니  02  03  06  08  10  10이상 크라샤 반자동 회전식 ( 스피드 ) 매입 매매 위탁가능 멀티 가세 가위//▶ 바가지링크   퀵 클램프   바가지 신품  중고 매입 매매 위탁가능//▶ 쪽바가지   본바가지   대바가지   채바가지   망바가지   관로바가지//▶ 신품  중고 어태치먼트 매입 매매 위탁가능//▶ 중고 굴삭기 매매 위탁가능//▶ 신품 굴삭기   신품 어태치먼트 판매//▶ 100% 실물만 판매합니다.//☎ 24시간 친절상담 010 4857 8209 전화주세요 ☎///♠♤♠♤♠♤♠♤♠♤♠♤♠♤♠♤♠♤♠♤♠♤♠♤♠♤♠♤♠♤///★ 대전 어태치먼트 박용수 ★//010 4857 8209//////★ 대전 어태치먼트 ★/무한궤도 논산중기//010 5424 7793///♠♤♠♤♠♤♠♤♠♤♠♤♠♤♠♤♠♤♠♤♠♤♠♤♠♤♠♤♠♤///신품 중고 굴삭기 농사용굴삭기 농업용굴삭기 미니굴삭기 포크레인//신품 중고 어태치먼트 부품 바가지 대바가지 채바가지 망바가지 본바가지 쪽바가지 채바가지//신품 중고 중장비 브레이커 뿌레카 돌집게 회전돌집게 나무집게 회전나무집게 오렌지그랩 스톤그램 우드그램 폐기물그랩//신품 중고 다짐기 딱다구리 스마트집게 코끼리집게 독수리발톱 호랑이발톱집게 멍텅구리 미니 절단기 콤팩타 크라샤 회전크라샤//매매 매입 위탁/////♠♤♠♤♠♤♠♤♠♤♠♤♠♤♠♤♠♤♠♤♠♤♠♤♠♤♠♤♠♤//엑스센트릭 월드중공업WHI 대한중공업 JK제이케이 DMA 영창공업 중기쟁이중공업 오거토크코리아 도호틸트//대동이엔지 영원중공업 주현틸트 성진유압브레이커 PA중공업 성도중공업 GB지비 삼성특장 대흥중공업//삼영중공업 HM에이치엠 태건개발 대원이엔지 삼성 볼보 대우 두산 현대 한라 한국산업 한일중공업 부광 월성사//태성중공업 한진기계 제일이앤비 세우엠아이씨 수산중공업 동양 한우 라이노 에버다임 MT엠티중공업 에스엔씨//♠♤♠♤♠♤♠♤♠♤♠♤♠♤♠♤♠♤♠♤♠♤♠♤♠♤♠♤♠♤//010 4857 8209////008 대바가지      신품////008 쪽바가지      신품////008 본바가지      신품////008 리퍼            신품////008 뿌레카         신품//////////010 대바가지      신품////010 쪽바가지      신품////010 본바가지      신품////010 리퍼            신품////010 뿌레카         신품/////////017 대바가지      신품////017 쪽바가지      신품//////017 본바가지      신품////017 망바가지      신품////017 리퍼            신품////017 뿌레카         신품////////////020 대바가지      신품////020 쪽바가지      신품////020 본바가지      신품////020 망바가지      신품////020 리퍼          신품////020 뿌레카        신품///////030 대바가지      신품////030 쪽바가지      신품////030 본바가지      신품////030 망바가지      신품////030 리퍼            신품////030 뿌레카         신품////////////02 관로바가지   신품////02 쪽바가지      신품////02 중바가지      신품////02 중바가지      신품////02 본바가지      신품////02 대바가지      신품////02 망바가지      신품////02 망바가지      신품////02리퍼             신품////02지게발          신품////02 뿌레카         신품///////////06 쪽바가지             신품////06 본바가지             신품////06 대바가지(1100)    신품////06 대바가지(1200)    신품////06 대바가지(1300)    신품////06 대바가지(1500)    신품////06 망바가지            신품////06리퍼                   신품////06지게발                신품////06 뿌레카               신품////////////08 쪽바가지     신품////08 본바가지     신품////08 대바가지     신품////08 망바가지     신품////08 리퍼           신품////08 뿌레카        신품//////////10 쪽바가지      신품////10 본바가지      신품////10 대바가지      신품////10 망바가지      신품////10 리퍼            신품////10 뿌레카         신품///010 4857 8209//♠♤♠♤♠♤♠♤♠♤♠♤♠♤♠♤♠♤♠♤♠♤♠♤♠♤♠♤♠♤///※ 네이버 블로그 ※//굴삭기 농장용 나무집게 돌집게 딱따구리 미니 바가지 브레이커 뿌레카 크라샤//굴삭기 중장비 미니굴삭기 농사용굴삭기 농업용굴삭기 신품 중고 매입 매매 위탁//굴삭기동영상 교육 안전 신품 중고 미니 02 06 08 10 10이상//굴삭기 돌집게 나무집게 바가지 뿌레카 크라샤//스키로다 스키로우더 스키로더 바가지 집게 청소솔  신품 중고//지게차 힌지드 흰지드 전동지게차 1톤 2톤 3톤 2.5톤 3.5톤 5톤 7톤 7.5톤/////★ 대전 어태치먼트 (D.J.A) 박용수 ★//☎  010 4857 8209   ☎///♠♤♠♤♠♤♠♤♠♤♠♤♠♤♠♤♠♤♠♤♠♤♠♤♠♤♠♤♠♤///네이버 블로그 :///네이버 카페 :///다음 카페 :///카카오톡 ID : pys7242 친구추가.//Email :///페이스북 :////♠♤♠♤♠♤♠♤♠♤♠♤♠♤♠♤♠♤♠♤♠♤♠♤♠♤♠♤♠♤///☎ 24시간 친절상담 010 4857 8209 전화주세요 ☎//▶ 모든 어태치먼트 신품  중고 있습니다.//▶ 고정식 ( 돌집게   나무집게 )  회전식 ( 돌집게   나무집게 ) 매입 매매 위탁가능//▶ 미니 02  03  06  08  10  10이상 브레이커 ( 뿌레카 ) 매입 매매 위탁가능//▶ 미니  02  03  06  08  10  10이상 크라샤 반자동 회전식 ( 스피드 ) 매입 매매 위탁가능 멀티 가세 가위//▶ 바가지링크   퀵 클램프   바가지 신품  중고 매입 매매 위탁가능//▶ 쪽바가지   본바가지   대바가지   채바가지   망바가지   관로바가지//▶ 신품  중고 어태치먼트 매입 매매 위탁가능//▶ 중고 굴삭기 매매 위탁가능//▶ 신품 굴삭기   신품 어태치먼트 판매//▶ 100% 실물만 판매합니다.//☎ 24시간 친절상담 010 4857 8209 전화주세요 ☎///♠♤♠♤♠♤♠♤♠♤♠♤♠♤♠♤♠♤♠♤♠♤♠♤♠♤♠♤♠♤///★ 대전 어태치먼트 박용수 ★//010 4857 8209//////★ 대전 어태치먼트 ★/무한궤도 논산중기//010 5424 7793///♠♤♠♤♠♤♠♤♠♤♠♤♠♤♠♤♠♤♠♤♠♤♠♤♠♤♠♤♠♤///신품 중고 굴삭기 농사용굴삭기 농업용굴삭기 미니굴삭기 포크레인//신품 중고 어태치먼트 부품 바가지 대바가지 채바가지 망바가지 본바가지 쪽바가지 채바가지//신품 중고 중장비 브레이커 뿌레카 돌집게 회전돌집게 나무집게 회전나무집게 오렌지그랩 스톤그램 우드그램 폐기물그랩//신품 중고 다짐기 딱다구리 스마트집게 코끼리집게 독수리발톱 호랑이발톱집게 멍텅구리 미니 절단기 콤팩타 크라샤 회전크라샤//매매 매입 위탁/////♠♤♠♤♠♤♠♤♠♤♠♤♠♤♠♤♠♤♠♤♠♤♠♤♠♤♠♤♠♤//엑스센트릭 월드중공업WHI 대한중공업 JK제이케이 DMA 영창공업 중기쟁이중공업 오거토크코리아 도호틸트//대동이엔지 영원중공업 주현틸트 성진유압브레이커 PA중공업 성도중공업 GB지비 삼성특장 대흥중공업//삼영중공업 HM에이치엠 태건개발 대원이엔지 삼성 볼보 대우 두산 현대 한라 한국산업 한일중공업 부광 월성사//태성중공업 한진기계 제일이앤비 세우엠아이씨 수산중공업 동양 한우 라이노 에버다임 MT엠티중공업 에스엔씨//♠♤♠♤♠♤♠♤♠♤♠♤♠♤♠♤♠♤♠♤♠♤♠♤♠♤♠♤♠♤//010 4857 8209////008 대바가지      신품////008 쪽바가지      신품////008 본바가지      신품////008 리퍼            신품////008 뿌레카         신품//////////010 대바가지      신품////010 쪽바가지      신품////010 본바가지      신품////010 리퍼            신품////010 뿌레카         신품/////////017 대바가지      신품////017 쪽바가지      신품//////017 본바가지      신품////017 망바가지      신품////017 리퍼            신품////017 뿌레카         신품////////////020 대바가지      신품////020 쪽바가지      신품////020 본바가지      신품////020 망바가지      신품////020 리퍼          신품////020 뿌레카        신품///////030 대바가지      신품////030 쪽바가지      신품////030 본바가지      신품////030 망바가지      신품////030 리퍼            신품////030 뿌레카         신품////////////02 관로바가지   신품////02 쪽바가지      신품////02 중바가지      신품////02 중바가지      신품////02 본바가지      신품////02 대바가지      신품////02 망바가지      신품////02 망바가지      신품////02리퍼             신품////02지게발          신품////02 뿌레카         신품///////////06 쪽바가지             신품////06 본바가지             신품////06 대바가지(1100)    신품////06 대바가지(1200)    신품////06 대바가지(1300)    신품////06 대바가지(1500)    신품////06 망바가지            신품////06리퍼                   신품////06지게발                신품////06 뿌레카               신품////////////08 쪽바가지     신품////08 본바가지     신품////08 대바가지     신품////08 망바가지     신품////08 리퍼           신품////08 뿌레카        신품//////////10 쪽바가지      신품////10 본바가지      신품////10 대바가지      신품////10 망바가지      신품////10 리퍼            신품////10 뿌레카         신품///010 4857 8209//♠♤♠♤♠♤♠♤♠♤♠♤♠♤♠♤♠♤♠♤♠♤♠♤♠♤♠♤♠♤///※ 네이버 블로그 ※//굴삭기 농장용 나무집게 돌집게 딱따구리 미니 바가지 브레이커 뿌레카 크라샤//굴삭기 중장비 미니굴삭기 농사용굴삭기 농업용굴삭기 신품 중고 매입 매매 위탁//굴삭기동영상 교육 안전 신품 중고 미니 02 06 08 10 10이상//굴삭기 돌집게 나무집게 바가지 뿌레카 크라샤//스키로다 스키로우더 스키로더 바가지 집게 청소솔  신품 중고//지게차 힌지드 흰지드 전동지게차 1톤 2톤 3톤 2.5톤 3.5톤 5톤 7톤 7.5톤</t>
  </si>
  <si>
    <t>개인이 사용한 거라 상태는 a급이며 장소는 전북 익산. 브레이커 3개월 전에 셀교환  가격 조정 안됨  끝.</t>
  </si>
  <si>
    <t>특A급  가격협의</t>
  </si>
  <si>
    <t>대동 텐급 인발기로 각 베어링 방진고무 쪼 교환및 보강함./상태 매우양호함./전북 익산시 위치.</t>
  </si>
  <si>
    <t>★(세부사진전송가능)★/02수산뿌레카 02동양뿌레카/대바가지여러개 쪽바가지 망바가지/06수산뿌레카 쪽바가지 집게등....//&lt;이외 매물 다수/고가 매입/수출 견적 친절히 상담/운반/캐피탈 작업가능&gt;//★기타..자세한 사항은 전화 상담요망 24시간 친절히 상담해 드립니다.★///★ 김 윤 대  ☎ 010-4926-0024 ★/★ 김 윤 대  ☎ 010-4926-0024 ★/★ 김 윤 대  ☎ 010-4926-0024 ★</t>
  </si>
  <si>
    <t>소비자를위한합리적인가격"  타사제품비교후구매요망!    ***  신  품  ***/3톤포크   핀 열처리   보강 튼튼합니다.(환봉추가)     롱발 판매 합니다./02급 08급 10급 제작 판매 합니다./고정식돌집게 리퍼 지게발 각종 브레이커 브라켓트 제작 (위치-시화공단)/</t>
  </si>
  <si>
    <t>*외폭:1050  1100  1200  1300  1500등/*나라시판 S45C/*버켓전문 제작공장입니다. 주문제작은 물론 미니굴삭기버켓에서 대형까지 전화주십시요. 최선을 다하겠습니다./*아래의 홈페이지를 방문하시면 더 많은 제품을 보실 수 있습니다.//</t>
  </si>
  <si>
    <t>소비자를위한합리적인가격"  타사제품비교후구매요망!    ***  신  품  ***/두산10투스 사용./대용량 안전체크벨브   업그레이드 파워실린더     보강 튼튼 합니다./고정식돌집게 리퍼 지게발 각종 브레이커 브라켓트 제작 (위치-시화공단)/</t>
  </si>
  <si>
    <t>소비자를위한합리적인가격"  타사제품비교후구매요망!    ***  신  품  ***/도자D9N 샹크   투스   장토시사용     핀 열처리     나라시보강 하독스 사용/고정식돌집게 리퍼 지게발 각종 브레이커 브라켓트 제작 (위치-시화공단)/</t>
  </si>
  <si>
    <t>옆면을 강철판 45C16T 통판으로 제작/간살 : S45C강철판16T사용/환봉 : 25￠사용/외폭 1100  망간격 105*105/*버켓전문 제작공장입니다. 주문제작은 물론 미니굴삭기버켓에서 대형까지 전화주십시요. 최선을 다하겠습니다./*아래의 홈페이지를 방문하시면 더 많은 제품을 보실 수 있습니다.//</t>
  </si>
  <si>
    <t>''''''''''/##  10바가지입니다../현대 볼보 두산 3사사용가능하고 홀더교체했습니다/010-3663-8415</t>
  </si>
  <si>
    <t>*외폭:1050  1100  1200  1300  등/*나라시판 특수강 25 T/*밑면을 통 보강하여 범면작업 용이하게 제작하였습니다/*버켓전문 제작공장입니다. 주문제작은 물론 미니굴삭기버켓에서 대형까지 전화주십시요. 최선을 다하겠습니다./*아래의 홈페이지를 방문하시면 더 많은 제품을 보실 수 있습니다.//</t>
  </si>
  <si>
    <t xml:space="preserve"> </t>
  </si>
  <si>
    <t>3번사용했습니다.//★ 대전 어태치먼트 (D.J.A) 박용수 ★//☎  010 4857 8209   ☎///♠♤♠♤♠♤♠♤♠♤♠♤♠♤♠♤♠♤♠♤♠♤♠♤♠♤♠♤♠♤///네이버 블로그 :///네이버 카페 :///다음 카페 :///카카오톡 ID : pys7242 친구추가.//Email :///페이스북 :////♠♤♠♤♠♤♠♤♠♤♠♤♠♤♠♤♠♤♠♤♠♤♠♤♠♤♠♤♠♤///☎ 24시간 친절상담 010 4857 8209 전화주세요 ☎//▶ 모든 어태치먼트 신품  중고 있습니다.//▶ 고정식 ( 돌집게   나무집게 )  회전식 ( 돌집게   나무집게 ) 매입 매매 위탁가능//▶ 미니 02  03  06  08  10  10이상 브레이커 ( 뿌레카 ) 매입 매매 위탁가능//▶ 미니  02  03  06  08  10  10이상 크라샤 반자동 회전식 ( 스피드 ) 매입 매매 위탁가능 멀티 가세 가위//▶ 바가지링크   퀵 클램프   바가지 신품  중고 매입 매매 위탁가능//▶ 쪽바가지   본바가지   대바가지   채바가지   망바가지   관로바가지//▶ 신품  중고 어태치먼트 매입 매매 위탁가능//▶ 중고 굴삭기 매매 위탁가능//▶ 신품 굴삭기   신품 어태치먼트 판매//▶ 100% 실물만 판매합니다.//☎ 24시간 친절상담 010 4857 8209 전화주세요 ☎///♠♤♠♤♠♤♠♤♠♤♠♤♠♤♠♤♠♤♠♤♠♤♠♤♠♤♠♤♠♤///★ 대전 어태치먼트 박용수 ★//010 4857 8209//////★ 대전 어태치먼트 ★/무한궤도 논산중기//010 5424 7793///♠♤♠♤♠♤♠♤♠♤♠♤♠♤♠♤♠♤♠♤♠♤♠♤♠♤♠♤♠♤///신품 중고 굴삭기 농사용굴삭기 농업용굴삭기 미니굴삭기 포크레인//신품 중고 어태치먼트 부품 바가지 대바가지 채바가지 망바가지 본바가지 쪽바가지 채바가지//신품 중고 중장비 브레이커 뿌레카 돌집게 회전돌집게 나무집게 회전나무집게 오렌지그랩 스톤그램 우드그램 폐기물그랩//신품 중고 다짐기 딱다구리 스마트집게 코끼리집게 독수리발톱 호랑이발톱집게 멍텅구리 미니 절단기 콤팩타 크라샤 회전크라샤//매매 매입 위탁/////♠♤♠♤♠♤♠♤♠♤♠♤♠♤♠♤♠♤♠♤♠♤♠♤♠♤♠♤♠♤//엑스센트릭 월드중공업WHI 대한중공업 JK제이케이 DMA 영창공업 중기쟁이중공업 오거토크코리아 도호틸트//대동이엔지 영원중공업 주현틸트 성진유압브레이커 PA중공업 성도중공업 GB지비 삼성특장 대흥중공업//삼영중공업 HM에이치엠 태건개발 대원이엔지 삼성 볼보 대우 두산 현대 한라 한국산업 한일중공업 부광 월성사//태성중공업 한진기계 제일이앤비 세우엠아이씨 수산중공업 동양 한우 라이노 에버다임 MT엠티중공업 에스엔씨//♠♤♠♤♠♤♠♤♠♤♠♤♠♤♠♤♠♤♠♤♠♤♠♤♠♤♠♤♠♤//010 4857 8209////008 대바가지      신품////008 쪽바가지      신품////008 본바가지      신품////008 리퍼            신품////008 뿌레카         신품//////////010 대바가지      신품////010 쪽바가지      신품////010 본바가지      신품////010 리퍼            신품////010 뿌레카         신품/////////017 대바가지      신품////017 쪽바가지      신품//////017 본바가지      신품////017 망바가지      신품////017 리퍼            신품////017 뿌레카         신품////////////020 대바가지      신품////020 쪽바가지      신품////020 본바가지      신품////020 망바가지      신품////020 리퍼          신품////020 뿌레카        신품///////030 대바가지      신품////030 쪽바가지      신품////030 본바가지      신품////030 망바가지      신품////030 리퍼            신품////030 뿌레카         신품////////////02 관로바가지   신품////02 쪽바가지      신품////02 중바가지      신품////02 중바가지      신품////02 본바가지      신품////02 대바가지      신품////02 망바가지      신품////02 망바가지      신품////02리퍼             신품////02지게발          신품////02 뿌레카         신품///////////06 쪽바가지             신품////06 본바가지             신품////06 대바가지(1100)    신품////06 대바가지(1200)    신품////06 대바가지(1300)    신품////06 대바가지(1500)    신품////06 망바가지            신품////06리퍼                   신품////06지게발                신품////06 뿌레카               신품////////////08 쪽바가지     신품////08 본바가지     신품////08 대바가지     신품////08 망바가지     신품////08 리퍼           신품////08 뿌레카        신품//////////10 쪽바가지      신품////10 본바가지      신품////10 대바가지      신품////10 망바가지      신품////10 리퍼            신품////10 뿌레카         신품///010 4857 8209//♠♤♠♤♠♤♠♤♠♤♠♤♠♤♠♤♠♤♠♤♠♤♠♤♠♤♠♤♠♤///※ 네이버 블로그 ※//굴삭기 농장용 나무집게 돌집게 딱따구리 미니 바가지 브레이커 뿌레카 크라샤//굴삭기 중장비 미니굴삭기 농사용굴삭기 농업용굴삭기 신품 중고 매입 매매 위탁//굴삭기동영상 교육 안전 신품 중고 미니 02 06 08 10 10이상//굴삭기 돌집게 나무집게 바가지 뿌레카 크라샤//스키로다 스키로우더 스키로더 바가지 집게 청소솔  신품 중고//지게차 힌지드 흰지드 전동지게차 1톤 2톤 3톤 2.5톤 3.5톤 5톤 7톤 7.5톤</t>
  </si>
  <si>
    <t>★ 대전 어태치먼트 (D.J.A) 박용수 ★//☎  010 4857 8209   ☎///♠♤♠♤♠♤♠♤♠♤♠♤♠♤♠♤♠♤♠♤♠♤♠♤♠♤♠♤♠♤///네이버 블로그 :///네이버 카페 :///다음 카페 :///카카오톡 ID : pys7242 친구추가.//Email :///페이스북 :////♠♤♠♤♠♤♠♤♠♤♠♤♠♤♠♤♠♤♠♤♠♤♠♤♠♤♠♤♠♤///☎ 24시간 친절상담 010 4857 8209 전화주세요 ☎//▶ 모든 어태치먼트 신품  중고 있습니다.//▶ 고정식 ( 돌집게   나무집게 )  회전식 ( 돌집게   나무집게 ) 매입 매매 위탁가능//▶ 미니 02  03  06  08  10  10이상 브레이커 ( 뿌레카 ) 매입 매매 위탁가능//▶ 미니  02  03  06  08  10  10이상 크라샤 반자동 회전식 ( 스피드 ) 매입 매매 위탁가능 멀티 가세 가위//▶ 바가지링크   퀵 클램프   바가지 신품  중고 매입 매매 위탁가능//▶ 쪽바가지   본바가지   대바가지   채바가지   망바가지   관로바가지//▶ 신품  중고 어태치먼트 매입 매매 위탁가능//▶ 중고 굴삭기 매매 위탁가능//▶ 신품 굴삭기   신품 어태치먼트 판매//▶ 100% 실물만 판매합니다.//☎ 24시간 친절상담 010 4857 8209 전화주세요 ☎///♠♤♠♤♠♤♠♤♠♤♠♤♠♤♠♤♠♤♠♤♠♤♠♤♠♤♠♤♠♤///★ 대전 어태치먼트 박용수 ★//010 4857 8209//////★ 대전 어태치먼트 ★/무한궤도 논산중기//010 5424 7793///♠♤♠♤♠♤♠♤♠♤♠♤♠♤♠♤♠♤♠♤♠♤♠♤♠♤♠♤♠♤///신품 중고 굴삭기 농사용굴삭기 농업용굴삭기 미니굴삭기 포크레인//신품 중고 어태치먼트 부품 바가지 대바가지 채바가지 망바가지 본바가지 쪽바가지 채바가지//신품 중고 중장비 브레이커 뿌레카 돌집게 회전돌집게 나무집게 회전나무집게 오렌지그랩 스톤그램 우드그램 폐기물그랩//신품 중고 다짐기 딱다구리 스마트집게 코끼리집게 독수리발톱 호랑이발톱집게 멍텅구리 미니 절단기 콤팩타 크라샤 회전크라샤//매매 매입 위탁/////♠♤♠♤♠♤♠♤♠♤♠♤♠♤♠♤♠♤♠♤♠♤♠♤♠♤♠♤♠♤//엑스센트릭 월드중공업WHI 대한중공업 JK제이케이 DMA 영창공업 중기쟁이중공업 오거토크코리아 도호틸트//대동이엔지 영원중공업 주현틸트 성진유압브레이커 PA중공업 성도중공업 GB지비 삼성특장 대흥중공업//삼영중공업 HM에이치엠 태건개발 대원이엔지 삼성 볼보 대우 두산 현대 한라 한국산업 한일중공업 부광 월성사//태성중공업 한진기계 제일이앤비 세우엠아이씨 수산중공업 동양 한우 라이노 에버다임 MT엠티중공업 에스엔씨//♠♤♠♤♠♤♠♤♠♤♠♤♠♤♠♤♠♤♠♤♠♤♠♤♠♤♠♤♠♤//010 4857 8209////008 대바가지      신품////008 쪽바가지      신품////008 본바가지      신품////008 리퍼            신품////008 뿌레카         신품//////////010 대바가지      신품////010 쪽바가지      신품////010 본바가지      신품////010 리퍼            신품////010 뿌레카         신품/////////017 대바가지      신품////017 쪽바가지      신품//////017 본바가지      신품////017 망바가지      신품////017 리퍼            신품////017 뿌레카         신품////////////020 대바가지      신품////020 쪽바가지      신품////020 본바가지      신품////020 망바가지      신품////020 리퍼          신품////020 뿌레카        신품///////030 대바가지      신품////030 쪽바가지      신품////030 본바가지      신품////030 망바가지      신품////030 리퍼            신품////030 뿌레카         신품////////////02 관로바가지   신품////02 쪽바가지      신품////02 중바가지      신품////02 중바가지      신품////02 본바가지      신품////02 대바가지      신품////02 망바가지      신품////02 망바가지      신품////02리퍼             신품////02지게발          신품////02 뿌레카         신품///////////06 쪽바가지             신품////06 본바가지             신품////06 대바가지(1100)    신품////06 대바가지(1200)    신품////06 대바가지(1300)    신품////06 대바가지(1500)    신품////06 망바가지            신품////06리퍼                   신품////06지게발                신품////06 뿌레카               신품////////////08 쪽바가지     신품////08 본바가지     신품////08 대바가지     신품////08 망바가지     신품////08 리퍼           신품////08 뿌레카        신품//////////10 쪽바가지      신품////10 본바가지      신품////10 대바가지      신품////10 망바가지      신품////10 리퍼            신품////10 뿌레카         신품///010 4857 8209//♠♤♠♤♠♤♠♤♠♤♠♤♠♤♠♤♠♤♠♤♠♤♠♤♠♤♠♤♠♤///※ 네이버 블로그 ※//굴삭기 농장용 나무집게 돌집게 딱따구리 미니 바가지 브레이커 뿌레카 크라샤//굴삭기 중장비 미니굴삭기 농사용굴삭기 농업용굴삭기 신품 중고 매입 매매 위탁//굴삭기동영상 교육 안전 신품 중고 미니 02 06 08 10 10이상//굴삭기 돌집게 나무집게 바가지 뿌레카 크라샤//스키로다 스키로우더 스키로더 바가지 집게 청소솔  신품 중고//지게차 힌지드 흰지드 전동지게차 1톤 2톤 3톤 2.5톤 3.5톤 5톤 7톤 7.5톤//////0</t>
  </si>
  <si>
    <t>현대정품 굴삭기의자입니다.//그 외 지게차의자  요트의자  크레인의자도 있으니//언제든 연락주세요//010 8677 2050</t>
  </si>
  <si>
    <t>소비자를위한합리적인가격"  타사제품비교후구매요망!    ***  신  품  ***//장삽1160     망간격 120x120    45c     두산06투스     무료배송//고정식돌집게 리퍼 지게발 각종 브레이커 브라켓트 제작 (위치-시화공단)//</t>
  </si>
  <si>
    <t>3번정도 사용했습니다./신품가 고급형 450만원 제품입니다./전화주세요.//★ 대전 어태치먼트 (D.J.A) 박용수 ★//☎  010 4857 8209   ☎///♠♤♠♤♠♤♠♤♠♤♠♤♠♤♠♤♠♤♠♤♠♤♠♤♠♤♠♤♠♤///네이버 블로그 :///네이버 카페 :///다음 카페 :///카카오톡 ID : pys7242 친구추가.//Email :///페이스북 :////♠♤♠♤♠♤♠♤♠♤♠♤♠♤♠♤♠♤♠♤♠♤♠♤♠♤♠♤♠♤///☎ 24시간 친절상담 010 4857 8209 전화주세요 ☎//▶ 모든 어태치먼트 신품  중고 있습니다.//▶ 고정식 ( 돌집게   나무집게 )  회전식 ( 돌집게   나무집게 ) 매입 매매 위탁가능//▶ 미니 02  03  06  08  10  10이상 브레이커 ( 뿌레카 ) 매입 매매 위탁가능//▶ 미니  02  03  06  08  10  10이상 크라샤 반자동 회전식 ( 스피드 ) 매입 매매 위탁가능 멀티 가세 가위//▶ 바가지링크   퀵 클램프   바가지 신품  중고 매입 매매 위탁가능//▶ 쪽바가지   본바가지   대바가지   채바가지   망바가지   관로바가지//▶ 신품  중고 어태치먼트 매입 매매 위탁가능//▶ 중고 굴삭기 매매 위탁가능//▶ 신품 굴삭기   신품 어태치먼트 판매//▶ 100% 실물만 판매합니다.//☎ 24시간 친절상담 010 4857 8209 전화주세요 ☎///♠♤♠♤♠♤♠♤♠♤♠♤♠♤♠♤♠♤♠♤♠♤♠♤♠♤♠♤♠♤///★ 대전 어태치먼트 박용수 ★//010 4857 8209//////★ 대전 어태치먼트 ★/무한궤도 논산중기//010 5424 7793///♠♤♠♤♠♤♠♤♠♤♠♤♠♤♠♤♠♤♠♤♠♤♠♤♠♤♠♤♠♤///신품 중고 굴삭기 농사용굴삭기 농업용굴삭기 미니굴삭기 포크레인//신품 중고 어태치먼트 부품 바가지 대바가지 채바가지 망바가지 본바가지 쪽바가지 채바가지//신품 중고 중장비 브레이커 뿌레카 돌집게 회전돌집게 나무집게 회전나무집게 오렌지그랩 스톤그램 우드그램 폐기물그랩//신품 중고 다짐기 딱다구리 스마트집게 코끼리집게 독수리발톱 호랑이발톱집게 멍텅구리 미니 절단기 콤팩타 크라샤 회전크라샤//매매 매입 위탁/////♠♤♠♤♠♤♠♤♠♤♠♤♠♤♠♤♠♤♠♤♠♤♠♤♠♤♠♤♠♤//엑스센트릭 월드중공업WHI 대한중공업 JK제이케이 DMA 영창공업 중기쟁이중공업 오거토크코리아 도호틸트//대동이엔지 영원중공업 주현틸트 성진유압브레이커 PA중공업 성도중공업 GB지비 삼성특장 대흥중공업//삼영중공업 HM에이치엠 태건개발 대원이엔지 삼성 볼보 대우 두산 현대 한라 한국산업 한일중공업 부광 월성사//태성중공업 한진기계 제일이앤비 세우엠아이씨 수산중공업 동양 한우 라이노 에버다임 MT엠티중공업 에스엔씨//♠♤♠♤♠♤♠♤♠♤♠♤♠♤♠♤♠♤♠♤♠♤♠♤♠♤♠♤♠♤//010 4857 8209////008 대바가지      신품////008 쪽바가지      신품////008 본바가지      신품////008 리퍼            신품////008 뿌레카         신품//////////010 대바가지      신품////010 쪽바가지      신품////010 본바가지      신품////010 리퍼            신품////010 뿌레카         신품/////////017 대바가지      신품////017 쪽바가지      신품//////017 본바가지      신품////017 망바가지      신품////017 리퍼            신품////017 뿌레카         신품////////////020 대바가지      신품////020 쪽바가지      신품////020 본바가지      신품////020 망바가지      신품////020 리퍼          신품////020 뿌레카        신품///////030 대바가지      신품////030 쪽바가지      신품////030 본바가지      신품////030 망바가지      신품////030 리퍼            신품////030 뿌레카         신품////////////02 관로바가지   신품////02 쪽바가지      신품////02 중바가지      신품////02 중바가지      신품////02 본바가지      신품////02 대바가지      신품////02 망바가지      신품////02 망바가지      신품////02리퍼             신품////02지게발          신품////02 뿌레카         신품///////////06 쪽바가지             신품////06 본바가지             신품////06 대바가지(1100)    신품////06 대바가지(1200)    신품////06 대바가지(1300)    신품////06 대바가지(1500)    신품////06 망바가지            신품////06리퍼                   신품////06지게발                신품////06 뿌레카               신품////////////08 쪽바가지     신품////08 본바가지     신품////08 대바가지     신품////08 망바가지     신품////08 리퍼           신품////08 뿌레카        신품//////////10 쪽바가지      신품////10 본바가지      신품////10 대바가지      신품////10 망바가지      신품////10 리퍼            신품////10 뿌레카         신품///010 4857 8209//♠♤♠♤♠♤♠♤♠♤♠♤♠♤♠♤♠♤♠♤♠♤♠♤♠♤♠♤♠♤///※ 네이버 블로그 ※//굴삭기 농장용 나무집게 돌집게 딱따구리 미니 바가지 브레이커 뿌레카 크라샤//굴삭기 중장비 미니굴삭기 농사용굴삭기 농업용굴삭기 신품 중고 매입 매매 위탁//굴삭기동영상 교육 안전 신품 중고 미니 02 06 08 10 10이상//굴삭기 돌집게 나무집게 바가지 뿌레카 크라샤//스키로다 스키로우더 스키로더 바가지 집게 청소솔  신품 중고//지게차 힌지드 흰지드 전동지게차 1톤 2톤 3톤 2.5톤 3.5톤 5톤 7톤 7.5톤</t>
  </si>
  <si>
    <t>\세부사진전송//\기능  성능  상태 좋아요//대구구일세림박길수/010-3508-7370</t>
  </si>
  <si>
    <t>수산 SB80모델입니다//08뿌레카 이구요//보시다싶이 도색 수리 완료해놨습니다.//물건은 김해에 있구요//언제든 연락 주세요//010 8677 2050</t>
  </si>
  <si>
    <t>3번사용/신품가 고급형 회전돌집게 450만원.//★ 대전 어태치먼트 (D.J.A) 박용수 ★//☎  010 4857 8209   ☎///♠♤♠♤♠♤♠♤♠♤♠♤♠♤♠♤♠♤♠♤♠♤♠♤♠♤♠♤♠♤///네이버 블로그 :///네이버 카페 :///다음 카페 :///카카오톡 ID : pys7242 친구추가.//Email :///페이스북 :////♠♤♠♤♠♤♠♤♠♤♠♤♠♤♠♤♠♤♠♤♠♤♠♤♠♤♠♤♠♤///☎ 24시간 친절상담 010 4857 8209 전화주세요 ☎//▶ 모든 어태치먼트 신품  중고 있습니다.//▶ 고정식 ( 돌집게   나무집게 )  회전식 ( 돌집게   나무집게 ) 매입 매매 위탁가능//▶ 미니 02  03  06  08  10  10이상 브레이커 ( 뿌레카 ) 매입 매매 위탁가능//▶ 미니  02  03  06  08  10  10이상 크라샤 반자동 회전식 ( 스피드 ) 매입 매매 위탁가능 멀티 가세 가위//▶ 바가지링크   퀵 클램프   바가지 신품  중고 매입 매매 위탁가능//▶ 쪽바가지   본바가지   대바가지   채바가지   망바가지   관로바가지//▶ 신품  중고 어태치먼트 매입 매매 위탁가능//▶ 중고 굴삭기 매매 위탁가능//▶ 신품 굴삭기   신품 어태치먼트 판매//▶ 100% 실물만 판매합니다.//☎ 24시간 친절상담 010 4857 8209 전화주세요 ☎///♠♤♠♤♠♤♠♤♠♤♠♤♠♤♠♤♠♤♠♤♠♤♠♤♠♤♠♤♠♤///★ 대전 어태치먼트 박용수 ★//010 4857 8209//////★ 대전 어태치먼트 ★/무한궤도 논산중기//010 5424 7793///♠♤♠♤♠♤♠♤♠♤♠♤♠♤♠♤♠♤♠♤♠♤♠♤♠♤♠♤♠♤///신품 중고 굴삭기 농사용굴삭기 농업용굴삭기 미니굴삭기 포크레인//신품 중고 어태치먼트 부품 바가지 대바가지 채바가지 망바가지 본바가지 쪽바가지 채바가지//신품 중고 중장비 브레이커 뿌레카 돌집게 회전돌집게 나무집게 회전나무집게 오렌지그랩 스톤그램 우드그램 폐기물그랩//신품 중고 다짐기 딱다구리 스마트집게 코끼리집게 독수리발톱 호랑이발톱집게 멍텅구리 미니 절단기 콤팩타 크라샤 회전크라샤//매매 매입 위탁/////♠♤♠♤♠♤♠♤♠♤♠♤♠♤♠♤♠♤♠♤♠♤♠♤♠♤♠♤♠♤//엑스센트릭 월드중공업WHI 대한중공업 JK제이케이 DMA 영창공업 중기쟁이중공업 오거토크코리아 도호틸트//대동이엔지 영원중공업 주현틸트 성진유압브레이커 PA중공업 성도중공업 GB지비 삼성특장 대흥중공업//삼영중공업 HM에이치엠 태건개발 대원이엔지 삼성 볼보 대우 두산 현대 한라 한국산업 한일중공업 부광 월성사//태성중공업 한진기계 제일이앤비 세우엠아이씨 수산중공업 동양 한우 라이노 에버다임 MT엠티중공업 에스엔씨//♠♤♠♤♠♤♠♤♠♤♠♤♠♤♠♤♠♤♠♤♠♤♠♤♠♤♠♤♠♤//010 4857 8209////008 대바가지      신품////008 쪽바가지      신품////008 본바가지      신품////008 리퍼            신품////008 뿌레카         신품//////////010 대바가지      신품////010 쪽바가지      신품////010 본바가지      신품////010 리퍼            신품////010 뿌레카         신품/////////017 대바가지      신품////017 쪽바가지      신품//////017 본바가지      신품////017 망바가지      신품////017 리퍼            신품////017 뿌레카         신품////////////020 대바가지      신품////020 쪽바가지      신품////020 본바가지      신품////020 망바가지      신품////020 리퍼          신품////020 뿌레카        신품///////030 대바가지      신품////030 쪽바가지      신품////030 본바가지      신품////030 망바가지      신품////030 리퍼            신품////030 뿌레카         신품////////////02 관로바가지   신품////02 쪽바가지      신품////02 중바가지      신품////02 중바가지      신품////02 본바가지      신품////02 대바가지      신품////02 망바가지      신품////02 망바가지      신품////02리퍼             신품////02지게발          신품////02 뿌레카         신품///////////06 쪽바가지             신품////06 본바가지             신품////06 대바가지(1100)    신품////06 대바가지(1200)    신품////06 대바가지(1300)    신품////06 대바가지(1500)    신품////06 망바가지            신품////06리퍼                   신품////06지게발                신품////06 뿌레카               신품////////////08 쪽바가지     신품////08 본바가지     신품////08 대바가지     신품////08 망바가지     신품////08 리퍼           신품////08 뿌레카        신품//////////10 쪽바가지      신품////10 본바가지      신품////10 대바가지      신품////10 망바가지      신품////10 리퍼            신품////10 뿌레카         신품///010 4857 8209//♠♤♠♤♠♤♠♤♠♤♠♤♠♤♠♤♠♤♠♤♠♤♠♤♠♤♠♤♠♤///※ 네이버 블로그 ※//굴삭기 농장용 나무집게 돌집게 딱따구리 미니 바가지 브레이커 뿌레카 크라샤//굴삭기 중장비 미니굴삭기 농사용굴삭기 농업용굴삭기 신품 중고 매입 매매 위탁//굴삭기동영상 교육 안전 신품 중고 미니 02 06 08 10 10이상//굴삭기 돌집게 나무집게 바가지 뿌레카 크라샤//스키로다 스키로우더 스키로더 바가지 집게 청소솔  신품 중고//지게차 힌지드 흰지드 전동지게차 1톤 2톤 3톤 2.5톤 3.5톤 5톤 7톤 7.5톤</t>
  </si>
  <si>
    <t>장비 특급입니다 ^^/중고진동닛바를 매각합니다/원산지는 스페인 제품으로 오리지날 입니다./모델은 xr 30&amp;40&amp;50 각 두대 씩입니다./xr30은 DX300등 장비에 장치되고  xr40 360.380 장비에 장치되고 xr  50은 380~460 까지이며  50모델이라면무게5톤을 말합니다./잇발소모품은 국산 제작이 가능하며 목형 과 장치(설치)비를 포함한 금액입니다.</t>
  </si>
  <si>
    <t>특A급  볼보08장비에사용</t>
  </si>
  <si>
    <t>절충가능 전화주세요.//★ 대전 어태치먼트 (D.J.A) 박용수 ★//☎  010 4857 8209   ☎///♠♤♠♤♠♤♠♤♠♤♠♤♠♤♠♤♠♤♠♤♠♤♠♤♠♤♠♤♠♤///네이버 블로그 :///네이버 카페 :///다음 카페 :///카카오톡 ID : pys7242 친구추가.//Email :///페이스북 :////♠♤♠♤♠♤♠♤♠♤♠♤♠♤♠♤♠♤♠♤♠♤♠♤♠♤♠♤♠♤///☎ 24시간 친절상담 010 4857 8209 전화주세요 ☎//▶ 모든 어태치먼트 신품  중고 있습니다.//▶ 고정식 ( 돌집게   나무집게 )  회전식 ( 돌집게   나무집게 ) 매입 매매 위탁가능//▶ 미니 02  03  06  08  10  10이상 브레이커 ( 뿌레카 ) 매입 매매 위탁가능//▶ 미니  02  03  06  08  10  10이상 크라샤 반자동 회전식 ( 스피드 ) 매입 매매 위탁가능 멀티 가세 가위//▶ 바가지링크   퀵 클램프   바가지 신품  중고 매입 매매 위탁가능//▶ 쪽바가지   본바가지   대바가지   채바가지   망바가지   관로바가지//▶ 신품  중고 어태치먼트 매입 매매 위탁가능//▶ 중고 굴삭기 매매 위탁가능//▶ 신품 굴삭기   신품 어태치먼트 판매//▶ 100% 실물만 판매합니다.//☎ 24시간 친절상담 010 4857 8209 전화주세요 ☎///♠♤♠♤♠♤♠♤♠♤♠♤♠♤♠♤♠♤♠♤♠♤♠♤♠♤♠♤♠♤///★ 대전 어태치먼트 박용수 ★//010 4857 8209//////★ 대전 어태치먼트 ★/무한궤도 논산중기//010 5424 7793///♠♤♠♤♠♤♠♤♠♤♠♤♠♤♠♤♠♤♠♤♠♤♠♤♠♤♠♤♠♤///신품 중고 굴삭기 농사용굴삭기 농업용굴삭기 미니굴삭기 포크레인//신품 중고 어태치먼트 부품 바가지 대바가지 채바가지 망바가지 본바가지 쪽바가지 채바가지//신품 중고 중장비 브레이커 뿌레카 돌집게 회전돌집게 나무집게 회전나무집게 오렌지그랩 스톤그램 우드그램 폐기물그랩//신품 중고 다짐기 딱다구리 스마트집게 코끼리집게 독수리발톱 호랑이발톱집게 멍텅구리 미니 절단기 콤팩타 크라샤 회전크라샤//매매 매입 위탁/////♠♤♠♤♠♤♠♤♠♤♠♤♠♤♠♤♠♤♠♤♠♤♠♤♠♤♠♤♠♤//엑스센트릭 월드중공업WHI 대한중공업 JK제이케이 DMA 영창공업 중기쟁이중공업 오거토크코리아 도호틸트//대동이엔지 영원중공업 주현틸트 성진유압브레이커 PA중공업 성도중공업 GB지비 삼성특장 대흥중공업//삼영중공업 HM에이치엠 태건개발 대원이엔지 삼성 볼보 대우 두산 현대 한라 한국산업 한일중공업 부광 월성사//태성중공업 한진기계 제일이앤비 세우엠아이씨 수산중공업 동양 한우 라이노 에버다임 MT엠티중공업 에스엔씨//♠♤♠♤♠♤♠♤♠♤♠♤♠♤♠♤♠♤♠♤♠♤♠♤♠♤♠♤♠♤//010 4857 8209////008 대바가지      신품////008 쪽바가지      신품////008 본바가지      신품////008 리퍼            신품////008 뿌레카         신품//////////010 대바가지      신품////010 쪽바가지      신품////010 본바가지      신품////010 리퍼            신품////010 뿌레카         신품/////////017 대바가지      신품////017 쪽바가지      신품//////017 본바가지      신품////017 망바가지      신품////017 리퍼            신품////017 뿌레카         신품////////////020 대바가지      신품////020 쪽바가지      신품////020 본바가지      신품////020 망바가지      신품////020 리퍼          신품////020 뿌레카        신품///////030 대바가지      신품////030 쪽바가지      신품////030 본바가지      신품////030 망바가지      신품////030 리퍼            신품////030 뿌레카         신품////////////02 관로바가지   신품////02 쪽바가지      신품////02 중바가지      신품////02 중바가지      신품////02 본바가지      신품////02 대바가지      신품////02 망바가지      신품////02 망바가지      신품////02리퍼             신품////02지게발          신품////02 뿌레카         신품///////////06 쪽바가지             신품////06 본바가지             신품////06 대바가지(1100)    신품////06 대바가지(1200)    신품////06 대바가지(1300)    신품////06 대바가지(1500)    신품////06 망바가지            신품////06리퍼                   신품////06지게발                신품////06 뿌레카               신품////////////08 쪽바가지     신품////08 본바가지     신품////08 대바가지     신품////08 망바가지     신품////08 리퍼           신품////08 뿌레카        신품//////////10 쪽바가지      신품////10 본바가지      신품////10 대바가지      신품////10 망바가지      신품////10 리퍼            신품////10 뿌레카         신품///010 4857 8209//♠♤♠♤♠♤♠♤♠♤♠♤♠♤♠♤♠♤♠♤♠♤♠♤♠♤♠♤♠♤///※ 네이버 블로그 ※//굴삭기 농장용 나무집게 돌집게 딱따구리 미니 바가지 브레이커 뿌레카 크라샤//굴삭기 중장비 미니굴삭기 농사용굴삭기 농업용굴삭기 신품 중고 매입 매매 위탁//굴삭기동영상 교육 안전 신품 중고 미니 02 06 08 10 10이상//굴삭기 돌집게 나무집게 바가지 뿌레카 크라샤//스키로다 스키로우더 스키로더 바가지 집게 청소솔  신품 중고//지게차 힌지드 흰지드 전동지게차 1톤 2톤 3톤 2.5톤 3.5톤 5톤 7톤 7.5톤</t>
  </si>
  <si>
    <t>015 017 020 025/3핀이므로 사용가능합니다.//★ 대전 어태치먼트 (D.J.A) 박용수 ★//☎  010 4857 8209   ☎///♠♤♠♤♠♤♠♤♠♤♠♤♠♤♠♤♠♤♠♤♠♤♠♤♠♤♠♤♠♤///네이버 블로그 :///네이버 카페 :///다음 카페 :///카카오톡 ID : pys7242 친구추가.//Email :///페이스북 :////♠♤♠♤♠♤♠♤♠♤♠♤♠♤♠♤♠♤♠♤♠♤♠♤♠♤♠♤♠♤///☎ 24시간 친절상담 010 4857 8209 전화주세요 ☎//▶ 모든 어태치먼트 신품  중고 있습니다.//▶ 고정식 ( 돌집게   나무집게 )  회전식 ( 돌집게   나무집게 ) 매입 매매 위탁가능//▶ 미니 02  03  06  08  10  10이상 브레이커 ( 뿌레카 ) 매입 매매 위탁가능//▶ 미니  02  03  06  08  10  10이상 크라샤 반자동 회전식 ( 스피드 ) 매입 매매 위탁가능 멀티 가세 가위//▶ 바가지링크   퀵 클램프   바가지 신품  중고 매입 매매 위탁가능//▶ 쪽바가지   본바가지   대바가지   채바가지   망바가지   관로바가지//▶ 신품  중고 어태치먼트 매입 매매 위탁가능//▶ 중고 굴삭기 매매 위탁가능//▶ 신품 굴삭기   신품 어태치먼트 판매//▶ 100% 실물만 판매합니다.//☎ 24시간 친절상담 010 4857 8209 전화주세요 ☎///♠♤♠♤♠♤♠♤♠♤♠♤♠♤♠♤♠♤♠♤♠♤♠♤♠♤♠♤♠♤///★ 대전 어태치먼트 박용수 ★//010 4857 8209//////★ 대전 어태치먼트 ★/무한궤도 논산중기//010 5424 7793///♠♤♠♤♠♤♠♤♠♤♠♤♠♤♠♤♠♤♠♤♠♤♠♤♠♤♠♤♠♤///신품 중고 굴삭기 농사용굴삭기 농업용굴삭기 미니굴삭기 포크레인//신품 중고 어태치먼트 부품 바가지 대바가지 채바가지 망바가지 본바가지 쪽바가지 채바가지//신품 중고 중장비 브레이커 뿌레카 돌집게 회전돌집게 나무집게 회전나무집게 오렌지그랩 스톤그램 우드그램 폐기물그랩//신품 중고 다짐기 딱다구리 스마트집게 코끼리집게 독수리발톱 호랑이발톱집게 멍텅구리 미니 절단기 콤팩타 크라샤 회전크라샤//매매 매입 위탁/////♠♤♠♤♠♤♠♤♠♤♠♤♠♤♠♤♠♤♠♤♠♤♠♤♠♤♠♤♠♤//엑스센트릭 월드중공업WHI 대한중공업 JK제이케이 DMA 영창공업 중기쟁이중공업 오거토크코리아 도호틸트//대동이엔지 영원중공업 주현틸트 성진유압브레이커 PA중공업 성도중공업 GB지비 삼성특장 대흥중공업//삼영중공업 HM에이치엠 태건개발 대원이엔지 삼성 볼보 대우 두산 현대 한라 한국산업 한일중공업 부광 월성사//태성중공업 한진기계 제일이앤비 세우엠아이씨 수산중공업 동양 한우 라이노 에버다임 MT엠티중공업 에스엔씨//♠♤♠♤♠♤♠♤♠♤♠♤♠♤♠♤♠♤♠♤♠♤♠♤♠♤♠♤♠♤//010 4857 8209////008 대바가지      신품////008 쪽바가지      신품////008 본바가지      신품////008 리퍼            신품////008 뿌레카         신품//////////010 대바가지      신품////010 쪽바가지      신품////010 본바가지      신품////010 리퍼            신품////010 뿌레카         신품/////////017 대바가지      신품////017 쪽바가지      신품//////017 본바가지      신품////017 망바가지      신품////017 리퍼            신품////017 뿌레카         신품////////////020 대바가지      신품////020 쪽바가지      신품////020 본바가지      신품////020 망바가지      신품////020 리퍼          신품////020 뿌레카        신품///////030 대바가지      신품////030 쪽바가지      신품////030 본바가지      신품////030 망바가지      신품////030 리퍼            신품////030 뿌레카         신품////////////02 관로바가지   신품////02 쪽바가지      신품////02 중바가지      신품////02 중바가지      신품////02 본바가지      신품////02 대바가지      신품////02 망바가지      신품////02 망바가지      신품////02리퍼             신품////02지게발          신품////02 뿌레카         신품///////////06 쪽바가지             신품////06 본바가지             신품////06 대바가지(1100)    신품////06 대바가지(1200)    신품////06 대바가지(1300)    신품////06 대바가지(1500)    신품////06 망바가지            신품////06리퍼                   신품////06지게발                신품////06 뿌레카               신품////////////08 쪽바가지     신품////08 본바가지     신품////08 대바가지     신품////08 망바가지     신품////08 리퍼           신품////08 뿌레카        신품//////////10 쪽바가지      신품////10 본바가지      신품////10 대바가지      신품////10 망바가지      신품////10 리퍼            신품////10 뿌레카         신품///010 4857 8209//♠♤♠♤♠♤♠♤♠♤♠♤♠♤♠♤♠♤♠♤♠♤♠♤♠♤♠♤♠♤///※ 네이버 블로그 ※//굴삭기 농장용 나무집게 돌집게 딱따구리 미니 바가지 브레이커 뿌레카 크라샤//굴삭기 중장비 미니굴삭기 농사용굴삭기 농업용굴삭기 신품 중고 매입 매매 위탁//굴삭기동영상 교육 안전 신품 중고 미니 02 06 08 10 10이상//굴삭기 돌집게 나무집게 바가지 뿌레카 크라샤//스키로다 스키로우더 스키로더 바가지 집게 청소솔  신품 중고//지게차 힌지드 흰지드 전동지게차 1톤 2톤 3톤 2.5톤 3.5톤 5톤 7톤 7.5톤</t>
  </si>
  <si>
    <t>각종 사이즈 다있습니다.//★ 대전 어태치먼트 (D.J.A) 박용수 ★//☎  010 4857 8209   ☎///♠♤♠♤♠♤♠♤♠♤♠♤♠♤♠♤♠♤♠♤♠♤♠♤♠♤♠♤♠♤///네이버 블로그 :///네이버 카페 :///다음 카페 :///카카오톡 ID : pys7242 친구추가.//Email :///페이스북 :////♠♤♠♤♠♤♠♤♠♤♠♤♠♤♠♤♠♤♠♤♠♤♠♤♠♤♠♤♠♤///☎ 24시간 친절상담 010 4857 8209 전화주세요 ☎//▶ 모든 어태치먼트 신품  중고 있습니다.//▶ 고정식 ( 돌집게   나무집게 )  회전식 ( 돌집게   나무집게 ) 매입 매매 위탁가능//▶ 미니 02  03  06  08  10  10이상 브레이커 ( 뿌레카 ) 매입 매매 위탁가능//▶ 미니  02  03  06  08  10  10이상 크라샤 반자동 회전식 ( 스피드 ) 매입 매매 위탁가능 멀티 가세 가위//▶ 바가지링크   퀵 클램프   바가지 신품  중고 매입 매매 위탁가능//▶ 쪽바가지   본바가지   대바가지   채바가지   망바가지   관로바가지//▶ 신품  중고 어태치먼트 매입 매매 위탁가능//▶ 중고 굴삭기 매매 위탁가능//▶ 신품 굴삭기   신품 어태치먼트 판매//▶ 100% 실물만 판매합니다.//☎ 24시간 친절상담 010 4857 8209 전화주세요 ☎///♠♤♠♤♠♤♠♤♠♤♠♤♠♤♠♤♠♤♠♤♠♤♠♤♠♤♠♤♠♤///★ 대전 어태치먼트 박용수 ★//010 4857 8209//////★ 대전 어태치먼트 ★/무한궤도 논산중기//010 5424 7793///♠♤♠♤♠♤♠♤♠♤♠♤♠♤♠♤♠♤♠♤♠♤♠♤♠♤♠♤♠♤///신품 중고 굴삭기 농사용굴삭기 농업용굴삭기 미니굴삭기 포크레인//신품 중고 어태치먼트 부품 바가지 대바가지 채바가지 망바가지 본바가지 쪽바가지 채바가지//신품 중고 중장비 브레이커 뿌레카 돌집게 회전돌집게 나무집게 회전나무집게 오렌지그랩 스톤그램 우드그램 폐기물그랩//신품 중고 다짐기 딱다구리 스마트집게 코끼리집게 독수리발톱 호랑이발톱집게 멍텅구리 미니 절단기 콤팩타 크라샤 회전크라샤//매매 매입 위탁/////♠♤♠♤♠♤♠♤♠♤♠♤♠♤♠♤♠♤♠♤♠♤♠♤♠♤♠♤♠♤//엑스센트릭 월드중공업WHI 대한중공업 JK제이케이 DMA 영창공업 중기쟁이중공업 오거토크코리아 도호틸트//대동이엔지 영원중공업 주현틸트 성진유압브레이커 PA중공업 성도중공업 GB지비 삼성특장 대흥중공업//삼영중공업 HM에이치엠 태건개발 대원이엔지 삼성 볼보 대우 두산 현대 한라 한국산업 한일중공업 부광 월성사//태성중공업 한진기계 제일이앤비 세우엠아이씨 수산중공업 동양 한우 라이노 에버다임 MT엠티중공업 에스엔씨//♠♤♠♤♠♤♠♤♠♤♠♤♠♤♠♤♠♤♠♤♠♤♠♤♠♤♠♤♠♤//010 4857 8209////008 대바가지      신품////008 쪽바가지      신품////008 본바가지      신품////008 리퍼            신품////008 뿌레카         신품//////////010 대바가지      신품////010 쪽바가지      신품////010 본바가지      신품////010 리퍼            신품////010 뿌레카         신품/////////017 대바가지      신품////017 쪽바가지      신품//////017 본바가지      신품////017 망바가지      신품////017 리퍼            신품////017 뿌레카         신품////////////020 대바가지      신품////020 쪽바가지      신품////020 본바가지      신품////020 망바가지      신품////020 리퍼          신품////020 뿌레카        신품///////030 대바가지      신품////030 쪽바가지      신품////030 본바가지      신품////030 망바가지      신품////030 리퍼            신품////030 뿌레카         신품////////////02 관로바가지   신품////02 쪽바가지      신품////02 중바가지      신품////02 중바가지      신품////02 본바가지      신품////02 대바가지      신품////02 망바가지      신품////02 망바가지      신품////02리퍼             신품////02지게발          신품////02 뿌레카         신품///////////06 쪽바가지             신품////06 본바가지             신품////06 대바가지(1100)    신품////06 대바가지(1200)    신품////06 대바가지(1300)    신품////06 대바가지(1500)    신품////06 망바가지            신품////06리퍼                   신품////06지게발                신품////06 뿌레카               신품////////////08 쪽바가지     신품////08 본바가지     신품////08 대바가지     신품////08 망바가지     신품////08 리퍼           신품////08 뿌레카        신품//////////10 쪽바가지      신품////10 본바가지      신품////10 대바가지      신품////10 망바가지      신품////10 리퍼            신품////10 뿌레카         신품///010 4857 8209//♠♤♠♤♠♤♠♤♠♤♠♤♠♤♠♤♠♤♠♤♠♤♠♤♠♤♠♤♠♤///※ 네이버 블로그 ※//굴삭기 농장용 나무집게 돌집게 딱따구리 미니 바가지 브레이커 뿌레카 크라샤//굴삭기 중장비 미니굴삭기 농사용굴삭기 농업용굴삭기 신품 중고 매입 매매 위탁//굴삭기동영상 교육 안전 신품 중고 미니 02 06 08 10 10이상//굴삭기 돌집게 나무집게 바가지 뿌레카 크라샤//스키로다 스키로우더 스키로더 바가지 집게 청소솔  신품 중고//지게차 힌지드 흰지드 전동지게차 1톤 2톤 3톤 2.5톤 3.5톤 5톤 7톤 7.5톤</t>
  </si>
  <si>
    <t>제작년식과 기재년식이 상이함////★ 남아건설기계 김도윤 010-6637-3000 ★//☆ 이외 매물 다소 보유 ☆//★ 상세사진 전송가능  ★//◁▲~/▼▷ ~ ~/ノ 은은한 사람은 과정을 아름답게 엮어가며 /은근한 사람은 결론을 아름답게 맺습니다.//각종 건설기계전문상담 /각종중장비 고가매입/저가매매  캐피탈 할부 상담 /수출/폐차상담 환영합니다.</t>
  </si>
  <si>
    <t>각종 사이즈 다있습니다./전화주세요.//★ 대전 어태치먼트 (D.J.A) 박용수 ★//☎  010 4857 8209   ☎///♠♤♠♤♠♤♠♤♠♤♠♤♠♤♠♤♠♤♠♤♠♤♠♤♠♤♠♤♠♤///네이버 블로그 :///네이버 카페 :///다음 카페 :///카카오톡 ID : pys7242 친구추가.//Email :///페이스북 :////♠♤♠♤♠♤♠♤♠♤♠♤♠♤♠♤♠♤♠♤♠♤♠♤♠♤♠♤♠♤///☎ 24시간 친절상담 010 4857 8209 전화주세요 ☎//▶ 모든 어태치먼트 신품  중고 있습니다.//▶ 고정식 ( 돌집게   나무집게 )  회전식 ( 돌집게   나무집게 ) 매입 매매 위탁가능//▶ 미니 02  03  06  08  10  10이상 브레이커 ( 뿌레카 ) 매입 매매 위탁가능//▶ 미니  02  03  06  08  10  10이상 크라샤 반자동 회전식 ( 스피드 ) 매입 매매 위탁가능 멀티 가세 가위//▶ 바가지링크   퀵 클램프   바가지 신품  중고 매입 매매 위탁가능//▶ 쪽바가지   본바가지   대바가지   채바가지   망바가지   관로바가지//▶ 신품  중고 어태치먼트 매입 매매 위탁가능//▶ 중고 굴삭기 매매 위탁가능//▶ 신품 굴삭기   신품 어태치먼트 판매//▶ 100% 실물만 판매합니다.//☎ 24시간 친절상담 010 4857 8209 전화주세요 ☎///♠♤♠♤♠♤♠♤♠♤♠♤♠♤♠♤♠♤♠♤♠♤♠♤♠♤♠♤♠♤///★ 대전 어태치먼트 박용수 ★//010 4857 8209//////★ 대전 어태치먼트 ★/무한궤도 논산중기//010 5424 7793///♠♤♠♤♠♤♠♤♠♤♠♤♠♤♠♤♠♤♠♤♠♤♠♤♠♤♠♤♠♤///신품 중고 굴삭기 농사용굴삭기 농업용굴삭기 미니굴삭기 포크레인//신품 중고 어태치먼트 부품 바가지 대바가지 채바가지 망바가지 본바가지 쪽바가지 채바가지//신품 중고 중장비 브레이커 뿌레카 돌집게 회전돌집게 나무집게 회전나무집게 오렌지그랩 스톤그램 우드그램 폐기물그랩//신품 중고 다짐기 딱다구리 스마트집게 코끼리집게 독수리발톱 호랑이발톱집게 멍텅구리 미니 절단기 콤팩타 크라샤 회전크라샤//매매 매입 위탁/////♠♤♠♤♠♤♠♤♠♤♠♤♠♤♠♤♠♤♠♤♠♤♠♤♠♤♠♤♠♤//엑스센트릭 월드중공업WHI 대한중공업 JK제이케이 DMA 영창공업 중기쟁이중공업 오거토크코리아 도호틸트//대동이엔지 영원중공업 주현틸트 성진유압브레이커 PA중공업 성도중공업 GB지비 삼성특장 대흥중공업//삼영중공업 HM에이치엠 태건개발 대원이엔지 삼성 볼보 대우 두산 현대 한라 한국산업 한일중공업 부광 월성사//태성중공업 한진기계 제일이앤비 세우엠아이씨 수산중공업 동양 한우 라이노 에버다임 MT엠티중공업 에스엔씨//♠♤♠♤♠♤♠♤♠♤♠♤♠♤♠♤♠♤♠♤♠♤♠♤♠♤♠♤♠♤//010 4857 8209////008 대바가지      신품////008 쪽바가지      신품////008 본바가지      신품////008 리퍼            신품////008 뿌레카         신품//////////010 대바가지      신품////010 쪽바가지      신품////010 본바가지      신품////010 리퍼            신품////010 뿌레카         신품/////////017 대바가지      신품////017 쪽바가지      신품//////017 본바가지      신품////017 망바가지      신품////017 리퍼            신품////017 뿌레카         신품////////////020 대바가지      신품////020 쪽바가지      신품////020 본바가지      신품////020 망바가지      신품////020 리퍼          신품////020 뿌레카        신품///////030 대바가지      신품////030 쪽바가지      신품////030 본바가지      신품////030 망바가지      신품////030 리퍼            신품////030 뿌레카         신품////////////02 관로바가지   신품////02 쪽바가지      신품////02 중바가지      신품////02 중바가지      신품////02 본바가지      신품////02 대바가지      신품////02 망바가지      신품////02 망바가지      신품////02리퍼             신품////02지게발          신품////02 뿌레카         신품///////////06 쪽바가지             신품////06 본바가지             신품////06 대바가지(1100)    신품////06 대바가지(1200)    신품////06 대바가지(1300)    신품////06 대바가지(1500)    신품////06 망바가지            신품////06리퍼                   신품////06지게발                신품////06 뿌레카               신품////////////08 쪽바가지     신품////08 본바가지     신품////08 대바가지     신품////08 망바가지     신품////08 리퍼           신품////08 뿌레카        신품//////////10 쪽바가지      신품////10 본바가지      신품////10 대바가지      신품////10 망바가지      신품////10 리퍼            신품////10 뿌레카         신품///010 4857 8209//♠♤♠♤♠♤♠♤♠♤♠♤♠♤♠♤♠♤♠♤♠♤♠♤♠♤♠♤♠♤///※ 네이버 블로그 ※//굴삭기 농장용 나무집게 돌집게 딱따구리 미니 바가지 브레이커 뿌레카 크라샤//굴삭기 중장비 미니굴삭기 농사용굴삭기 농업용굴삭기 신품 중고 매입 매매 위탁//굴삭기동영상 교육 안전 신품 중고 미니 02 06 08 10 10이상//굴삭기 돌집게 나무집게 바가지 뿌레카 크라샤//스키로다 스키로우더 스키로더 바가지 집게 청소솔  신품 중고//지게차 힌지드 흰지드 전동지게차 1톤 2톤 3톤 2.5톤 3.5톤 5톤 7톤 7.5톤</t>
  </si>
  <si>
    <t>탑형 사이드형 겸용</t>
  </si>
  <si>
    <t>02급이며 볼보 두산 현대 70만원 입니다.//★ 대전 어태치먼트 (D.J.A) 박용수 ★//☎  010 4857 8209   ☎///♠♤♠♤♠♤♠♤♠♤♠♤♠♤♠♤♠♤♠♤♠♤♠♤♠♤♠♤♠♤///네이버 블로그 :///네이버 카페 :///다음 카페 :///카카오톡 ID : pys7242 친구추가.//Email :///페이스북 :////♠♤♠♤♠♤♠♤♠♤♠♤♠♤♠♤♠♤♠♤♠♤♠♤♠♤♠♤♠♤///☎ 24시간 친절상담 010 4857 8209 전화주세요 ☎//▶ 모든 어태치먼트 신품  중고 있습니다.//▶ 고정식 ( 돌집게   나무집게 )  회전식 ( 돌집게   나무집게 ) 매입 매매 위탁가능//▶ 미니 02  03  06  08  10  10이상 브레이커 ( 뿌레카 ) 매입 매매 위탁가능//▶ 미니  02  03  06  08  10  10이상 크라샤 반자동 회전식 ( 스피드 ) 매입 매매 위탁가능 멀티 가세 가위//▶ 바가지링크   퀵 클램프   바가지 신품  중고 매입 매매 위탁가능//▶ 쪽바가지   본바가지   대바가지   채바가지   망바가지   관로바가지//▶ 신품  중고 어태치먼트 매입 매매 위탁가능//▶ 중고 굴삭기 매매 위탁가능//▶ 신품 굴삭기   신품 어태치먼트 판매//▶ 100% 실물만 판매합니다.//☎ 24시간 친절상담 010 4857 8209 전화주세요 ☎///♠♤♠♤♠♤♠♤♠♤♠♤♠♤♠♤♠♤♠♤♠♤♠♤♠♤♠♤♠♤///★ 대전 어태치먼트 박용수 ★//010 4857 8209//////★ 대전 어태치먼트 ★/무한궤도 논산중기//010 5424 7793///♠♤♠♤♠♤♠♤♠♤♠♤♠♤♠♤♠♤♠♤♠♤♠♤♠♤♠♤♠♤///신품 중고 굴삭기 농사용굴삭기 농업용굴삭기 미니굴삭기 포크레인//신품 중고 어태치먼트 부품 바가지 대바가지 채바가지 망바가지 본바가지 쪽바가지 채바가지//신품 중고 중장비 브레이커 뿌레카 돌집게 회전돌집게 나무집게 회전나무집게 오렌지그랩 스톤그램 우드그램 폐기물그랩//신품 중고 다짐기 딱다구리 스마트집게 코끼리집게 독수리발톱 호랑이발톱집게 멍텅구리 미니 절단기 콤팩타 크라샤 회전크라샤//매매 매입 위탁/////♠♤♠♤♠♤♠♤♠♤♠♤♠♤♠♤♠♤♠♤♠♤♠♤♠♤♠♤♠♤//엑스센트릭 월드중공업WHI 대한중공업 JK제이케이 DMA 영창공업 중기쟁이중공업 오거토크코리아 도호틸트//대동이엔지 영원중공업 주현틸트 성진유압브레이커 PA중공업 성도중공업 GB지비 삼성특장 대흥중공업//삼영중공업 HM에이치엠 태건개발 대원이엔지 삼성 볼보 대우 두산 현대 한라 한국산업 한일중공업 부광 월성사//태성중공업 한진기계 제일이앤비 세우엠아이씨 수산중공업 동양 한우 라이노 에버다임 MT엠티중공업 에스엔씨//♠♤♠♤♠♤♠♤♠♤♠♤♠♤♠♤♠♤♠♤♠♤♠♤♠♤♠♤♠♤//010 4857 8209////008 대바가지      신품////008 쪽바가지      신품////008 본바가지      신품////008 리퍼            신품////008 뿌레카         신품//////////010 대바가지      신품////010 쪽바가지      신품////010 본바가지      신품////010 리퍼            신품////010 뿌레카         신품/////////017 대바가지      신품////017 쪽바가지      신품//////017 본바가지      신품////017 망바가지      신품////017 리퍼            신품////017 뿌레카         신품////////////020 대바가지      신품////020 쪽바가지      신품////020 본바가지      신품////020 망바가지      신품////020 리퍼          신품////020 뿌레카        신품///////030 대바가지      신품////030 쪽바가지      신품////030 본바가지      신품////030 망바가지      신품////030 리퍼            신품////030 뿌레카         신품////////////02 관로바가지   신품////02 쪽바가지      신품////02 중바가지      신품////02 중바가지      신품////02 본바가지      신품////02 대바가지      신품////02 망바가지      신품////02 망바가지      신품////02리퍼             신품////02지게발          신품////02 뿌레카         신품///////////06 쪽바가지             신품////06 본바가지             신품////06 대바가지(1100)    신품////06 대바가지(1200)    신품////06 대바가지(1300)    신품////06 대바가지(1500)    신품////06 망바가지            신품////06리퍼                   신품////06지게발                신품////06 뿌레카               신품////////////08 쪽바가지     신품////08 본바가지     신품////08 대바가지     신품////08 망바가지     신품////08 리퍼           신품////08 뿌레카        신품//////////10 쪽바가지      신품////10 본바가지      신품////10 대바가지      신품////10 망바가지      신품////10 리퍼            신품////10 뿌레카         신품///010 4857 8209//♠♤♠♤♠♤♠♤♠♤♠♤♠♤♠♤♠♤♠♤♠♤♠♤♠♤♠♤♠♤///※ 네이버 블로그 ※//굴삭기 농장용 나무집게 돌집게 딱따구리 미니 바가지 브레이커 뿌레카 크라샤//굴삭기 중장비 미니굴삭기 농사용굴삭기 농업용굴삭기 신품 중고 매입 매매 위탁//굴삭기동영상 교육 안전 신품 중고 미니 02 06 08 10 10이상//굴삭기 돌집게 나무집게 바가지 뿌레카 크라샤//스키로다 스키로우더 스키로더 바가지 집게 청소솔  신품 중고//지게차 힌지드 흰지드 전동지게차 1톤 2톤 3톤 2.5톤 3.5톤 5톤 7톤 7.5톤</t>
  </si>
  <si>
    <t>★ 대전 어태치먼트 (D.J.A) 박용수 ★//☎  010 4857 8209   ☎///♠♤♠♤♠♤♠♤♠♤♠♤♠♤♠♤♠♤♠♤♠♤♠♤♠♤♠♤♠♤///네이버 블로그 :///네이버 카페 :///다음 카페 :///카카오톡 ID : pys7242 친구추가.//Email :///페이스북 :////♠♤♠♤♠♤♠♤♠♤♠♤♠♤♠♤♠♤♠♤♠♤♠♤♠♤♠♤♠♤///☎ 24시간 친절상담 010 4857 8209 전화주세요 ☎//▶ 모든 어태치먼트 신품  중고 있습니다.//▶ 고정식 ( 돌집게   나무집게 )  회전식 ( 돌집게   나무집게 ) 매입 매매 위탁가능//▶ 미니 02  03  06  08  10  10이상 브레이커 ( 뿌레카 ) 매입 매매 위탁가능//▶ 미니  02  03  06  08  10  10이상 크라샤 반자동 회전식 ( 스피드 ) 매입 매매 위탁가능 멀티 가세 가위//▶ 바가지링크   퀵 클램프   바가지 신품  중고 매입 매매 위탁가능//▶ 쪽바가지   본바가지   대바가지   채바가지   망바가지   관로바가지//▶ 신품  중고 어태치먼트 매입 매매 위탁가능//▶ 중고 굴삭기 매매 위탁가능//▶ 신품 굴삭기   신품 어태치먼트 판매//▶ 100% 실물만 판매합니다.//☎ 24시간 친절상담 010 4857 8209 전화주세요 ☎///♠♤♠♤♠♤♠♤♠♤♠♤♠♤♠♤♠♤♠♤♠♤♠♤♠♤♠♤♠♤///★ 대전 어태치먼트 박용수 ★//010 4857 8209//////★ 대전 어태치먼트 ★/무한궤도 논산중기//010 5424 7793///♠♤♠♤♠♤♠♤♠♤♠♤♠♤♠♤♠♤♠♤♠♤♠♤♠♤♠♤♠♤///신품 중고 굴삭기 농사용굴삭기 농업용굴삭기 미니굴삭기 포크레인//신품 중고 어태치먼트 부품 바가지 대바가지 채바가지 망바가지 본바가지 쪽바가지 채바가지//신품 중고 중장비 브레이커 뿌레카 돌집게 회전돌집게 나무집게 회전나무집게 오렌지그랩 스톤그램 우드그램 폐기물그랩//신품 중고 다짐기 딱다구리 스마트집게 코끼리집게 독수리발톱 호랑이발톱집게 멍텅구리 미니 절단기 콤팩타 크라샤 회전크라샤//매매 매입 위탁/////♠♤♠♤♠♤♠♤♠♤♠♤♠♤♠♤♠♤♠♤♠♤♠♤♠♤♠♤♠♤//엑스센트릭 월드중공업WHI 대한중공업 JK제이케이 DMA 영창공업 중기쟁이중공업 오거토크코리아 도호틸트//대동이엔지 영원중공업 주현틸트 성진유압브레이커 PA중공업 성도중공업 GB지비 삼성특장 대흥중공업//삼영중공업 HM에이치엠 태건개발 대원이엔지 삼성 볼보 대우 두산 현대 한라 한국산업 한일중공업 부광 월성사//태성중공업 한진기계 제일이앤비 세우엠아이씨 수산중공업 동양 한우 라이노 에버다임 MT엠티중공업 에스엔씨//♠♤♠♤♠♤♠♤♠♤♠♤♠♤♠♤♠♤♠♤♠♤♠♤♠♤♠♤♠♤//010 4857 8209////008 대바가지      신품////008 쪽바가지      신품////008 본바가지      신품////008 리퍼            신품////008 뿌레카         신품//////////010 대바가지      신품////010 쪽바가지      신품////010 본바가지      신품////010 리퍼            신품////010 뿌레카         신품/////////017 대바가지      신품////017 쪽바가지      신품//////017 본바가지      신품////017 망바가지      신품////017 리퍼            신품////017 뿌레카         신품////////////020 대바가지      신품////020 쪽바가지      신품////020 본바가지      신품////020 망바가지      신품////020 리퍼          신품////020 뿌레카        신품///////030 대바가지      신품////030 쪽바가지      신품////030 본바가지      신품////030 망바가지      신품////030 리퍼            신품////030 뿌레카         신품////////////02 관로바가지   신품////02 쪽바가지      신품////02 중바가지      신품////02 중바가지      신품////02 본바가지      신품////02 대바가지      신품////02 망바가지      신품////02 망바가지      신품////02리퍼             신품////02지게발          신품////02 뿌레카         신품///////////06 쪽바가지             신품////06 본바가지             신품////06 대바가지(1100)    신품////06 대바가지(1200)    신품////06 대바가지(1300)    신품////06 대바가지(1500)    신품////06 망바가지            신품////06리퍼                   신품////06지게발                신품////06 뿌레카               신품////////////08 쪽바가지     신품////08 본바가지     신품////08 대바가지     신품////08 망바가지     신품////08 리퍼           신품////08 뿌레카        신품//////////10 쪽바가지      신품////10 본바가지      신품////10 대바가지      신품////10 망바가지      신품////10 리퍼            신품////10 뿌레카         신품///010 4857 8209//♠♤♠♤♠♤♠♤♠♤♠♤♠♤♠♤♠♤♠♤♠♤♠♤♠♤♠♤♠♤///※ 네이버 블로그 ※//굴삭기 농장용 나무집게 돌집게 딱따구리 미니 바가지 브레이커 뿌레카 크라샤//굴삭기 중장비 미니굴삭기 농사용굴삭기 농업용굴삭기 신품 중고 매입 매매 위탁//굴삭기동영상 교육 안전 신품 중고 미니 02 06 08 10 10이상//굴삭기 돌집게 나무집게 바가지 뿌레카 크라샤//스키로다 스키로우더 스키로더 바가지 집게 청소솔  신품 중고//지게차 힌지드 흰지드 전동지게차 1톤 2톤 3톤 2.5톤 3.5톤 5톤 7톤 7.5톤/////★ 대전 어태치먼트 (D.J.A) 박용수 ★//☎  010 4857 8209   ☎///♠♤♠♤♠♤♠♤♠♤♠♤♠♤♠♤♠♤♠♤♠♤♠♤♠♤♠♤♠♤///네이버 블로그 :///네이버 카페 :///다음 카페 :///카카오톡 ID : pys7242 친구추가.//Email :///페이스북 :////♠♤♠♤♠♤♠♤♠♤♠♤♠♤♠♤♠♤♠♤♠♤♠♤♠♤♠♤♠♤///☎ 24시간 친절상담 010 4857 8209 전화주세요 ☎//▶ 모든 어태치먼트 신품  중고 있습니다.//▶ 고정식 ( 돌집게   나무집게 )  회전식 ( 돌집게   나무집게 ) 매입 매매 위탁가능//▶ 미니 02  03  06  08  10  10이상 브레이커 ( 뿌레카 ) 매입 매매 위탁가능//▶ 미니  02  03  06  08  10  10이상 크라샤 반자동 회전식 ( 스피드 ) 매입 매매 위탁가능 멀티 가세 가위//▶ 바가지링크   퀵 클램프   바가지 신품  중고 매입 매매 위탁가능//▶ 쪽바가지   본바가지   대바가지   채바가지   망바가지   관로바가지//▶ 신품  중고 어태치먼트 매입 매매 위탁가능//▶ 중고 굴삭기 매매 위탁가능//▶ 신품 굴삭기   신품 어태치먼트 판매//▶ 100% 실물만 판매합니다.//☎ 24시간 친절상담 010 4857 8209 전화주세요 ☎///♠♤♠♤♠♤♠♤♠♤♠♤♠♤♠♤♠♤♠♤♠♤♠♤♠♤♠♤♠♤///★ 대전 어태치먼트 박용수 ★//010 4857 8209//////★ 대전 어태치먼트 ★/무한궤도 논산중기//010 5424 7793///♠♤♠♤♠♤♠♤♠♤♠♤♠♤♠♤♠♤♠♤♠♤♠♤♠♤♠♤♠♤///신품 중고 굴삭기 농사용굴삭기 농업용굴삭기 미니굴삭기 포크레인//신품 중고 어태치먼트 부품 바가지 대바가지 채바가지 망바가지 본바가지 쪽바가지 채바가지//신품 중고 중장비 브레이커 뿌레카 돌집게 회전돌집게 나무집게 회전나무집게 오렌지그랩 스톤그램 우드그램 폐기물그랩//신품 중고 다짐기 딱다구리 스마트집게 코끼리집게 독수리발톱 호랑이발톱집게 멍텅구리 미니 절단기 콤팩타 크라샤 회전크라샤//매매 매입 위탁/////♠♤♠♤♠♤♠♤♠♤♠♤♠♤♠♤♠♤♠♤♠♤♠♤♠♤♠♤♠♤//엑스센트릭 월드중공업WHI 대한중공업 JK제이케이 DMA 영창공업 중기쟁이중공업 오거토크코리아 도호틸트//대동이엔지 영원중공업 주현틸트 성진유압브레이커 PA중공업 성도중공업 GB지비 삼성특장 대흥중공업//삼영중공업 HM에이치엠 태건개발 대원이엔지 삼성 볼보 대우 두산 현대 한라 한국산업 한일중공업 부광 월성사//태성중공업 한진기계 제일이앤비 세우엠아이씨 수산중공업 동양 한우 라이노 에버다임 MT엠티중공업 에스엔씨//♠♤♠♤♠♤♠♤♠♤♠♤♠♤♠♤♠♤♠♤♠♤♠♤♠♤♠♤♠♤//010 4857 8209////008 대바가지      신품////008 쪽바가지      신품////008 본바가지      신품////008 리퍼            신품////008 뿌레카         신품//////////010 대바가지      신품////010 쪽바가지      신품////010 본바가지      신품////010 리퍼            신품////010 뿌레카         신품/////////017 대바가지      신품////017 쪽바가지      신품//////017 본바가지      신품////017 망바가지      신품////017 리퍼            신품////017 뿌레카         신품////////////020 대바가지      신품////020 쪽바가지      신품////020 본바가지      신품////020 망바가지      신품////020 리퍼          신품////020 뿌레카        신품///////030 대바가지      신품////030 쪽바가지      신품////030 본바가지      신품////030 망바가지      신품////030 리퍼            신품////030 뿌레카         신품////////////02 관로바가지   신품////02 쪽바가지      신품////02 중바가지      신품////02 중바가지      신품////02 본바가지      신품////02 대바가지      신품////02 망바가지      신품////02 망바가지      신품////02리퍼             신품////02지게발          신품////02 뿌레카         신품///////////06 쪽바가지             신품////06 본바가지             신품////06 대바가지(1100)    신품////06 대바가지(1200)    신품////06 대바가지(1300)    신품////06 대바가지(1500)    신품////06 망바가지            신품////06리퍼                   신품////06지게발                신품////06 뿌레카               신품////////////08 쪽바가지     신품////08 본바가지     신품////08 대바가지     신품////08 망바가지     신품////08 리퍼           신품////08 뿌레카        신품//////////10 쪽바가지      신품////10 본바가지      신품////10 대바가지      신품////10 망바가지      신품////10 리퍼            신품////10 뿌레카         신품///010 4857 8209//♠♤♠♤♠♤♠♤♠♤♠♤♠♤♠♤♠♤♠♤♠♤♠♤♠♤♠♤♠♤///※ 네이버 블로그 ※//굴삭기 농장용 나무집게 돌집게 딱따구리 미니 바가지 브레이커 뿌레카 크라샤//굴삭기 중장비 미니굴삭기 농사용굴삭기 농업용굴삭기 신품 중고 매입 매매 위탁//굴삭기동영상 교육 안전 신품 중고 미니 02 06 08 10 10이상//굴삭기 돌집게 나무집게 바가지 뿌레카 크라샤//스키로다 스키로우더 스키로더 바가지 집게 청소솔  신품 중고//지게차 힌지드 흰지드 전동지게차 1톤 2톤 3톤 2.5톤 3.5톤 5톤 7톤 7.5톤///★ 대전 어태치먼트 (D.J.A) 박용수 ★//☎  010 4857 8209   ☎///♠♤♠♤♠♤♠♤♠♤♠♤♠♤♠♤♠♤♠♤♠♤♠♤♠♤♠♤♠♤///네이버 블로그 :///네이버 카페 :///다음 카페 :///카카오톡 ID : pys7242 친구추가.//Email :///페이스북 :////♠♤♠♤♠♤♠♤♠♤♠♤♠♤♠♤♠♤♠♤♠♤♠♤♠♤♠♤♠♤///☎ 24시간 친절상담 010 4857 8209 전화주세요 ☎//▶ 모든 어태치먼트 신품  중고 있습니다.//▶ 고정식 ( 돌집게   나무집게 )  회전식 ( 돌집게   나무집게 ) 매입 매매 위탁가능//▶ 미니 02  03  06  08  10  10이상 브레이커 ( 뿌레카 ) 매입 매매 위탁가능//▶ 미니  02  03  06  08  10  10이상 크라샤 반자동 회전식 ( 스피드 ) 매입 매매 위탁가능 멀티 가세 가위//▶ 바가지링크   퀵 클램프   바가지 신품  중고 매입 매매 위탁가능//▶ 쪽바가지   본바가지   대바가지   채바가지   망바가지   관로바가지//▶ 신품  중고 어태치먼트 매입 매매 위탁가능//▶ 중고 굴삭기 매매 위탁가능//▶ 신품 굴삭기   신품 어태치먼트 판매//▶ 100% 실물만 판매합니다.//☎ 24시간 친절상담 010 4857 8209 전화주세요 ☎///♠♤♠♤♠♤♠♤♠♤♠♤♠♤♠♤♠♤♠♤♠♤♠♤♠♤♠♤♠♤///★ 대전 어태치먼트 박용수 ★//010 4857 8209//////★ 대전 어태치먼트 ★/무한궤도 논산중기//010 5424 7793///♠♤♠♤♠♤♠♤♠♤♠♤♠♤♠♤♠♤♠♤♠♤♠♤♠♤♠♤♠♤///신품 중고 굴삭기 농사용굴삭기 농업용굴삭기 미니굴삭기 포크레인//신품 중고 어태치먼트 부품 바가지 대바가지 채바가지 망바가지 본바가지 쪽바가지 채바가지//신품 중고 중장비 브레이커 뿌레카 돌집게 회전돌집게 나무집게 회전나무집게 오렌지그랩 스톤그램 우드그램 폐기물그랩//신품 중고 다짐기 딱다구리 스마트집게 코끼리집게 독수리발톱 호랑이발톱집게 멍텅구리 미니 절단기 콤팩타 크라샤 회전크라샤//매매 매입 위탁/////♠♤♠♤♠♤♠♤♠♤♠♤♠♤♠♤♠♤♠♤♠♤♠♤♠♤♠♤♠♤//엑스센트릭 월드중공업WHI 대한중공업 JK제이케이 DMA 영창공업 중기쟁이중공업 오거토크코리아 도호틸트//대동이엔지 영원중공업 주현틸트 성진유압브레이커 PA중공업 성도중공업 GB지비 삼성특장 대흥중공업//삼영중공업 HM에이치엠 태건개발 대원이엔지 삼성 볼보 대우 두산 현대 한라 한국산업 한일중공업 부광 월성사//태성중공업 한진기계 제일이앤비 세우엠아이씨 수산중공업 동양 한우 라이노 에버다임 MT엠티중공업 에스엔씨//♠♤♠♤♠♤♠♤♠♤♠♤♠♤♠♤♠♤♠♤♠♤♠♤♠♤♠♤♠♤//010 4857 8209////008 대바가지      신품////008 쪽바가지      신품////008 본바가지      신품////008 리퍼            신품////008 뿌레카         신품//////////010 대바가지      신품////010 쪽바가지      신품////010 본바가지      신품////010 리퍼            신품////010 뿌레카         신품/////////017 대바가지      신품////017 쪽바가지      신품//////017 본바가지      신품////017 망바가지      신품////017 리퍼            신품////017 뿌레카         신품////////////020 대바가지      신품////020 쪽바가지      신품////020 본바가지      신품////020 망바가지      신품////020 리퍼          신품////020 뿌레카        신품///////030 대바가지      신품////030 쪽바가지      신품////030 본바가지      신품////030 망바가지      신품////030 리퍼            신품////030 뿌레카         신품////////////02 관로바가지   신품////02 쪽바가지      신품////02 중바가지      신품////02 중바가지      신품////02 본바가지      신품////02 대바가지      신품////02 망바가지      신품////02 망바가지      신품////02리퍼             신품////02지게발          신품////02 뿌레카         신품///////////06 쪽바가지             신품////06 본바가지             신품////06 대바가지(1100)    신품////06 대바가지(1200)    신품////06 대바가지(1300)    신품////06 대바가지(1500)    신품////06 망바가지            신품////06리퍼                   신품////06지게발                신품////06 뿌레카               신품////////////08 쪽바가지     신품////08 본바가지     신품////08 대바가지     신품////08 망바가지     신품////08 리퍼           신품////08 뿌레카        신품//////////10 쪽바가지      신품////10 본바가지      신품////10 대바가지      신품////10 망바가지      신품////10 리퍼            신품////10 뿌레카         신품///010 4857 8209//♠♤♠♤♠♤♠♤♠♤♠♤♠♤♠♤♠♤♠♤♠♤♠♤♠♤♠♤♠♤///※ 네이버 블로그 ※//굴삭기 농장용 나무집게 돌집게 딱따구리 미니 바가지 브레이커 뿌레카 크라샤//굴삭기 중장비 미니굴삭기 농사용굴삭기 농업용굴삭기 신품 중고 매입 매매 위탁//굴삭기동영상 교육 안전 신품 중고 미니 02 06 08 10 10이상//굴삭기 돌집게 나무집게 바가지 뿌레카 크라샤//스키로다 스키로우더 스키로더 바가지 집게 청소솔  신품 중고//지게차 힌지드 흰지드 전동지게차 1톤 2톤 3톤 2.5톤 3.5톤 5톤 7톤 7.5톤</t>
  </si>
  <si>
    <t>장비 특급입니다 ^^/세부사진 전송가능/기능품 누유없음/전화주세요^^//*** 전액할부가능***//각종중고건설기계 최고가매입/매매알선  위탁판매(보관료 무료)  대차(교환)/임대  농장용  수출  폐차 중고캐피탈 할부까지/성심성의껏 상담하여 드립니다.//♡♡주 은 건 설 중 기 매 매♡♡/♡♡대 구 건 설 중 기 판 매 점♡♡/♡♡가산매매단지 주 은 중 기♡♡//♡♡TEL :(대      구) 053-852-3399. ♡♡/♡♡FAX :(대      구) 053-854-2111. ♡♡/♡♡FAX :(가      산) 054-973-5686. ♡♡//♡♡대구 광역시 서구 상리동 225-11(대구건설기계판매점) 주은중기매매상사//♡♡경북 가산면 칠곡군 석우리 901번지 (주) 동영 진명건기매매상사//♡♡충남 천안시 서북구 성성동335-5 번영자동차매매단지 (주)보담</t>
  </si>
  <si>
    <t>상태가 매우 좋으며  연식은 정확히 모르나 중고로 구입후 실 사용시간은 얼마되지 않습니다//SB130G3-L//수산</t>
  </si>
  <si>
    <t>EC55C용 뿌레카 쪽박 나무회전집게</t>
  </si>
  <si>
    <t>*외폭:600 (600  700  800 폭에따라 가격이 다를수 있습니다.)/*나라시판 추가/*버켓전문 제작공장입니다. 주문제작은 물론 미니굴삭기버켓에서 대형까지 전화주십시요. 최선을 다하겠습니다./*아래의 홈페이지를 방문하시면 더 많은 제품을 보실 수 있습니다.//</t>
  </si>
  <si>
    <t>장비 최상급 EW07타이어사용 올수리//저금리 캐피탈전액 할부가능 위탁판매 수출 렌탈 매매//문의사항이 있으시면“☎010-3627-1465”//바로!!전화주시면 언제든지 친절하게 상담해드리겠습니다.//영암건설기계매매상사 대표 강 병 춘//사업장주소:광주광역시 서구 세하동929-4번지</t>
  </si>
  <si>
    <t>현대  R140  3000-7/볼보..140   290/바가지 시린더 쎝트</t>
  </si>
  <si>
    <t>&lt;&lt;&lt;&lt;&lt;◆&gt;중고건설기계매매  위탁  수출  렌탈&lt;◆&gt;&gt;&gt;&gt;&gt;&gt;/대구 서구 가르뱅이로 93-11 (상리동225번지)//★.  상태최상!!//★.  상세사진 폰으로 전송하여 드립니다.//★.  연락주시면 친절히 상담하여 드리겠습니다.//★.  H.P : 010-5093-1665(박부장)</t>
  </si>
  <si>
    <t>- 성진브레이커.대버켓 소버켓//010-8787-8118</t>
  </si>
  <si>
    <t>장비 특급입니다 ^^/중고진동닛바를 매각합니다/원산지는 스페인 제품으로 오리지날 입니다./모델은 xr 30&amp;40&amp;50 각 두대씩 입니다./xr30은 DX300등 장비에 장치되고  xr40 360.380 장비에 장치되고 xr50은 380~460 까지이며  50모델이라면무게5톤을 말합니다./잇발소모품은 국산 제작이 가능하며 목형 과 장치(설치)비를 포함한 금액입니다.//*** 전액할부가능***//각종중고건설기계 최고가매입/매매알선  위탁판매(보관료 무료)  대차(교환)/임대  농장용  수출  폐차 중고캐피탈 할부까지/성심성의껏 상담하여 드립니다.//♡♡진 명 건 설 중 기 매 매♡♡/♡♡주 은 중 기 판 매 점♡♡/♡♡가산매매단지♡♡//♡♡TEL :(대      구) 053-852-3399. ♡♡/♡♡FAX :(대      구) 053-854-2111. ♡♡/♡♡FAX :(가      산) 054-973-5686. ♡♡//♡♡대구 광역시 서구 상리동 225-11(대구건설기계판매점) 주은중기매매상사//♡♡경북 가산면 칠곡군 석우리 901번지 (주) 동영 진명건기매매상사//♡♡충남 천안시 서북구 성성동335-5 번영자동차매매단지 (주)보담</t>
  </si>
  <si>
    <t>소비자를위한합리적인가격"  타사제품비교후구매요망!    ***  신  품  ***//캐터225투스 사용     상부 특수재질(하독스 사용)    **  무료배송//두산10투스  75만원 할인 ***//도자D9N샹크 투스사용     80T     핀 열처리     상부보강 하독스 사용  85만원//고정식돌집게 리퍼 지게발 각종 브레이커 브라켓트 제작 (위치-시화공단)//</t>
  </si>
  <si>
    <t>* 제조사 : 볼보/* 일련번호 : 197420/* 너비 : 2 400 mm</t>
  </si>
  <si>
    <t>★ 모델 : 대한중공업 06회전돌집게//★ 년식 : 2016년//★ 금액 : 650만원//★ 문의 : 임정훈 (010-3072-0912) ====&gt; (검색창에 "굴삭기맨투맨" 검색)//=============================================================================//※ 당사보유 모든 장비는 기본점검 및 정비 후 출고를 원칙으로 합니다.//※ 상세사진은 " 굴삭기맨투맨 " 카페로 가시면 보실 수 있습니다.//※ 위 장비는 100% 실보유매물이며  전화주시면 상세한 설명을 해드리겠습니다.//=============================================================================//★ "굴삭기맨투맨" ===&gt;/&lt;=== 바로가기</t>
  </si>
  <si>
    <t>EC55C용 뿌레카 쪽박 회전집게</t>
  </si>
  <si>
    <t>장비 특급입니다 ^^/중고진동닛바를 매각합니다/원산지는 스페인 제품으로 오리지날 입니다./모델은 xr 30&amp;40&amp;50 각 두대씩 입니다./xr30은 DX300등 장비에 장치되고  xr40 360.380 장비에 장치되고 xr50은 380~460 까지이며  50모델이라면무게5톤을 말합니다./잇발소모품은 국산 제작이 가능하며 목형 과 장치(설치)비를 포함한 금액입니다.</t>
  </si>
  <si>
    <t>사진 전송해드립니다./180만원 부가세별도 입니다.//★ 대전 어태치먼트 (D.J.A) 박용수 ★//☎  010 4857 8209   ☎///♠♤♠♤♠♤♠♤♠♤♠♤♠♤♠♤♠♤♠♤♠♤♠♤♠♤♠♤♠♤///네이버 블로그 :///네이버 카페 :///다음 카페 :///카카오톡 ID : pys7242 친구추가.//Email :///페이스북 :////♠♤♠♤♠♤♠♤♠♤♠♤♠♤♠♤♠♤♠♤♠♤♠♤♠♤♠♤♠♤///☎ 24시간 친절상담 010 4857 8209 전화주세요 ☎//▶ 모든 어태치먼트 신품  중고 있습니다.//▶ 고정식 ( 돌집게   나무집게 )  회전식 ( 돌집게   나무집게 ) 매입 매매 위탁가능//▶ 미니 02  03  06  08  10  10이상 브레이커 ( 뿌레카 ) 매입 매매 위탁가능//▶ 미니  02  03  06  08  10  10이상 크라샤 반자동 회전식 ( 스피드 ) 매입 매매 위탁가능 멀티 가세 가위//▶ 바가지링크   퀵 클램프   바가지 신품  중고 매입 매매 위탁가능//▶ 쪽바가지   본바가지   대바가지   채바가지   망바가지   관로바가지//▶ 신품  중고 어태치먼트 매입 매매 위탁가능//▶ 중고 굴삭기 매매 위탁가능//▶ 신품 굴삭기   신품 어태치먼트 판매//▶ 100% 실물만 판매합니다.//☎ 24시간 친절상담 010 4857 8209 전화주세요 ☎///♠♤♠♤♠♤♠♤♠♤♠♤♠♤♠♤♠♤♠♤♠♤♠♤♠♤♠♤♠♤///★ 대전 어태치먼트 박용수 ★//010 4857 8209//////★ 대전 어태치먼트 ★/무한궤도 논산중기//010 5424 7793///♠♤♠♤♠♤♠♤♠♤♠♤♠♤♠♤♠♤♠♤♠♤♠♤♠♤♠♤♠♤///신품 중고 굴삭기 농사용굴삭기 농업용굴삭기 미니굴삭기 포크레인//신품 중고 어태치먼트 부품 바가지 대바가지 채바가지 망바가지 본바가지 쪽바가지 채바가지//신품 중고 중장비 브레이커 뿌레카 돌집게 회전돌집게 나무집게 회전나무집게 오렌지그랩 스톤그램 우드그램 폐기물그랩//신품 중고 다짐기 딱다구리 스마트집게 코끼리집게 독수리발톱 호랑이발톱집게 멍텅구리 미니 절단기 콤팩타 크라샤 회전크라샤//매매 매입 위탁/////♠♤♠♤♠♤♠♤♠♤♠♤♠♤♠♤♠♤♠♤♠♤♠♤♠♤♠♤♠♤//엑스센트릭 월드중공업WHI 대한중공업 JK제이케이 DMA 영창공업 중기쟁이중공업 오거토크코리아 도호틸트//대동이엔지 영원중공업 주현틸트 성진유압브레이커 PA중공업 성도중공업 GB지비 삼성특장 대흥중공업//삼영중공업 HM에이치엠 태건개발 대원이엔지 삼성 볼보 대우 두산 현대 한라 한국산업 한일중공업 부광 월성사//태성중공업 한진기계 제일이앤비 세우엠아이씨 수산중공업 동양 한우 라이노 에버다임 MT엠티중공업 에스엔씨//♠♤♠♤♠♤♠♤♠♤♠♤♠♤♠♤♠♤♠♤♠♤♠♤♠♤♠♤♠♤//010 4857 8209////008 대바가지      신품////008 쪽바가지      신품////008 본바가지      신품////008 리퍼            신품////008 뿌레카         신품//////////010 대바가지      신품////010 쪽바가지      신품////010 본바가지      신품////010 리퍼            신품////010 뿌레카         신품/////////017 대바가지      신품////017 쪽바가지      신품//////017 본바가지      신품////017 망바가지      신품////017 리퍼            신품////017 뿌레카         신품////////////020 대바가지      신품////020 쪽바가지      신품////020 본바가지      신품////020 망바가지      신품////020 리퍼          신품////020 뿌레카        신품///////030 대바가지      신품////030 쪽바가지      신품////030 본바가지      신품////030 망바가지      신품////030 리퍼            신품////030 뿌레카         신품////////////02 관로바가지   신품////02 쪽바가지      신품////02 중바가지      신품////02 중바가지      신품////02 본바가지      신품////02 대바가지      신품////02 망바가지      신품////02 망바가지      신품////02리퍼             신품////02지게발          신품////02 뿌레카         신품///////////06 쪽바가지             신품////06 본바가지             신품////06 대바가지(1100)    신품////06 대바가지(1200)    신품////06 대바가지(1300)    신품////06 대바가지(1500)    신품////06 망바가지            신품////06리퍼                   신품////06지게발                신품////06 뿌레카               신품////////////08 쪽바가지     신품////08 본바가지     신품////08 대바가지     신품////08 망바가지     신품////08 리퍼           신품////08 뿌레카        신품//////////10 쪽바가지      신품////10 본바가지      신품////10 대바가지      신품////10 망바가지      신품////10 리퍼            신품////10 뿌레카         신품///010 4857 8209//♠♤♠♤♠♤♠♤♠♤♠♤♠♤♠♤♠♤♠♤♠♤♠♤♠♤♠♤♠♤///※ 네이버 블로그 ※//굴삭기 농장용 나무집게 돌집게 딱따구리 미니 바가지 브레이커 뿌레카 크라샤//굴삭기 중장비 미니굴삭기 농사용굴삭기 농업용굴삭기 신품 중고 매입 매매 위탁//굴삭기동영상 교육 안전 신품 중고 미니 02 06 08 10 10이상//굴삭기 돌집게 나무집게 바가지 뿌레카 크라샤//스키로다 스키로우더 스키로더 바가지 집게 청소솔  신품 중고//지게차 힌지드 흰지드 전동지게차 1톤 2톤 3톤 2.5톤 3.5톤 5톤 7톤 7.5톤</t>
  </si>
  <si>
    <t>사용기간 3년 /실사용 기간은 얼마 되지 않습니다./상태 특A급 입니다.///성하중기 매매상사/전성환 010-5364-1094/전영록 010-6655-7788</t>
  </si>
  <si>
    <t>소비자를위한합리적인가격"  타사제품비교후구매요망!    ***  신  품  ***/무료배송 ****/대용량 안전체크벨브   업그레이드 파워실린더     보강 튼튼 합니다./고정식돌집게 리퍼 지게발 각종 브레이커 브라켓트 제작 (위치-시화공단)/</t>
  </si>
  <si>
    <t>*외폭: 1000 1100 1200등/*나라시판 S45C/*버켓전문 제작공장입니다. 주문제작은 물론 미니굴삭기버켓에서 대형까지 전화주십시요. 최선을 다하겠습니다./*아래의 홈페이지를 방문하시면 더 많은 제품을 보실 수 있습니다.//</t>
  </si>
  <si>
    <t>Excavator(4.5t~6t)</t>
    <phoneticPr fontId="18" type="noConversion"/>
  </si>
  <si>
    <t>Excavator(33t over)</t>
    <phoneticPr fontId="18" type="noConversion"/>
  </si>
  <si>
    <t>Mini Excavator(2.6~4t)</t>
    <phoneticPr fontId="18" type="noConversion"/>
  </si>
  <si>
    <t>Excavator(20t~27t)</t>
    <phoneticPr fontId="18" type="noConversion"/>
  </si>
  <si>
    <t>Excavator(12~15.5t)</t>
    <phoneticPr fontId="18" type="noConversion"/>
  </si>
  <si>
    <t>Excavator(28~32t)</t>
    <phoneticPr fontId="18" type="noConversion"/>
  </si>
  <si>
    <t>Mini Excavator(1.7~2.5t)</t>
    <phoneticPr fontId="18" type="noConversion"/>
  </si>
  <si>
    <t>Excavator(7~11t)</t>
    <phoneticPr fontId="18" type="noConversion"/>
  </si>
  <si>
    <t>Excavator(16~19t)</t>
    <phoneticPr fontId="18" type="noConversion"/>
  </si>
  <si>
    <t>Mini Excavator(0.1~1.6t)</t>
    <phoneticPr fontId="18" type="noConversion"/>
  </si>
  <si>
    <t>경기도</t>
  </si>
  <si>
    <t>경남</t>
  </si>
  <si>
    <t>전북</t>
  </si>
  <si>
    <t>충남</t>
  </si>
  <si>
    <t>울산시</t>
  </si>
  <si>
    <t>제주도</t>
  </si>
  <si>
    <t>서울시</t>
  </si>
  <si>
    <t>강원도</t>
  </si>
  <si>
    <t>충북</t>
  </si>
  <si>
    <t>대전</t>
  </si>
  <si>
    <t>광주시</t>
  </si>
  <si>
    <t>전남</t>
  </si>
  <si>
    <t>경북</t>
  </si>
  <si>
    <t>대구시</t>
  </si>
  <si>
    <t>전국</t>
  </si>
  <si>
    <t>인천시</t>
  </si>
  <si>
    <t>부산시</t>
  </si>
  <si>
    <t>매크로는 되돌리기 불가능이니 사용하시기 전에 복사본 꼭 만들어놓고 사용하세요!</t>
    <phoneticPr fontId="18" type="noConversion"/>
  </si>
  <si>
    <t>authorized</t>
    <phoneticPr fontId="18" type="noConversion"/>
  </si>
  <si>
    <t>pricePurchases</t>
    <phoneticPr fontId="18" type="noConversion"/>
  </si>
  <si>
    <t>priceDeals</t>
    <phoneticPr fontId="18" type="noConversion"/>
  </si>
  <si>
    <t>Excavator(33t over)</t>
    <phoneticPr fontId="18" type="noConversion"/>
  </si>
  <si>
    <t>Excavator(28~32t)</t>
    <phoneticPr fontId="18" type="noConversion"/>
  </si>
  <si>
    <t>Excavator(20~27t)</t>
    <phoneticPr fontId="18" type="noConversion"/>
  </si>
  <si>
    <t>Excavator(16~19t)</t>
    <phoneticPr fontId="18" type="noConversion"/>
  </si>
  <si>
    <t>Excavator(12~15.5t)</t>
    <phoneticPr fontId="18" type="noConversion"/>
  </si>
  <si>
    <t>Excavator(7~11t)</t>
    <phoneticPr fontId="18" type="noConversion"/>
  </si>
  <si>
    <t>Excavator(4.5t~6t)</t>
    <phoneticPr fontId="18" type="noConversion"/>
  </si>
  <si>
    <t>Mini Excavator(2.6~4t)</t>
    <phoneticPr fontId="18" type="noConversion"/>
  </si>
  <si>
    <t>Mini Excavator(1.7~2.5t)</t>
    <phoneticPr fontId="18" type="noConversion"/>
  </si>
  <si>
    <t>Mini Excavator(0.1~1.6t)</t>
    <phoneticPr fontId="18" type="noConversion"/>
  </si>
  <si>
    <t>08가위 크라샤</t>
  </si>
  <si>
    <t>210w숏암 솟</t>
  </si>
  <si>
    <t>SB81 08뿌</t>
  </si>
  <si>
    <t>02쪽 대바가지</t>
  </si>
  <si>
    <t>02 06어태치</t>
  </si>
  <si>
    <t>210w숏암 붐</t>
  </si>
  <si>
    <t>02뿌 쪽 집게</t>
  </si>
  <si>
    <t>06 10시린더</t>
  </si>
  <si>
    <t>02급뿌 쪽 집</t>
  </si>
  <si>
    <t>부렉카</t>
    <phoneticPr fontId="18" type="noConversion"/>
  </si>
  <si>
    <t>사이드부렉카</t>
    <phoneticPr fontId="18" type="noConversion"/>
  </si>
  <si>
    <t>탑부렉카</t>
    <phoneticPr fontId="18" type="noConversion"/>
  </si>
  <si>
    <t>박스부렉카</t>
    <phoneticPr fontId="18" type="noConversion"/>
  </si>
  <si>
    <t>스페셜부렉카</t>
    <phoneticPr fontId="18" type="noConversion"/>
  </si>
  <si>
    <t>기타부렉카</t>
    <phoneticPr fontId="18" type="noConversion"/>
  </si>
  <si>
    <t>Hydraulic Crusher</t>
  </si>
  <si>
    <t>Grapple</t>
    <phoneticPr fontId="18" type="noConversion"/>
  </si>
  <si>
    <t>Bucket</t>
    <phoneticPr fontId="18" type="noConversion"/>
  </si>
  <si>
    <t>ETC</t>
    <phoneticPr fontId="18" type="noConversion"/>
  </si>
  <si>
    <t>Grapple</t>
    <phoneticPr fontId="18" type="noConversion"/>
  </si>
  <si>
    <t>Crusher</t>
    <phoneticPr fontId="18" type="noConversion"/>
  </si>
  <si>
    <t>Grapple</t>
    <phoneticPr fontId="18" type="noConversion"/>
  </si>
  <si>
    <t>Lift Fork</t>
    <phoneticPr fontId="18" type="noConversion"/>
  </si>
  <si>
    <t>Hydraulic Breaker</t>
    <phoneticPr fontId="18" type="noConversion"/>
  </si>
  <si>
    <t>Bucket</t>
    <phoneticPr fontId="18" type="noConversion"/>
  </si>
  <si>
    <t>ETC</t>
    <phoneticPr fontId="18" type="noConversion"/>
  </si>
  <si>
    <t>Hydraulic Breaker</t>
    <phoneticPr fontId="18" type="noConversion"/>
  </si>
  <si>
    <t>Crusher</t>
    <phoneticPr fontId="18" type="noConversion"/>
  </si>
  <si>
    <t>Ripper</t>
    <phoneticPr fontId="18" type="noConversion"/>
  </si>
  <si>
    <t>Hydraulic Breaker</t>
    <phoneticPr fontId="18" type="noConversion"/>
  </si>
  <si>
    <t>Grapple</t>
    <phoneticPr fontId="18" type="noConversion"/>
  </si>
  <si>
    <t>Quick Coupler</t>
    <phoneticPr fontId="18" type="noConversion"/>
  </si>
  <si>
    <t>Bucket</t>
    <phoneticPr fontId="18" type="noConversion"/>
  </si>
  <si>
    <t>Hydraulic Breaker</t>
    <phoneticPr fontId="18" type="noConversion"/>
  </si>
  <si>
    <t>Crusher</t>
    <phoneticPr fontId="18" type="noConversion"/>
  </si>
  <si>
    <t>Shear&amp;Cutter</t>
    <phoneticPr fontId="18" type="noConversion"/>
  </si>
  <si>
    <t>Grapple</t>
    <phoneticPr fontId="18" type="noConversion"/>
  </si>
  <si>
    <t>Hydraulic Breaker</t>
    <phoneticPr fontId="18" type="noConversion"/>
  </si>
  <si>
    <t>Bucket</t>
    <phoneticPr fontId="18" type="noConversion"/>
  </si>
  <si>
    <t>Quick Coupler</t>
    <phoneticPr fontId="18" type="noConversion"/>
  </si>
  <si>
    <t>ETC</t>
    <phoneticPr fontId="18" type="noConversion"/>
  </si>
  <si>
    <t>Bucket</t>
    <phoneticPr fontId="18" type="noConversion"/>
  </si>
  <si>
    <t>ETC</t>
    <phoneticPr fontId="18" type="noConversion"/>
  </si>
  <si>
    <t>Grapple</t>
    <phoneticPr fontId="18" type="noConversion"/>
  </si>
  <si>
    <t>ETC</t>
    <phoneticPr fontId="18" type="noConversion"/>
  </si>
  <si>
    <t>Bucket</t>
    <phoneticPr fontId="18" type="noConversion"/>
  </si>
  <si>
    <t>Grapple</t>
    <phoneticPr fontId="18" type="noConversion"/>
  </si>
  <si>
    <t>Compactor</t>
    <phoneticPr fontId="18" type="noConversion"/>
  </si>
  <si>
    <t>Quick Coupler</t>
    <phoneticPr fontId="18" type="noConversion"/>
  </si>
  <si>
    <t>Lift Fork</t>
    <phoneticPr fontId="18" type="noConversion"/>
  </si>
  <si>
    <t>Hydraulic Breaker</t>
    <phoneticPr fontId="18" type="noConversion"/>
  </si>
  <si>
    <t>Lift Fork</t>
    <phoneticPr fontId="18" type="noConversion"/>
  </si>
  <si>
    <t>Ripper</t>
    <phoneticPr fontId="18" type="noConversion"/>
  </si>
  <si>
    <t>Lift Fork</t>
    <phoneticPr fontId="18" type="noConversion"/>
  </si>
  <si>
    <t>Crusher</t>
    <phoneticPr fontId="18" type="noConversion"/>
  </si>
  <si>
    <t>Shear&amp;Cutter</t>
    <phoneticPr fontId="18" type="noConversion"/>
  </si>
  <si>
    <t>Ripper</t>
    <phoneticPr fontId="18" type="noConversion"/>
  </si>
  <si>
    <t>Ripper</t>
    <phoneticPr fontId="18" type="noConversion"/>
  </si>
  <si>
    <t>Quick Coupler</t>
    <phoneticPr fontId="18" type="noConversion"/>
  </si>
  <si>
    <t>Core Drill</t>
    <phoneticPr fontId="18" type="noConversion"/>
  </si>
  <si>
    <t>Crusher</t>
    <phoneticPr fontId="18" type="noConversion"/>
  </si>
  <si>
    <t>Compactor</t>
    <phoneticPr fontId="18" type="noConversion"/>
  </si>
  <si>
    <t>Shear&amp;Cutter</t>
    <phoneticPr fontId="18" type="noConversion"/>
  </si>
  <si>
    <t>Grapple</t>
    <phoneticPr fontId="18" type="noConversion"/>
  </si>
  <si>
    <t>Standard Bucket</t>
    <phoneticPr fontId="18" type="noConversion"/>
  </si>
  <si>
    <t>Etc Grapple</t>
    <phoneticPr fontId="18" type="noConversion"/>
  </si>
  <si>
    <t>Hydraulic Crusher</t>
    <phoneticPr fontId="18" type="noConversion"/>
  </si>
  <si>
    <t>Skeleton Bucket</t>
    <phoneticPr fontId="18" type="noConversion"/>
  </si>
  <si>
    <t>Etc Bucket</t>
  </si>
  <si>
    <t>Etc Bucket</t>
    <phoneticPr fontId="18" type="noConversion"/>
  </si>
  <si>
    <t>Side Breaker</t>
    <phoneticPr fontId="18" type="noConversion"/>
  </si>
  <si>
    <t>Hydraulic Multi Processor</t>
    <phoneticPr fontId="18" type="noConversion"/>
  </si>
  <si>
    <t>Wood Grapple</t>
    <phoneticPr fontId="18" type="noConversion"/>
  </si>
  <si>
    <t>Lift Fork</t>
    <phoneticPr fontId="18" type="noConversion"/>
  </si>
  <si>
    <t>ClamShell Grapple</t>
    <phoneticPr fontId="18" type="noConversion"/>
  </si>
  <si>
    <t>Crusher</t>
    <phoneticPr fontId="18" type="noConversion"/>
  </si>
  <si>
    <t>Stone Grapple</t>
    <phoneticPr fontId="18" type="noConversion"/>
  </si>
  <si>
    <t>Multi Grapple</t>
    <phoneticPr fontId="18" type="noConversion"/>
  </si>
  <si>
    <t>딱다구리</t>
    <phoneticPr fontId="18" type="noConversion"/>
  </si>
  <si>
    <t>딱따구리</t>
    <phoneticPr fontId="18" type="noConversion"/>
  </si>
  <si>
    <t>딱다</t>
    <phoneticPr fontId="18" type="noConversion"/>
  </si>
  <si>
    <t>딱따</t>
    <phoneticPr fontId="18" type="noConversion"/>
  </si>
  <si>
    <t>코끼리</t>
    <phoneticPr fontId="18" type="noConversion"/>
  </si>
  <si>
    <t>코끼</t>
    <phoneticPr fontId="18" type="noConversion"/>
  </si>
  <si>
    <t>호랑이</t>
    <phoneticPr fontId="18" type="noConversion"/>
  </si>
  <si>
    <t>독수리</t>
    <phoneticPr fontId="18" type="noConversion"/>
  </si>
  <si>
    <t>발톱</t>
    <phoneticPr fontId="18" type="noConversion"/>
  </si>
  <si>
    <t>bk</t>
    <phoneticPr fontId="18" type="noConversion"/>
  </si>
  <si>
    <t>지겟발</t>
    <phoneticPr fontId="18" type="noConversion"/>
  </si>
  <si>
    <t>지갯발</t>
    <phoneticPr fontId="18" type="noConversion"/>
  </si>
  <si>
    <t>회전돌</t>
    <phoneticPr fontId="18" type="noConversion"/>
  </si>
  <si>
    <t>회전나무</t>
    <phoneticPr fontId="18" type="noConversion"/>
  </si>
  <si>
    <t>돌</t>
    <phoneticPr fontId="18" type="noConversion"/>
  </si>
  <si>
    <t>나무</t>
    <phoneticPr fontId="18" type="noConversion"/>
  </si>
  <si>
    <t>회전폐기물</t>
    <phoneticPr fontId="18" type="noConversion"/>
  </si>
  <si>
    <t>토사</t>
    <phoneticPr fontId="18" type="noConversion"/>
  </si>
  <si>
    <t>모래</t>
    <phoneticPr fontId="18" type="noConversion"/>
  </si>
  <si>
    <t>Grapple</t>
    <phoneticPr fontId="18" type="noConversion"/>
  </si>
  <si>
    <t>Grapple</t>
    <phoneticPr fontId="18" type="noConversion"/>
  </si>
  <si>
    <t>Etc Grapple</t>
    <phoneticPr fontId="18" type="noConversion"/>
  </si>
  <si>
    <t>링크</t>
    <phoneticPr fontId="18" type="noConversion"/>
  </si>
  <si>
    <t>Quick Coupler</t>
    <phoneticPr fontId="18" type="noConversion"/>
  </si>
  <si>
    <t>회전B게</t>
    <phoneticPr fontId="18" type="noConversion"/>
  </si>
  <si>
    <t>회전B개</t>
    <phoneticPr fontId="18" type="noConversion"/>
  </si>
  <si>
    <t>Hydraulic Breaker</t>
    <phoneticPr fontId="18" type="noConversion"/>
  </si>
  <si>
    <t>Side Breaker</t>
    <phoneticPr fontId="18" type="noConversion"/>
  </si>
  <si>
    <t>Crusher</t>
    <phoneticPr fontId="18" type="noConversion"/>
  </si>
  <si>
    <t>Hydraulic Crusher</t>
    <phoneticPr fontId="18" type="noConversion"/>
  </si>
  <si>
    <t>오렌지</t>
    <phoneticPr fontId="18" type="noConversion"/>
  </si>
  <si>
    <t>오랜지</t>
    <phoneticPr fontId="18" type="noConversion"/>
  </si>
  <si>
    <t>partCategoryFirst</t>
  </si>
  <si>
    <t>partCategorySecond</t>
  </si>
  <si>
    <t>partCategoryThird</t>
  </si>
  <si>
    <t>productState</t>
  </si>
  <si>
    <t>집</t>
    <phoneticPr fontId="18" type="noConversion"/>
  </si>
  <si>
    <t>짚</t>
    <phoneticPr fontId="18" type="noConversion"/>
  </si>
  <si>
    <t>폐기물</t>
    <phoneticPr fontId="18" type="noConversion"/>
  </si>
  <si>
    <t>멍텅구리</t>
    <phoneticPr fontId="18" type="noConversion"/>
  </si>
  <si>
    <t>멍텅</t>
    <phoneticPr fontId="18" type="noConversion"/>
  </si>
  <si>
    <t>텅텅</t>
    <phoneticPr fontId="18" type="noConversion"/>
  </si>
  <si>
    <t>브레</t>
    <phoneticPr fontId="18" type="noConversion"/>
  </si>
  <si>
    <t>브렉</t>
    <phoneticPr fontId="18" type="noConversion"/>
  </si>
  <si>
    <t>Compactor</t>
    <phoneticPr fontId="18" type="noConversion"/>
  </si>
  <si>
    <t>콤팩트</t>
    <phoneticPr fontId="18" type="noConversion"/>
  </si>
  <si>
    <t>콤펙트</t>
    <phoneticPr fontId="18" type="noConversion"/>
  </si>
  <si>
    <t>콤펙</t>
    <phoneticPr fontId="18" type="noConversion"/>
  </si>
  <si>
    <t>콤팩</t>
    <phoneticPr fontId="18" type="noConversion"/>
  </si>
  <si>
    <t>크렌</t>
    <phoneticPr fontId="18" type="noConversion"/>
  </si>
  <si>
    <t>크럇샤</t>
    <phoneticPr fontId="18" type="noConversion"/>
  </si>
  <si>
    <t>크럇</t>
    <phoneticPr fontId="18" type="noConversion"/>
  </si>
  <si>
    <t>Skeleton Bucket</t>
    <phoneticPr fontId="18" type="noConversion"/>
  </si>
  <si>
    <t>Bucket</t>
    <phoneticPr fontId="18" type="noConversion"/>
  </si>
  <si>
    <t>채</t>
    <phoneticPr fontId="18" type="noConversion"/>
  </si>
  <si>
    <t>망</t>
    <phoneticPr fontId="18" type="noConversion"/>
  </si>
  <si>
    <t>Hydraulic Multi Processor</t>
    <phoneticPr fontId="18" type="noConversion"/>
  </si>
  <si>
    <t>Lift Fork</t>
    <phoneticPr fontId="18" type="noConversion"/>
  </si>
  <si>
    <t>제겟발</t>
    <phoneticPr fontId="18" type="noConversion"/>
  </si>
  <si>
    <t>제갯발</t>
    <phoneticPr fontId="18" type="noConversion"/>
  </si>
  <si>
    <t>재겟발</t>
    <phoneticPr fontId="18" type="noConversion"/>
  </si>
  <si>
    <t>재갯발</t>
    <phoneticPr fontId="18" type="noConversion"/>
  </si>
  <si>
    <t>Etc Bucket</t>
    <phoneticPr fontId="18" type="noConversion"/>
  </si>
  <si>
    <t>크략</t>
    <phoneticPr fontId="18" type="noConversion"/>
  </si>
  <si>
    <t>부레</t>
    <phoneticPr fontId="18" type="noConversion"/>
  </si>
  <si>
    <t>회전쟙</t>
    <phoneticPr fontId="18" type="noConversion"/>
  </si>
  <si>
    <t>authorized</t>
  </si>
  <si>
    <t>manufacturing</t>
  </si>
  <si>
    <t>pricePurchases</t>
  </si>
  <si>
    <t>priceDeals</t>
  </si>
  <si>
    <t>Excavator(33t over)</t>
  </si>
  <si>
    <t>Excavator(20t~27t)</t>
  </si>
  <si>
    <t>Excavator(4.5t~6t)</t>
  </si>
  <si>
    <t>Excavator(12~15.5t)</t>
  </si>
  <si>
    <t>Mini Excavator(1.7~2.5t)</t>
  </si>
  <si>
    <t>Excavator(7~11t)</t>
  </si>
  <si>
    <t>Mini Excavator(2.6~4t)</t>
  </si>
  <si>
    <t>Excavator(16~19t)</t>
  </si>
  <si>
    <t>06박아지</t>
    <phoneticPr fontId="18" type="noConversion"/>
  </si>
  <si>
    <t>Excavator(20~27t)</t>
  </si>
  <si>
    <t>brandCommon</t>
  </si>
  <si>
    <t>modelCommon</t>
  </si>
  <si>
    <t>손바가지</t>
    <phoneticPr fontId="18" type="noConversion"/>
  </si>
  <si>
    <t>손버</t>
    <phoneticPr fontId="18" type="noConversion"/>
  </si>
  <si>
    <t>암</t>
    <phoneticPr fontId="18" type="noConversion"/>
  </si>
  <si>
    <t>암박</t>
    <phoneticPr fontId="18" type="noConversion"/>
  </si>
  <si>
    <t>암버</t>
    <phoneticPr fontId="18" type="noConversion"/>
  </si>
  <si>
    <t>손</t>
    <phoneticPr fontId="18" type="noConversion"/>
  </si>
  <si>
    <t>ETC</t>
    <phoneticPr fontId="18" type="noConversion"/>
  </si>
  <si>
    <t>Hydraulic Breaker</t>
    <phoneticPr fontId="18" type="noConversion"/>
  </si>
  <si>
    <t>Grapple</t>
    <phoneticPr fontId="18" type="noConversion"/>
  </si>
  <si>
    <t>Quick Coupler</t>
    <phoneticPr fontId="18" type="noConversion"/>
  </si>
  <si>
    <t>Shear&amp;Cutter</t>
    <phoneticPr fontId="18" type="noConversion"/>
  </si>
  <si>
    <t>Lift Fork</t>
    <phoneticPr fontId="18" type="noConversion"/>
  </si>
  <si>
    <t>Bucket</t>
    <phoneticPr fontId="18" type="noConversion"/>
  </si>
  <si>
    <t>Crusher</t>
    <phoneticPr fontId="18" type="noConversion"/>
  </si>
  <si>
    <t>ETC</t>
    <phoneticPr fontId="18" type="noConversion"/>
  </si>
  <si>
    <t>Ripper</t>
    <phoneticPr fontId="18" type="noConversion"/>
  </si>
  <si>
    <t>Shear&amp;Cutter</t>
    <phoneticPr fontId="18" type="noConversion"/>
  </si>
  <si>
    <t>Compactor</t>
    <phoneticPr fontId="18" type="noConversion"/>
  </si>
  <si>
    <t>Core Drill</t>
    <phoneticPr fontId="18" type="noConversion"/>
  </si>
  <si>
    <t>B게</t>
    <phoneticPr fontId="18" type="noConversion"/>
  </si>
  <si>
    <t>Etc Crusher</t>
  </si>
  <si>
    <t>Grapple</t>
    <phoneticPr fontId="18" type="noConversion"/>
  </si>
  <si>
    <t>Ripper</t>
    <phoneticPr fontId="18" type="noConversion"/>
  </si>
  <si>
    <t>Bucket</t>
    <phoneticPr fontId="18" type="noConversion"/>
  </si>
  <si>
    <t>Quick Coupler</t>
    <phoneticPr fontId="18" type="noConversion"/>
  </si>
  <si>
    <t>Crusher</t>
    <phoneticPr fontId="18" type="noConversion"/>
  </si>
  <si>
    <t>Hydraulic Breaker</t>
    <phoneticPr fontId="18" type="noConversion"/>
  </si>
  <si>
    <t>ETC</t>
    <phoneticPr fontId="18" type="noConversion"/>
  </si>
  <si>
    <t>Grapple</t>
    <phoneticPr fontId="18" type="noConversion"/>
  </si>
  <si>
    <t>Hydraulic Breaker</t>
    <phoneticPr fontId="18" type="noConversion"/>
  </si>
  <si>
    <t>Ripper</t>
    <phoneticPr fontId="18" type="noConversion"/>
  </si>
  <si>
    <t>Crusher</t>
    <phoneticPr fontId="18" type="noConversion"/>
  </si>
  <si>
    <t>Bucket</t>
    <phoneticPr fontId="18" type="noConversion"/>
  </si>
  <si>
    <t>Quick Coupler</t>
    <phoneticPr fontId="18" type="noConversion"/>
  </si>
  <si>
    <t>Grapple</t>
    <phoneticPr fontId="18" type="noConversion"/>
  </si>
  <si>
    <t>Quick Coupler</t>
    <phoneticPr fontId="18" type="noConversion"/>
  </si>
  <si>
    <t>Ripper</t>
    <phoneticPr fontId="18" type="noConversion"/>
  </si>
  <si>
    <t>Hydraulic Breaker</t>
    <phoneticPr fontId="18" type="noConversion"/>
  </si>
  <si>
    <t>Grapple</t>
    <phoneticPr fontId="18" type="noConversion"/>
  </si>
  <si>
    <t>ETC</t>
    <phoneticPr fontId="18" type="noConversion"/>
  </si>
  <si>
    <t>Crusher</t>
    <phoneticPr fontId="18" type="noConversion"/>
  </si>
  <si>
    <t>Quick Coupler</t>
    <phoneticPr fontId="18" type="noConversion"/>
  </si>
  <si>
    <t>Lift Fork</t>
    <phoneticPr fontId="18" type="noConversion"/>
  </si>
  <si>
    <t>Bucket</t>
    <phoneticPr fontId="18" type="noConversion"/>
  </si>
  <si>
    <t>Core Drill</t>
    <phoneticPr fontId="18" type="noConversion"/>
  </si>
  <si>
    <t>Ripper</t>
    <phoneticPr fontId="18" type="noConversion"/>
  </si>
  <si>
    <t>Shear&amp;Cutter</t>
    <phoneticPr fontId="18" type="noConversion"/>
  </si>
  <si>
    <t>평</t>
    <phoneticPr fontId="18" type="noConversion"/>
  </si>
  <si>
    <t>평박</t>
    <phoneticPr fontId="18" type="noConversion"/>
  </si>
  <si>
    <t>캐타</t>
    <phoneticPr fontId="18" type="noConversion"/>
  </si>
  <si>
    <t>나라</t>
    <phoneticPr fontId="18" type="noConversion"/>
  </si>
  <si>
    <t>시</t>
    <phoneticPr fontId="18" type="noConversion"/>
  </si>
  <si>
    <t>중버</t>
    <phoneticPr fontId="18" type="noConversion"/>
  </si>
  <si>
    <t>중바</t>
    <phoneticPr fontId="18" type="noConversion"/>
  </si>
  <si>
    <t>중박</t>
    <phoneticPr fontId="18" type="noConversion"/>
  </si>
  <si>
    <t>유압</t>
    <phoneticPr fontId="18" type="noConversion"/>
  </si>
  <si>
    <t>03회전B게</t>
    <phoneticPr fontId="18" type="noConversion"/>
  </si>
  <si>
    <t>02대바가지</t>
    <phoneticPr fontId="18" type="noConversion"/>
  </si>
  <si>
    <t>광림sg3400텐뿌레카/타격력좋고 상태최상입니다/전화주세요</t>
    <phoneticPr fontId="18" type="noConversion"/>
  </si>
  <si>
    <t>영원5500-3텐뿌레카/올수리완료 상태최상입니다/전화주세요</t>
    <phoneticPr fontId="18" type="noConversion"/>
  </si>
  <si>
    <t>06회전돌집게</t>
    <phoneticPr fontId="18" type="noConversion"/>
  </si>
  <si>
    <t>06돌집게바가지</t>
    <phoneticPr fontId="18" type="noConversion"/>
  </si>
  <si>
    <t>R3700-7</t>
    <phoneticPr fontId="18" type="noConversion"/>
  </si>
  <si>
    <t>06SB60뿌레</t>
    <phoneticPr fontId="18"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</si>
</sst>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맑은 고딕"/>
      <family val="2"/>
      <charset val="129"/>
      <scheme val="minor"/>
    </font>
    <font>
      <sz val="11"/>
      <color theme="1"/>
      <name val="맑은 고딕"/>
      <family val="2"/>
      <charset val="129"/>
      <scheme val="minor"/>
    </font>
    <font>
      <b/>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sz val="8"/>
      <name val="맑은 고딕"/>
      <family val="2"/>
      <charset val="129"/>
      <scheme val="minor"/>
    </font>
    <font>
      <sz val="11"/>
      <color theme="1"/>
      <name val="맑은 고딕"/>
      <family val="3"/>
      <charset val="129"/>
      <scheme val="minor"/>
    </font>
    <font>
      <b/>
      <sz val="11"/>
      <color theme="1"/>
      <name val="맑은 고딕"/>
      <family val="3"/>
      <charset val="129"/>
      <scheme val="minor"/>
    </font>
    <font>
      <sz val="11"/>
      <color indexed="8"/>
      <name val="맑은 고딕"/>
      <family val="3"/>
      <charset val="129"/>
    </font>
    <font>
      <b/>
      <sz val="11"/>
      <color indexed="8"/>
      <name val="맑은 고딕"/>
      <family val="3"/>
      <charset val="129"/>
    </font>
    <font>
      <sz val="11"/>
      <color rgb="FF000000"/>
      <name val="맑은 고딕"/>
      <family val="3"/>
      <charset val="129"/>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0" fontId="21" fillId="0" borderId="0" applyNumberFormat="0" applyFill="0" applyBorder="0" applyProtection="0">
      <alignment vertical="center"/>
    </xf>
  </cellStyleXfs>
  <cellXfs count="34">
    <xf numFmtId="0" fontId="0" fillId="0" borderId="0" xfId="0">
      <alignment vertical="center"/>
    </xf>
    <xf numFmtId="0" fontId="0" fillId="0" borderId="10" xfId="0" applyBorder="1">
      <alignment vertical="center"/>
    </xf>
    <xf numFmtId="0" fontId="19" fillId="0" borderId="10" xfId="0" applyFont="1" applyFill="1" applyBorder="1">
      <alignment vertical="center"/>
    </xf>
    <xf numFmtId="0" fontId="0" fillId="0" borderId="11" xfId="0" applyFill="1" applyBorder="1">
      <alignment vertical="center"/>
    </xf>
    <xf numFmtId="0" fontId="19" fillId="0" borderId="10" xfId="0" applyFont="1" applyBorder="1">
      <alignment vertical="center"/>
    </xf>
    <xf numFmtId="0" fontId="0" fillId="0" borderId="10" xfId="0" applyFill="1" applyBorder="1">
      <alignment vertical="center"/>
    </xf>
    <xf numFmtId="0" fontId="0" fillId="0" borderId="0" xfId="0" applyBorder="1">
      <alignment vertical="center"/>
    </xf>
    <xf numFmtId="0" fontId="20" fillId="0" borderId="0" xfId="0" applyFont="1" applyAlignment="1">
      <alignment horizontal="center" vertical="center"/>
    </xf>
    <xf numFmtId="0" fontId="20" fillId="0" borderId="0" xfId="0" applyFont="1" applyFill="1" applyBorder="1" applyAlignment="1">
      <alignment horizontal="center" vertical="center"/>
    </xf>
    <xf numFmtId="0" fontId="0" fillId="0" borderId="0" xfId="0" applyFont="1">
      <alignment vertical="center"/>
    </xf>
    <xf numFmtId="0" fontId="0" fillId="0" borderId="0" xfId="0" applyFont="1" applyFill="1" applyBorder="1">
      <alignment vertical="center"/>
    </xf>
    <xf numFmtId="0" fontId="0" fillId="0" borderId="0" xfId="0" applyFont="1" applyBorder="1">
      <alignment vertical="center"/>
    </xf>
    <xf numFmtId="0" fontId="19" fillId="0" borderId="0" xfId="0" applyFont="1" applyBorder="1">
      <alignment vertical="center"/>
    </xf>
    <xf numFmtId="0" fontId="19" fillId="0" borderId="0" xfId="0" applyFont="1" applyFill="1" applyBorder="1">
      <alignment vertical="center"/>
    </xf>
    <xf numFmtId="0" fontId="0" fillId="0" borderId="0" xfId="0">
      <alignment vertical="center"/>
    </xf>
    <xf numFmtId="0" fontId="0" fillId="0" borderId="0" xfId="0" applyFill="1" applyBorder="1">
      <alignment vertical="center"/>
    </xf>
    <xf numFmtId="0" fontId="20" fillId="0" borderId="0" xfId="0" applyFont="1">
      <alignment vertical="center"/>
    </xf>
    <xf numFmtId="0" fontId="0" fillId="0" borderId="0" xfId="0" applyFill="1">
      <alignment vertical="center"/>
    </xf>
    <xf numFmtId="0" fontId="0" fillId="0" borderId="0" xfId="0">
      <alignment vertical="center"/>
    </xf>
    <xf numFmtId="0" fontId="0" fillId="0" borderId="0" xfId="0" applyFill="1" applyBorder="1">
      <alignment vertical="center"/>
    </xf>
    <xf numFmtId="0" fontId="0" fillId="0" borderId="0" xfId="0" applyFill="1">
      <alignment vertical="center"/>
    </xf>
    <xf numFmtId="0" fontId="19" fillId="0" borderId="0" xfId="0" applyFont="1">
      <alignment vertical="center"/>
    </xf>
    <xf numFmtId="0" fontId="19" fillId="0" borderId="0" xfId="0" applyFont="1" applyFill="1">
      <alignment vertical="center"/>
    </xf>
    <xf numFmtId="0" fontId="20" fillId="0" borderId="0" xfId="0" applyFont="1" applyBorder="1">
      <alignment vertical="center"/>
    </xf>
    <xf numFmtId="0" fontId="0" fillId="0" borderId="12" xfId="0" applyBorder="1">
      <alignment vertical="center"/>
    </xf>
    <xf numFmtId="0" fontId="0" fillId="0" borderId="0" xfId="0">
      <alignment vertical="center"/>
    </xf>
    <xf numFmtId="0" fontId="0" fillId="0" borderId="0" xfId="0" applyNumberFormat="1" applyBorder="1">
      <alignment vertical="center"/>
    </xf>
    <xf numFmtId="0" fontId="0" fillId="0" borderId="0" xfId="0" quotePrefix="1" applyBorder="1">
      <alignment vertical="center"/>
    </xf>
    <xf numFmtId="49" fontId="21" fillId="0" borderId="0" xfId="42" applyNumberFormat="1" applyFont="1" applyBorder="1" applyAlignment="1">
      <alignment vertical="center"/>
    </xf>
    <xf numFmtId="49" fontId="22" fillId="0" borderId="0" xfId="42" applyNumberFormat="1" applyFont="1" applyBorder="1" applyAlignment="1">
      <alignment vertical="center"/>
    </xf>
    <xf numFmtId="0" fontId="0" fillId="0" borderId="13" xfId="0" applyBorder="1">
      <alignment vertical="center"/>
    </xf>
    <xf numFmtId="0" fontId="0" fillId="0" borderId="0" xfId="0">
      <alignment vertical="center"/>
    </xf>
    <xf numFmtId="0" fontId="0" fillId="0" borderId="0" xfId="0">
      <alignment vertical="center"/>
    </xf>
    <xf numFmtId="0" fontId="0" fillId="0" borderId="0" xfId="0" applyBorder="1" applyAlignment="1">
      <alignment horizontal="justify" vertical="center"/>
    </xf>
  </cellXfs>
  <cellStyles count="43">
    <cellStyle name="20% - 강조색1" xfId="19" builtinId="30" customBuiltin="1"/>
    <cellStyle name="20% - 강조색2" xfId="23" builtinId="34" customBuiltin="1"/>
    <cellStyle name="20% - 강조색3" xfId="27" builtinId="38" customBuiltin="1"/>
    <cellStyle name="20% - 강조색4" xfId="31" builtinId="42" customBuiltin="1"/>
    <cellStyle name="20% - 강조색5" xfId="35" builtinId="46" customBuiltin="1"/>
    <cellStyle name="20% - 강조색6" xfId="39" builtinId="50" customBuiltin="1"/>
    <cellStyle name="40% - 강조색1" xfId="20" builtinId="31" customBuiltin="1"/>
    <cellStyle name="40% - 강조색2" xfId="24" builtinId="35" customBuiltin="1"/>
    <cellStyle name="40% - 강조색3" xfId="28" builtinId="39" customBuiltin="1"/>
    <cellStyle name="40% - 강조색4" xfId="32" builtinId="43" customBuiltin="1"/>
    <cellStyle name="40% - 강조색5" xfId="36" builtinId="47" customBuiltin="1"/>
    <cellStyle name="40% - 강조색6" xfId="40" builtinId="51" customBuiltin="1"/>
    <cellStyle name="60% - 강조색1" xfId="21" builtinId="32" customBuiltin="1"/>
    <cellStyle name="60% - 강조색2" xfId="25" builtinId="36" customBuiltin="1"/>
    <cellStyle name="60% - 강조색3" xfId="29" builtinId="40" customBuiltin="1"/>
    <cellStyle name="60% - 강조색4" xfId="33" builtinId="44" customBuiltin="1"/>
    <cellStyle name="60% - 강조색5" xfId="37" builtinId="48" customBuiltin="1"/>
    <cellStyle name="60% - 강조색6" xfId="41" builtinId="52" customBuiltin="1"/>
    <cellStyle name="강조색1" xfId="18" builtinId="29" customBuiltin="1"/>
    <cellStyle name="강조색2" xfId="22" builtinId="33" customBuiltin="1"/>
    <cellStyle name="강조색3" xfId="26" builtinId="37" customBuiltin="1"/>
    <cellStyle name="강조색4" xfId="30" builtinId="41" customBuiltin="1"/>
    <cellStyle name="강조색5" xfId="34" builtinId="45" customBuiltin="1"/>
    <cellStyle name="강조색6" xfId="38" builtinId="49" customBuiltin="1"/>
    <cellStyle name="경고문" xfId="14" builtinId="11" customBuiltin="1"/>
    <cellStyle name="계산" xfId="11" builtinId="22" customBuiltin="1"/>
    <cellStyle name="나쁨" xfId="7" builtinId="27" customBuiltin="1"/>
    <cellStyle name="메모" xfId="15" builtinId="10" customBuiltin="1"/>
    <cellStyle name="보통" xfId="8" builtinId="28" customBuiltin="1"/>
    <cellStyle name="설명 텍스트" xfId="16" builtinId="53" customBuiltin="1"/>
    <cellStyle name="셀 확인" xfId="13" builtinId="23" customBuiltin="1"/>
    <cellStyle name="연결된 셀" xfId="12" builtinId="24" customBuiltin="1"/>
    <cellStyle name="요약" xfId="17" builtinId="25" customBuiltin="1"/>
    <cellStyle name="입력" xfId="9" builtinId="20" customBuiltin="1"/>
    <cellStyle name="제목" xfId="1" builtinId="15" customBuiltin="1"/>
    <cellStyle name="제목 1" xfId="2" builtinId="16" customBuiltin="1"/>
    <cellStyle name="제목 2" xfId="3" builtinId="17" customBuiltin="1"/>
    <cellStyle name="제목 3" xfId="4" builtinId="18" customBuiltin="1"/>
    <cellStyle name="제목 4" xfId="5" builtinId="19" customBuiltin="1"/>
    <cellStyle name="좋음" xfId="6" builtinId="26" customBuiltin="1"/>
    <cellStyle name="출력" xfId="10" builtinId="21" customBuiltin="1"/>
    <cellStyle name="표준" xfId="0" builtinId="0"/>
    <cellStyle name="표준 2" xfId="4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48</xdr:col>
          <xdr:colOff>114300</xdr:colOff>
          <xdr:row>1</xdr:row>
          <xdr:rowOff>0</xdr:rowOff>
        </xdr:from>
        <xdr:to>
          <xdr:col>49</xdr:col>
          <xdr:colOff>371475</xdr:colOff>
          <xdr:row>3</xdr:row>
          <xdr:rowOff>171450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32004" rIns="27432" bIns="32004" anchor="ctr" upright="1"/>
            <a:lstStyle/>
            <a:p>
              <a:pPr algn="ctr" rtl="0">
                <a:defRPr sz="1000"/>
              </a:pPr>
              <a:r>
                <a:rPr lang="en-US" altLang="ko-KR" sz="1100" b="0" i="0" u="none" strike="noStrike" baseline="0">
                  <a:solidFill>
                    <a:srgbClr val="000000"/>
                  </a:solidFill>
                  <a:latin typeface="맑은 고딕"/>
                  <a:ea typeface="맑은 고딕"/>
                </a:rPr>
                <a:t>Category2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104775</xdr:colOff>
          <xdr:row>4</xdr:row>
          <xdr:rowOff>133350</xdr:rowOff>
        </xdr:from>
        <xdr:to>
          <xdr:col>49</xdr:col>
          <xdr:colOff>390525</xdr:colOff>
          <xdr:row>6</xdr:row>
          <xdr:rowOff>161925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32004" rIns="27432" bIns="32004" anchor="ctr" upright="1"/>
            <a:lstStyle/>
            <a:p>
              <a:pPr algn="ctr" rtl="0">
                <a:defRPr sz="1000"/>
              </a:pPr>
              <a:r>
                <a:rPr lang="en-US" altLang="ko-KR" sz="1100" b="0" i="0" u="none" strike="noStrike" baseline="0">
                  <a:solidFill>
                    <a:srgbClr val="000000"/>
                  </a:solidFill>
                  <a:latin typeface="맑은 고딕"/>
                  <a:ea typeface="맑은 고딕"/>
                </a:rPr>
                <a:t>Category3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104775</xdr:colOff>
          <xdr:row>7</xdr:row>
          <xdr:rowOff>161925</xdr:rowOff>
        </xdr:from>
        <xdr:to>
          <xdr:col>49</xdr:col>
          <xdr:colOff>381000</xdr:colOff>
          <xdr:row>9</xdr:row>
          <xdr:rowOff>171450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32004" rIns="27432" bIns="32004" anchor="ctr" upright="1"/>
            <a:lstStyle/>
            <a:p>
              <a:pPr algn="ctr" rtl="0">
                <a:defRPr sz="1000"/>
              </a:pPr>
              <a:r>
                <a:rPr lang="en-US" altLang="ko-KR" sz="1100" b="0" i="0" u="none" strike="noStrike" baseline="0">
                  <a:solidFill>
                    <a:srgbClr val="000000"/>
                  </a:solidFill>
                  <a:latin typeface="맑은 고딕"/>
                  <a:ea typeface="맑은 고딕"/>
                </a:rPr>
                <a:t>ModelTon</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127"/>
  <sheetViews>
    <sheetView topLeftCell="A52" zoomScale="85" zoomScaleNormal="85" workbookViewId="0">
      <selection activeCell="G74" sqref="G74"/>
    </sheetView>
  </sheetViews>
  <sheetFormatPr defaultRowHeight="16.5" x14ac:dyDescent="0.3"/>
  <cols>
    <col min="1" max="1" width="27.75" style="6" customWidth="1"/>
    <col min="2" max="2" width="26.625" style="6" bestFit="1" customWidth="1"/>
    <col min="3" max="3" width="13" style="6" bestFit="1" customWidth="1"/>
    <col min="4" max="4" width="16.625" customWidth="1"/>
    <col min="5" max="5" width="27.125" customWidth="1"/>
    <col min="6" max="6" width="25.375" customWidth="1"/>
    <col min="7" max="7" width="24.25" customWidth="1"/>
    <col min="8" max="8" width="22.5" customWidth="1"/>
    <col min="9" max="9" width="20.625" customWidth="1"/>
    <col min="10" max="10" width="17.25" customWidth="1"/>
    <col min="11" max="11" width="16.375" customWidth="1"/>
    <col min="12" max="12" width="20" customWidth="1"/>
    <col min="13" max="13" width="18.5" customWidth="1"/>
    <col min="14" max="14" width="21.5" customWidth="1"/>
  </cols>
  <sheetData>
    <row r="1" spans="1:9" x14ac:dyDescent="0.3">
      <c r="A1" s="1" t="s">
        <v>1328</v>
      </c>
      <c r="B1" s="1" t="s">
        <v>1359</v>
      </c>
      <c r="C1" s="1" t="s">
        <v>1338</v>
      </c>
      <c r="E1" s="24" t="s">
        <v>2131</v>
      </c>
      <c r="G1" s="1" t="s">
        <v>1328</v>
      </c>
      <c r="I1" s="1" t="s">
        <v>1359</v>
      </c>
    </row>
    <row r="2" spans="1:9" x14ac:dyDescent="0.3">
      <c r="A2" s="1" t="s">
        <v>1328</v>
      </c>
      <c r="B2" s="1" t="s">
        <v>1360</v>
      </c>
      <c r="C2" s="1" t="s">
        <v>1339</v>
      </c>
      <c r="E2" s="24" t="s">
        <v>2132</v>
      </c>
      <c r="G2" s="1" t="s">
        <v>56</v>
      </c>
      <c r="I2" s="1" t="s">
        <v>1360</v>
      </c>
    </row>
    <row r="3" spans="1:9" x14ac:dyDescent="0.3">
      <c r="A3" s="1" t="s">
        <v>1328</v>
      </c>
      <c r="B3" s="1" t="s">
        <v>1361</v>
      </c>
      <c r="C3" s="1" t="s">
        <v>1340</v>
      </c>
      <c r="E3" s="24" t="s">
        <v>2133</v>
      </c>
      <c r="G3" s="1" t="s">
        <v>1333</v>
      </c>
      <c r="I3" s="1" t="s">
        <v>1361</v>
      </c>
    </row>
    <row r="4" spans="1:9" x14ac:dyDescent="0.3">
      <c r="A4" s="1" t="s">
        <v>1332</v>
      </c>
      <c r="B4" s="4" t="s">
        <v>1362</v>
      </c>
      <c r="C4" s="1" t="s">
        <v>1341</v>
      </c>
      <c r="E4" s="24" t="s">
        <v>2134</v>
      </c>
      <c r="G4" s="1" t="s">
        <v>78</v>
      </c>
      <c r="I4" s="4" t="s">
        <v>1362</v>
      </c>
    </row>
    <row r="5" spans="1:9" x14ac:dyDescent="0.3">
      <c r="A5" s="1" t="s">
        <v>1328</v>
      </c>
      <c r="B5" s="2" t="s">
        <v>1363</v>
      </c>
      <c r="C5" s="1" t="s">
        <v>1358</v>
      </c>
      <c r="E5" s="24" t="s">
        <v>2135</v>
      </c>
      <c r="G5" s="1" t="s">
        <v>43</v>
      </c>
      <c r="I5" s="2" t="s">
        <v>1363</v>
      </c>
    </row>
    <row r="6" spans="1:9" x14ac:dyDescent="0.3">
      <c r="A6" s="2"/>
      <c r="B6" s="2"/>
      <c r="C6" s="30"/>
      <c r="D6" s="6"/>
      <c r="E6" s="24" t="s">
        <v>2136</v>
      </c>
      <c r="G6" s="2" t="s">
        <v>1325</v>
      </c>
      <c r="I6" s="2" t="s">
        <v>1331</v>
      </c>
    </row>
    <row r="7" spans="1:9" x14ac:dyDescent="0.3">
      <c r="A7" s="2"/>
      <c r="B7" s="2"/>
      <c r="C7" s="1"/>
      <c r="E7" s="24" t="s">
        <v>2137</v>
      </c>
      <c r="G7" s="1" t="s">
        <v>1324</v>
      </c>
      <c r="I7" s="2" t="s">
        <v>1345</v>
      </c>
    </row>
    <row r="8" spans="1:9" x14ac:dyDescent="0.3">
      <c r="A8" s="2"/>
      <c r="B8" s="2"/>
      <c r="C8" s="1"/>
      <c r="E8" s="24" t="s">
        <v>2138</v>
      </c>
      <c r="G8" s="1" t="s">
        <v>1378</v>
      </c>
      <c r="I8" s="2" t="s">
        <v>1331</v>
      </c>
    </row>
    <row r="9" spans="1:9" x14ac:dyDescent="0.3">
      <c r="A9" s="2"/>
      <c r="B9" s="2"/>
      <c r="C9" s="1"/>
      <c r="E9" s="24" t="s">
        <v>2139</v>
      </c>
      <c r="G9" s="1" t="s">
        <v>1334</v>
      </c>
      <c r="I9" s="2" t="s">
        <v>1366</v>
      </c>
    </row>
    <row r="10" spans="1:9" x14ac:dyDescent="0.3">
      <c r="A10" s="1" t="s">
        <v>56</v>
      </c>
      <c r="B10" s="2" t="s">
        <v>1347</v>
      </c>
      <c r="C10" s="1" t="s">
        <v>1348</v>
      </c>
      <c r="E10" s="24" t="s">
        <v>2140</v>
      </c>
      <c r="G10" s="1" t="s">
        <v>1335</v>
      </c>
      <c r="I10" s="2" t="s">
        <v>1347</v>
      </c>
    </row>
    <row r="11" spans="1:9" x14ac:dyDescent="0.3">
      <c r="A11" s="1" t="s">
        <v>56</v>
      </c>
      <c r="B11" s="2" t="s">
        <v>1346</v>
      </c>
      <c r="C11" s="1" t="s">
        <v>1349</v>
      </c>
      <c r="E11" s="5"/>
      <c r="G11" s="1" t="s">
        <v>1329</v>
      </c>
      <c r="I11" s="2" t="s">
        <v>1346</v>
      </c>
    </row>
    <row r="12" spans="1:9" x14ac:dyDescent="0.3">
      <c r="A12" s="1" t="s">
        <v>56</v>
      </c>
      <c r="B12" s="2" t="s">
        <v>1352</v>
      </c>
      <c r="C12" s="1" t="s">
        <v>1350</v>
      </c>
      <c r="G12" s="1" t="s">
        <v>1337</v>
      </c>
      <c r="I12" s="2" t="s">
        <v>1352</v>
      </c>
    </row>
    <row r="13" spans="1:9" x14ac:dyDescent="0.3">
      <c r="A13" s="1" t="s">
        <v>1354</v>
      </c>
      <c r="B13" s="2" t="s">
        <v>1353</v>
      </c>
      <c r="C13" s="1" t="s">
        <v>1351</v>
      </c>
      <c r="G13" s="1"/>
      <c r="I13" s="2" t="s">
        <v>1353</v>
      </c>
    </row>
    <row r="14" spans="1:9" x14ac:dyDescent="0.3">
      <c r="A14" s="1" t="s">
        <v>1354</v>
      </c>
      <c r="B14" s="2" t="s">
        <v>1364</v>
      </c>
      <c r="C14" s="1" t="s">
        <v>1355</v>
      </c>
      <c r="I14" s="2" t="s">
        <v>1364</v>
      </c>
    </row>
    <row r="15" spans="1:9" x14ac:dyDescent="0.3">
      <c r="A15" s="1" t="s">
        <v>1354</v>
      </c>
      <c r="B15" s="2" t="s">
        <v>1365</v>
      </c>
      <c r="C15" s="1" t="s">
        <v>1356</v>
      </c>
      <c r="I15" s="2" t="s">
        <v>1365</v>
      </c>
    </row>
    <row r="16" spans="1:9" x14ac:dyDescent="0.3">
      <c r="A16" s="1" t="s">
        <v>1333</v>
      </c>
      <c r="B16" s="1"/>
      <c r="C16" s="1"/>
      <c r="I16" s="1" t="s">
        <v>1368</v>
      </c>
    </row>
    <row r="17" spans="1:9" x14ac:dyDescent="0.3">
      <c r="A17" s="1" t="s">
        <v>78</v>
      </c>
      <c r="B17" s="1"/>
      <c r="C17" s="1"/>
      <c r="I17" s="1" t="s">
        <v>1369</v>
      </c>
    </row>
    <row r="18" spans="1:9" x14ac:dyDescent="0.3">
      <c r="A18" s="1" t="s">
        <v>43</v>
      </c>
      <c r="B18" s="1" t="s">
        <v>1368</v>
      </c>
      <c r="C18" s="1" t="s">
        <v>1367</v>
      </c>
      <c r="I18" s="1" t="s">
        <v>1370</v>
      </c>
    </row>
    <row r="19" spans="1:9" x14ac:dyDescent="0.3">
      <c r="A19" s="1" t="s">
        <v>43</v>
      </c>
      <c r="B19" s="1" t="s">
        <v>1369</v>
      </c>
      <c r="C19" s="1" t="s">
        <v>1371</v>
      </c>
      <c r="I19" s="1" t="s">
        <v>1374</v>
      </c>
    </row>
    <row r="20" spans="1:9" x14ac:dyDescent="0.3">
      <c r="A20" s="1" t="s">
        <v>43</v>
      </c>
      <c r="B20" s="1" t="s">
        <v>1370</v>
      </c>
      <c r="C20" s="1" t="s">
        <v>1372</v>
      </c>
      <c r="I20" s="1" t="s">
        <v>1375</v>
      </c>
    </row>
    <row r="21" spans="1:9" x14ac:dyDescent="0.3">
      <c r="A21" s="1" t="s">
        <v>43</v>
      </c>
      <c r="B21" s="1" t="s">
        <v>1374</v>
      </c>
      <c r="C21" s="1" t="s">
        <v>1373</v>
      </c>
      <c r="I21" s="1" t="s">
        <v>1376</v>
      </c>
    </row>
    <row r="22" spans="1:9" x14ac:dyDescent="0.3">
      <c r="A22" s="1" t="s">
        <v>43</v>
      </c>
      <c r="B22" s="1" t="s">
        <v>1375</v>
      </c>
      <c r="C22" s="1" t="s">
        <v>1385</v>
      </c>
      <c r="I22" s="1" t="s">
        <v>1379</v>
      </c>
    </row>
    <row r="23" spans="1:9" x14ac:dyDescent="0.3">
      <c r="A23" s="1" t="s">
        <v>43</v>
      </c>
      <c r="B23" s="1" t="s">
        <v>1376</v>
      </c>
      <c r="C23" s="1" t="s">
        <v>1386</v>
      </c>
      <c r="I23" s="1" t="s">
        <v>1380</v>
      </c>
    </row>
    <row r="24" spans="1:9" x14ac:dyDescent="0.3">
      <c r="A24" s="1" t="s">
        <v>43</v>
      </c>
      <c r="B24" s="2" t="s">
        <v>1387</v>
      </c>
      <c r="C24" s="1" t="s">
        <v>1343</v>
      </c>
      <c r="I24" s="1"/>
    </row>
    <row r="25" spans="1:9" x14ac:dyDescent="0.3">
      <c r="A25" s="1" t="s">
        <v>43</v>
      </c>
      <c r="B25" s="2" t="s">
        <v>1388</v>
      </c>
      <c r="C25" s="1" t="s">
        <v>1342</v>
      </c>
      <c r="I25" s="1"/>
    </row>
    <row r="26" spans="1:9" x14ac:dyDescent="0.3">
      <c r="A26" s="1" t="s">
        <v>43</v>
      </c>
      <c r="B26" s="2" t="s">
        <v>1389</v>
      </c>
      <c r="C26" s="1" t="s">
        <v>1344</v>
      </c>
      <c r="I26" s="1"/>
    </row>
    <row r="27" spans="1:9" x14ac:dyDescent="0.3">
      <c r="A27" s="1" t="s">
        <v>43</v>
      </c>
      <c r="B27" s="2" t="s">
        <v>1390</v>
      </c>
      <c r="C27" s="1" t="s">
        <v>1676</v>
      </c>
      <c r="I27" s="1"/>
    </row>
    <row r="28" spans="1:9" x14ac:dyDescent="0.3">
      <c r="A28" s="2" t="s">
        <v>1377</v>
      </c>
      <c r="B28" s="1" t="s">
        <v>1379</v>
      </c>
      <c r="C28" s="1" t="s">
        <v>1384</v>
      </c>
      <c r="I28" s="1" t="s">
        <v>1381</v>
      </c>
    </row>
    <row r="29" spans="1:9" x14ac:dyDescent="0.3">
      <c r="A29" s="2" t="s">
        <v>1377</v>
      </c>
      <c r="B29" s="1" t="s">
        <v>1380</v>
      </c>
      <c r="C29" s="3" t="s">
        <v>1382</v>
      </c>
    </row>
    <row r="30" spans="1:9" x14ac:dyDescent="0.3">
      <c r="A30" s="2" t="s">
        <v>1325</v>
      </c>
      <c r="B30" s="1" t="s">
        <v>1381</v>
      </c>
      <c r="C30" s="1" t="s">
        <v>1383</v>
      </c>
    </row>
    <row r="31" spans="1:9" x14ac:dyDescent="0.3">
      <c r="A31" s="2" t="s">
        <v>1325</v>
      </c>
      <c r="B31" s="2" t="s">
        <v>1391</v>
      </c>
      <c r="C31" s="1" t="s">
        <v>1392</v>
      </c>
    </row>
    <row r="32" spans="1:9" x14ac:dyDescent="0.3">
      <c r="A32" s="1" t="s">
        <v>1324</v>
      </c>
      <c r="B32" s="1"/>
      <c r="C32" s="1"/>
    </row>
    <row r="33" spans="1:14" x14ac:dyDescent="0.3">
      <c r="A33" s="1" t="s">
        <v>1378</v>
      </c>
      <c r="B33" s="1"/>
      <c r="C33" s="1"/>
    </row>
    <row r="34" spans="1:14" x14ac:dyDescent="0.3">
      <c r="A34" s="1" t="s">
        <v>1334</v>
      </c>
      <c r="B34" s="1"/>
      <c r="C34" s="1"/>
    </row>
    <row r="35" spans="1:14" x14ac:dyDescent="0.3">
      <c r="A35" s="1" t="s">
        <v>1335</v>
      </c>
      <c r="B35" s="1"/>
      <c r="C35" s="1"/>
    </row>
    <row r="36" spans="1:14" x14ac:dyDescent="0.3">
      <c r="A36" s="1" t="s">
        <v>1336</v>
      </c>
      <c r="B36" s="1"/>
      <c r="C36" s="1"/>
    </row>
    <row r="37" spans="1:14" x14ac:dyDescent="0.3">
      <c r="A37" s="1" t="s">
        <v>1337</v>
      </c>
      <c r="B37" s="1"/>
      <c r="C37" s="1"/>
    </row>
    <row r="38" spans="1:14" x14ac:dyDescent="0.3">
      <c r="A38" s="1"/>
      <c r="B38" s="1"/>
      <c r="C38" s="1"/>
    </row>
    <row r="40" spans="1:14" x14ac:dyDescent="0.3">
      <c r="A40" s="19" t="s">
        <v>2283</v>
      </c>
      <c r="E40" t="s">
        <v>2274</v>
      </c>
    </row>
    <row r="41" spans="1:14" x14ac:dyDescent="0.3">
      <c r="A41" s="7" t="s">
        <v>1393</v>
      </c>
      <c r="B41" s="8" t="s">
        <v>1412</v>
      </c>
      <c r="C41" s="8" t="s">
        <v>1413</v>
      </c>
      <c r="D41" s="8" t="s">
        <v>1414</v>
      </c>
      <c r="E41" s="8" t="s">
        <v>1415</v>
      </c>
      <c r="F41" s="8" t="s">
        <v>1416</v>
      </c>
      <c r="G41" s="8" t="s">
        <v>1417</v>
      </c>
      <c r="H41" s="8" t="s">
        <v>1685</v>
      </c>
      <c r="I41" s="8" t="s">
        <v>1426</v>
      </c>
      <c r="J41" s="8" t="s">
        <v>1686</v>
      </c>
      <c r="K41" s="8" t="s">
        <v>1687</v>
      </c>
      <c r="L41" s="8" t="s">
        <v>1688</v>
      </c>
      <c r="M41" s="8" t="s">
        <v>1689</v>
      </c>
      <c r="N41" s="8" t="s">
        <v>1690</v>
      </c>
    </row>
    <row r="42" spans="1:14" x14ac:dyDescent="0.3">
      <c r="A42" s="14" t="s">
        <v>1394</v>
      </c>
      <c r="B42" s="15" t="s">
        <v>1434</v>
      </c>
      <c r="C42" s="15" t="s">
        <v>1441</v>
      </c>
      <c r="D42" s="19" t="s">
        <v>1452</v>
      </c>
      <c r="E42" s="19" t="s">
        <v>1460</v>
      </c>
      <c r="F42" s="19" t="s">
        <v>1649</v>
      </c>
      <c r="G42" s="19" t="s">
        <v>1657</v>
      </c>
      <c r="H42" s="19" t="s">
        <v>1425</v>
      </c>
      <c r="I42" s="19" t="s">
        <v>1504</v>
      </c>
      <c r="J42" s="18" t="s">
        <v>1691</v>
      </c>
      <c r="K42" s="18" t="s">
        <v>1709</v>
      </c>
      <c r="L42" s="18" t="s">
        <v>1728</v>
      </c>
      <c r="M42" s="18" t="s">
        <v>1746</v>
      </c>
      <c r="N42" s="18" t="s">
        <v>1764</v>
      </c>
    </row>
    <row r="43" spans="1:14" x14ac:dyDescent="0.3">
      <c r="A43" s="14" t="s">
        <v>1395</v>
      </c>
      <c r="B43" s="14" t="s">
        <v>1435</v>
      </c>
      <c r="C43" s="14" t="s">
        <v>1442</v>
      </c>
      <c r="D43" s="14" t="s">
        <v>1453</v>
      </c>
      <c r="E43" s="14" t="s">
        <v>1461</v>
      </c>
      <c r="F43" s="14" t="s">
        <v>1650</v>
      </c>
      <c r="G43" s="15" t="s">
        <v>1658</v>
      </c>
      <c r="H43" s="19" t="s">
        <v>1484</v>
      </c>
      <c r="I43" s="19" t="s">
        <v>1505</v>
      </c>
      <c r="J43" s="18" t="s">
        <v>1692</v>
      </c>
      <c r="K43" s="18" t="s">
        <v>1710</v>
      </c>
      <c r="L43" s="18" t="s">
        <v>1729</v>
      </c>
      <c r="M43" s="18" t="s">
        <v>1747</v>
      </c>
      <c r="N43" s="18" t="s">
        <v>1765</v>
      </c>
    </row>
    <row r="44" spans="1:14" x14ac:dyDescent="0.3">
      <c r="A44" s="21" t="s">
        <v>1396</v>
      </c>
      <c r="B44" s="14" t="s">
        <v>1436</v>
      </c>
      <c r="C44" s="14" t="s">
        <v>1443</v>
      </c>
      <c r="D44" s="14" t="s">
        <v>1454</v>
      </c>
      <c r="E44" s="14" t="s">
        <v>1464</v>
      </c>
      <c r="F44" s="14" t="s">
        <v>1651</v>
      </c>
      <c r="G44" s="19" t="s">
        <v>1659</v>
      </c>
      <c r="H44" s="19" t="s">
        <v>1485</v>
      </c>
      <c r="I44" s="19" t="s">
        <v>1506</v>
      </c>
      <c r="J44" s="21" t="s">
        <v>1693</v>
      </c>
      <c r="K44" s="21" t="s">
        <v>1711</v>
      </c>
      <c r="L44" s="21" t="s">
        <v>1730</v>
      </c>
      <c r="M44" s="21" t="s">
        <v>1748</v>
      </c>
      <c r="N44" s="21" t="s">
        <v>1766</v>
      </c>
    </row>
    <row r="45" spans="1:14" x14ac:dyDescent="0.3">
      <c r="A45" s="14" t="s">
        <v>1397</v>
      </c>
      <c r="B45" s="14" t="s">
        <v>1444</v>
      </c>
      <c r="C45" s="14" t="s">
        <v>1445</v>
      </c>
      <c r="D45" s="14" t="s">
        <v>1455</v>
      </c>
      <c r="E45" s="14" t="s">
        <v>1462</v>
      </c>
      <c r="F45" s="14" t="s">
        <v>1652</v>
      </c>
      <c r="G45" s="19" t="s">
        <v>1660</v>
      </c>
      <c r="H45" s="19" t="s">
        <v>1486</v>
      </c>
      <c r="I45" s="19" t="s">
        <v>1507</v>
      </c>
      <c r="J45" s="18" t="s">
        <v>1694</v>
      </c>
      <c r="K45" s="18" t="s">
        <v>1712</v>
      </c>
      <c r="L45" s="18" t="s">
        <v>1731</v>
      </c>
      <c r="M45" s="18" t="s">
        <v>1749</v>
      </c>
      <c r="N45" s="18" t="s">
        <v>1767</v>
      </c>
    </row>
    <row r="46" spans="1:14" x14ac:dyDescent="0.3">
      <c r="A46" s="14" t="s">
        <v>1398</v>
      </c>
      <c r="B46" s="9" t="s">
        <v>1437</v>
      </c>
      <c r="C46" s="14" t="s">
        <v>1446</v>
      </c>
      <c r="D46" s="14" t="s">
        <v>1456</v>
      </c>
      <c r="E46" s="14" t="s">
        <v>1463</v>
      </c>
      <c r="F46" s="14" t="s">
        <v>1653</v>
      </c>
      <c r="G46" s="19" t="s">
        <v>1661</v>
      </c>
      <c r="H46" s="19" t="s">
        <v>1487</v>
      </c>
      <c r="I46" s="14"/>
      <c r="J46" s="18" t="s">
        <v>1695</v>
      </c>
      <c r="K46" s="18" t="s">
        <v>1713</v>
      </c>
      <c r="L46" s="18" t="s">
        <v>1732</v>
      </c>
      <c r="M46" s="18" t="s">
        <v>1750</v>
      </c>
      <c r="N46" s="18" t="s">
        <v>1768</v>
      </c>
    </row>
    <row r="47" spans="1:14" x14ac:dyDescent="0.3">
      <c r="A47" s="21" t="s">
        <v>1399</v>
      </c>
      <c r="B47" s="9" t="s">
        <v>1438</v>
      </c>
      <c r="C47" s="14" t="s">
        <v>1447</v>
      </c>
      <c r="D47" s="14" t="s">
        <v>1457</v>
      </c>
      <c r="E47" s="14" t="s">
        <v>1465</v>
      </c>
      <c r="F47" s="14" t="s">
        <v>1654</v>
      </c>
      <c r="G47" s="19" t="s">
        <v>1662</v>
      </c>
      <c r="H47" s="19" t="s">
        <v>1488</v>
      </c>
      <c r="I47" s="14"/>
      <c r="J47" s="21" t="s">
        <v>1696</v>
      </c>
      <c r="K47" s="21" t="s">
        <v>1714</v>
      </c>
      <c r="L47" s="21" t="s">
        <v>1733</v>
      </c>
      <c r="M47" s="21" t="s">
        <v>1751</v>
      </c>
      <c r="N47" s="21" t="s">
        <v>1769</v>
      </c>
    </row>
    <row r="48" spans="1:14" x14ac:dyDescent="0.3">
      <c r="A48" s="21" t="s">
        <v>1400</v>
      </c>
      <c r="B48" s="9" t="s">
        <v>1439</v>
      </c>
      <c r="C48" s="14" t="s">
        <v>1448</v>
      </c>
      <c r="D48" s="14" t="s">
        <v>1458</v>
      </c>
      <c r="E48" s="14" t="s">
        <v>1466</v>
      </c>
      <c r="F48" s="14" t="s">
        <v>1655</v>
      </c>
      <c r="G48" s="19" t="s">
        <v>1663</v>
      </c>
      <c r="H48" s="19" t="s">
        <v>1489</v>
      </c>
      <c r="I48" s="14"/>
      <c r="J48" s="21" t="s">
        <v>1697</v>
      </c>
      <c r="K48" s="21" t="s">
        <v>1715</v>
      </c>
      <c r="L48" s="21" t="s">
        <v>1734</v>
      </c>
      <c r="M48" s="21" t="s">
        <v>1752</v>
      </c>
      <c r="N48" s="21" t="s">
        <v>1770</v>
      </c>
    </row>
    <row r="49" spans="1:14" x14ac:dyDescent="0.3">
      <c r="A49" s="21" t="s">
        <v>1401</v>
      </c>
      <c r="B49" s="9" t="s">
        <v>1440</v>
      </c>
      <c r="C49" s="14" t="s">
        <v>1449</v>
      </c>
      <c r="D49" s="14" t="s">
        <v>1459</v>
      </c>
      <c r="E49" s="14" t="s">
        <v>1467</v>
      </c>
      <c r="F49" s="14" t="s">
        <v>1656</v>
      </c>
      <c r="G49" s="19" t="s">
        <v>1664</v>
      </c>
      <c r="H49" s="19" t="s">
        <v>1490</v>
      </c>
      <c r="I49" s="14"/>
      <c r="J49" s="21" t="s">
        <v>1698</v>
      </c>
      <c r="K49" s="21" t="s">
        <v>1716</v>
      </c>
      <c r="L49" s="21" t="s">
        <v>1735</v>
      </c>
      <c r="M49" s="21" t="s">
        <v>1753</v>
      </c>
      <c r="N49" s="21" t="s">
        <v>1771</v>
      </c>
    </row>
    <row r="50" spans="1:14" x14ac:dyDescent="0.3">
      <c r="A50" s="12" t="s">
        <v>1396</v>
      </c>
      <c r="B50" s="11" t="s">
        <v>1665</v>
      </c>
      <c r="C50" s="6" t="s">
        <v>1450</v>
      </c>
      <c r="E50" t="s">
        <v>1468</v>
      </c>
      <c r="F50" t="s">
        <v>1788</v>
      </c>
      <c r="G50" s="19" t="s">
        <v>2236</v>
      </c>
      <c r="H50" s="19" t="s">
        <v>1491</v>
      </c>
      <c r="J50" s="12" t="s">
        <v>1693</v>
      </c>
      <c r="K50" s="12" t="s">
        <v>1711</v>
      </c>
      <c r="L50" s="12" t="s">
        <v>1730</v>
      </c>
      <c r="M50" s="12" t="s">
        <v>1748</v>
      </c>
      <c r="N50" s="12" t="s">
        <v>1766</v>
      </c>
    </row>
    <row r="51" spans="1:14" x14ac:dyDescent="0.3">
      <c r="A51" s="21" t="s">
        <v>1402</v>
      </c>
      <c r="B51" s="10" t="s">
        <v>1666</v>
      </c>
      <c r="C51" s="19" t="s">
        <v>1451</v>
      </c>
      <c r="D51" s="14"/>
      <c r="E51" s="14" t="s">
        <v>1469</v>
      </c>
      <c r="F51" s="14" t="s">
        <v>1789</v>
      </c>
      <c r="G51" s="19" t="s">
        <v>2237</v>
      </c>
      <c r="H51" s="19" t="s">
        <v>1492</v>
      </c>
      <c r="I51" s="14"/>
      <c r="J51" s="21" t="s">
        <v>1699</v>
      </c>
      <c r="K51" s="21" t="s">
        <v>1717</v>
      </c>
      <c r="L51" s="21" t="s">
        <v>1736</v>
      </c>
      <c r="M51" s="21" t="s">
        <v>1754</v>
      </c>
      <c r="N51" s="21" t="s">
        <v>1772</v>
      </c>
    </row>
    <row r="52" spans="1:14" x14ac:dyDescent="0.3">
      <c r="A52" s="21" t="s">
        <v>1403</v>
      </c>
      <c r="B52" s="10" t="s">
        <v>1667</v>
      </c>
      <c r="C52" s="19"/>
      <c r="D52" s="14"/>
      <c r="E52" s="14" t="s">
        <v>1470</v>
      </c>
      <c r="F52" s="14" t="s">
        <v>1790</v>
      </c>
      <c r="G52" s="19" t="s">
        <v>2301</v>
      </c>
      <c r="H52" s="19" t="s">
        <v>1493</v>
      </c>
      <c r="I52" s="14"/>
      <c r="J52" s="21" t="s">
        <v>1700</v>
      </c>
      <c r="K52" s="21" t="s">
        <v>1718</v>
      </c>
      <c r="L52" s="21" t="s">
        <v>1737</v>
      </c>
      <c r="M52" s="21" t="s">
        <v>1755</v>
      </c>
      <c r="N52" s="21" t="s">
        <v>1773</v>
      </c>
    </row>
    <row r="53" spans="1:14" x14ac:dyDescent="0.3">
      <c r="A53" s="12" t="s">
        <v>1404</v>
      </c>
      <c r="B53" s="10" t="s">
        <v>1668</v>
      </c>
      <c r="C53" s="31"/>
      <c r="E53" t="s">
        <v>1471</v>
      </c>
      <c r="F53" t="s">
        <v>1789</v>
      </c>
      <c r="G53" s="19" t="s">
        <v>2302</v>
      </c>
      <c r="H53" s="19" t="s">
        <v>1494</v>
      </c>
      <c r="J53" s="12" t="s">
        <v>1701</v>
      </c>
      <c r="K53" s="12" t="s">
        <v>1719</v>
      </c>
      <c r="L53" s="12" t="s">
        <v>1738</v>
      </c>
      <c r="M53" s="12" t="s">
        <v>1756</v>
      </c>
      <c r="N53" s="12" t="s">
        <v>1774</v>
      </c>
    </row>
    <row r="54" spans="1:14" x14ac:dyDescent="0.3">
      <c r="A54" s="21" t="s">
        <v>1405</v>
      </c>
      <c r="B54" s="10" t="s">
        <v>1669</v>
      </c>
      <c r="C54" s="31"/>
      <c r="D54" s="14"/>
      <c r="E54" s="14" t="s">
        <v>1472</v>
      </c>
      <c r="F54" s="14" t="s">
        <v>1791</v>
      </c>
      <c r="G54" s="19" t="s">
        <v>2306</v>
      </c>
      <c r="H54" s="19" t="s">
        <v>1495</v>
      </c>
      <c r="I54" s="14"/>
      <c r="J54" s="21" t="s">
        <v>1702</v>
      </c>
      <c r="K54" s="21" t="s">
        <v>1720</v>
      </c>
      <c r="L54" s="21" t="s">
        <v>1739</v>
      </c>
      <c r="M54" s="21" t="s">
        <v>1757</v>
      </c>
      <c r="N54" s="21" t="s">
        <v>1775</v>
      </c>
    </row>
    <row r="55" spans="1:14" x14ac:dyDescent="0.3">
      <c r="A55" s="12" t="s">
        <v>1406</v>
      </c>
      <c r="B55" s="10" t="s">
        <v>1670</v>
      </c>
      <c r="C55" s="31"/>
      <c r="E55" t="s">
        <v>1473</v>
      </c>
      <c r="F55" t="s">
        <v>1792</v>
      </c>
      <c r="G55" s="19" t="s">
        <v>2303</v>
      </c>
      <c r="H55" s="19" t="s">
        <v>1496</v>
      </c>
      <c r="J55" s="12" t="s">
        <v>1703</v>
      </c>
      <c r="K55" s="12" t="s">
        <v>1721</v>
      </c>
      <c r="L55" s="12" t="s">
        <v>1740</v>
      </c>
      <c r="M55" s="12" t="s">
        <v>1758</v>
      </c>
      <c r="N55" s="12" t="s">
        <v>1776</v>
      </c>
    </row>
    <row r="56" spans="1:14" x14ac:dyDescent="0.3">
      <c r="A56" s="21" t="s">
        <v>1407</v>
      </c>
      <c r="B56" s="10" t="s">
        <v>1671</v>
      </c>
      <c r="C56" s="31"/>
      <c r="D56" s="14"/>
      <c r="E56" s="14" t="s">
        <v>1474</v>
      </c>
      <c r="F56" s="14" t="s">
        <v>1793</v>
      </c>
      <c r="G56" s="19" t="s">
        <v>2304</v>
      </c>
      <c r="H56" s="19" t="s">
        <v>1497</v>
      </c>
      <c r="I56" s="14"/>
      <c r="J56" s="21" t="s">
        <v>1704</v>
      </c>
      <c r="K56" s="21" t="s">
        <v>1722</v>
      </c>
      <c r="L56" s="21" t="s">
        <v>1741</v>
      </c>
      <c r="M56" s="21" t="s">
        <v>1759</v>
      </c>
      <c r="N56" s="21" t="s">
        <v>1777</v>
      </c>
    </row>
    <row r="57" spans="1:14" x14ac:dyDescent="0.3">
      <c r="A57" s="21" t="s">
        <v>1408</v>
      </c>
      <c r="B57" s="10" t="s">
        <v>1672</v>
      </c>
      <c r="C57" s="31"/>
      <c r="D57" s="14"/>
      <c r="E57" s="14" t="s">
        <v>1475</v>
      </c>
      <c r="F57" s="14" t="s">
        <v>1794</v>
      </c>
      <c r="G57" s="19" t="s">
        <v>2305</v>
      </c>
      <c r="H57" s="19" t="s">
        <v>1498</v>
      </c>
      <c r="I57" s="14"/>
      <c r="J57" s="21" t="s">
        <v>1705</v>
      </c>
      <c r="K57" s="21" t="s">
        <v>1723</v>
      </c>
      <c r="L57" s="21" t="s">
        <v>1742</v>
      </c>
      <c r="M57" s="21" t="s">
        <v>1760</v>
      </c>
      <c r="N57" s="21" t="s">
        <v>1778</v>
      </c>
    </row>
    <row r="58" spans="1:14" x14ac:dyDescent="0.3">
      <c r="A58" s="21" t="s">
        <v>1409</v>
      </c>
      <c r="B58" s="14"/>
      <c r="C58" s="31"/>
      <c r="D58" s="14"/>
      <c r="E58" s="14" t="s">
        <v>1476</v>
      </c>
      <c r="F58" s="14" t="s">
        <v>1795</v>
      </c>
      <c r="G58" s="19" t="s">
        <v>2348</v>
      </c>
      <c r="H58" s="19" t="s">
        <v>1499</v>
      </c>
      <c r="I58" s="14"/>
      <c r="J58" s="21" t="s">
        <v>1706</v>
      </c>
      <c r="K58" s="21" t="s">
        <v>1724</v>
      </c>
      <c r="L58" s="21" t="s">
        <v>1743</v>
      </c>
      <c r="M58" s="21" t="s">
        <v>1761</v>
      </c>
      <c r="N58" s="21" t="s">
        <v>1779</v>
      </c>
    </row>
    <row r="59" spans="1:14" x14ac:dyDescent="0.3">
      <c r="A59" s="21" t="s">
        <v>1405</v>
      </c>
      <c r="B59" s="14"/>
      <c r="C59" s="31"/>
      <c r="D59" s="14"/>
      <c r="E59" s="14" t="s">
        <v>1477</v>
      </c>
      <c r="F59" s="14" t="s">
        <v>1796</v>
      </c>
      <c r="G59" s="19" t="s">
        <v>2349</v>
      </c>
      <c r="H59" s="19" t="s">
        <v>1500</v>
      </c>
      <c r="I59" s="14"/>
      <c r="J59" s="21" t="s">
        <v>1702</v>
      </c>
      <c r="K59" s="21" t="s">
        <v>1725</v>
      </c>
      <c r="L59" s="21" t="s">
        <v>1739</v>
      </c>
      <c r="M59" s="21" t="s">
        <v>1757</v>
      </c>
      <c r="N59" s="21" t="s">
        <v>1775</v>
      </c>
    </row>
    <row r="60" spans="1:14" x14ac:dyDescent="0.3">
      <c r="A60" s="21" t="s">
        <v>1410</v>
      </c>
      <c r="B60" s="14"/>
      <c r="D60" s="14"/>
      <c r="E60" s="14" t="s">
        <v>1478</v>
      </c>
      <c r="F60" s="14"/>
      <c r="G60" s="19" t="s">
        <v>2350</v>
      </c>
      <c r="H60" s="19" t="s">
        <v>1501</v>
      </c>
      <c r="I60" s="14"/>
      <c r="J60" s="21" t="s">
        <v>1707</v>
      </c>
      <c r="K60" s="21" t="s">
        <v>1726</v>
      </c>
      <c r="L60" s="21" t="s">
        <v>1744</v>
      </c>
      <c r="M60" s="21" t="s">
        <v>1762</v>
      </c>
      <c r="N60" s="21" t="s">
        <v>1780</v>
      </c>
    </row>
    <row r="61" spans="1:14" x14ac:dyDescent="0.3">
      <c r="A61" s="21" t="s">
        <v>1411</v>
      </c>
      <c r="B61" s="14"/>
      <c r="C61" s="19"/>
      <c r="D61" s="14"/>
      <c r="E61" s="14" t="s">
        <v>1479</v>
      </c>
      <c r="F61" s="14"/>
      <c r="G61" s="19" t="s">
        <v>2351</v>
      </c>
      <c r="H61" s="19" t="s">
        <v>1502</v>
      </c>
      <c r="I61" s="14"/>
      <c r="J61" s="21" t="s">
        <v>1708</v>
      </c>
      <c r="K61" s="21" t="s">
        <v>1727</v>
      </c>
      <c r="L61" s="21" t="s">
        <v>1745</v>
      </c>
      <c r="M61" s="21" t="s">
        <v>1763</v>
      </c>
      <c r="N61" s="21" t="s">
        <v>1781</v>
      </c>
    </row>
    <row r="62" spans="1:14" x14ac:dyDescent="0.3">
      <c r="A62" s="21" t="s">
        <v>1682</v>
      </c>
      <c r="B62" s="14"/>
      <c r="C62" s="14"/>
      <c r="D62" s="14"/>
      <c r="E62" s="14" t="s">
        <v>1480</v>
      </c>
      <c r="F62" s="14"/>
      <c r="G62" s="19" t="s">
        <v>2352</v>
      </c>
      <c r="H62" s="19" t="s">
        <v>1503</v>
      </c>
      <c r="I62" s="14"/>
      <c r="J62" s="21" t="s">
        <v>1784</v>
      </c>
      <c r="K62" s="21" t="s">
        <v>1782</v>
      </c>
      <c r="L62" s="21" t="s">
        <v>1783</v>
      </c>
      <c r="M62" s="21" t="s">
        <v>2154</v>
      </c>
      <c r="N62" s="21" t="s">
        <v>2155</v>
      </c>
    </row>
    <row r="63" spans="1:14" x14ac:dyDescent="0.3">
      <c r="A63" s="21" t="s">
        <v>2150</v>
      </c>
      <c r="B63" s="14"/>
      <c r="C63" s="14"/>
      <c r="D63" s="14"/>
      <c r="E63" s="14" t="s">
        <v>1481</v>
      </c>
      <c r="F63" s="14"/>
      <c r="G63" s="19" t="s">
        <v>2353</v>
      </c>
      <c r="H63" s="19" t="s">
        <v>1826</v>
      </c>
      <c r="I63" s="14"/>
      <c r="J63" s="21" t="s">
        <v>1787</v>
      </c>
      <c r="K63" s="21" t="s">
        <v>1786</v>
      </c>
      <c r="L63" s="22" t="s">
        <v>1785</v>
      </c>
    </row>
    <row r="64" spans="1:14" x14ac:dyDescent="0.3">
      <c r="A64" s="21" t="s">
        <v>2228</v>
      </c>
      <c r="B64" s="14"/>
      <c r="C64" s="14"/>
      <c r="D64" s="14"/>
      <c r="E64" s="14" t="s">
        <v>1482</v>
      </c>
      <c r="F64" s="14"/>
      <c r="G64" s="19" t="s">
        <v>2354</v>
      </c>
      <c r="H64" s="19" t="s">
        <v>1827</v>
      </c>
      <c r="I64" s="14"/>
      <c r="J64" s="21" t="s">
        <v>2151</v>
      </c>
      <c r="K64" s="21" t="s">
        <v>1797</v>
      </c>
      <c r="L64" s="22" t="s">
        <v>2153</v>
      </c>
    </row>
    <row r="65" spans="1:12" x14ac:dyDescent="0.3">
      <c r="A65" s="12" t="s">
        <v>2261</v>
      </c>
      <c r="E65" t="s">
        <v>1483</v>
      </c>
      <c r="G65" s="19" t="s">
        <v>2355</v>
      </c>
      <c r="H65" s="19" t="s">
        <v>2241</v>
      </c>
      <c r="K65" s="21" t="s">
        <v>2152</v>
      </c>
      <c r="L65" s="14"/>
    </row>
    <row r="66" spans="1:12" x14ac:dyDescent="0.3">
      <c r="A66" s="13" t="s">
        <v>2262</v>
      </c>
      <c r="E66" t="s">
        <v>2273</v>
      </c>
      <c r="H66" s="19" t="s">
        <v>2268</v>
      </c>
      <c r="K66" s="14"/>
      <c r="L66" s="14"/>
    </row>
    <row r="67" spans="1:12" x14ac:dyDescent="0.3">
      <c r="A67" s="8" t="s">
        <v>1418</v>
      </c>
      <c r="B67" s="8" t="s">
        <v>1419</v>
      </c>
      <c r="C67" s="8" t="s">
        <v>1420</v>
      </c>
      <c r="D67" s="8" t="s">
        <v>1421</v>
      </c>
      <c r="E67" s="8" t="s">
        <v>1422</v>
      </c>
      <c r="F67" s="8" t="s">
        <v>1423</v>
      </c>
      <c r="G67" s="8" t="s">
        <v>1427</v>
      </c>
      <c r="H67" s="8" t="s">
        <v>1428</v>
      </c>
      <c r="I67" s="8" t="s">
        <v>1429</v>
      </c>
      <c r="J67" s="8" t="s">
        <v>1675</v>
      </c>
      <c r="K67" s="14"/>
      <c r="L67" s="14"/>
    </row>
    <row r="68" spans="1:12" x14ac:dyDescent="0.3">
      <c r="A68" s="21" t="s">
        <v>1508</v>
      </c>
      <c r="B68" s="15" t="s">
        <v>1517</v>
      </c>
      <c r="C68" s="14" t="s">
        <v>1520</v>
      </c>
      <c r="D68" s="15" t="s">
        <v>1528</v>
      </c>
      <c r="E68" s="19" t="s">
        <v>1537</v>
      </c>
      <c r="F68" s="19" t="s">
        <v>1548</v>
      </c>
      <c r="G68" s="19" t="s">
        <v>1424</v>
      </c>
      <c r="H68" s="19" t="s">
        <v>1561</v>
      </c>
      <c r="I68" s="19" t="s">
        <v>1563</v>
      </c>
      <c r="J68" s="19" t="s">
        <v>1677</v>
      </c>
      <c r="K68" s="14"/>
      <c r="L68" s="14"/>
    </row>
    <row r="69" spans="1:12" x14ac:dyDescent="0.3">
      <c r="A69" s="21" t="s">
        <v>1509</v>
      </c>
      <c r="B69" s="15" t="s">
        <v>1518</v>
      </c>
      <c r="C69" s="15" t="s">
        <v>1521</v>
      </c>
      <c r="D69" s="19" t="s">
        <v>1529</v>
      </c>
      <c r="E69" s="19" t="s">
        <v>1536</v>
      </c>
      <c r="F69" s="19" t="s">
        <v>1549</v>
      </c>
      <c r="G69" s="19" t="s">
        <v>1557</v>
      </c>
      <c r="H69" s="19" t="s">
        <v>1562</v>
      </c>
      <c r="I69" s="19" t="s">
        <v>1564</v>
      </c>
      <c r="J69" s="19" t="s">
        <v>1678</v>
      </c>
      <c r="K69" s="14"/>
      <c r="L69" s="14"/>
    </row>
    <row r="70" spans="1:12" x14ac:dyDescent="0.3">
      <c r="A70" s="21" t="s">
        <v>1510</v>
      </c>
      <c r="B70" s="19" t="s">
        <v>1519</v>
      </c>
      <c r="C70" s="19" t="s">
        <v>1522</v>
      </c>
      <c r="D70" s="19" t="s">
        <v>1530</v>
      </c>
      <c r="E70" s="19" t="s">
        <v>1538</v>
      </c>
      <c r="F70" s="19" t="s">
        <v>1551</v>
      </c>
      <c r="G70" s="19" t="s">
        <v>1559</v>
      </c>
      <c r="H70" s="19" t="s">
        <v>1565</v>
      </c>
      <c r="I70" s="14"/>
      <c r="J70" s="19" t="s">
        <v>1679</v>
      </c>
      <c r="K70" s="14"/>
      <c r="L70" s="14"/>
    </row>
    <row r="71" spans="1:12" x14ac:dyDescent="0.3">
      <c r="A71" s="21" t="s">
        <v>1511</v>
      </c>
      <c r="B71" s="15"/>
      <c r="C71" s="19" t="s">
        <v>1523</v>
      </c>
      <c r="D71" s="19" t="s">
        <v>1531</v>
      </c>
      <c r="E71" s="19" t="s">
        <v>1539</v>
      </c>
      <c r="F71" s="19" t="s">
        <v>1552</v>
      </c>
      <c r="G71" s="19" t="s">
        <v>1560</v>
      </c>
      <c r="H71" s="19" t="s">
        <v>1566</v>
      </c>
      <c r="I71" s="14"/>
      <c r="J71" s="19" t="s">
        <v>1680</v>
      </c>
    </row>
    <row r="72" spans="1:12" x14ac:dyDescent="0.3">
      <c r="A72" s="12" t="s">
        <v>1512</v>
      </c>
      <c r="C72" s="19" t="s">
        <v>1524</v>
      </c>
      <c r="D72" s="19" t="s">
        <v>1532</v>
      </c>
      <c r="E72" s="19" t="s">
        <v>1540</v>
      </c>
      <c r="F72" s="19" t="s">
        <v>1553</v>
      </c>
      <c r="G72" s="19" t="s">
        <v>1558</v>
      </c>
      <c r="H72" s="19" t="s">
        <v>1567</v>
      </c>
      <c r="J72" s="19" t="s">
        <v>1681</v>
      </c>
      <c r="K72" s="14"/>
      <c r="L72" s="14"/>
    </row>
    <row r="73" spans="1:12" x14ac:dyDescent="0.3">
      <c r="A73" s="13" t="s">
        <v>1513</v>
      </c>
      <c r="B73" s="14"/>
      <c r="C73" s="19" t="s">
        <v>1525</v>
      </c>
      <c r="D73" s="19" t="s">
        <v>1533</v>
      </c>
      <c r="E73" s="19" t="s">
        <v>1541</v>
      </c>
      <c r="F73" s="19" t="s">
        <v>1554</v>
      </c>
      <c r="G73" s="19" t="s">
        <v>2222</v>
      </c>
      <c r="H73" s="19" t="s">
        <v>1568</v>
      </c>
      <c r="I73" s="14"/>
      <c r="J73" s="19" t="s">
        <v>1683</v>
      </c>
    </row>
    <row r="74" spans="1:12" x14ac:dyDescent="0.3">
      <c r="A74" s="13" t="s">
        <v>1514</v>
      </c>
      <c r="C74" s="19" t="s">
        <v>1526</v>
      </c>
      <c r="D74" s="19" t="s">
        <v>1534</v>
      </c>
      <c r="E74" s="19" t="s">
        <v>1542</v>
      </c>
      <c r="F74" s="19" t="s">
        <v>1555</v>
      </c>
      <c r="G74" s="19" t="s">
        <v>2221</v>
      </c>
      <c r="J74" s="19" t="s">
        <v>1684</v>
      </c>
      <c r="K74" s="14"/>
      <c r="L74" s="14"/>
    </row>
    <row r="75" spans="1:12" x14ac:dyDescent="0.3">
      <c r="A75" s="13" t="s">
        <v>1515</v>
      </c>
      <c r="B75" s="14"/>
      <c r="C75" s="19" t="s">
        <v>1527</v>
      </c>
      <c r="D75" s="19" t="s">
        <v>1535</v>
      </c>
      <c r="E75" s="19" t="s">
        <v>1543</v>
      </c>
      <c r="F75" s="19" t="s">
        <v>1556</v>
      </c>
      <c r="G75" s="14"/>
      <c r="H75" s="14"/>
      <c r="I75" s="14"/>
      <c r="J75" s="19" t="s">
        <v>2243</v>
      </c>
      <c r="K75" s="14"/>
      <c r="L75" s="14"/>
    </row>
    <row r="76" spans="1:12" x14ac:dyDescent="0.3">
      <c r="A76" s="13" t="s">
        <v>1516</v>
      </c>
      <c r="B76" s="14"/>
      <c r="C76" s="19" t="s">
        <v>1544</v>
      </c>
      <c r="D76" s="19" t="s">
        <v>1545</v>
      </c>
      <c r="E76" s="19" t="s">
        <v>1546</v>
      </c>
      <c r="F76" s="19" t="s">
        <v>2235</v>
      </c>
      <c r="G76" s="14"/>
      <c r="H76" s="14"/>
      <c r="I76" s="14"/>
      <c r="J76" s="19" t="s">
        <v>2244</v>
      </c>
      <c r="K76" s="14"/>
      <c r="L76" s="14"/>
    </row>
    <row r="77" spans="1:12" x14ac:dyDescent="0.3">
      <c r="A77" s="13" t="s">
        <v>1673</v>
      </c>
      <c r="B77" s="14"/>
      <c r="C77" s="19" t="s">
        <v>2231</v>
      </c>
      <c r="D77" s="19" t="s">
        <v>2232</v>
      </c>
      <c r="E77" s="19" t="s">
        <v>1547</v>
      </c>
      <c r="F77" s="14"/>
      <c r="G77" s="14"/>
      <c r="H77" s="14"/>
      <c r="I77" s="14"/>
      <c r="J77" s="19" t="s">
        <v>2284</v>
      </c>
    </row>
    <row r="78" spans="1:12" x14ac:dyDescent="0.3">
      <c r="A78" s="13" t="s">
        <v>1674</v>
      </c>
      <c r="C78" s="19" t="s">
        <v>2233</v>
      </c>
      <c r="D78" s="19" t="s">
        <v>2234</v>
      </c>
      <c r="E78" s="19" t="s">
        <v>1550</v>
      </c>
      <c r="K78" s="14"/>
      <c r="L78" s="14"/>
    </row>
    <row r="79" spans="1:12" x14ac:dyDescent="0.3">
      <c r="A79" s="13" t="s">
        <v>2356</v>
      </c>
      <c r="E79" s="17"/>
      <c r="F79" s="17"/>
      <c r="G79" s="17"/>
      <c r="H79" s="17"/>
      <c r="I79" s="14"/>
      <c r="J79" s="14"/>
      <c r="K79" s="14"/>
      <c r="L79" s="14"/>
    </row>
    <row r="80" spans="1:12" x14ac:dyDescent="0.3">
      <c r="A80" s="8" t="s">
        <v>1430</v>
      </c>
      <c r="B80" s="8" t="s">
        <v>1431</v>
      </c>
      <c r="C80" s="8" t="s">
        <v>1432</v>
      </c>
      <c r="D80" s="8" t="s">
        <v>1433</v>
      </c>
      <c r="E80" s="8" t="s">
        <v>1593</v>
      </c>
      <c r="F80" s="8" t="s">
        <v>1594</v>
      </c>
      <c r="G80" s="8" t="s">
        <v>1595</v>
      </c>
      <c r="H80" s="8" t="s">
        <v>1596</v>
      </c>
      <c r="I80" s="8" t="s">
        <v>1597</v>
      </c>
      <c r="J80" s="8" t="s">
        <v>1598</v>
      </c>
      <c r="K80" s="14"/>
      <c r="L80" s="14"/>
    </row>
    <row r="81" spans="1:12" x14ac:dyDescent="0.3">
      <c r="A81" s="12" t="s">
        <v>1569</v>
      </c>
      <c r="B81" s="6" t="s">
        <v>1574</v>
      </c>
      <c r="C81" s="6" t="s">
        <v>1587</v>
      </c>
      <c r="D81" s="19" t="s">
        <v>1644</v>
      </c>
      <c r="E81" s="20" t="s">
        <v>1599</v>
      </c>
      <c r="F81" s="20" t="s">
        <v>1605</v>
      </c>
      <c r="G81" s="20" t="s">
        <v>1619</v>
      </c>
      <c r="H81" s="20" t="s">
        <v>1627</v>
      </c>
      <c r="I81" s="20" t="s">
        <v>1635</v>
      </c>
      <c r="J81" s="20" t="s">
        <v>1642</v>
      </c>
    </row>
    <row r="82" spans="1:12" x14ac:dyDescent="0.3">
      <c r="A82" s="21" t="s">
        <v>1570</v>
      </c>
      <c r="B82" s="14" t="s">
        <v>1575</v>
      </c>
      <c r="C82" s="14" t="s">
        <v>1588</v>
      </c>
      <c r="D82" s="14" t="s">
        <v>1645</v>
      </c>
      <c r="E82" s="20" t="s">
        <v>1600</v>
      </c>
      <c r="F82" s="20" t="s">
        <v>1606</v>
      </c>
      <c r="G82" s="20" t="s">
        <v>1620</v>
      </c>
      <c r="H82" s="20" t="s">
        <v>1628</v>
      </c>
      <c r="I82" s="20" t="s">
        <v>1636</v>
      </c>
      <c r="J82" s="20" t="s">
        <v>1643</v>
      </c>
      <c r="K82" s="14"/>
      <c r="L82" s="14"/>
    </row>
    <row r="83" spans="1:12" x14ac:dyDescent="0.3">
      <c r="A83" s="12" t="s">
        <v>1571</v>
      </c>
      <c r="B83" s="6" t="s">
        <v>1576</v>
      </c>
      <c r="C83" s="6" t="s">
        <v>1589</v>
      </c>
      <c r="D83" s="19" t="s">
        <v>1646</v>
      </c>
      <c r="E83" s="20" t="s">
        <v>1601</v>
      </c>
      <c r="F83" s="20" t="s">
        <v>1607</v>
      </c>
      <c r="G83" s="20" t="s">
        <v>1621</v>
      </c>
      <c r="H83" s="20" t="s">
        <v>1629</v>
      </c>
      <c r="I83" s="20" t="s">
        <v>1637</v>
      </c>
    </row>
    <row r="84" spans="1:12" x14ac:dyDescent="0.3">
      <c r="A84" s="13" t="s">
        <v>1572</v>
      </c>
      <c r="B84" s="19" t="s">
        <v>1577</v>
      </c>
      <c r="C84" s="19" t="s">
        <v>1590</v>
      </c>
      <c r="D84" s="19" t="s">
        <v>1647</v>
      </c>
      <c r="E84" s="20" t="s">
        <v>1602</v>
      </c>
      <c r="F84" s="20" t="s">
        <v>1608</v>
      </c>
      <c r="G84" s="20" t="s">
        <v>1622</v>
      </c>
      <c r="H84" s="20" t="s">
        <v>1631</v>
      </c>
      <c r="I84" s="20" t="s">
        <v>1638</v>
      </c>
      <c r="J84" s="14"/>
      <c r="K84" s="14"/>
      <c r="L84" s="14"/>
    </row>
    <row r="85" spans="1:12" x14ac:dyDescent="0.3">
      <c r="A85" s="13" t="s">
        <v>1570</v>
      </c>
      <c r="B85" s="19" t="s">
        <v>1578</v>
      </c>
      <c r="C85" s="19" t="s">
        <v>1588</v>
      </c>
      <c r="D85" s="19" t="s">
        <v>1645</v>
      </c>
      <c r="E85" s="20" t="s">
        <v>1603</v>
      </c>
      <c r="F85" s="20" t="s">
        <v>1609</v>
      </c>
      <c r="G85" s="20" t="s">
        <v>1623</v>
      </c>
      <c r="H85" s="20" t="s">
        <v>1630</v>
      </c>
      <c r="I85" s="20" t="s">
        <v>1639</v>
      </c>
    </row>
    <row r="86" spans="1:12" x14ac:dyDescent="0.3">
      <c r="A86" s="21" t="s">
        <v>1573</v>
      </c>
      <c r="B86" s="19" t="s">
        <v>1579</v>
      </c>
      <c r="C86" s="19" t="s">
        <v>1591</v>
      </c>
      <c r="D86" s="19" t="s">
        <v>1648</v>
      </c>
      <c r="E86" s="20" t="s">
        <v>1604</v>
      </c>
      <c r="F86" s="20" t="s">
        <v>1610</v>
      </c>
      <c r="G86" s="20" t="s">
        <v>1624</v>
      </c>
      <c r="H86" s="20" t="s">
        <v>1633</v>
      </c>
      <c r="I86" s="20" t="s">
        <v>1640</v>
      </c>
      <c r="J86" s="14"/>
      <c r="K86" s="14"/>
      <c r="L86" s="14"/>
    </row>
    <row r="87" spans="1:12" x14ac:dyDescent="0.3">
      <c r="B87" s="19" t="s">
        <v>1580</v>
      </c>
      <c r="C87" s="19" t="s">
        <v>1592</v>
      </c>
      <c r="E87" s="20" t="s">
        <v>2229</v>
      </c>
      <c r="F87" s="20" t="s">
        <v>1611</v>
      </c>
      <c r="G87" s="20" t="s">
        <v>1625</v>
      </c>
      <c r="H87" s="20" t="s">
        <v>1634</v>
      </c>
      <c r="I87" s="20" t="s">
        <v>1641</v>
      </c>
    </row>
    <row r="88" spans="1:12" x14ac:dyDescent="0.3">
      <c r="A88" s="16"/>
      <c r="B88" s="19" t="s">
        <v>1578</v>
      </c>
      <c r="C88" s="19"/>
      <c r="D88" s="14"/>
      <c r="E88" s="20" t="s">
        <v>2230</v>
      </c>
      <c r="F88" s="20" t="s">
        <v>1612</v>
      </c>
      <c r="G88" s="20" t="s">
        <v>1626</v>
      </c>
      <c r="H88" s="20" t="s">
        <v>1632</v>
      </c>
      <c r="I88" s="20" t="s">
        <v>2264</v>
      </c>
    </row>
    <row r="89" spans="1:12" x14ac:dyDescent="0.3">
      <c r="B89" s="19" t="s">
        <v>1581</v>
      </c>
      <c r="C89" s="19"/>
      <c r="E89" s="20" t="s">
        <v>2277</v>
      </c>
      <c r="F89" s="20" t="s">
        <v>1613</v>
      </c>
      <c r="I89" s="20" t="s">
        <v>2265</v>
      </c>
    </row>
    <row r="90" spans="1:12" x14ac:dyDescent="0.3">
      <c r="A90" s="16"/>
      <c r="B90" s="19" t="s">
        <v>1582</v>
      </c>
      <c r="C90" s="14"/>
      <c r="D90" s="14"/>
      <c r="E90" s="20" t="s">
        <v>2278</v>
      </c>
      <c r="F90" s="20" t="s">
        <v>1614</v>
      </c>
      <c r="G90" s="14"/>
      <c r="H90" s="14"/>
      <c r="I90" s="20" t="s">
        <v>2266</v>
      </c>
    </row>
    <row r="91" spans="1:12" x14ac:dyDescent="0.3">
      <c r="B91" s="19" t="s">
        <v>1583</v>
      </c>
      <c r="E91" s="20" t="s">
        <v>2279</v>
      </c>
      <c r="F91" s="20" t="s">
        <v>1615</v>
      </c>
      <c r="I91" s="20" t="s">
        <v>2267</v>
      </c>
    </row>
    <row r="92" spans="1:12" x14ac:dyDescent="0.3">
      <c r="B92" s="19" t="s">
        <v>1584</v>
      </c>
      <c r="E92" s="20" t="s">
        <v>2280</v>
      </c>
      <c r="F92" s="20" t="s">
        <v>1616</v>
      </c>
    </row>
    <row r="93" spans="1:12" x14ac:dyDescent="0.3">
      <c r="B93" s="19" t="s">
        <v>1585</v>
      </c>
      <c r="F93" s="20" t="s">
        <v>1617</v>
      </c>
    </row>
    <row r="94" spans="1:12" x14ac:dyDescent="0.3">
      <c r="B94" s="19" t="s">
        <v>1583</v>
      </c>
      <c r="F94" s="20" t="s">
        <v>1618</v>
      </c>
    </row>
    <row r="95" spans="1:12" x14ac:dyDescent="0.3">
      <c r="B95" s="19" t="s">
        <v>1586</v>
      </c>
    </row>
    <row r="96" spans="1:12" x14ac:dyDescent="0.3">
      <c r="B96" s="19" t="s">
        <v>1798</v>
      </c>
    </row>
    <row r="101" spans="1:3" x14ac:dyDescent="0.3">
      <c r="A101" s="23" t="s">
        <v>1799</v>
      </c>
      <c r="B101" s="23" t="s">
        <v>1808</v>
      </c>
      <c r="C101" s="23" t="s">
        <v>1816</v>
      </c>
    </row>
    <row r="102" spans="1:3" x14ac:dyDescent="0.3">
      <c r="A102" s="19" t="s">
        <v>1800</v>
      </c>
      <c r="B102" s="25" t="s">
        <v>1809</v>
      </c>
      <c r="C102" s="19" t="s">
        <v>1818</v>
      </c>
    </row>
    <row r="103" spans="1:3" x14ac:dyDescent="0.3">
      <c r="A103" s="25" t="s">
        <v>1801</v>
      </c>
      <c r="B103" s="19" t="s">
        <v>1810</v>
      </c>
      <c r="C103" s="25" t="s">
        <v>1817</v>
      </c>
    </row>
    <row r="104" spans="1:3" x14ac:dyDescent="0.3">
      <c r="A104" s="25" t="s">
        <v>1802</v>
      </c>
      <c r="B104" s="19" t="s">
        <v>1811</v>
      </c>
      <c r="C104" s="19" t="s">
        <v>1819</v>
      </c>
    </row>
    <row r="105" spans="1:3" x14ac:dyDescent="0.3">
      <c r="A105" s="25" t="s">
        <v>1803</v>
      </c>
      <c r="B105" s="19" t="s">
        <v>1812</v>
      </c>
      <c r="C105" s="19" t="s">
        <v>1820</v>
      </c>
    </row>
    <row r="106" spans="1:3" x14ac:dyDescent="0.3">
      <c r="A106" s="25" t="s">
        <v>1804</v>
      </c>
      <c r="B106" s="19" t="s">
        <v>1813</v>
      </c>
      <c r="C106" s="19" t="s">
        <v>1817</v>
      </c>
    </row>
    <row r="107" spans="1:3" x14ac:dyDescent="0.3">
      <c r="A107" s="25" t="s">
        <v>1805</v>
      </c>
      <c r="B107" s="19" t="s">
        <v>1814</v>
      </c>
      <c r="C107" s="19" t="s">
        <v>1821</v>
      </c>
    </row>
    <row r="108" spans="1:3" x14ac:dyDescent="0.3">
      <c r="A108" s="25" t="s">
        <v>1806</v>
      </c>
      <c r="B108" s="19" t="s">
        <v>1815</v>
      </c>
      <c r="C108" s="19" t="s">
        <v>1823</v>
      </c>
    </row>
    <row r="109" spans="1:3" x14ac:dyDescent="0.3">
      <c r="A109" s="25" t="s">
        <v>1807</v>
      </c>
      <c r="B109" s="19" t="s">
        <v>2219</v>
      </c>
      <c r="C109" s="19" t="s">
        <v>1824</v>
      </c>
    </row>
    <row r="110" spans="1:3" x14ac:dyDescent="0.3">
      <c r="A110" s="6" t="s">
        <v>1828</v>
      </c>
      <c r="B110" s="19" t="s">
        <v>2220</v>
      </c>
      <c r="C110" s="19" t="s">
        <v>1825</v>
      </c>
    </row>
    <row r="111" spans="1:3" x14ac:dyDescent="0.3">
      <c r="A111" s="19" t="s">
        <v>1829</v>
      </c>
      <c r="B111" s="19" t="s">
        <v>2221</v>
      </c>
      <c r="C111" s="19" t="s">
        <v>2258</v>
      </c>
    </row>
    <row r="112" spans="1:3" x14ac:dyDescent="0.3">
      <c r="B112" s="19" t="s">
        <v>2222</v>
      </c>
      <c r="C112" s="19" t="s">
        <v>2259</v>
      </c>
    </row>
    <row r="113" spans="2:3" x14ac:dyDescent="0.3">
      <c r="B113" s="19" t="s">
        <v>2223</v>
      </c>
      <c r="C113" s="19" t="s">
        <v>2260</v>
      </c>
    </row>
    <row r="114" spans="2:3" x14ac:dyDescent="0.3">
      <c r="B114" s="19" t="s">
        <v>2224</v>
      </c>
      <c r="C114" s="19" t="s">
        <v>2269</v>
      </c>
    </row>
    <row r="115" spans="2:3" x14ac:dyDescent="0.3">
      <c r="B115" s="19" t="s">
        <v>2225</v>
      </c>
      <c r="C115" s="19" t="s">
        <v>2270</v>
      </c>
    </row>
    <row r="116" spans="2:3" x14ac:dyDescent="0.3">
      <c r="B116" s="19" t="s">
        <v>2226</v>
      </c>
      <c r="C116" s="19" t="s">
        <v>2282</v>
      </c>
    </row>
    <row r="117" spans="2:3" x14ac:dyDescent="0.3">
      <c r="B117" s="19" t="s">
        <v>2227</v>
      </c>
    </row>
    <row r="118" spans="2:3" x14ac:dyDescent="0.3">
      <c r="B118" s="19" t="s">
        <v>2249</v>
      </c>
    </row>
    <row r="119" spans="2:3" x14ac:dyDescent="0.3">
      <c r="B119" s="19" t="s">
        <v>2250</v>
      </c>
    </row>
    <row r="120" spans="2:3" x14ac:dyDescent="0.3">
      <c r="B120" s="19" t="s">
        <v>2255</v>
      </c>
    </row>
    <row r="121" spans="2:3" x14ac:dyDescent="0.3">
      <c r="B121" s="19" t="s">
        <v>2256</v>
      </c>
    </row>
    <row r="122" spans="2:3" x14ac:dyDescent="0.3">
      <c r="B122" s="19" t="s">
        <v>2231</v>
      </c>
    </row>
    <row r="123" spans="2:3" x14ac:dyDescent="0.3">
      <c r="B123" s="19" t="s">
        <v>2232</v>
      </c>
    </row>
    <row r="124" spans="2:3" x14ac:dyDescent="0.3">
      <c r="B124" s="19" t="s">
        <v>2233</v>
      </c>
    </row>
    <row r="125" spans="2:3" x14ac:dyDescent="0.3">
      <c r="B125" s="19" t="s">
        <v>2234</v>
      </c>
    </row>
    <row r="126" spans="2:3" x14ac:dyDescent="0.3">
      <c r="B126" s="19" t="s">
        <v>2257</v>
      </c>
    </row>
    <row r="127" spans="2:3" x14ac:dyDescent="0.3">
      <c r="B127" s="19" t="s">
        <v>2320</v>
      </c>
    </row>
  </sheetData>
  <phoneticPr fontId="18"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5"/>
  <sheetViews>
    <sheetView zoomScaleNormal="100" workbookViewId="0">
      <selection activeCell="A37" sqref="A37"/>
    </sheetView>
  </sheetViews>
  <sheetFormatPr defaultRowHeight="16.5" x14ac:dyDescent="0.3"/>
  <cols>
    <col min="1" max="1" width="35.5" style="6" customWidth="1"/>
    <col min="2" max="2" width="9" style="6"/>
    <col min="3" max="3" width="24.25" style="6" customWidth="1"/>
    <col min="4" max="4" width="9" style="6"/>
    <col min="5" max="5" width="26.625" style="6" bestFit="1" customWidth="1"/>
    <col min="6" max="6" width="26.625" style="6" customWidth="1"/>
    <col min="7" max="7" width="20.5" style="6" customWidth="1"/>
    <col min="8" max="16384" width="9" style="6"/>
  </cols>
  <sheetData>
    <row r="1" spans="1:7" x14ac:dyDescent="0.3">
      <c r="A1" s="6" t="s">
        <v>1988</v>
      </c>
      <c r="E1" s="6" t="s">
        <v>1359</v>
      </c>
      <c r="F1" s="6" t="s">
        <v>1338</v>
      </c>
      <c r="G1" s="6" t="str">
        <f>E1&amp;","&amp;F1</f>
        <v>Side Breaker,사이드타입</v>
      </c>
    </row>
    <row r="2" spans="1:7" x14ac:dyDescent="0.3">
      <c r="A2" s="6" t="s">
        <v>1989</v>
      </c>
      <c r="C2" s="13"/>
      <c r="E2" s="6" t="s">
        <v>1360</v>
      </c>
      <c r="F2" s="6" t="s">
        <v>1339</v>
      </c>
      <c r="G2" s="6" t="str">
        <f t="shared" ref="G2:G25" si="0">E2&amp;","&amp;F2</f>
        <v>Top Breaker,탑타입</v>
      </c>
    </row>
    <row r="3" spans="1:7" x14ac:dyDescent="0.3">
      <c r="A3" s="6" t="s">
        <v>1990</v>
      </c>
      <c r="E3" s="6" t="s">
        <v>1361</v>
      </c>
      <c r="F3" s="6" t="s">
        <v>1340</v>
      </c>
      <c r="G3" s="6" t="str">
        <f t="shared" si="0"/>
        <v>Box Breaker,박스타입</v>
      </c>
    </row>
    <row r="4" spans="1:7" x14ac:dyDescent="0.3">
      <c r="A4" s="6" t="s">
        <v>1991</v>
      </c>
      <c r="E4" s="12" t="s">
        <v>1362</v>
      </c>
      <c r="F4" s="6" t="s">
        <v>1341</v>
      </c>
      <c r="G4" s="6" t="str">
        <f t="shared" si="0"/>
        <v>Special Breaker,스페셜타입</v>
      </c>
    </row>
    <row r="5" spans="1:7" x14ac:dyDescent="0.3">
      <c r="A5" s="6" t="s">
        <v>1992</v>
      </c>
      <c r="E5" s="13" t="s">
        <v>1363</v>
      </c>
      <c r="F5" s="6" t="s">
        <v>1358</v>
      </c>
      <c r="G5" s="6" t="str">
        <f t="shared" si="0"/>
        <v>Etc Breaker,기타타입</v>
      </c>
    </row>
    <row r="6" spans="1:7" x14ac:dyDescent="0.3">
      <c r="A6" s="6" t="s">
        <v>1993</v>
      </c>
      <c r="E6" s="13" t="s">
        <v>1347</v>
      </c>
      <c r="F6" s="6" t="s">
        <v>1348</v>
      </c>
      <c r="G6" s="6" t="str">
        <f t="shared" si="0"/>
        <v>Small Bucket,쪽버켓</v>
      </c>
    </row>
    <row r="7" spans="1:7" x14ac:dyDescent="0.3">
      <c r="A7" s="6" t="s">
        <v>1994</v>
      </c>
      <c r="C7" s="13"/>
      <c r="E7" s="13" t="s">
        <v>1346</v>
      </c>
      <c r="F7" s="6" t="s">
        <v>1349</v>
      </c>
      <c r="G7" s="6" t="str">
        <f t="shared" si="0"/>
        <v>Standard Bucket,본버켓</v>
      </c>
    </row>
    <row r="8" spans="1:7" x14ac:dyDescent="0.3">
      <c r="A8" s="6" t="s">
        <v>1996</v>
      </c>
      <c r="E8" s="13" t="s">
        <v>1352</v>
      </c>
      <c r="F8" s="6" t="s">
        <v>1350</v>
      </c>
      <c r="G8" s="6" t="str">
        <f t="shared" si="0"/>
        <v>Wide Bucket,대버켓</v>
      </c>
    </row>
    <row r="9" spans="1:7" x14ac:dyDescent="0.3">
      <c r="A9" s="6" t="s">
        <v>1998</v>
      </c>
      <c r="E9" s="13" t="s">
        <v>1353</v>
      </c>
      <c r="F9" s="6" t="s">
        <v>1351</v>
      </c>
      <c r="G9" s="6" t="str">
        <f t="shared" si="0"/>
        <v>Skeleton Bucket,채버켓</v>
      </c>
    </row>
    <row r="10" spans="1:7" x14ac:dyDescent="0.3">
      <c r="A10" s="6" t="s">
        <v>2000</v>
      </c>
      <c r="E10" s="13" t="s">
        <v>1364</v>
      </c>
      <c r="F10" s="6" t="s">
        <v>1355</v>
      </c>
      <c r="G10" s="6" t="str">
        <f t="shared" si="0"/>
        <v>Special Bucket,스페셜버켓</v>
      </c>
    </row>
    <row r="11" spans="1:7" x14ac:dyDescent="0.3">
      <c r="A11" s="19"/>
      <c r="E11" s="13" t="s">
        <v>1365</v>
      </c>
      <c r="F11" s="6" t="s">
        <v>1356</v>
      </c>
      <c r="G11" s="6" t="str">
        <f t="shared" si="0"/>
        <v>Etc Bucket,기타버켓</v>
      </c>
    </row>
    <row r="12" spans="1:7" x14ac:dyDescent="0.3">
      <c r="E12" s="6" t="s">
        <v>1368</v>
      </c>
      <c r="F12" s="6" t="s">
        <v>1367</v>
      </c>
      <c r="G12" s="6" t="str">
        <f t="shared" si="0"/>
        <v>Multi Grapple,무유압집게</v>
      </c>
    </row>
    <row r="13" spans="1:7" x14ac:dyDescent="0.3">
      <c r="E13" s="6" t="s">
        <v>1369</v>
      </c>
      <c r="F13" s="6" t="s">
        <v>1371</v>
      </c>
      <c r="G13" s="6" t="str">
        <f t="shared" si="0"/>
        <v>Scrap Grapple,고철집게</v>
      </c>
    </row>
    <row r="14" spans="1:7" x14ac:dyDescent="0.3">
      <c r="E14" s="6" t="s">
        <v>1370</v>
      </c>
      <c r="F14" s="6" t="s">
        <v>1372</v>
      </c>
      <c r="G14" s="6" t="str">
        <f t="shared" si="0"/>
        <v>Stone Grapple,돌집게</v>
      </c>
    </row>
    <row r="15" spans="1:7" x14ac:dyDescent="0.3">
      <c r="E15" s="6" t="s">
        <v>1374</v>
      </c>
      <c r="F15" s="6" t="s">
        <v>1373</v>
      </c>
      <c r="G15" s="6" t="str">
        <f t="shared" si="0"/>
        <v>Wood Grapple,나무집게</v>
      </c>
    </row>
    <row r="16" spans="1:7" x14ac:dyDescent="0.3">
      <c r="E16" s="6" t="s">
        <v>1330</v>
      </c>
      <c r="F16" s="6" t="s">
        <v>1385</v>
      </c>
      <c r="G16" s="6" t="str">
        <f t="shared" si="0"/>
        <v>Orange Grapple,오렌지집게</v>
      </c>
    </row>
    <row r="17" spans="5:7" x14ac:dyDescent="0.3">
      <c r="E17" s="6" t="s">
        <v>1376</v>
      </c>
      <c r="F17" s="6" t="s">
        <v>1386</v>
      </c>
      <c r="G17" s="6" t="str">
        <f t="shared" si="0"/>
        <v>ClamShell Grapple,클렘집게</v>
      </c>
    </row>
    <row r="18" spans="5:7" x14ac:dyDescent="0.3">
      <c r="E18" s="13" t="s">
        <v>1387</v>
      </c>
      <c r="F18" s="6" t="s">
        <v>1343</v>
      </c>
      <c r="G18" s="6" t="str">
        <f t="shared" si="0"/>
        <v>Thumb Grapple,딱다구리집게</v>
      </c>
    </row>
    <row r="19" spans="5:7" x14ac:dyDescent="0.3">
      <c r="E19" s="13" t="s">
        <v>1388</v>
      </c>
      <c r="F19" s="6" t="s">
        <v>1342</v>
      </c>
      <c r="G19" s="6" t="str">
        <f t="shared" si="0"/>
        <v>Progressive Thumb Grapple,호랑이집게</v>
      </c>
    </row>
    <row r="20" spans="5:7" x14ac:dyDescent="0.3">
      <c r="E20" s="13" t="s">
        <v>1389</v>
      </c>
      <c r="F20" s="6" t="s">
        <v>1344</v>
      </c>
      <c r="G20" s="6" t="str">
        <f t="shared" si="0"/>
        <v>Advanced Grapple,코끼리집게</v>
      </c>
    </row>
    <row r="21" spans="5:7" x14ac:dyDescent="0.3">
      <c r="E21" s="13" t="s">
        <v>1390</v>
      </c>
      <c r="F21" s="6" t="s">
        <v>1676</v>
      </c>
      <c r="G21" s="6" t="str">
        <f t="shared" si="0"/>
        <v>Etc Grapple,기타집게</v>
      </c>
    </row>
    <row r="22" spans="5:7" x14ac:dyDescent="0.3">
      <c r="E22" s="6" t="s">
        <v>1379</v>
      </c>
      <c r="F22" s="6" t="s">
        <v>1384</v>
      </c>
      <c r="G22" s="6" t="str">
        <f t="shared" si="0"/>
        <v>Hydraulic Crusher,반자동크러셔</v>
      </c>
    </row>
    <row r="23" spans="5:7" x14ac:dyDescent="0.3">
      <c r="E23" s="6" t="s">
        <v>1380</v>
      </c>
      <c r="F23" s="19" t="s">
        <v>1382</v>
      </c>
      <c r="G23" s="6" t="str">
        <f t="shared" si="0"/>
        <v>Hydraulic Pulverizer,멍텅구리크러셔</v>
      </c>
    </row>
    <row r="24" spans="5:7" x14ac:dyDescent="0.3">
      <c r="E24" s="6" t="s">
        <v>1381</v>
      </c>
      <c r="F24" s="6" t="s">
        <v>1383</v>
      </c>
      <c r="G24" s="6" t="str">
        <f t="shared" si="0"/>
        <v>Hydraulic Multi Processor,회전식크러셔</v>
      </c>
    </row>
    <row r="25" spans="5:7" x14ac:dyDescent="0.3">
      <c r="E25" s="13" t="s">
        <v>1391</v>
      </c>
      <c r="F25" s="6" t="s">
        <v>1392</v>
      </c>
      <c r="G25" s="6" t="str">
        <f t="shared" si="0"/>
        <v>Etc Crusher,기타 크러셔</v>
      </c>
    </row>
  </sheetDat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33"/>
  <sheetViews>
    <sheetView workbookViewId="0">
      <selection activeCell="A28" sqref="A28:A33"/>
    </sheetView>
  </sheetViews>
  <sheetFormatPr defaultRowHeight="16.5" x14ac:dyDescent="0.3"/>
  <cols>
    <col min="1" max="1" width="27.75" style="1" customWidth="1"/>
    <col min="2" max="2" width="26.625" style="1" bestFit="1" customWidth="1"/>
    <col min="3" max="3" width="13" style="1" bestFit="1" customWidth="1"/>
  </cols>
  <sheetData>
    <row r="1" spans="1:3" x14ac:dyDescent="0.3">
      <c r="A1" s="1" t="s">
        <v>1822</v>
      </c>
      <c r="B1" s="1" t="s">
        <v>1359</v>
      </c>
      <c r="C1" s="1" t="s">
        <v>1338</v>
      </c>
    </row>
    <row r="2" spans="1:3" x14ac:dyDescent="0.3">
      <c r="A2" s="1" t="s">
        <v>1328</v>
      </c>
      <c r="B2" s="1" t="s">
        <v>1360</v>
      </c>
      <c r="C2" s="1" t="s">
        <v>1339</v>
      </c>
    </row>
    <row r="3" spans="1:3" x14ac:dyDescent="0.3">
      <c r="A3" s="1" t="s">
        <v>1328</v>
      </c>
      <c r="B3" s="1" t="s">
        <v>1361</v>
      </c>
      <c r="C3" s="1" t="s">
        <v>1340</v>
      </c>
    </row>
    <row r="4" spans="1:3" x14ac:dyDescent="0.3">
      <c r="A4" s="1" t="s">
        <v>1328</v>
      </c>
      <c r="B4" s="4" t="s">
        <v>1362</v>
      </c>
      <c r="C4" s="1" t="s">
        <v>1341</v>
      </c>
    </row>
    <row r="5" spans="1:3" x14ac:dyDescent="0.3">
      <c r="A5" s="1" t="s">
        <v>1328</v>
      </c>
      <c r="B5" s="2" t="s">
        <v>1363</v>
      </c>
      <c r="C5" s="1" t="s">
        <v>1358</v>
      </c>
    </row>
    <row r="6" spans="1:3" x14ac:dyDescent="0.3">
      <c r="A6" s="1" t="s">
        <v>56</v>
      </c>
      <c r="B6" s="2" t="s">
        <v>1347</v>
      </c>
      <c r="C6" s="1" t="s">
        <v>1348</v>
      </c>
    </row>
    <row r="7" spans="1:3" x14ac:dyDescent="0.3">
      <c r="A7" s="1" t="s">
        <v>56</v>
      </c>
      <c r="B7" s="2" t="s">
        <v>1346</v>
      </c>
      <c r="C7" s="1" t="s">
        <v>1349</v>
      </c>
    </row>
    <row r="8" spans="1:3" x14ac:dyDescent="0.3">
      <c r="A8" s="1" t="s">
        <v>56</v>
      </c>
      <c r="B8" s="2" t="s">
        <v>1352</v>
      </c>
      <c r="C8" s="1" t="s">
        <v>1350</v>
      </c>
    </row>
    <row r="9" spans="1:3" x14ac:dyDescent="0.3">
      <c r="A9" s="1" t="s">
        <v>1327</v>
      </c>
      <c r="B9" s="2" t="s">
        <v>1353</v>
      </c>
      <c r="C9" s="1" t="s">
        <v>1351</v>
      </c>
    </row>
    <row r="10" spans="1:3" x14ac:dyDescent="0.3">
      <c r="A10" s="1" t="s">
        <v>1327</v>
      </c>
      <c r="B10" s="2" t="s">
        <v>1364</v>
      </c>
      <c r="C10" s="1" t="s">
        <v>1355</v>
      </c>
    </row>
    <row r="11" spans="1:3" x14ac:dyDescent="0.3">
      <c r="A11" s="1" t="s">
        <v>1327</v>
      </c>
      <c r="B11" s="2" t="s">
        <v>1365</v>
      </c>
      <c r="C11" s="1" t="s">
        <v>1356</v>
      </c>
    </row>
    <row r="12" spans="1:3" x14ac:dyDescent="0.3">
      <c r="A12" s="1" t="s">
        <v>1333</v>
      </c>
    </row>
    <row r="13" spans="1:3" x14ac:dyDescent="0.3">
      <c r="A13" s="1" t="s">
        <v>78</v>
      </c>
    </row>
    <row r="14" spans="1:3" x14ac:dyDescent="0.3">
      <c r="A14" s="1" t="s">
        <v>43</v>
      </c>
      <c r="B14" s="1" t="s">
        <v>1368</v>
      </c>
      <c r="C14" s="1" t="s">
        <v>1367</v>
      </c>
    </row>
    <row r="15" spans="1:3" x14ac:dyDescent="0.3">
      <c r="A15" s="1" t="s">
        <v>43</v>
      </c>
      <c r="B15" s="1" t="s">
        <v>1369</v>
      </c>
      <c r="C15" s="1" t="s">
        <v>1371</v>
      </c>
    </row>
    <row r="16" spans="1:3" x14ac:dyDescent="0.3">
      <c r="A16" s="1" t="s">
        <v>43</v>
      </c>
      <c r="B16" s="1" t="s">
        <v>1370</v>
      </c>
      <c r="C16" s="1" t="s">
        <v>1372</v>
      </c>
    </row>
    <row r="17" spans="1:3" x14ac:dyDescent="0.3">
      <c r="A17" s="1" t="s">
        <v>43</v>
      </c>
      <c r="B17" s="1" t="s">
        <v>1374</v>
      </c>
      <c r="C17" s="1" t="s">
        <v>1373</v>
      </c>
    </row>
    <row r="18" spans="1:3" x14ac:dyDescent="0.3">
      <c r="A18" s="1" t="s">
        <v>43</v>
      </c>
      <c r="B18" s="1" t="s">
        <v>1330</v>
      </c>
      <c r="C18" s="1" t="s">
        <v>1385</v>
      </c>
    </row>
    <row r="19" spans="1:3" x14ac:dyDescent="0.3">
      <c r="A19" s="1" t="s">
        <v>43</v>
      </c>
      <c r="B19" s="1" t="s">
        <v>1376</v>
      </c>
      <c r="C19" s="1" t="s">
        <v>1386</v>
      </c>
    </row>
    <row r="20" spans="1:3" x14ac:dyDescent="0.3">
      <c r="A20" s="1" t="s">
        <v>43</v>
      </c>
      <c r="B20" s="2" t="s">
        <v>1387</v>
      </c>
      <c r="C20" s="1" t="s">
        <v>1343</v>
      </c>
    </row>
    <row r="21" spans="1:3" x14ac:dyDescent="0.3">
      <c r="A21" s="1" t="s">
        <v>43</v>
      </c>
      <c r="B21" s="2" t="s">
        <v>1388</v>
      </c>
      <c r="C21" s="1" t="s">
        <v>1342</v>
      </c>
    </row>
    <row r="22" spans="1:3" x14ac:dyDescent="0.3">
      <c r="A22" s="1" t="s">
        <v>43</v>
      </c>
      <c r="B22" s="2" t="s">
        <v>1389</v>
      </c>
      <c r="C22" s="1" t="s">
        <v>1344</v>
      </c>
    </row>
    <row r="23" spans="1:3" x14ac:dyDescent="0.3">
      <c r="A23" s="1" t="s">
        <v>43</v>
      </c>
      <c r="B23" s="2" t="s">
        <v>1390</v>
      </c>
      <c r="C23" s="1" t="s">
        <v>1357</v>
      </c>
    </row>
    <row r="24" spans="1:3" x14ac:dyDescent="0.3">
      <c r="A24" s="2" t="s">
        <v>1325</v>
      </c>
      <c r="B24" s="1" t="s">
        <v>1379</v>
      </c>
      <c r="C24" s="1" t="s">
        <v>1384</v>
      </c>
    </row>
    <row r="25" spans="1:3" x14ac:dyDescent="0.3">
      <c r="A25" s="2" t="s">
        <v>1325</v>
      </c>
      <c r="B25" s="1" t="s">
        <v>1380</v>
      </c>
      <c r="C25" s="3" t="s">
        <v>1382</v>
      </c>
    </row>
    <row r="26" spans="1:3" x14ac:dyDescent="0.3">
      <c r="A26" s="2" t="s">
        <v>1325</v>
      </c>
      <c r="B26" s="1" t="s">
        <v>1381</v>
      </c>
      <c r="C26" s="1" t="s">
        <v>1383</v>
      </c>
    </row>
    <row r="27" spans="1:3" x14ac:dyDescent="0.3">
      <c r="A27" s="2" t="s">
        <v>1325</v>
      </c>
      <c r="B27" s="2" t="s">
        <v>1391</v>
      </c>
      <c r="C27" s="1" t="s">
        <v>1392</v>
      </c>
    </row>
    <row r="28" spans="1:3" x14ac:dyDescent="0.3">
      <c r="A28" s="1" t="s">
        <v>1324</v>
      </c>
    </row>
    <row r="29" spans="1:3" x14ac:dyDescent="0.3">
      <c r="A29" s="1" t="s">
        <v>1378</v>
      </c>
    </row>
    <row r="30" spans="1:3" x14ac:dyDescent="0.3">
      <c r="A30" s="1" t="s">
        <v>1334</v>
      </c>
    </row>
    <row r="31" spans="1:3" x14ac:dyDescent="0.3">
      <c r="A31" s="1" t="s">
        <v>1335</v>
      </c>
    </row>
    <row r="32" spans="1:3" x14ac:dyDescent="0.3">
      <c r="A32" s="1" t="s">
        <v>1329</v>
      </c>
    </row>
    <row r="33" spans="1:1" x14ac:dyDescent="0.3">
      <c r="A33" s="1" t="s">
        <v>1337</v>
      </c>
    </row>
  </sheetData>
  <phoneticPr fontId="18"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dimension ref="A1:AZ1301"/>
  <sheetViews>
    <sheetView topLeftCell="AI1" workbookViewId="0">
      <selection activeCell="D6" sqref="D6"/>
    </sheetView>
  </sheetViews>
  <sheetFormatPr defaultRowHeight="16.5" x14ac:dyDescent="0.3"/>
  <cols>
    <col min="1" max="1" width="24.375" style="6" customWidth="1"/>
    <col min="2" max="2" width="19.5" style="6" customWidth="1"/>
    <col min="3" max="4" width="23.125" style="6" customWidth="1"/>
    <col min="5" max="5" width="9" style="6"/>
    <col min="6" max="6" width="17.625" style="6" customWidth="1"/>
    <col min="7" max="8" width="9" style="6"/>
    <col min="9" max="9" width="14.875" style="6" customWidth="1"/>
    <col min="10" max="10" width="15" style="6" customWidth="1"/>
    <col min="11" max="15" width="9" style="6"/>
    <col min="16" max="16" width="13.125" style="6" customWidth="1"/>
    <col min="17" max="19" width="9" style="6"/>
    <col min="20" max="20" width="13.125" style="6" customWidth="1"/>
    <col min="21" max="29" width="9" style="6"/>
    <col min="30" max="30" width="19" style="6" bestFit="1" customWidth="1"/>
    <col min="31" max="37" width="9" style="6"/>
    <col min="38" max="38" width="14.875" style="26" customWidth="1"/>
    <col min="39" max="42" width="9" style="6"/>
    <col min="43" max="43" width="14" style="6" customWidth="1"/>
    <col min="44" max="16384" width="9" style="6"/>
  </cols>
  <sheetData>
    <row r="1" spans="1:52" x14ac:dyDescent="0.3">
      <c r="A1" s="6" t="s">
        <v>0</v>
      </c>
      <c r="B1" s="6" t="s">
        <v>1</v>
      </c>
      <c r="C1" s="6" t="s">
        <v>2</v>
      </c>
      <c r="D1" s="6" t="s">
        <v>17</v>
      </c>
      <c r="E1" s="6" t="s">
        <v>3</v>
      </c>
      <c r="F1" s="6" t="s">
        <v>4</v>
      </c>
      <c r="G1" s="6" t="s">
        <v>5</v>
      </c>
      <c r="H1" s="6" t="s">
        <v>6</v>
      </c>
      <c r="I1" s="6" t="s">
        <v>7</v>
      </c>
      <c r="J1" s="6" t="s">
        <v>1830</v>
      </c>
      <c r="K1" s="6" t="s">
        <v>2128</v>
      </c>
      <c r="L1" s="6" t="s">
        <v>8</v>
      </c>
      <c r="M1" s="6" t="s">
        <v>9</v>
      </c>
      <c r="N1" s="6" t="s">
        <v>10</v>
      </c>
      <c r="O1" s="6" t="s">
        <v>11</v>
      </c>
      <c r="P1" s="6" t="s">
        <v>12</v>
      </c>
      <c r="Q1" s="6" t="s">
        <v>13</v>
      </c>
      <c r="R1" s="6" t="s">
        <v>14</v>
      </c>
      <c r="S1" s="6" t="s">
        <v>15</v>
      </c>
      <c r="T1" s="6" t="s">
        <v>16</v>
      </c>
      <c r="U1" s="6" t="s">
        <v>18</v>
      </c>
      <c r="V1" s="6" t="s">
        <v>19</v>
      </c>
      <c r="W1" s="6" t="s">
        <v>20</v>
      </c>
      <c r="X1" s="6" t="s">
        <v>21</v>
      </c>
      <c r="Y1" s="6" t="s">
        <v>22</v>
      </c>
      <c r="Z1" s="6" t="s">
        <v>23</v>
      </c>
      <c r="AA1" s="6" t="s">
        <v>24</v>
      </c>
      <c r="AB1" s="6" t="s">
        <v>25</v>
      </c>
      <c r="AC1" s="6" t="s">
        <v>26</v>
      </c>
      <c r="AD1" s="6" t="s">
        <v>2006</v>
      </c>
      <c r="AE1" s="6" t="s">
        <v>27</v>
      </c>
      <c r="AF1" s="6" t="s">
        <v>28</v>
      </c>
      <c r="AG1" s="6" t="s">
        <v>29</v>
      </c>
      <c r="AH1" s="6" t="s">
        <v>30</v>
      </c>
      <c r="AI1" s="6" t="s">
        <v>31</v>
      </c>
      <c r="AJ1" s="6" t="s">
        <v>32</v>
      </c>
      <c r="AK1" s="6" t="s">
        <v>33</v>
      </c>
      <c r="AL1" s="26" t="s">
        <v>34</v>
      </c>
      <c r="AM1" s="6" t="s">
        <v>2129</v>
      </c>
      <c r="AN1" s="6" t="s">
        <v>2130</v>
      </c>
      <c r="AO1" s="6" t="s">
        <v>35</v>
      </c>
      <c r="AP1" s="6" t="s">
        <v>36</v>
      </c>
      <c r="AQ1" s="6" t="s">
        <v>37</v>
      </c>
      <c r="AR1" s="6" t="s">
        <v>38</v>
      </c>
      <c r="AS1" s="6" t="s">
        <v>39</v>
      </c>
      <c r="AT1" s="6" t="s">
        <v>40</v>
      </c>
      <c r="AU1" s="6" t="s">
        <v>41</v>
      </c>
    </row>
    <row r="2" spans="1:52" hidden="1" x14ac:dyDescent="0.3">
      <c r="A2" s="28" t="s">
        <v>42</v>
      </c>
      <c r="B2" s="19" t="s">
        <v>1337</v>
      </c>
      <c r="C2" s="19"/>
      <c r="D2" s="19"/>
      <c r="E2" s="6">
        <v>1</v>
      </c>
      <c r="F2" s="6" t="s">
        <v>2004</v>
      </c>
      <c r="G2" s="6" t="s">
        <v>2005</v>
      </c>
      <c r="H2" s="6" t="s">
        <v>2005</v>
      </c>
      <c r="I2" s="6" t="str">
        <f t="shared" ref="I2:I65" si="0">IF(ISBLANK(C2),B2,C2)</f>
        <v>ETC</v>
      </c>
      <c r="J2" s="6" t="s">
        <v>280</v>
      </c>
      <c r="K2" s="6">
        <v>1</v>
      </c>
      <c r="P2" s="6">
        <f>IF(AM2&lt;500000,AM2+50000,IF(AND(AM2&gt;=500000,AM2&lt;2000000),AM2+100000,IF(AND(AM2&gt;=2000000,AM2&lt;5000000),AM2+200000,IF(AM2&gt;=5000000,AM2+500000,AM2))))</f>
        <v>7500000</v>
      </c>
      <c r="R2" s="6" t="s">
        <v>2003</v>
      </c>
      <c r="T2" s="6" t="s">
        <v>1834</v>
      </c>
      <c r="U2" s="6">
        <v>2010</v>
      </c>
      <c r="V2" s="6">
        <v>10</v>
      </c>
      <c r="AD2" s="6" t="s">
        <v>45</v>
      </c>
      <c r="AJ2" s="31" t="s">
        <v>2110</v>
      </c>
      <c r="AK2" s="6">
        <v>1</v>
      </c>
      <c r="AL2" s="26">
        <v>7000000</v>
      </c>
      <c r="AM2" s="26">
        <v>7000000</v>
      </c>
      <c r="AN2" s="26">
        <v>7000000</v>
      </c>
      <c r="AO2" s="6" t="s">
        <v>2003</v>
      </c>
      <c r="AQ2" s="6" t="s">
        <v>1147</v>
      </c>
      <c r="AU2" s="6">
        <v>223300</v>
      </c>
    </row>
    <row r="3" spans="1:52" x14ac:dyDescent="0.3">
      <c r="A3" s="28" t="s">
        <v>42</v>
      </c>
      <c r="B3" s="6" t="s">
        <v>1326</v>
      </c>
      <c r="C3" s="6" t="s">
        <v>2206</v>
      </c>
      <c r="D3" s="6" t="s">
        <v>2100</v>
      </c>
      <c r="E3" s="6">
        <v>1</v>
      </c>
      <c r="F3" s="6" t="s">
        <v>2004</v>
      </c>
      <c r="G3" s="6" t="s">
        <v>2005</v>
      </c>
      <c r="H3" s="6" t="s">
        <v>2005</v>
      </c>
      <c r="I3" s="6" t="str">
        <f t="shared" si="0"/>
        <v>Etc Grapple</v>
      </c>
      <c r="J3" s="6" t="s">
        <v>365</v>
      </c>
      <c r="K3" s="6">
        <v>1</v>
      </c>
      <c r="P3" s="6">
        <f t="shared" ref="P3:P66" si="1">IF(AM3&lt;500000,AM3+50000,IF(AND(AM3&gt;=500000,AM3&lt;2000000),AM3+100000,IF(AND(AM3&gt;=2000000,AM3&lt;5000000),AM3+200000,IF(AM3&gt;=5000000,AM3+500000,AM3))))</f>
        <v>3500000</v>
      </c>
      <c r="R3" s="6" t="s">
        <v>2003</v>
      </c>
      <c r="T3" s="6" t="s">
        <v>851</v>
      </c>
      <c r="U3" s="6">
        <v>2015</v>
      </c>
      <c r="V3" s="6">
        <v>8</v>
      </c>
      <c r="AD3" s="6" t="s">
        <v>45</v>
      </c>
      <c r="AJ3" s="31" t="s">
        <v>2111</v>
      </c>
      <c r="AK3" s="6">
        <v>1</v>
      </c>
      <c r="AL3" s="26">
        <v>3300000</v>
      </c>
      <c r="AM3" s="26">
        <v>3300000</v>
      </c>
      <c r="AN3" s="26">
        <v>3300000</v>
      </c>
      <c r="AO3" s="6" t="s">
        <v>2003</v>
      </c>
      <c r="AQ3" s="6" t="s">
        <v>1235</v>
      </c>
      <c r="AU3" s="6">
        <v>223301</v>
      </c>
    </row>
    <row r="4" spans="1:52" x14ac:dyDescent="0.3">
      <c r="A4" s="28" t="s">
        <v>42</v>
      </c>
      <c r="B4" s="6" t="s">
        <v>2157</v>
      </c>
      <c r="C4" s="6" t="s">
        <v>2206</v>
      </c>
      <c r="D4" s="6" t="s">
        <v>2100</v>
      </c>
      <c r="E4" s="6">
        <v>1</v>
      </c>
      <c r="F4" s="6" t="s">
        <v>2004</v>
      </c>
      <c r="G4" s="6" t="s">
        <v>2005</v>
      </c>
      <c r="H4" s="6" t="s">
        <v>2005</v>
      </c>
      <c r="I4" s="6" t="str">
        <f t="shared" si="0"/>
        <v>Etc Grapple</v>
      </c>
      <c r="J4" s="6" t="s">
        <v>365</v>
      </c>
      <c r="K4" s="6">
        <v>1</v>
      </c>
      <c r="P4" s="6">
        <f t="shared" si="1"/>
        <v>3400000</v>
      </c>
      <c r="R4" s="6" t="s">
        <v>2003</v>
      </c>
      <c r="T4" s="6" t="s">
        <v>851</v>
      </c>
      <c r="U4" s="6">
        <v>2015</v>
      </c>
      <c r="V4" s="6">
        <v>6</v>
      </c>
      <c r="AD4" s="6" t="s">
        <v>45</v>
      </c>
      <c r="AJ4" s="31" t="s">
        <v>2111</v>
      </c>
      <c r="AK4" s="6">
        <v>1</v>
      </c>
      <c r="AL4" s="26">
        <v>3200000</v>
      </c>
      <c r="AM4" s="26">
        <v>3200000</v>
      </c>
      <c r="AN4" s="26">
        <v>3200000</v>
      </c>
      <c r="AO4" s="6" t="s">
        <v>2003</v>
      </c>
      <c r="AQ4" s="6" t="s">
        <v>1235</v>
      </c>
      <c r="AU4" s="6">
        <v>223303</v>
      </c>
    </row>
    <row r="5" spans="1:52" x14ac:dyDescent="0.3">
      <c r="A5" s="28" t="s">
        <v>42</v>
      </c>
      <c r="B5" s="6" t="s">
        <v>2158</v>
      </c>
      <c r="C5" s="6" t="s">
        <v>1971</v>
      </c>
      <c r="D5" s="6" t="s">
        <v>2101</v>
      </c>
      <c r="E5" s="6">
        <v>1</v>
      </c>
      <c r="F5" s="6" t="s">
        <v>2004</v>
      </c>
      <c r="G5" s="6" t="s">
        <v>2005</v>
      </c>
      <c r="H5" s="6" t="s">
        <v>2005</v>
      </c>
      <c r="I5" s="6" t="str">
        <f t="shared" si="0"/>
        <v>Special Bucket</v>
      </c>
      <c r="J5" s="6" t="s">
        <v>433</v>
      </c>
      <c r="K5" s="6">
        <v>1</v>
      </c>
      <c r="P5" s="6">
        <f t="shared" si="1"/>
        <v>1600000</v>
      </c>
      <c r="R5" s="6" t="s">
        <v>2003</v>
      </c>
      <c r="T5" s="6" t="s">
        <v>239</v>
      </c>
      <c r="U5" s="6">
        <v>2015</v>
      </c>
      <c r="V5" s="6">
        <v>1</v>
      </c>
      <c r="AD5" s="6" t="s">
        <v>45</v>
      </c>
      <c r="AJ5" s="31" t="s">
        <v>2112</v>
      </c>
      <c r="AK5" s="6">
        <v>1</v>
      </c>
      <c r="AL5" s="26">
        <v>1500000</v>
      </c>
      <c r="AM5" s="26">
        <v>1500000</v>
      </c>
      <c r="AN5" s="26">
        <v>1500000</v>
      </c>
      <c r="AO5" s="6" t="s">
        <v>2003</v>
      </c>
      <c r="AQ5" s="6" t="s">
        <v>1251</v>
      </c>
      <c r="AU5" s="6">
        <v>223304</v>
      </c>
    </row>
    <row r="6" spans="1:52" x14ac:dyDescent="0.3">
      <c r="A6" s="28" t="s">
        <v>42</v>
      </c>
      <c r="B6" s="6" t="s">
        <v>2204</v>
      </c>
      <c r="C6" s="6" t="s">
        <v>2206</v>
      </c>
      <c r="D6" s="6" t="s">
        <v>2102</v>
      </c>
      <c r="E6" s="6">
        <v>1</v>
      </c>
      <c r="F6" s="6" t="s">
        <v>2004</v>
      </c>
      <c r="G6" s="6" t="s">
        <v>2005</v>
      </c>
      <c r="H6" s="6" t="s">
        <v>2005</v>
      </c>
      <c r="I6" s="6" t="str">
        <f t="shared" si="0"/>
        <v>Etc Grapple</v>
      </c>
      <c r="J6" s="6" t="s">
        <v>165</v>
      </c>
      <c r="K6" s="6">
        <v>1</v>
      </c>
      <c r="P6" s="6">
        <f t="shared" si="1"/>
        <v>2500000</v>
      </c>
      <c r="R6" s="6" t="s">
        <v>2003</v>
      </c>
      <c r="T6" s="6" t="s">
        <v>70</v>
      </c>
      <c r="U6" s="6">
        <v>2016</v>
      </c>
      <c r="V6" s="6">
        <v>7</v>
      </c>
      <c r="AD6" s="6" t="s">
        <v>45</v>
      </c>
      <c r="AJ6" s="31" t="s">
        <v>2113</v>
      </c>
      <c r="AK6" s="6">
        <v>1</v>
      </c>
      <c r="AL6" s="26">
        <v>2300000</v>
      </c>
      <c r="AM6" s="26">
        <v>2300000</v>
      </c>
      <c r="AN6" s="26">
        <v>2300000</v>
      </c>
      <c r="AO6" s="6" t="s">
        <v>2003</v>
      </c>
      <c r="AQ6" s="6" t="s">
        <v>71</v>
      </c>
      <c r="AU6" s="6">
        <v>223306</v>
      </c>
    </row>
    <row r="7" spans="1:52" x14ac:dyDescent="0.3">
      <c r="A7" s="28" t="s">
        <v>42</v>
      </c>
      <c r="B7" s="6" t="s">
        <v>2160</v>
      </c>
      <c r="C7" s="6" t="s">
        <v>1972</v>
      </c>
      <c r="D7" s="6" t="s">
        <v>2100</v>
      </c>
      <c r="E7" s="6">
        <v>1</v>
      </c>
      <c r="F7" s="6" t="s">
        <v>2004</v>
      </c>
      <c r="G7" s="6" t="s">
        <v>2005</v>
      </c>
      <c r="H7" s="6" t="s">
        <v>2005</v>
      </c>
      <c r="I7" s="6" t="str">
        <f t="shared" si="0"/>
        <v>Stone Grapple</v>
      </c>
      <c r="J7" s="6" t="s">
        <v>326</v>
      </c>
      <c r="K7" s="6">
        <v>1</v>
      </c>
      <c r="P7" s="6">
        <f t="shared" si="1"/>
        <v>4100000</v>
      </c>
      <c r="R7" s="6" t="s">
        <v>2003</v>
      </c>
      <c r="T7" s="6" t="s">
        <v>849</v>
      </c>
      <c r="U7" s="6">
        <v>2016</v>
      </c>
      <c r="V7" s="6">
        <v>12</v>
      </c>
      <c r="AD7" s="6" t="s">
        <v>45</v>
      </c>
      <c r="AJ7" s="31" t="s">
        <v>2112</v>
      </c>
      <c r="AK7" s="6">
        <v>1</v>
      </c>
      <c r="AL7" s="26">
        <v>3900000</v>
      </c>
      <c r="AM7" s="26">
        <v>3900000</v>
      </c>
      <c r="AN7" s="26">
        <v>3900000</v>
      </c>
      <c r="AO7" s="6" t="s">
        <v>2003</v>
      </c>
      <c r="AQ7" s="6" t="s">
        <v>1142</v>
      </c>
      <c r="AU7" s="6">
        <v>223308</v>
      </c>
    </row>
    <row r="8" spans="1:52" x14ac:dyDescent="0.3">
      <c r="A8" s="28" t="s">
        <v>42</v>
      </c>
      <c r="B8" s="6" t="s">
        <v>2160</v>
      </c>
      <c r="C8" s="6" t="s">
        <v>1972</v>
      </c>
      <c r="D8" s="6" t="s">
        <v>2100</v>
      </c>
      <c r="E8" s="6">
        <v>1</v>
      </c>
      <c r="F8" s="6" t="s">
        <v>2004</v>
      </c>
      <c r="G8" s="6" t="s">
        <v>2005</v>
      </c>
      <c r="H8" s="6" t="s">
        <v>2005</v>
      </c>
      <c r="I8" s="6" t="str">
        <f t="shared" si="0"/>
        <v>Stone Grapple</v>
      </c>
      <c r="J8" s="6" t="s">
        <v>185</v>
      </c>
      <c r="K8" s="6">
        <v>1</v>
      </c>
      <c r="P8" s="6">
        <f t="shared" si="1"/>
        <v>1700000</v>
      </c>
      <c r="R8" s="6" t="s">
        <v>2003</v>
      </c>
      <c r="T8" s="6" t="s">
        <v>51</v>
      </c>
      <c r="U8" s="6">
        <v>2016</v>
      </c>
      <c r="V8" s="6">
        <v>1</v>
      </c>
      <c r="AD8" s="6" t="s">
        <v>45</v>
      </c>
      <c r="AJ8" s="31" t="s">
        <v>2113</v>
      </c>
      <c r="AK8" s="6">
        <v>1</v>
      </c>
      <c r="AL8" s="26">
        <v>1600000</v>
      </c>
      <c r="AM8" s="26">
        <v>1600000</v>
      </c>
      <c r="AN8" s="26">
        <v>1600000</v>
      </c>
      <c r="AO8" s="6" t="s">
        <v>2003</v>
      </c>
      <c r="AQ8" s="6" t="s">
        <v>49</v>
      </c>
      <c r="AU8" s="6">
        <v>223310</v>
      </c>
    </row>
    <row r="9" spans="1:52" x14ac:dyDescent="0.3">
      <c r="A9" s="28" t="s">
        <v>42</v>
      </c>
      <c r="B9" s="6" t="s">
        <v>2160</v>
      </c>
      <c r="C9" s="6" t="s">
        <v>1973</v>
      </c>
      <c r="D9" s="6" t="s">
        <v>2100</v>
      </c>
      <c r="E9" s="6">
        <v>1</v>
      </c>
      <c r="F9" s="6" t="s">
        <v>2004</v>
      </c>
      <c r="G9" s="6" t="s">
        <v>2005</v>
      </c>
      <c r="H9" s="6" t="s">
        <v>2005</v>
      </c>
      <c r="I9" s="6" t="str">
        <f t="shared" si="0"/>
        <v>Wood Grapple</v>
      </c>
      <c r="J9" s="6" t="s">
        <v>127</v>
      </c>
      <c r="K9" s="6">
        <v>1</v>
      </c>
      <c r="P9" s="6">
        <f t="shared" si="1"/>
        <v>2700000</v>
      </c>
      <c r="R9" s="6" t="s">
        <v>2003</v>
      </c>
      <c r="T9" s="6" t="s">
        <v>846</v>
      </c>
      <c r="U9" s="6">
        <v>2014</v>
      </c>
      <c r="V9" s="6">
        <v>1</v>
      </c>
      <c r="AD9" s="6" t="s">
        <v>45</v>
      </c>
      <c r="AJ9" s="31" t="s">
        <v>2113</v>
      </c>
      <c r="AK9" s="6">
        <v>1</v>
      </c>
      <c r="AL9" s="26">
        <v>2500000</v>
      </c>
      <c r="AM9" s="26">
        <v>2500000</v>
      </c>
      <c r="AN9" s="26">
        <v>2500000</v>
      </c>
      <c r="AO9" s="6" t="s">
        <v>2003</v>
      </c>
      <c r="AQ9" s="6" t="s">
        <v>49</v>
      </c>
      <c r="AU9" s="6">
        <v>223311</v>
      </c>
    </row>
    <row r="10" spans="1:52" x14ac:dyDescent="0.3">
      <c r="A10" s="28" t="s">
        <v>42</v>
      </c>
      <c r="B10" s="6" t="s">
        <v>2161</v>
      </c>
      <c r="C10" s="6" t="s">
        <v>2207</v>
      </c>
      <c r="D10" s="6" t="s">
        <v>2103</v>
      </c>
      <c r="E10" s="6">
        <v>1</v>
      </c>
      <c r="F10" s="6" t="s">
        <v>2004</v>
      </c>
      <c r="G10" s="6" t="s">
        <v>2005</v>
      </c>
      <c r="H10" s="6" t="s">
        <v>2005</v>
      </c>
      <c r="I10" s="6" t="str">
        <f t="shared" si="0"/>
        <v>Hydraulic Crusher</v>
      </c>
      <c r="J10" s="6" t="s">
        <v>2141</v>
      </c>
      <c r="K10" s="6">
        <v>1</v>
      </c>
      <c r="P10" s="6">
        <f t="shared" si="1"/>
        <v>23500000</v>
      </c>
      <c r="R10" s="6" t="s">
        <v>2003</v>
      </c>
      <c r="T10" s="6" t="s">
        <v>852</v>
      </c>
      <c r="U10" s="6">
        <v>2016</v>
      </c>
      <c r="V10" s="6">
        <v>11</v>
      </c>
      <c r="AD10" s="6" t="s">
        <v>45</v>
      </c>
      <c r="AJ10" s="31" t="s">
        <v>2114</v>
      </c>
      <c r="AK10" s="6">
        <v>1</v>
      </c>
      <c r="AL10" s="26">
        <v>23000000</v>
      </c>
      <c r="AM10" s="26">
        <v>23000000</v>
      </c>
      <c r="AN10" s="26">
        <v>23000000</v>
      </c>
      <c r="AO10" s="6" t="s">
        <v>2003</v>
      </c>
      <c r="AQ10" s="6" t="s">
        <v>1252</v>
      </c>
      <c r="AU10" s="6">
        <v>223312</v>
      </c>
    </row>
    <row r="11" spans="1:52" x14ac:dyDescent="0.3">
      <c r="A11" s="28" t="s">
        <v>42</v>
      </c>
      <c r="B11" s="6" t="s">
        <v>2162</v>
      </c>
      <c r="C11" s="6" t="s">
        <v>1974</v>
      </c>
      <c r="D11" s="6" t="s">
        <v>2104</v>
      </c>
      <c r="E11" s="6">
        <v>1</v>
      </c>
      <c r="F11" s="6" t="s">
        <v>2004</v>
      </c>
      <c r="G11" s="6" t="s">
        <v>2005</v>
      </c>
      <c r="H11" s="6" t="s">
        <v>2005</v>
      </c>
      <c r="I11" s="6" t="str">
        <f t="shared" si="0"/>
        <v>Etc Grapple</v>
      </c>
      <c r="J11" s="6" t="s">
        <v>125</v>
      </c>
      <c r="K11" s="6">
        <v>1</v>
      </c>
      <c r="P11" s="6">
        <f t="shared" si="1"/>
        <v>5500000</v>
      </c>
      <c r="R11" s="6" t="s">
        <v>2003</v>
      </c>
      <c r="T11" s="6" t="s">
        <v>853</v>
      </c>
      <c r="U11" s="6">
        <v>2015</v>
      </c>
      <c r="V11" s="6">
        <v>1</v>
      </c>
      <c r="AD11" s="6" t="s">
        <v>45</v>
      </c>
      <c r="AJ11" s="31" t="s">
        <v>2115</v>
      </c>
      <c r="AK11" s="6">
        <v>1</v>
      </c>
      <c r="AL11" s="26">
        <v>5000000</v>
      </c>
      <c r="AM11" s="26">
        <v>5000000</v>
      </c>
      <c r="AN11" s="26">
        <v>5000000</v>
      </c>
      <c r="AO11" s="6" t="s">
        <v>2003</v>
      </c>
      <c r="AQ11" s="6" t="s">
        <v>1253</v>
      </c>
      <c r="AU11" s="6">
        <v>223320</v>
      </c>
    </row>
    <row r="12" spans="1:52" x14ac:dyDescent="0.3">
      <c r="A12" s="28" t="s">
        <v>42</v>
      </c>
      <c r="B12" s="6" t="s">
        <v>2163</v>
      </c>
      <c r="D12" s="6" t="s">
        <v>2104</v>
      </c>
      <c r="E12" s="6">
        <v>1</v>
      </c>
      <c r="F12" s="6" t="s">
        <v>2004</v>
      </c>
      <c r="G12" s="6" t="s">
        <v>2005</v>
      </c>
      <c r="H12" s="6" t="s">
        <v>2005</v>
      </c>
      <c r="I12" s="6" t="str">
        <f t="shared" si="0"/>
        <v>Lift Fork</v>
      </c>
      <c r="J12" s="6" t="s">
        <v>320</v>
      </c>
      <c r="K12" s="6">
        <v>1</v>
      </c>
      <c r="P12" s="6">
        <f t="shared" si="1"/>
        <v>400000</v>
      </c>
      <c r="R12" s="6" t="s">
        <v>2003</v>
      </c>
      <c r="T12" s="6" t="s">
        <v>2007</v>
      </c>
      <c r="U12" s="6">
        <v>2014</v>
      </c>
      <c r="V12" s="6">
        <v>1</v>
      </c>
      <c r="AD12" s="6" t="s">
        <v>45</v>
      </c>
      <c r="AJ12" s="31" t="s">
        <v>2113</v>
      </c>
      <c r="AK12" s="6">
        <v>1</v>
      </c>
      <c r="AL12" s="26">
        <v>350000</v>
      </c>
      <c r="AM12" s="26">
        <v>350000</v>
      </c>
      <c r="AN12" s="26">
        <v>350000</v>
      </c>
      <c r="AO12" s="6" t="s">
        <v>2003</v>
      </c>
      <c r="AQ12" s="6" t="s">
        <v>49</v>
      </c>
      <c r="AU12" s="6">
        <v>223321</v>
      </c>
      <c r="AW12" s="33" t="s">
        <v>2127</v>
      </c>
      <c r="AX12" s="33"/>
      <c r="AY12" s="33"/>
      <c r="AZ12" s="33"/>
    </row>
    <row r="13" spans="1:52" x14ac:dyDescent="0.3">
      <c r="A13" s="28" t="s">
        <v>42</v>
      </c>
      <c r="B13" s="6" t="s">
        <v>2164</v>
      </c>
      <c r="C13" s="6" t="s">
        <v>1975</v>
      </c>
      <c r="D13" s="6" t="s">
        <v>2105</v>
      </c>
      <c r="E13" s="6">
        <v>1</v>
      </c>
      <c r="F13" s="6" t="s">
        <v>2004</v>
      </c>
      <c r="G13" s="6" t="s">
        <v>2005</v>
      </c>
      <c r="H13" s="6" t="s">
        <v>2005</v>
      </c>
      <c r="I13" s="6" t="str">
        <f t="shared" si="0"/>
        <v>Side Breaker</v>
      </c>
      <c r="J13" s="6" t="s">
        <v>164</v>
      </c>
      <c r="K13" s="6">
        <v>1</v>
      </c>
      <c r="P13" s="6">
        <f t="shared" si="1"/>
        <v>5500000</v>
      </c>
      <c r="R13" s="6" t="s">
        <v>2003</v>
      </c>
      <c r="T13" s="6" t="s">
        <v>54</v>
      </c>
      <c r="U13" s="6">
        <v>2009</v>
      </c>
      <c r="V13" s="6">
        <v>1</v>
      </c>
      <c r="AD13" s="6" t="s">
        <v>45</v>
      </c>
      <c r="AJ13" s="31" t="s">
        <v>2111</v>
      </c>
      <c r="AK13" s="6">
        <v>1</v>
      </c>
      <c r="AL13" s="26">
        <v>5000000</v>
      </c>
      <c r="AM13" s="26">
        <v>5000000</v>
      </c>
      <c r="AN13" s="26">
        <v>5000000</v>
      </c>
      <c r="AO13" s="6" t="s">
        <v>2003</v>
      </c>
      <c r="AQ13" s="6" t="s">
        <v>54</v>
      </c>
      <c r="AU13" s="6">
        <v>223322</v>
      </c>
      <c r="AW13" s="33"/>
      <c r="AX13" s="33"/>
      <c r="AY13" s="33"/>
      <c r="AZ13" s="33"/>
    </row>
    <row r="14" spans="1:52" hidden="1" x14ac:dyDescent="0.3">
      <c r="A14" s="28" t="s">
        <v>42</v>
      </c>
      <c r="B14" s="6" t="s">
        <v>2164</v>
      </c>
      <c r="C14" s="6" t="s">
        <v>1975</v>
      </c>
      <c r="E14" s="6">
        <v>1</v>
      </c>
      <c r="F14" s="6" t="s">
        <v>2004</v>
      </c>
      <c r="G14" s="6" t="s">
        <v>2005</v>
      </c>
      <c r="H14" s="6" t="s">
        <v>2005</v>
      </c>
      <c r="I14" s="6" t="str">
        <f t="shared" si="0"/>
        <v>Side Breaker</v>
      </c>
      <c r="J14" s="6" t="s">
        <v>395</v>
      </c>
      <c r="K14" s="6">
        <v>1</v>
      </c>
      <c r="P14" s="6">
        <f t="shared" si="1"/>
        <v>2400000</v>
      </c>
      <c r="R14" s="6" t="s">
        <v>2003</v>
      </c>
      <c r="T14" s="6" t="s">
        <v>847</v>
      </c>
      <c r="U14" s="6">
        <v>2003</v>
      </c>
      <c r="V14" s="6">
        <v>1</v>
      </c>
      <c r="AD14" s="6" t="s">
        <v>45</v>
      </c>
      <c r="AJ14" s="31" t="s">
        <v>2116</v>
      </c>
      <c r="AK14" s="6">
        <v>1</v>
      </c>
      <c r="AL14" s="26">
        <v>2200000</v>
      </c>
      <c r="AM14" s="26">
        <v>2200000</v>
      </c>
      <c r="AN14" s="26">
        <v>2200000</v>
      </c>
      <c r="AO14" s="6" t="s">
        <v>2003</v>
      </c>
      <c r="AQ14" s="6" t="s">
        <v>1146</v>
      </c>
      <c r="AU14" s="6">
        <v>223327</v>
      </c>
      <c r="AW14" s="33"/>
      <c r="AX14" s="33"/>
      <c r="AY14" s="33"/>
      <c r="AZ14" s="33"/>
    </row>
    <row r="15" spans="1:52" hidden="1" x14ac:dyDescent="0.3">
      <c r="A15" s="28" t="s">
        <v>42</v>
      </c>
      <c r="B15" s="6" t="s">
        <v>2164</v>
      </c>
      <c r="C15" s="6" t="s">
        <v>1975</v>
      </c>
      <c r="E15" s="6">
        <v>1</v>
      </c>
      <c r="F15" s="6" t="s">
        <v>2004</v>
      </c>
      <c r="G15" s="6" t="s">
        <v>2005</v>
      </c>
      <c r="H15" s="6" t="s">
        <v>2005</v>
      </c>
      <c r="I15" s="6" t="str">
        <f t="shared" si="0"/>
        <v>Side Breaker</v>
      </c>
      <c r="J15" s="6" t="s">
        <v>246</v>
      </c>
      <c r="K15" s="6">
        <v>1</v>
      </c>
      <c r="P15" s="6">
        <f t="shared" si="1"/>
        <v>2700000</v>
      </c>
      <c r="R15" s="6" t="s">
        <v>2003</v>
      </c>
      <c r="T15" s="6" t="s">
        <v>2007</v>
      </c>
      <c r="U15" s="6">
        <v>2017</v>
      </c>
      <c r="V15" s="6">
        <v>1</v>
      </c>
      <c r="AD15" s="6" t="s">
        <v>45</v>
      </c>
      <c r="AJ15" s="31" t="s">
        <v>2113</v>
      </c>
      <c r="AK15" s="6">
        <v>1</v>
      </c>
      <c r="AL15" s="26">
        <v>2500000</v>
      </c>
      <c r="AM15" s="26">
        <v>2500000</v>
      </c>
      <c r="AN15" s="26">
        <v>2500000</v>
      </c>
      <c r="AO15" s="6" t="s">
        <v>2003</v>
      </c>
      <c r="AQ15" s="6" t="s">
        <v>49</v>
      </c>
      <c r="AU15" s="6">
        <v>223338</v>
      </c>
    </row>
    <row r="16" spans="1:52" x14ac:dyDescent="0.3">
      <c r="A16" s="28" t="s">
        <v>42</v>
      </c>
      <c r="B16" s="6" t="s">
        <v>2165</v>
      </c>
      <c r="C16" s="6" t="s">
        <v>1982</v>
      </c>
      <c r="D16" s="6" t="s">
        <v>2105</v>
      </c>
      <c r="E16" s="6">
        <v>1</v>
      </c>
      <c r="F16" s="6" t="s">
        <v>2004</v>
      </c>
      <c r="G16" s="6" t="s">
        <v>2005</v>
      </c>
      <c r="H16" s="6" t="s">
        <v>2005</v>
      </c>
      <c r="I16" s="6" t="str">
        <f t="shared" si="0"/>
        <v>Standard Bucket</v>
      </c>
      <c r="J16" s="6" t="s">
        <v>434</v>
      </c>
      <c r="K16" s="6">
        <v>1</v>
      </c>
      <c r="P16" s="6">
        <f t="shared" si="1"/>
        <v>2200000</v>
      </c>
      <c r="R16" s="6" t="s">
        <v>2003</v>
      </c>
      <c r="T16" s="6" t="s">
        <v>854</v>
      </c>
      <c r="U16" s="6">
        <v>2013</v>
      </c>
      <c r="V16" s="6">
        <v>1</v>
      </c>
      <c r="AD16" s="6" t="s">
        <v>45</v>
      </c>
      <c r="AJ16" s="31" t="s">
        <v>2117</v>
      </c>
      <c r="AK16" s="6">
        <v>1</v>
      </c>
      <c r="AL16" s="26">
        <v>2000000</v>
      </c>
      <c r="AM16" s="26">
        <v>2000000</v>
      </c>
      <c r="AN16" s="26">
        <v>2000000</v>
      </c>
      <c r="AO16" s="6" t="s">
        <v>2003</v>
      </c>
      <c r="AQ16" s="6" t="s">
        <v>1248</v>
      </c>
      <c r="AU16" s="6">
        <v>223339</v>
      </c>
    </row>
    <row r="17" spans="1:47" x14ac:dyDescent="0.3">
      <c r="A17" s="28" t="s">
        <v>42</v>
      </c>
      <c r="B17" s="6" t="s">
        <v>2160</v>
      </c>
      <c r="C17" s="6" t="s">
        <v>1972</v>
      </c>
      <c r="D17" s="6" t="s">
        <v>2101</v>
      </c>
      <c r="E17" s="6">
        <v>1</v>
      </c>
      <c r="F17" s="6" t="s">
        <v>2004</v>
      </c>
      <c r="G17" s="6" t="s">
        <v>2005</v>
      </c>
      <c r="H17" s="6" t="s">
        <v>2005</v>
      </c>
      <c r="I17" s="6" t="str">
        <f t="shared" si="0"/>
        <v>Stone Grapple</v>
      </c>
      <c r="J17" s="6" t="s">
        <v>180</v>
      </c>
      <c r="K17" s="6">
        <v>1</v>
      </c>
      <c r="P17" s="6">
        <f t="shared" si="1"/>
        <v>3700000</v>
      </c>
      <c r="R17" s="6" t="s">
        <v>2003</v>
      </c>
      <c r="T17" s="6" t="s">
        <v>823</v>
      </c>
      <c r="U17" s="6">
        <v>2014</v>
      </c>
      <c r="V17" s="6">
        <v>1</v>
      </c>
      <c r="AD17" s="6" t="s">
        <v>45</v>
      </c>
      <c r="AJ17" s="31" t="s">
        <v>2113</v>
      </c>
      <c r="AK17" s="6">
        <v>1</v>
      </c>
      <c r="AL17" s="26">
        <v>3500000</v>
      </c>
      <c r="AM17" s="26">
        <v>3500000</v>
      </c>
      <c r="AN17" s="26">
        <v>3500000</v>
      </c>
      <c r="AO17" s="6" t="s">
        <v>2003</v>
      </c>
      <c r="AQ17" s="6" t="s">
        <v>80</v>
      </c>
      <c r="AU17" s="6">
        <v>223342</v>
      </c>
    </row>
    <row r="18" spans="1:47" x14ac:dyDescent="0.3">
      <c r="A18" s="28" t="s">
        <v>42</v>
      </c>
      <c r="B18" s="6" t="s">
        <v>2164</v>
      </c>
      <c r="C18" s="6" t="s">
        <v>1975</v>
      </c>
      <c r="D18" s="6" t="s">
        <v>2105</v>
      </c>
      <c r="E18" s="6">
        <v>1</v>
      </c>
      <c r="F18" s="6" t="s">
        <v>2004</v>
      </c>
      <c r="G18" s="6" t="s">
        <v>2005</v>
      </c>
      <c r="H18" s="6" t="s">
        <v>2005</v>
      </c>
      <c r="I18" s="6" t="str">
        <f t="shared" si="0"/>
        <v>Side Breaker</v>
      </c>
      <c r="J18" s="6" t="s">
        <v>233</v>
      </c>
      <c r="K18" s="6">
        <v>1</v>
      </c>
      <c r="P18" s="6">
        <f t="shared" si="1"/>
        <v>4200000</v>
      </c>
      <c r="R18" s="6" t="s">
        <v>2003</v>
      </c>
      <c r="T18" s="6" t="s">
        <v>855</v>
      </c>
      <c r="U18" s="6">
        <v>2008</v>
      </c>
      <c r="V18" s="6">
        <v>1</v>
      </c>
      <c r="AD18" s="6" t="s">
        <v>45</v>
      </c>
      <c r="AJ18" s="31" t="s">
        <v>2118</v>
      </c>
      <c r="AK18" s="6">
        <v>1</v>
      </c>
      <c r="AL18" s="26">
        <v>4000000</v>
      </c>
      <c r="AM18" s="26">
        <v>4000000</v>
      </c>
      <c r="AN18" s="26">
        <v>4000000</v>
      </c>
      <c r="AO18" s="6" t="s">
        <v>2003</v>
      </c>
      <c r="AQ18" s="6" t="s">
        <v>67</v>
      </c>
      <c r="AU18" s="6">
        <v>223343</v>
      </c>
    </row>
    <row r="19" spans="1:47" x14ac:dyDescent="0.3">
      <c r="A19" s="28" t="s">
        <v>42</v>
      </c>
      <c r="B19" s="6" t="s">
        <v>2165</v>
      </c>
      <c r="C19" s="6" t="s">
        <v>1976</v>
      </c>
      <c r="D19" s="6" t="s">
        <v>2105</v>
      </c>
      <c r="E19" s="6">
        <v>1</v>
      </c>
      <c r="F19" s="6" t="s">
        <v>2004</v>
      </c>
      <c r="G19" s="6" t="s">
        <v>2005</v>
      </c>
      <c r="H19" s="6" t="s">
        <v>2005</v>
      </c>
      <c r="I19" s="6" t="str">
        <f t="shared" si="0"/>
        <v>Skeleton Bucket</v>
      </c>
      <c r="J19" s="6" t="s">
        <v>124</v>
      </c>
      <c r="K19" s="6">
        <v>1</v>
      </c>
      <c r="P19" s="6">
        <f t="shared" si="1"/>
        <v>1600000</v>
      </c>
      <c r="R19" s="6" t="s">
        <v>2003</v>
      </c>
      <c r="T19" s="6" t="s">
        <v>813</v>
      </c>
      <c r="U19" s="6">
        <v>2013</v>
      </c>
      <c r="V19" s="6">
        <v>1</v>
      </c>
      <c r="AD19" s="6" t="s">
        <v>45</v>
      </c>
      <c r="AJ19" s="31" t="s">
        <v>2113</v>
      </c>
      <c r="AK19" s="6">
        <v>1</v>
      </c>
      <c r="AL19" s="26">
        <v>1500000</v>
      </c>
      <c r="AM19" s="26">
        <v>1500000</v>
      </c>
      <c r="AN19" s="26">
        <v>1500000</v>
      </c>
      <c r="AO19" s="6" t="s">
        <v>2003</v>
      </c>
      <c r="AQ19" s="6" t="s">
        <v>80</v>
      </c>
      <c r="AU19" s="6">
        <v>223353</v>
      </c>
    </row>
    <row r="20" spans="1:47" x14ac:dyDescent="0.3">
      <c r="A20" s="28" t="s">
        <v>42</v>
      </c>
      <c r="B20" s="6" t="s">
        <v>2161</v>
      </c>
      <c r="C20" s="6" t="s">
        <v>2156</v>
      </c>
      <c r="D20" s="6" t="s">
        <v>2106</v>
      </c>
      <c r="E20" s="6">
        <v>1</v>
      </c>
      <c r="F20" s="6" t="s">
        <v>2004</v>
      </c>
      <c r="G20" s="6" t="s">
        <v>2005</v>
      </c>
      <c r="H20" s="6" t="s">
        <v>2005</v>
      </c>
      <c r="I20" s="6" t="str">
        <f t="shared" si="0"/>
        <v>Hydraulic Crusher</v>
      </c>
      <c r="J20" s="6" t="s">
        <v>76</v>
      </c>
      <c r="K20" s="6">
        <v>1</v>
      </c>
      <c r="P20" s="6">
        <f t="shared" si="1"/>
        <v>5800000</v>
      </c>
      <c r="R20" s="6" t="s">
        <v>2003</v>
      </c>
      <c r="T20" s="6" t="s">
        <v>70</v>
      </c>
      <c r="U20" s="6">
        <v>2016</v>
      </c>
      <c r="V20" s="6">
        <v>1</v>
      </c>
      <c r="AD20" s="6" t="s">
        <v>45</v>
      </c>
      <c r="AJ20" s="31" t="s">
        <v>2113</v>
      </c>
      <c r="AK20" s="6">
        <v>1</v>
      </c>
      <c r="AL20" s="26">
        <v>5300000</v>
      </c>
      <c r="AM20" s="26">
        <v>5300000</v>
      </c>
      <c r="AN20" s="26">
        <v>5300000</v>
      </c>
      <c r="AO20" s="6" t="s">
        <v>2003</v>
      </c>
      <c r="AQ20" s="6" t="s">
        <v>71</v>
      </c>
      <c r="AU20" s="6">
        <v>223362</v>
      </c>
    </row>
    <row r="21" spans="1:47" x14ac:dyDescent="0.3">
      <c r="A21" s="28" t="s">
        <v>42</v>
      </c>
      <c r="B21" s="6" t="s">
        <v>2165</v>
      </c>
      <c r="C21" s="6" t="s">
        <v>1977</v>
      </c>
      <c r="D21" s="6" t="s">
        <v>2103</v>
      </c>
      <c r="E21" s="6">
        <v>1</v>
      </c>
      <c r="F21" s="6" t="s">
        <v>2004</v>
      </c>
      <c r="G21" s="6" t="s">
        <v>2005</v>
      </c>
      <c r="H21" s="6" t="s">
        <v>2005</v>
      </c>
      <c r="I21" s="6" t="str">
        <f t="shared" si="0"/>
        <v>Wide Bucket</v>
      </c>
      <c r="J21" s="6" t="s">
        <v>293</v>
      </c>
      <c r="K21" s="6">
        <v>1</v>
      </c>
      <c r="P21" s="6">
        <f t="shared" si="1"/>
        <v>1200000</v>
      </c>
      <c r="R21" s="6" t="s">
        <v>2003</v>
      </c>
      <c r="T21" s="6" t="s">
        <v>813</v>
      </c>
      <c r="U21" s="6">
        <v>2013</v>
      </c>
      <c r="V21" s="6">
        <v>1</v>
      </c>
      <c r="AD21" s="6" t="s">
        <v>45</v>
      </c>
      <c r="AJ21" s="31" t="s">
        <v>2113</v>
      </c>
      <c r="AK21" s="6">
        <v>1</v>
      </c>
      <c r="AL21" s="26">
        <v>1100000</v>
      </c>
      <c r="AM21" s="26">
        <v>1100000</v>
      </c>
      <c r="AN21" s="26">
        <v>1100000</v>
      </c>
      <c r="AO21" s="6" t="s">
        <v>2003</v>
      </c>
      <c r="AQ21" s="6" t="s">
        <v>79</v>
      </c>
      <c r="AU21" s="6">
        <v>223369</v>
      </c>
    </row>
    <row r="22" spans="1:47" x14ac:dyDescent="0.3">
      <c r="A22" s="28" t="s">
        <v>42</v>
      </c>
      <c r="B22" s="6" t="s">
        <v>2164</v>
      </c>
      <c r="C22" s="6" t="s">
        <v>1975</v>
      </c>
      <c r="D22" s="6" t="s">
        <v>2002</v>
      </c>
      <c r="E22" s="6">
        <v>1</v>
      </c>
      <c r="F22" s="6" t="s">
        <v>2004</v>
      </c>
      <c r="G22" s="6" t="s">
        <v>2005</v>
      </c>
      <c r="H22" s="6" t="s">
        <v>2005</v>
      </c>
      <c r="I22" s="6" t="str">
        <f t="shared" si="0"/>
        <v>Side Breaker</v>
      </c>
      <c r="J22" s="6" t="s">
        <v>135</v>
      </c>
      <c r="K22" s="6">
        <v>1</v>
      </c>
      <c r="P22" s="6">
        <f t="shared" si="1"/>
        <v>1300000</v>
      </c>
      <c r="R22" s="6" t="s">
        <v>2003</v>
      </c>
      <c r="T22" s="6" t="s">
        <v>2007</v>
      </c>
      <c r="U22" s="6">
        <v>2013</v>
      </c>
      <c r="V22" s="6">
        <v>1</v>
      </c>
      <c r="AD22" s="6" t="s">
        <v>45</v>
      </c>
      <c r="AJ22" s="31" t="s">
        <v>2113</v>
      </c>
      <c r="AK22" s="6">
        <v>1</v>
      </c>
      <c r="AL22" s="26">
        <v>1200000</v>
      </c>
      <c r="AM22" s="26">
        <v>1200000</v>
      </c>
      <c r="AN22" s="26">
        <v>1200000</v>
      </c>
      <c r="AO22" s="6" t="s">
        <v>2003</v>
      </c>
      <c r="AQ22" s="6" t="s">
        <v>49</v>
      </c>
      <c r="AU22" s="6">
        <v>223371</v>
      </c>
    </row>
    <row r="23" spans="1:47" x14ac:dyDescent="0.3">
      <c r="A23" s="28" t="s">
        <v>42</v>
      </c>
      <c r="B23" s="6" t="s">
        <v>2165</v>
      </c>
      <c r="C23" s="6" t="s">
        <v>1977</v>
      </c>
      <c r="D23" s="6" t="s">
        <v>2100</v>
      </c>
      <c r="E23" s="6">
        <v>1</v>
      </c>
      <c r="F23" s="6" t="s">
        <v>2004</v>
      </c>
      <c r="G23" s="6" t="s">
        <v>2005</v>
      </c>
      <c r="H23" s="6" t="s">
        <v>2005</v>
      </c>
      <c r="I23" s="6" t="str">
        <f t="shared" si="0"/>
        <v>Wide Bucket</v>
      </c>
      <c r="J23" s="6" t="s">
        <v>64</v>
      </c>
      <c r="K23" s="6">
        <v>1</v>
      </c>
      <c r="P23" s="6">
        <f t="shared" si="1"/>
        <v>350000</v>
      </c>
      <c r="R23" s="6" t="s">
        <v>2003</v>
      </c>
      <c r="T23" s="6" t="s">
        <v>2007</v>
      </c>
      <c r="U23" s="6">
        <v>2013</v>
      </c>
      <c r="V23" s="6">
        <v>1</v>
      </c>
      <c r="AD23" s="6" t="s">
        <v>45</v>
      </c>
      <c r="AJ23" s="31" t="s">
        <v>2113</v>
      </c>
      <c r="AK23" s="6">
        <v>1</v>
      </c>
      <c r="AL23" s="26">
        <v>300000</v>
      </c>
      <c r="AM23" s="26">
        <v>300000</v>
      </c>
      <c r="AN23" s="26">
        <v>300000</v>
      </c>
      <c r="AO23" s="6" t="s">
        <v>2003</v>
      </c>
      <c r="AQ23" s="6" t="s">
        <v>49</v>
      </c>
      <c r="AU23" s="6">
        <v>223372</v>
      </c>
    </row>
    <row r="24" spans="1:47" x14ac:dyDescent="0.3">
      <c r="A24" s="28" t="s">
        <v>42</v>
      </c>
      <c r="B24" s="6" t="s">
        <v>2164</v>
      </c>
      <c r="C24" s="6" t="s">
        <v>1975</v>
      </c>
      <c r="D24" s="6" t="s">
        <v>2104</v>
      </c>
      <c r="E24" s="6">
        <v>1</v>
      </c>
      <c r="F24" s="6" t="s">
        <v>2004</v>
      </c>
      <c r="G24" s="6" t="s">
        <v>2005</v>
      </c>
      <c r="H24" s="6" t="s">
        <v>2005</v>
      </c>
      <c r="I24" s="6" t="str">
        <f t="shared" si="0"/>
        <v>Side Breaker</v>
      </c>
      <c r="J24" s="6" t="s">
        <v>435</v>
      </c>
      <c r="K24" s="6">
        <v>1</v>
      </c>
      <c r="P24" s="6">
        <f t="shared" si="1"/>
        <v>3900000</v>
      </c>
      <c r="R24" s="6" t="s">
        <v>2003</v>
      </c>
      <c r="T24" s="6" t="s">
        <v>815</v>
      </c>
      <c r="U24" s="6">
        <v>2015</v>
      </c>
      <c r="V24" s="6">
        <v>7</v>
      </c>
      <c r="AD24" s="6" t="s">
        <v>45</v>
      </c>
      <c r="AJ24" s="31" t="s">
        <v>2118</v>
      </c>
      <c r="AK24" s="6">
        <v>1</v>
      </c>
      <c r="AL24" s="26">
        <v>3700000</v>
      </c>
      <c r="AM24" s="26">
        <v>3700000</v>
      </c>
      <c r="AN24" s="26">
        <v>3700000</v>
      </c>
      <c r="AO24" s="6" t="s">
        <v>2003</v>
      </c>
      <c r="AQ24" s="6" t="s">
        <v>1197</v>
      </c>
      <c r="AU24" s="6">
        <v>223373</v>
      </c>
    </row>
    <row r="25" spans="1:47" x14ac:dyDescent="0.3">
      <c r="A25" s="28" t="s">
        <v>42</v>
      </c>
      <c r="B25" s="6" t="s">
        <v>2166</v>
      </c>
      <c r="D25" s="6" t="s">
        <v>2101</v>
      </c>
      <c r="E25" s="6">
        <v>1</v>
      </c>
      <c r="F25" s="6" t="s">
        <v>2004</v>
      </c>
      <c r="G25" s="6" t="s">
        <v>2005</v>
      </c>
      <c r="H25" s="6" t="s">
        <v>2005</v>
      </c>
      <c r="I25" s="6" t="str">
        <f t="shared" si="0"/>
        <v>ETC</v>
      </c>
      <c r="J25" s="6" t="s">
        <v>436</v>
      </c>
      <c r="K25" s="6">
        <v>1</v>
      </c>
      <c r="P25" s="6">
        <f t="shared" si="1"/>
        <v>2200000</v>
      </c>
      <c r="R25" s="6" t="s">
        <v>2003</v>
      </c>
      <c r="T25" s="6" t="s">
        <v>856</v>
      </c>
      <c r="U25" s="6">
        <v>2014</v>
      </c>
      <c r="V25" s="6">
        <v>1</v>
      </c>
      <c r="AD25" s="6" t="s">
        <v>45</v>
      </c>
      <c r="AJ25" s="31" t="s">
        <v>2119</v>
      </c>
      <c r="AK25" s="6">
        <v>1</v>
      </c>
      <c r="AL25" s="26">
        <v>2000000</v>
      </c>
      <c r="AM25" s="26">
        <v>2000000</v>
      </c>
      <c r="AN25" s="26">
        <v>2000000</v>
      </c>
      <c r="AO25" s="6" t="s">
        <v>2003</v>
      </c>
      <c r="AQ25" s="6" t="s">
        <v>60</v>
      </c>
      <c r="AU25" s="6">
        <v>223375</v>
      </c>
    </row>
    <row r="26" spans="1:47" x14ac:dyDescent="0.3">
      <c r="A26" s="28" t="s">
        <v>42</v>
      </c>
      <c r="B26" s="6" t="s">
        <v>2160</v>
      </c>
      <c r="C26" s="6" t="s">
        <v>2206</v>
      </c>
      <c r="D26" s="6" t="s">
        <v>2106</v>
      </c>
      <c r="E26" s="6">
        <v>1</v>
      </c>
      <c r="F26" s="6" t="s">
        <v>2004</v>
      </c>
      <c r="G26" s="6" t="s">
        <v>2005</v>
      </c>
      <c r="H26" s="6" t="s">
        <v>2005</v>
      </c>
      <c r="I26" s="6" t="str">
        <f t="shared" si="0"/>
        <v>Etc Grapple</v>
      </c>
      <c r="J26" s="6" t="s">
        <v>339</v>
      </c>
      <c r="K26" s="6">
        <v>1</v>
      </c>
      <c r="P26" s="6">
        <f t="shared" si="1"/>
        <v>2250000</v>
      </c>
      <c r="R26" s="6" t="s">
        <v>2003</v>
      </c>
      <c r="T26" s="6" t="s">
        <v>2007</v>
      </c>
      <c r="U26" s="6">
        <v>2016</v>
      </c>
      <c r="V26" s="6">
        <v>1</v>
      </c>
      <c r="AD26" s="6" t="s">
        <v>45</v>
      </c>
      <c r="AJ26" s="31" t="s">
        <v>2113</v>
      </c>
      <c r="AK26" s="6">
        <v>1</v>
      </c>
      <c r="AL26" s="26">
        <v>2050000</v>
      </c>
      <c r="AM26" s="26">
        <v>2050000</v>
      </c>
      <c r="AN26" s="26">
        <v>2050000</v>
      </c>
      <c r="AO26" s="6" t="s">
        <v>2003</v>
      </c>
      <c r="AQ26" s="6" t="s">
        <v>49</v>
      </c>
      <c r="AU26" s="6">
        <v>223378</v>
      </c>
    </row>
    <row r="27" spans="1:47" x14ac:dyDescent="0.3">
      <c r="A27" s="28" t="s">
        <v>42</v>
      </c>
      <c r="B27" s="6" t="s">
        <v>2159</v>
      </c>
      <c r="D27" s="6" t="s">
        <v>2100</v>
      </c>
      <c r="E27" s="6">
        <v>1</v>
      </c>
      <c r="F27" s="6" t="s">
        <v>2004</v>
      </c>
      <c r="G27" s="6" t="s">
        <v>2005</v>
      </c>
      <c r="H27" s="6" t="s">
        <v>2005</v>
      </c>
      <c r="I27" s="6" t="str">
        <f t="shared" si="0"/>
        <v>ETC</v>
      </c>
      <c r="J27" s="6" t="s">
        <v>373</v>
      </c>
      <c r="K27" s="6">
        <v>1</v>
      </c>
      <c r="P27" s="6">
        <f t="shared" si="1"/>
        <v>1800000</v>
      </c>
      <c r="R27" s="6" t="s">
        <v>2003</v>
      </c>
      <c r="T27" s="6" t="s">
        <v>841</v>
      </c>
      <c r="U27" s="6">
        <v>2016</v>
      </c>
      <c r="V27" s="6">
        <v>8</v>
      </c>
      <c r="AD27" s="6" t="s">
        <v>45</v>
      </c>
      <c r="AJ27" s="31" t="s">
        <v>2118</v>
      </c>
      <c r="AK27" s="6">
        <v>1</v>
      </c>
      <c r="AL27" s="26">
        <v>1700000</v>
      </c>
      <c r="AM27" s="26">
        <v>1700000</v>
      </c>
      <c r="AN27" s="26">
        <v>1700000</v>
      </c>
      <c r="AO27" s="6" t="s">
        <v>2003</v>
      </c>
      <c r="AQ27" s="6" t="s">
        <v>1170</v>
      </c>
      <c r="AU27" s="6">
        <v>223380</v>
      </c>
    </row>
    <row r="28" spans="1:47" x14ac:dyDescent="0.3">
      <c r="A28" s="28" t="s">
        <v>42</v>
      </c>
      <c r="B28" s="6" t="s">
        <v>2167</v>
      </c>
      <c r="C28" s="6" t="s">
        <v>1975</v>
      </c>
      <c r="D28" s="6" t="s">
        <v>2104</v>
      </c>
      <c r="E28" s="6">
        <v>1</v>
      </c>
      <c r="F28" s="6" t="s">
        <v>2004</v>
      </c>
      <c r="G28" s="6" t="s">
        <v>2005</v>
      </c>
      <c r="H28" s="6" t="s">
        <v>2005</v>
      </c>
      <c r="I28" s="6" t="str">
        <f t="shared" si="0"/>
        <v>Side Breaker</v>
      </c>
      <c r="J28" s="6" t="s">
        <v>423</v>
      </c>
      <c r="K28" s="6">
        <v>1</v>
      </c>
      <c r="P28" s="6">
        <f t="shared" si="1"/>
        <v>4000000</v>
      </c>
      <c r="R28" s="6" t="s">
        <v>2003</v>
      </c>
      <c r="T28" s="6" t="s">
        <v>797</v>
      </c>
      <c r="U28" s="6">
        <v>2015</v>
      </c>
      <c r="V28" s="6">
        <v>7</v>
      </c>
      <c r="AD28" s="6" t="s">
        <v>45</v>
      </c>
      <c r="AJ28" s="31" t="s">
        <v>2120</v>
      </c>
      <c r="AK28" s="6">
        <v>1</v>
      </c>
      <c r="AL28" s="26">
        <v>3800000</v>
      </c>
      <c r="AM28" s="26">
        <v>3800000</v>
      </c>
      <c r="AN28" s="26">
        <v>3800000</v>
      </c>
      <c r="AO28" s="6" t="s">
        <v>2003</v>
      </c>
      <c r="AQ28" s="6" t="s">
        <v>1162</v>
      </c>
      <c r="AU28" s="6">
        <v>223383</v>
      </c>
    </row>
    <row r="29" spans="1:47" hidden="1" x14ac:dyDescent="0.3">
      <c r="A29" s="28" t="s">
        <v>42</v>
      </c>
      <c r="B29" s="6" t="s">
        <v>2159</v>
      </c>
      <c r="E29" s="6">
        <v>1</v>
      </c>
      <c r="F29" s="6" t="s">
        <v>2004</v>
      </c>
      <c r="G29" s="6" t="s">
        <v>2005</v>
      </c>
      <c r="H29" s="6" t="s">
        <v>2005</v>
      </c>
      <c r="I29" s="6" t="str">
        <f t="shared" si="0"/>
        <v>ETC</v>
      </c>
      <c r="J29" s="6" t="s">
        <v>111</v>
      </c>
      <c r="K29" s="6">
        <v>1</v>
      </c>
      <c r="P29" s="6">
        <f t="shared" si="1"/>
        <v>8500000</v>
      </c>
      <c r="R29" s="6" t="s">
        <v>2003</v>
      </c>
      <c r="T29" s="6" t="s">
        <v>857</v>
      </c>
      <c r="U29" s="6">
        <v>2014</v>
      </c>
      <c r="V29" s="6">
        <v>9</v>
      </c>
      <c r="AD29" s="6" t="s">
        <v>45</v>
      </c>
      <c r="AJ29" s="31" t="s">
        <v>2114</v>
      </c>
      <c r="AK29" s="6">
        <v>1</v>
      </c>
      <c r="AL29" s="26">
        <v>8000000</v>
      </c>
      <c r="AM29" s="26">
        <v>8000000</v>
      </c>
      <c r="AN29" s="26">
        <v>8000000</v>
      </c>
      <c r="AO29" s="6" t="s">
        <v>2003</v>
      </c>
      <c r="AQ29" s="6" t="s">
        <v>57</v>
      </c>
      <c r="AU29" s="6">
        <v>223386</v>
      </c>
    </row>
    <row r="30" spans="1:47" x14ac:dyDescent="0.3">
      <c r="A30" s="28" t="s">
        <v>42</v>
      </c>
      <c r="B30" s="6" t="s">
        <v>2168</v>
      </c>
      <c r="C30" s="6" t="s">
        <v>1978</v>
      </c>
      <c r="D30" s="6" t="s">
        <v>2103</v>
      </c>
      <c r="E30" s="6">
        <v>1</v>
      </c>
      <c r="F30" s="6" t="s">
        <v>2004</v>
      </c>
      <c r="G30" s="6" t="s">
        <v>2005</v>
      </c>
      <c r="H30" s="6" t="s">
        <v>2005</v>
      </c>
      <c r="I30" s="6" t="str">
        <f t="shared" si="0"/>
        <v>Hydraulic Pulverizer</v>
      </c>
      <c r="J30" s="6" t="s">
        <v>437</v>
      </c>
      <c r="K30" s="6">
        <v>1</v>
      </c>
      <c r="P30" s="6">
        <f t="shared" si="1"/>
        <v>6500000</v>
      </c>
      <c r="R30" s="6" t="s">
        <v>2003</v>
      </c>
      <c r="T30" s="6" t="s">
        <v>813</v>
      </c>
      <c r="U30" s="6">
        <v>2013</v>
      </c>
      <c r="V30" s="6">
        <v>1</v>
      </c>
      <c r="AD30" s="6" t="s">
        <v>45</v>
      </c>
      <c r="AJ30" s="31" t="s">
        <v>2113</v>
      </c>
      <c r="AK30" s="6">
        <v>1</v>
      </c>
      <c r="AL30" s="26">
        <v>6000000</v>
      </c>
      <c r="AM30" s="26">
        <v>6000000</v>
      </c>
      <c r="AN30" s="26">
        <v>6000000</v>
      </c>
      <c r="AO30" s="6" t="s">
        <v>2003</v>
      </c>
      <c r="AQ30" s="6" t="s">
        <v>80</v>
      </c>
      <c r="AU30" s="6">
        <v>223392</v>
      </c>
    </row>
    <row r="31" spans="1:47" x14ac:dyDescent="0.3">
      <c r="A31" s="28" t="s">
        <v>42</v>
      </c>
      <c r="B31" s="6" t="s">
        <v>2167</v>
      </c>
      <c r="C31" s="6" t="s">
        <v>1975</v>
      </c>
      <c r="D31" s="6" t="s">
        <v>2106</v>
      </c>
      <c r="E31" s="6">
        <v>1</v>
      </c>
      <c r="F31" s="6" t="s">
        <v>2004</v>
      </c>
      <c r="G31" s="6" t="s">
        <v>2005</v>
      </c>
      <c r="H31" s="6" t="s">
        <v>2005</v>
      </c>
      <c r="I31" s="6" t="str">
        <f t="shared" si="0"/>
        <v>Side Breaker</v>
      </c>
      <c r="J31" s="6" t="s">
        <v>438</v>
      </c>
      <c r="K31" s="6">
        <v>1</v>
      </c>
      <c r="P31" s="6">
        <f t="shared" si="1"/>
        <v>1900000</v>
      </c>
      <c r="R31" s="6" t="s">
        <v>2003</v>
      </c>
      <c r="T31" s="6" t="s">
        <v>858</v>
      </c>
      <c r="U31" s="6">
        <v>2017</v>
      </c>
      <c r="V31" s="6">
        <v>1</v>
      </c>
      <c r="AD31" s="6" t="s">
        <v>45</v>
      </c>
      <c r="AJ31" s="31" t="s">
        <v>2113</v>
      </c>
      <c r="AK31" s="6">
        <v>1</v>
      </c>
      <c r="AL31" s="26">
        <v>1800000</v>
      </c>
      <c r="AM31" s="26">
        <v>1800000</v>
      </c>
      <c r="AN31" s="26">
        <v>1800000</v>
      </c>
      <c r="AO31" s="6" t="s">
        <v>2003</v>
      </c>
      <c r="AQ31" s="6" t="s">
        <v>49</v>
      </c>
      <c r="AU31" s="6">
        <v>223393</v>
      </c>
    </row>
    <row r="32" spans="1:47" x14ac:dyDescent="0.3">
      <c r="A32" s="28" t="s">
        <v>42</v>
      </c>
      <c r="B32" s="6" t="s">
        <v>2157</v>
      </c>
      <c r="C32" s="6" t="s">
        <v>1973</v>
      </c>
      <c r="D32" s="6" t="s">
        <v>2100</v>
      </c>
      <c r="E32" s="6">
        <v>1</v>
      </c>
      <c r="F32" s="6" t="s">
        <v>2004</v>
      </c>
      <c r="G32" s="6" t="s">
        <v>2005</v>
      </c>
      <c r="H32" s="6" t="s">
        <v>2005</v>
      </c>
      <c r="I32" s="6" t="str">
        <f t="shared" si="0"/>
        <v>Wood Grapple</v>
      </c>
      <c r="J32" s="6" t="s">
        <v>439</v>
      </c>
      <c r="K32" s="6">
        <v>1</v>
      </c>
      <c r="P32" s="6">
        <f t="shared" si="1"/>
        <v>2700000</v>
      </c>
      <c r="R32" s="6" t="s">
        <v>2003</v>
      </c>
      <c r="T32" s="6" t="s">
        <v>859</v>
      </c>
      <c r="U32" s="6">
        <v>2015</v>
      </c>
      <c r="V32" s="6">
        <v>10</v>
      </c>
      <c r="AD32" s="6" t="s">
        <v>45</v>
      </c>
      <c r="AJ32" s="31" t="s">
        <v>2121</v>
      </c>
      <c r="AK32" s="6">
        <v>1</v>
      </c>
      <c r="AL32" s="26">
        <v>2500000</v>
      </c>
      <c r="AM32" s="26">
        <v>2500000</v>
      </c>
      <c r="AN32" s="26">
        <v>2500000</v>
      </c>
      <c r="AO32" s="6" t="s">
        <v>2003</v>
      </c>
      <c r="AQ32" s="6" t="s">
        <v>1254</v>
      </c>
      <c r="AU32" s="6">
        <v>223398</v>
      </c>
    </row>
    <row r="33" spans="1:47" x14ac:dyDescent="0.3">
      <c r="A33" s="28" t="s">
        <v>42</v>
      </c>
      <c r="B33" s="6" t="s">
        <v>2167</v>
      </c>
      <c r="C33" s="6" t="s">
        <v>1975</v>
      </c>
      <c r="D33" s="6" t="s">
        <v>2106</v>
      </c>
      <c r="E33" s="6">
        <v>1</v>
      </c>
      <c r="F33" s="6" t="s">
        <v>2004</v>
      </c>
      <c r="G33" s="6" t="s">
        <v>2005</v>
      </c>
      <c r="H33" s="6" t="s">
        <v>2005</v>
      </c>
      <c r="I33" s="6" t="str">
        <f t="shared" si="0"/>
        <v>Side Breaker</v>
      </c>
      <c r="J33" s="6" t="s">
        <v>172</v>
      </c>
      <c r="K33" s="6">
        <v>1</v>
      </c>
      <c r="P33" s="6">
        <f t="shared" si="1"/>
        <v>1600000</v>
      </c>
      <c r="R33" s="6" t="s">
        <v>2003</v>
      </c>
      <c r="T33" s="6" t="s">
        <v>860</v>
      </c>
      <c r="U33" s="6">
        <v>2013</v>
      </c>
      <c r="V33" s="6">
        <v>1</v>
      </c>
      <c r="AD33" s="6" t="s">
        <v>45</v>
      </c>
      <c r="AJ33" s="31" t="s">
        <v>2119</v>
      </c>
      <c r="AK33" s="6">
        <v>1</v>
      </c>
      <c r="AL33" s="26">
        <v>1500000</v>
      </c>
      <c r="AM33" s="26">
        <v>1500000</v>
      </c>
      <c r="AN33" s="26">
        <v>1500000</v>
      </c>
      <c r="AO33" s="6" t="s">
        <v>2003</v>
      </c>
      <c r="AQ33" s="6" t="s">
        <v>60</v>
      </c>
      <c r="AU33" s="6">
        <v>223399</v>
      </c>
    </row>
    <row r="34" spans="1:47" x14ac:dyDescent="0.3">
      <c r="A34" s="28" t="s">
        <v>42</v>
      </c>
      <c r="B34" s="6" t="s">
        <v>2159</v>
      </c>
      <c r="D34" s="6" t="s">
        <v>2103</v>
      </c>
      <c r="E34" s="6">
        <v>1</v>
      </c>
      <c r="F34" s="6" t="s">
        <v>2004</v>
      </c>
      <c r="G34" s="6" t="s">
        <v>2005</v>
      </c>
      <c r="H34" s="6" t="s">
        <v>2005</v>
      </c>
      <c r="I34" s="6" t="str">
        <f t="shared" si="0"/>
        <v>ETC</v>
      </c>
      <c r="J34" s="6" t="s">
        <v>545</v>
      </c>
      <c r="K34" s="6">
        <v>1</v>
      </c>
      <c r="P34" s="6">
        <f t="shared" si="1"/>
        <v>15500000</v>
      </c>
      <c r="R34" s="6" t="s">
        <v>2003</v>
      </c>
      <c r="T34" s="6" t="s">
        <v>813</v>
      </c>
      <c r="U34" s="6">
        <v>2014</v>
      </c>
      <c r="V34" s="6">
        <v>1</v>
      </c>
      <c r="AD34" s="6" t="s">
        <v>45</v>
      </c>
      <c r="AJ34" s="31" t="s">
        <v>2113</v>
      </c>
      <c r="AK34" s="6">
        <v>1</v>
      </c>
      <c r="AL34" s="26">
        <v>15000000</v>
      </c>
      <c r="AM34" s="26">
        <v>15000000</v>
      </c>
      <c r="AN34" s="26">
        <v>15000000</v>
      </c>
      <c r="AO34" s="6" t="s">
        <v>2003</v>
      </c>
      <c r="AQ34" s="6" t="s">
        <v>80</v>
      </c>
      <c r="AU34" s="6">
        <v>223404</v>
      </c>
    </row>
    <row r="35" spans="1:47" x14ac:dyDescent="0.3">
      <c r="A35" s="28" t="s">
        <v>42</v>
      </c>
      <c r="B35" s="6" t="s">
        <v>2169</v>
      </c>
      <c r="D35" s="6" t="s">
        <v>2103</v>
      </c>
      <c r="E35" s="6">
        <v>1</v>
      </c>
      <c r="F35" s="6" t="s">
        <v>2004</v>
      </c>
      <c r="G35" s="6" t="s">
        <v>2005</v>
      </c>
      <c r="H35" s="6" t="s">
        <v>2005</v>
      </c>
      <c r="I35" s="6" t="str">
        <f t="shared" si="0"/>
        <v>Ripper</v>
      </c>
      <c r="J35" s="6" t="s">
        <v>346</v>
      </c>
      <c r="K35" s="6">
        <v>1</v>
      </c>
      <c r="P35" s="6">
        <f t="shared" si="1"/>
        <v>1300000</v>
      </c>
      <c r="R35" s="6" t="s">
        <v>2003</v>
      </c>
      <c r="T35" s="6" t="s">
        <v>2008</v>
      </c>
      <c r="U35" s="6">
        <v>2017</v>
      </c>
      <c r="V35" s="6">
        <v>1</v>
      </c>
      <c r="AD35" s="6" t="s">
        <v>45</v>
      </c>
      <c r="AJ35" s="31" t="s">
        <v>2110</v>
      </c>
      <c r="AK35" s="6">
        <v>1</v>
      </c>
      <c r="AL35" s="26">
        <v>1200000</v>
      </c>
      <c r="AM35" s="26">
        <v>1200000</v>
      </c>
      <c r="AN35" s="26">
        <v>1200000</v>
      </c>
      <c r="AO35" s="6" t="s">
        <v>2003</v>
      </c>
      <c r="AQ35" s="6" t="s">
        <v>1155</v>
      </c>
      <c r="AU35" s="6">
        <v>223407</v>
      </c>
    </row>
    <row r="36" spans="1:47" x14ac:dyDescent="0.3">
      <c r="A36" s="28" t="s">
        <v>42</v>
      </c>
      <c r="B36" s="6" t="s">
        <v>2170</v>
      </c>
      <c r="C36" s="6" t="s">
        <v>1975</v>
      </c>
      <c r="D36" s="6" t="s">
        <v>2103</v>
      </c>
      <c r="E36" s="6">
        <v>1</v>
      </c>
      <c r="F36" s="6" t="s">
        <v>2004</v>
      </c>
      <c r="G36" s="6" t="s">
        <v>2005</v>
      </c>
      <c r="H36" s="6" t="s">
        <v>2005</v>
      </c>
      <c r="I36" s="6" t="str">
        <f t="shared" si="0"/>
        <v>Side Breaker</v>
      </c>
      <c r="J36" s="6" t="s">
        <v>235</v>
      </c>
      <c r="K36" s="6">
        <v>1</v>
      </c>
      <c r="P36" s="6">
        <f t="shared" si="1"/>
        <v>8500000</v>
      </c>
      <c r="R36" s="6" t="s">
        <v>2003</v>
      </c>
      <c r="T36" s="6" t="s">
        <v>1835</v>
      </c>
      <c r="U36" s="6">
        <v>2014</v>
      </c>
      <c r="V36" s="6">
        <v>1</v>
      </c>
      <c r="AD36" s="6" t="s">
        <v>45</v>
      </c>
      <c r="AJ36" s="31" t="s">
        <v>2114</v>
      </c>
      <c r="AK36" s="6">
        <v>1</v>
      </c>
      <c r="AL36" s="26">
        <v>8000000</v>
      </c>
      <c r="AM36" s="26">
        <v>8000000</v>
      </c>
      <c r="AN36" s="26">
        <v>8000000</v>
      </c>
      <c r="AO36" s="6" t="s">
        <v>2003</v>
      </c>
      <c r="AQ36" s="6" t="s">
        <v>1230</v>
      </c>
      <c r="AU36" s="6">
        <v>223409</v>
      </c>
    </row>
    <row r="37" spans="1:47" x14ac:dyDescent="0.3">
      <c r="A37" s="28" t="s">
        <v>42</v>
      </c>
      <c r="B37" s="6" t="s">
        <v>2170</v>
      </c>
      <c r="C37" s="6" t="s">
        <v>1975</v>
      </c>
      <c r="D37" s="6" t="s">
        <v>2104</v>
      </c>
      <c r="E37" s="6">
        <v>1</v>
      </c>
      <c r="F37" s="6" t="s">
        <v>2004</v>
      </c>
      <c r="G37" s="6" t="s">
        <v>2005</v>
      </c>
      <c r="H37" s="6" t="s">
        <v>2005</v>
      </c>
      <c r="I37" s="6" t="str">
        <f t="shared" si="0"/>
        <v>Side Breaker</v>
      </c>
      <c r="J37" s="6" t="s">
        <v>153</v>
      </c>
      <c r="K37" s="6">
        <v>1</v>
      </c>
      <c r="P37" s="6">
        <f t="shared" si="1"/>
        <v>3000000</v>
      </c>
      <c r="R37" s="6" t="s">
        <v>2003</v>
      </c>
      <c r="T37" s="6" t="s">
        <v>2007</v>
      </c>
      <c r="U37" s="6">
        <v>2012</v>
      </c>
      <c r="V37" s="6">
        <v>1</v>
      </c>
      <c r="AD37" s="6" t="s">
        <v>45</v>
      </c>
      <c r="AJ37" s="31" t="s">
        <v>2113</v>
      </c>
      <c r="AK37" s="6">
        <v>1</v>
      </c>
      <c r="AL37" s="26">
        <v>2800000</v>
      </c>
      <c r="AM37" s="26">
        <v>2800000</v>
      </c>
      <c r="AN37" s="26">
        <v>2800000</v>
      </c>
      <c r="AO37" s="6" t="s">
        <v>2003</v>
      </c>
      <c r="AQ37" s="6" t="s">
        <v>49</v>
      </c>
      <c r="AU37" s="6">
        <v>223410</v>
      </c>
    </row>
    <row r="38" spans="1:47" x14ac:dyDescent="0.3">
      <c r="A38" s="28" t="s">
        <v>42</v>
      </c>
      <c r="B38" s="6" t="s">
        <v>2171</v>
      </c>
      <c r="C38" s="6" t="s">
        <v>1972</v>
      </c>
      <c r="D38" s="6" t="s">
        <v>2103</v>
      </c>
      <c r="E38" s="6">
        <v>1</v>
      </c>
      <c r="F38" s="6" t="s">
        <v>2004</v>
      </c>
      <c r="G38" s="6" t="s">
        <v>2005</v>
      </c>
      <c r="H38" s="6" t="s">
        <v>2005</v>
      </c>
      <c r="I38" s="6" t="str">
        <f t="shared" si="0"/>
        <v>Stone Grapple</v>
      </c>
      <c r="J38" s="6" t="s">
        <v>403</v>
      </c>
      <c r="K38" s="6">
        <v>1</v>
      </c>
      <c r="P38" s="6">
        <f t="shared" si="1"/>
        <v>7500000</v>
      </c>
      <c r="R38" s="6" t="s">
        <v>2003</v>
      </c>
      <c r="T38" s="6" t="s">
        <v>813</v>
      </c>
      <c r="U38" s="6">
        <v>2014</v>
      </c>
      <c r="V38" s="6">
        <v>1</v>
      </c>
      <c r="AD38" s="6" t="s">
        <v>45</v>
      </c>
      <c r="AJ38" s="31" t="s">
        <v>2113</v>
      </c>
      <c r="AK38" s="6">
        <v>1</v>
      </c>
      <c r="AL38" s="26">
        <v>7000000</v>
      </c>
      <c r="AM38" s="26">
        <v>7000000</v>
      </c>
      <c r="AN38" s="26">
        <v>7000000</v>
      </c>
      <c r="AO38" s="6" t="s">
        <v>2003</v>
      </c>
      <c r="AQ38" s="6" t="s">
        <v>80</v>
      </c>
      <c r="AU38" s="6">
        <v>223411</v>
      </c>
    </row>
    <row r="39" spans="1:47" x14ac:dyDescent="0.3">
      <c r="A39" s="28" t="s">
        <v>42</v>
      </c>
      <c r="B39" s="6" t="s">
        <v>2171</v>
      </c>
      <c r="C39" s="6" t="s">
        <v>1972</v>
      </c>
      <c r="D39" s="6" t="s">
        <v>2104</v>
      </c>
      <c r="E39" s="6">
        <v>1</v>
      </c>
      <c r="F39" s="6" t="s">
        <v>2004</v>
      </c>
      <c r="G39" s="6" t="s">
        <v>2005</v>
      </c>
      <c r="H39" s="6" t="s">
        <v>2005</v>
      </c>
      <c r="I39" s="6" t="str">
        <f t="shared" si="0"/>
        <v>Stone Grapple</v>
      </c>
      <c r="J39" s="6" t="s">
        <v>207</v>
      </c>
      <c r="K39" s="6">
        <v>1</v>
      </c>
      <c r="P39" s="6">
        <f t="shared" si="1"/>
        <v>2300000</v>
      </c>
      <c r="R39" s="6" t="s">
        <v>2003</v>
      </c>
      <c r="T39" s="6" t="s">
        <v>813</v>
      </c>
      <c r="U39" s="6">
        <v>2013</v>
      </c>
      <c r="V39" s="6">
        <v>1</v>
      </c>
      <c r="AD39" s="6" t="s">
        <v>45</v>
      </c>
      <c r="AJ39" s="31" t="s">
        <v>2113</v>
      </c>
      <c r="AK39" s="6">
        <v>1</v>
      </c>
      <c r="AL39" s="26">
        <v>2100000</v>
      </c>
      <c r="AM39" s="26">
        <v>2100000</v>
      </c>
      <c r="AN39" s="26">
        <v>2100000</v>
      </c>
      <c r="AO39" s="6" t="s">
        <v>2003</v>
      </c>
      <c r="AQ39" s="6" t="s">
        <v>80</v>
      </c>
      <c r="AU39" s="6">
        <v>223417</v>
      </c>
    </row>
    <row r="40" spans="1:47" x14ac:dyDescent="0.3">
      <c r="A40" s="28" t="s">
        <v>42</v>
      </c>
      <c r="B40" s="6" t="s">
        <v>2171</v>
      </c>
      <c r="C40" s="6" t="s">
        <v>1972</v>
      </c>
      <c r="D40" s="6" t="s">
        <v>2100</v>
      </c>
      <c r="E40" s="6">
        <v>1</v>
      </c>
      <c r="F40" s="6" t="s">
        <v>2004</v>
      </c>
      <c r="G40" s="6" t="s">
        <v>2005</v>
      </c>
      <c r="H40" s="6" t="s">
        <v>2005</v>
      </c>
      <c r="I40" s="6" t="str">
        <f t="shared" si="0"/>
        <v>Stone Grapple</v>
      </c>
      <c r="J40" s="6" t="s">
        <v>168</v>
      </c>
      <c r="K40" s="6">
        <v>1</v>
      </c>
      <c r="P40" s="6">
        <f t="shared" si="1"/>
        <v>1700000</v>
      </c>
      <c r="R40" s="6" t="s">
        <v>2003</v>
      </c>
      <c r="T40" s="6" t="s">
        <v>861</v>
      </c>
      <c r="U40" s="6">
        <v>2015</v>
      </c>
      <c r="V40" s="6">
        <v>1</v>
      </c>
      <c r="AD40" s="6" t="s">
        <v>45</v>
      </c>
      <c r="AJ40" s="31" t="s">
        <v>2113</v>
      </c>
      <c r="AK40" s="6">
        <v>1</v>
      </c>
      <c r="AL40" s="26">
        <v>1600000</v>
      </c>
      <c r="AM40" s="26">
        <v>1600000</v>
      </c>
      <c r="AN40" s="26">
        <v>1600000</v>
      </c>
      <c r="AO40" s="6" t="s">
        <v>2003</v>
      </c>
      <c r="AQ40" s="6" t="s">
        <v>49</v>
      </c>
      <c r="AU40" s="6">
        <v>223430</v>
      </c>
    </row>
    <row r="41" spans="1:47" x14ac:dyDescent="0.3">
      <c r="A41" s="28" t="s">
        <v>42</v>
      </c>
      <c r="B41" s="6" t="s">
        <v>2172</v>
      </c>
      <c r="D41" s="6" t="s">
        <v>2104</v>
      </c>
      <c r="E41" s="6">
        <v>1</v>
      </c>
      <c r="F41" s="6" t="s">
        <v>2004</v>
      </c>
      <c r="G41" s="6" t="s">
        <v>2005</v>
      </c>
      <c r="H41" s="6" t="s">
        <v>2005</v>
      </c>
      <c r="I41" s="6" t="str">
        <f t="shared" si="0"/>
        <v>Quick Coupler</v>
      </c>
      <c r="J41" s="6" t="s">
        <v>249</v>
      </c>
      <c r="K41" s="6">
        <v>1</v>
      </c>
      <c r="P41" s="6">
        <f t="shared" si="1"/>
        <v>900000</v>
      </c>
      <c r="R41" s="6" t="s">
        <v>2003</v>
      </c>
      <c r="T41" s="6" t="s">
        <v>813</v>
      </c>
      <c r="U41" s="6">
        <v>2014</v>
      </c>
      <c r="V41" s="6">
        <v>1</v>
      </c>
      <c r="AD41" s="6" t="s">
        <v>45</v>
      </c>
      <c r="AJ41" s="31" t="s">
        <v>2113</v>
      </c>
      <c r="AK41" s="6">
        <v>1</v>
      </c>
      <c r="AL41" s="26">
        <v>800000</v>
      </c>
      <c r="AM41" s="26">
        <v>800000</v>
      </c>
      <c r="AN41" s="26">
        <v>800000</v>
      </c>
      <c r="AO41" s="6" t="s">
        <v>2003</v>
      </c>
      <c r="AQ41" s="6" t="s">
        <v>79</v>
      </c>
      <c r="AU41" s="6">
        <v>223431</v>
      </c>
    </row>
    <row r="42" spans="1:47" x14ac:dyDescent="0.3">
      <c r="A42" s="28" t="s">
        <v>42</v>
      </c>
      <c r="B42" s="6" t="s">
        <v>2170</v>
      </c>
      <c r="C42" s="6" t="s">
        <v>1975</v>
      </c>
      <c r="D42" s="6" t="s">
        <v>2105</v>
      </c>
      <c r="E42" s="6">
        <v>1</v>
      </c>
      <c r="F42" s="6" t="s">
        <v>2004</v>
      </c>
      <c r="G42" s="6" t="s">
        <v>2005</v>
      </c>
      <c r="H42" s="6" t="s">
        <v>2005</v>
      </c>
      <c r="I42" s="6" t="str">
        <f t="shared" si="0"/>
        <v>Side Breaker</v>
      </c>
      <c r="J42" s="6" t="s">
        <v>150</v>
      </c>
      <c r="K42" s="6">
        <v>1</v>
      </c>
      <c r="P42" s="6">
        <f t="shared" si="1"/>
        <v>6000000</v>
      </c>
      <c r="R42" s="6" t="s">
        <v>2003</v>
      </c>
      <c r="T42" s="6" t="s">
        <v>1836</v>
      </c>
      <c r="U42" s="6">
        <v>2005</v>
      </c>
      <c r="V42" s="6">
        <v>1</v>
      </c>
      <c r="AD42" s="6" t="s">
        <v>45</v>
      </c>
      <c r="AJ42" s="31" t="s">
        <v>2114</v>
      </c>
      <c r="AK42" s="6">
        <v>1</v>
      </c>
      <c r="AL42" s="26">
        <v>5500000</v>
      </c>
      <c r="AM42" s="26">
        <v>5500000</v>
      </c>
      <c r="AN42" s="26">
        <v>5500000</v>
      </c>
      <c r="AO42" s="6" t="s">
        <v>2003</v>
      </c>
      <c r="AQ42" s="6" t="s">
        <v>830</v>
      </c>
      <c r="AU42" s="6">
        <v>223434</v>
      </c>
    </row>
    <row r="43" spans="1:47" x14ac:dyDescent="0.3">
      <c r="A43" s="28" t="s">
        <v>42</v>
      </c>
      <c r="B43" s="6" t="s">
        <v>2170</v>
      </c>
      <c r="C43" s="6" t="s">
        <v>1975</v>
      </c>
      <c r="D43" s="6" t="s">
        <v>2104</v>
      </c>
      <c r="E43" s="6">
        <v>1</v>
      </c>
      <c r="F43" s="6" t="s">
        <v>2004</v>
      </c>
      <c r="G43" s="6" t="s">
        <v>2005</v>
      </c>
      <c r="H43" s="6" t="s">
        <v>2005</v>
      </c>
      <c r="I43" s="6" t="str">
        <f t="shared" si="0"/>
        <v>Side Breaker</v>
      </c>
      <c r="J43" s="6" t="s">
        <v>325</v>
      </c>
      <c r="K43" s="6">
        <v>1</v>
      </c>
      <c r="P43" s="6">
        <f t="shared" si="1"/>
        <v>3200000</v>
      </c>
      <c r="R43" s="6" t="s">
        <v>2003</v>
      </c>
      <c r="T43" s="6" t="s">
        <v>2009</v>
      </c>
      <c r="U43" s="6">
        <v>2009</v>
      </c>
      <c r="V43" s="6">
        <v>1</v>
      </c>
      <c r="AD43" s="6" t="s">
        <v>45</v>
      </c>
      <c r="AJ43" s="31" t="s">
        <v>2110</v>
      </c>
      <c r="AK43" s="6">
        <v>1</v>
      </c>
      <c r="AL43" s="26">
        <v>3000000</v>
      </c>
      <c r="AM43" s="26">
        <v>3000000</v>
      </c>
      <c r="AN43" s="26">
        <v>3000000</v>
      </c>
      <c r="AO43" s="6" t="s">
        <v>2003</v>
      </c>
      <c r="AQ43" s="6" t="s">
        <v>1152</v>
      </c>
      <c r="AU43" s="6">
        <v>223437</v>
      </c>
    </row>
    <row r="44" spans="1:47" x14ac:dyDescent="0.3">
      <c r="A44" s="28" t="s">
        <v>42</v>
      </c>
      <c r="B44" s="6" t="s">
        <v>2171</v>
      </c>
      <c r="C44" s="6" t="s">
        <v>1979</v>
      </c>
      <c r="D44" s="6" t="s">
        <v>2104</v>
      </c>
      <c r="E44" s="6">
        <v>1</v>
      </c>
      <c r="F44" s="6" t="s">
        <v>2004</v>
      </c>
      <c r="G44" s="6" t="s">
        <v>2005</v>
      </c>
      <c r="H44" s="6" t="s">
        <v>2005</v>
      </c>
      <c r="I44" s="6" t="str">
        <f t="shared" si="0"/>
        <v>Thumb Grapple</v>
      </c>
      <c r="J44" s="6" t="s">
        <v>96</v>
      </c>
      <c r="K44" s="6">
        <v>1</v>
      </c>
      <c r="P44" s="6">
        <f t="shared" si="1"/>
        <v>1400000</v>
      </c>
      <c r="R44" s="6" t="s">
        <v>2003</v>
      </c>
      <c r="T44" s="6" t="s">
        <v>2007</v>
      </c>
      <c r="U44" s="6">
        <v>2014</v>
      </c>
      <c r="V44" s="6">
        <v>1</v>
      </c>
      <c r="AD44" s="6" t="s">
        <v>45</v>
      </c>
      <c r="AJ44" s="31" t="s">
        <v>2116</v>
      </c>
      <c r="AK44" s="6">
        <v>1</v>
      </c>
      <c r="AL44" s="26">
        <v>1300000</v>
      </c>
      <c r="AM44" s="26">
        <v>1300000</v>
      </c>
      <c r="AN44" s="26">
        <v>1300000</v>
      </c>
      <c r="AO44" s="6" t="s">
        <v>2003</v>
      </c>
      <c r="AQ44" s="6" t="s">
        <v>49</v>
      </c>
      <c r="AU44" s="6">
        <v>223438</v>
      </c>
    </row>
    <row r="45" spans="1:47" x14ac:dyDescent="0.3">
      <c r="A45" s="28" t="s">
        <v>42</v>
      </c>
      <c r="B45" s="6" t="s">
        <v>2173</v>
      </c>
      <c r="C45" s="6" t="s">
        <v>1980</v>
      </c>
      <c r="D45" s="6" t="s">
        <v>2104</v>
      </c>
      <c r="E45" s="6">
        <v>1</v>
      </c>
      <c r="F45" s="6" t="s">
        <v>2004</v>
      </c>
      <c r="G45" s="6" t="s">
        <v>2005</v>
      </c>
      <c r="H45" s="6" t="s">
        <v>2005</v>
      </c>
      <c r="I45" s="6" t="str">
        <f t="shared" si="0"/>
        <v>Small Bucket</v>
      </c>
      <c r="J45" s="6" t="s">
        <v>97</v>
      </c>
      <c r="K45" s="6">
        <v>1</v>
      </c>
      <c r="P45" s="6">
        <f t="shared" si="1"/>
        <v>500000</v>
      </c>
      <c r="R45" s="6" t="s">
        <v>2003</v>
      </c>
      <c r="T45" s="6" t="s">
        <v>795</v>
      </c>
      <c r="U45" s="6">
        <v>2013</v>
      </c>
      <c r="V45" s="6">
        <v>1</v>
      </c>
      <c r="AD45" s="6" t="s">
        <v>45</v>
      </c>
      <c r="AJ45" s="31" t="s">
        <v>2114</v>
      </c>
      <c r="AK45" s="6">
        <v>1</v>
      </c>
      <c r="AL45" s="26">
        <v>450000</v>
      </c>
      <c r="AM45" s="26">
        <v>450000</v>
      </c>
      <c r="AN45" s="26">
        <v>450000</v>
      </c>
      <c r="AO45" s="6" t="s">
        <v>2003</v>
      </c>
      <c r="AQ45" s="6" t="s">
        <v>57</v>
      </c>
      <c r="AU45" s="6">
        <v>223442</v>
      </c>
    </row>
    <row r="46" spans="1:47" x14ac:dyDescent="0.3">
      <c r="A46" s="28" t="s">
        <v>42</v>
      </c>
      <c r="B46" s="6" t="s">
        <v>2173</v>
      </c>
      <c r="C46" s="6" t="s">
        <v>1982</v>
      </c>
      <c r="D46" s="6" t="s">
        <v>2101</v>
      </c>
      <c r="E46" s="6">
        <v>1</v>
      </c>
      <c r="F46" s="6" t="s">
        <v>2004</v>
      </c>
      <c r="G46" s="6" t="s">
        <v>2005</v>
      </c>
      <c r="H46" s="6" t="s">
        <v>2005</v>
      </c>
      <c r="I46" s="6" t="str">
        <f t="shared" si="0"/>
        <v>Standard Bucket</v>
      </c>
      <c r="J46" s="6" t="s">
        <v>427</v>
      </c>
      <c r="K46" s="6">
        <v>1</v>
      </c>
      <c r="P46" s="6">
        <f t="shared" si="1"/>
        <v>900000</v>
      </c>
      <c r="R46" s="6" t="s">
        <v>2003</v>
      </c>
      <c r="T46" s="6" t="s">
        <v>70</v>
      </c>
      <c r="U46" s="6">
        <v>2014</v>
      </c>
      <c r="V46" s="6">
        <v>9</v>
      </c>
      <c r="AD46" s="6" t="s">
        <v>45</v>
      </c>
      <c r="AJ46" s="31" t="s">
        <v>2122</v>
      </c>
      <c r="AK46" s="6">
        <v>1</v>
      </c>
      <c r="AL46" s="26">
        <v>800000</v>
      </c>
      <c r="AM46" s="26">
        <v>800000</v>
      </c>
      <c r="AN46" s="26">
        <v>800000</v>
      </c>
      <c r="AO46" s="6" t="s">
        <v>2003</v>
      </c>
      <c r="AQ46" s="6" t="s">
        <v>1238</v>
      </c>
      <c r="AU46" s="6">
        <v>223443</v>
      </c>
    </row>
    <row r="47" spans="1:47" x14ac:dyDescent="0.3">
      <c r="A47" s="28" t="s">
        <v>42</v>
      </c>
      <c r="B47" s="6" t="s">
        <v>2171</v>
      </c>
      <c r="C47" s="6" t="s">
        <v>1972</v>
      </c>
      <c r="D47" s="6" t="s">
        <v>2104</v>
      </c>
      <c r="E47" s="6">
        <v>1</v>
      </c>
      <c r="F47" s="6" t="s">
        <v>2004</v>
      </c>
      <c r="G47" s="6" t="s">
        <v>2005</v>
      </c>
      <c r="H47" s="6" t="s">
        <v>2005</v>
      </c>
      <c r="I47" s="6" t="str">
        <f t="shared" si="0"/>
        <v>Stone Grapple</v>
      </c>
      <c r="J47" s="6" t="s">
        <v>421</v>
      </c>
      <c r="K47" s="6">
        <v>1</v>
      </c>
      <c r="P47" s="6">
        <f t="shared" si="1"/>
        <v>2800000</v>
      </c>
      <c r="R47" s="6" t="s">
        <v>2003</v>
      </c>
      <c r="T47" s="6" t="s">
        <v>2007</v>
      </c>
      <c r="U47" s="6">
        <v>2015</v>
      </c>
      <c r="V47" s="6">
        <v>1</v>
      </c>
      <c r="AD47" s="6" t="s">
        <v>45</v>
      </c>
      <c r="AJ47" s="31" t="s">
        <v>2113</v>
      </c>
      <c r="AK47" s="6">
        <v>1</v>
      </c>
      <c r="AL47" s="26">
        <v>2600000</v>
      </c>
      <c r="AM47" s="26">
        <v>2600000</v>
      </c>
      <c r="AN47" s="26">
        <v>2600000</v>
      </c>
      <c r="AO47" s="6" t="s">
        <v>2003</v>
      </c>
      <c r="AQ47" s="6" t="s">
        <v>49</v>
      </c>
      <c r="AU47" s="6">
        <v>223444</v>
      </c>
    </row>
    <row r="48" spans="1:47" x14ac:dyDescent="0.3">
      <c r="A48" s="28" t="s">
        <v>42</v>
      </c>
      <c r="B48" s="6" t="s">
        <v>2173</v>
      </c>
      <c r="C48" s="6" t="s">
        <v>2205</v>
      </c>
      <c r="D48" s="6" t="s">
        <v>2100</v>
      </c>
      <c r="E48" s="6">
        <v>1</v>
      </c>
      <c r="F48" s="6" t="s">
        <v>2004</v>
      </c>
      <c r="G48" s="6" t="s">
        <v>2005</v>
      </c>
      <c r="H48" s="6" t="s">
        <v>2005</v>
      </c>
      <c r="I48" s="6" t="str">
        <f t="shared" si="0"/>
        <v>Standard Bucket</v>
      </c>
      <c r="J48" s="6" t="s">
        <v>430</v>
      </c>
      <c r="K48" s="6">
        <v>1</v>
      </c>
      <c r="P48" s="6">
        <f t="shared" si="1"/>
        <v>300000</v>
      </c>
      <c r="R48" s="6" t="s">
        <v>2003</v>
      </c>
      <c r="T48" s="6" t="s">
        <v>2010</v>
      </c>
      <c r="U48" s="6">
        <v>2015</v>
      </c>
      <c r="V48" s="6">
        <v>1</v>
      </c>
      <c r="AD48" s="6" t="s">
        <v>45</v>
      </c>
      <c r="AJ48" s="31" t="s">
        <v>2116</v>
      </c>
      <c r="AK48" s="6">
        <v>1</v>
      </c>
      <c r="AL48" s="26">
        <v>250000</v>
      </c>
      <c r="AM48" s="26">
        <v>250000</v>
      </c>
      <c r="AN48" s="26">
        <v>250000</v>
      </c>
      <c r="AO48" s="6" t="s">
        <v>2003</v>
      </c>
      <c r="AQ48" s="6" t="s">
        <v>90</v>
      </c>
      <c r="AU48" s="6">
        <v>223446</v>
      </c>
    </row>
    <row r="49" spans="1:47" x14ac:dyDescent="0.3">
      <c r="A49" s="28" t="s">
        <v>42</v>
      </c>
      <c r="B49" s="6" t="s">
        <v>2170</v>
      </c>
      <c r="C49" s="6" t="s">
        <v>1975</v>
      </c>
      <c r="D49" s="6" t="s">
        <v>2104</v>
      </c>
      <c r="E49" s="6">
        <v>1</v>
      </c>
      <c r="F49" s="6" t="s">
        <v>2004</v>
      </c>
      <c r="G49" s="6" t="s">
        <v>2005</v>
      </c>
      <c r="H49" s="6" t="s">
        <v>2005</v>
      </c>
      <c r="I49" s="6" t="str">
        <f t="shared" si="0"/>
        <v>Side Breaker</v>
      </c>
      <c r="J49" s="6" t="s">
        <v>154</v>
      </c>
      <c r="K49" s="6">
        <v>1</v>
      </c>
      <c r="P49" s="6">
        <f t="shared" si="1"/>
        <v>4200000</v>
      </c>
      <c r="R49" s="6" t="s">
        <v>2003</v>
      </c>
      <c r="T49" s="6" t="s">
        <v>862</v>
      </c>
      <c r="U49" s="6">
        <v>2015</v>
      </c>
      <c r="V49" s="6">
        <v>8</v>
      </c>
      <c r="AD49" s="6" t="s">
        <v>45</v>
      </c>
      <c r="AJ49" s="31" t="s">
        <v>2118</v>
      </c>
      <c r="AK49" s="6">
        <v>1</v>
      </c>
      <c r="AL49" s="26">
        <v>4000000</v>
      </c>
      <c r="AM49" s="26">
        <v>4000000</v>
      </c>
      <c r="AN49" s="26">
        <v>4000000</v>
      </c>
      <c r="AO49" s="6" t="s">
        <v>2003</v>
      </c>
      <c r="AQ49" s="6" t="s">
        <v>67</v>
      </c>
      <c r="AU49" s="6">
        <v>223450</v>
      </c>
    </row>
    <row r="50" spans="1:47" x14ac:dyDescent="0.3">
      <c r="A50" s="28" t="s">
        <v>42</v>
      </c>
      <c r="B50" s="6" t="s">
        <v>2171</v>
      </c>
      <c r="C50" s="6" t="s">
        <v>1974</v>
      </c>
      <c r="D50" s="6" t="s">
        <v>2100</v>
      </c>
      <c r="E50" s="6">
        <v>1</v>
      </c>
      <c r="F50" s="6" t="s">
        <v>2004</v>
      </c>
      <c r="G50" s="6" t="s">
        <v>2005</v>
      </c>
      <c r="H50" s="6" t="s">
        <v>2005</v>
      </c>
      <c r="I50" s="6" t="str">
        <f t="shared" si="0"/>
        <v>Etc Grapple</v>
      </c>
      <c r="J50" s="6" t="s">
        <v>136</v>
      </c>
      <c r="K50" s="6">
        <v>1</v>
      </c>
      <c r="P50" s="6">
        <f t="shared" si="1"/>
        <v>18500000</v>
      </c>
      <c r="R50" s="6" t="s">
        <v>2003</v>
      </c>
      <c r="T50" s="6" t="s">
        <v>2011</v>
      </c>
      <c r="U50" s="6">
        <v>2010</v>
      </c>
      <c r="V50" s="6">
        <v>6</v>
      </c>
      <c r="AD50" s="6" t="s">
        <v>45</v>
      </c>
      <c r="AJ50" s="31" t="s">
        <v>2123</v>
      </c>
      <c r="AK50" s="6">
        <v>1</v>
      </c>
      <c r="AL50" s="26">
        <v>18000000</v>
      </c>
      <c r="AM50" s="26">
        <v>18000000</v>
      </c>
      <c r="AN50" s="26">
        <v>18000000</v>
      </c>
      <c r="AO50" s="6" t="s">
        <v>2003</v>
      </c>
      <c r="AQ50" s="6" t="s">
        <v>1200</v>
      </c>
      <c r="AU50" s="6">
        <v>223452</v>
      </c>
    </row>
    <row r="51" spans="1:47" x14ac:dyDescent="0.3">
      <c r="A51" s="28" t="s">
        <v>42</v>
      </c>
      <c r="B51" s="6" t="s">
        <v>2170</v>
      </c>
      <c r="C51" s="6" t="s">
        <v>1975</v>
      </c>
      <c r="D51" s="6" t="s">
        <v>2104</v>
      </c>
      <c r="E51" s="6">
        <v>1</v>
      </c>
      <c r="F51" s="6" t="s">
        <v>2004</v>
      </c>
      <c r="G51" s="6" t="s">
        <v>2005</v>
      </c>
      <c r="H51" s="6" t="s">
        <v>2005</v>
      </c>
      <c r="I51" s="6" t="str">
        <f t="shared" si="0"/>
        <v>Side Breaker</v>
      </c>
      <c r="J51" s="6" t="s">
        <v>119</v>
      </c>
      <c r="K51" s="6">
        <v>1</v>
      </c>
      <c r="P51" s="6">
        <f t="shared" si="1"/>
        <v>3000000</v>
      </c>
      <c r="R51" s="6" t="s">
        <v>2003</v>
      </c>
      <c r="T51" s="6" t="s">
        <v>813</v>
      </c>
      <c r="U51" s="6">
        <v>2013</v>
      </c>
      <c r="V51" s="6">
        <v>1</v>
      </c>
      <c r="AD51" s="6" t="s">
        <v>45</v>
      </c>
      <c r="AJ51" s="31" t="s">
        <v>2113</v>
      </c>
      <c r="AK51" s="6">
        <v>1</v>
      </c>
      <c r="AL51" s="26">
        <v>2800000</v>
      </c>
      <c r="AM51" s="26">
        <v>2800000</v>
      </c>
      <c r="AN51" s="26">
        <v>2800000</v>
      </c>
      <c r="AO51" s="6" t="s">
        <v>2003</v>
      </c>
      <c r="AQ51" s="6" t="s">
        <v>79</v>
      </c>
      <c r="AU51" s="6">
        <v>223453</v>
      </c>
    </row>
    <row r="52" spans="1:47" x14ac:dyDescent="0.3">
      <c r="A52" s="28" t="s">
        <v>42</v>
      </c>
      <c r="B52" s="6" t="s">
        <v>2174</v>
      </c>
      <c r="C52" s="6" t="s">
        <v>1975</v>
      </c>
      <c r="D52" s="6" t="s">
        <v>2104</v>
      </c>
      <c r="E52" s="6">
        <v>1</v>
      </c>
      <c r="F52" s="6" t="s">
        <v>2004</v>
      </c>
      <c r="G52" s="6" t="s">
        <v>2005</v>
      </c>
      <c r="H52" s="6" t="s">
        <v>2005</v>
      </c>
      <c r="I52" s="6" t="str">
        <f t="shared" si="0"/>
        <v>Side Breaker</v>
      </c>
      <c r="J52" s="6" t="s">
        <v>177</v>
      </c>
      <c r="K52" s="6">
        <v>1</v>
      </c>
      <c r="P52" s="6">
        <f t="shared" si="1"/>
        <v>2200000</v>
      </c>
      <c r="R52" s="6" t="s">
        <v>2003</v>
      </c>
      <c r="T52" s="6" t="s">
        <v>865</v>
      </c>
      <c r="U52" s="6">
        <v>2014</v>
      </c>
      <c r="V52" s="6">
        <v>5</v>
      </c>
      <c r="AD52" s="6" t="s">
        <v>45</v>
      </c>
      <c r="AJ52" s="31" t="s">
        <v>2123</v>
      </c>
      <c r="AK52" s="6">
        <v>1</v>
      </c>
      <c r="AL52" s="26">
        <v>2000000</v>
      </c>
      <c r="AM52" s="26">
        <v>2000000</v>
      </c>
      <c r="AN52" s="26">
        <v>2000000</v>
      </c>
      <c r="AO52" s="6" t="s">
        <v>2003</v>
      </c>
      <c r="AQ52" s="6" t="s">
        <v>1187</v>
      </c>
      <c r="AU52" s="6">
        <v>223457</v>
      </c>
    </row>
    <row r="53" spans="1:47" x14ac:dyDescent="0.3">
      <c r="A53" s="28" t="s">
        <v>42</v>
      </c>
      <c r="B53" s="6" t="s">
        <v>2175</v>
      </c>
      <c r="C53" s="6" t="s">
        <v>2207</v>
      </c>
      <c r="D53" s="6" t="s">
        <v>2104</v>
      </c>
      <c r="E53" s="6">
        <v>1</v>
      </c>
      <c r="F53" s="6" t="s">
        <v>2004</v>
      </c>
      <c r="G53" s="6" t="s">
        <v>2005</v>
      </c>
      <c r="H53" s="6" t="s">
        <v>2005</v>
      </c>
      <c r="I53" s="6" t="str">
        <f t="shared" si="0"/>
        <v>Hydraulic Crusher</v>
      </c>
      <c r="J53" s="6" t="s">
        <v>192</v>
      </c>
      <c r="K53" s="6">
        <v>1</v>
      </c>
      <c r="P53" s="6">
        <f t="shared" si="1"/>
        <v>7500000</v>
      </c>
      <c r="R53" s="6" t="s">
        <v>2003</v>
      </c>
      <c r="T53" s="6" t="s">
        <v>813</v>
      </c>
      <c r="U53" s="6">
        <v>2014</v>
      </c>
      <c r="V53" s="6">
        <v>1</v>
      </c>
      <c r="AD53" s="6" t="s">
        <v>45</v>
      </c>
      <c r="AJ53" s="31" t="s">
        <v>2113</v>
      </c>
      <c r="AK53" s="6">
        <v>1</v>
      </c>
      <c r="AL53" s="26">
        <v>7000000</v>
      </c>
      <c r="AM53" s="26">
        <v>7000000</v>
      </c>
      <c r="AN53" s="26">
        <v>7000000</v>
      </c>
      <c r="AO53" s="6" t="s">
        <v>2003</v>
      </c>
      <c r="AQ53" s="6" t="s">
        <v>79</v>
      </c>
      <c r="AU53" s="6">
        <v>223459</v>
      </c>
    </row>
    <row r="54" spans="1:47" x14ac:dyDescent="0.3">
      <c r="A54" s="28" t="s">
        <v>42</v>
      </c>
      <c r="B54" s="6" t="s">
        <v>2176</v>
      </c>
      <c r="D54" s="6" t="s">
        <v>2105</v>
      </c>
      <c r="E54" s="6">
        <v>1</v>
      </c>
      <c r="F54" s="6" t="s">
        <v>2004</v>
      </c>
      <c r="G54" s="6" t="s">
        <v>2005</v>
      </c>
      <c r="H54" s="6" t="s">
        <v>2005</v>
      </c>
      <c r="I54" s="6" t="str">
        <f t="shared" si="0"/>
        <v>Shear&amp;Cutter</v>
      </c>
      <c r="J54" s="6" t="s">
        <v>441</v>
      </c>
      <c r="K54" s="6">
        <v>1</v>
      </c>
      <c r="P54" s="6">
        <f t="shared" si="1"/>
        <v>10500000</v>
      </c>
      <c r="R54" s="6" t="s">
        <v>2003</v>
      </c>
      <c r="T54" s="6" t="s">
        <v>863</v>
      </c>
      <c r="U54" s="6">
        <v>2011</v>
      </c>
      <c r="V54" s="6">
        <v>7</v>
      </c>
      <c r="AD54" s="6" t="s">
        <v>45</v>
      </c>
      <c r="AJ54" s="31" t="s">
        <v>2118</v>
      </c>
      <c r="AK54" s="6">
        <v>1</v>
      </c>
      <c r="AL54" s="26">
        <v>10000000</v>
      </c>
      <c r="AM54" s="26">
        <v>10000000</v>
      </c>
      <c r="AN54" s="26">
        <v>10000000</v>
      </c>
      <c r="AO54" s="6" t="s">
        <v>2003</v>
      </c>
      <c r="AQ54" s="6" t="s">
        <v>1221</v>
      </c>
      <c r="AU54" s="6">
        <v>223461</v>
      </c>
    </row>
    <row r="55" spans="1:47" x14ac:dyDescent="0.3">
      <c r="A55" s="28" t="s">
        <v>42</v>
      </c>
      <c r="B55" s="6" t="s">
        <v>2177</v>
      </c>
      <c r="C55" s="6" t="s">
        <v>1981</v>
      </c>
      <c r="D55" s="6" t="s">
        <v>2105</v>
      </c>
      <c r="E55" s="6">
        <v>1</v>
      </c>
      <c r="F55" s="6" t="s">
        <v>2004</v>
      </c>
      <c r="G55" s="6" t="s">
        <v>2005</v>
      </c>
      <c r="H55" s="6" t="s">
        <v>2005</v>
      </c>
      <c r="I55" s="6" t="str">
        <f t="shared" si="0"/>
        <v>Orange Grapple</v>
      </c>
      <c r="J55" s="6" t="s">
        <v>380</v>
      </c>
      <c r="K55" s="6">
        <v>1</v>
      </c>
      <c r="P55" s="6">
        <f t="shared" si="1"/>
        <v>3200000</v>
      </c>
      <c r="R55" s="6" t="s">
        <v>2003</v>
      </c>
      <c r="T55" s="6" t="s">
        <v>865</v>
      </c>
      <c r="U55" s="6">
        <v>2014</v>
      </c>
      <c r="V55" s="6">
        <v>5</v>
      </c>
      <c r="AD55" s="6" t="s">
        <v>45</v>
      </c>
      <c r="AJ55" s="31" t="s">
        <v>2123</v>
      </c>
      <c r="AK55" s="6">
        <v>1</v>
      </c>
      <c r="AL55" s="26">
        <v>3000000</v>
      </c>
      <c r="AM55" s="26">
        <v>3000000</v>
      </c>
      <c r="AN55" s="26">
        <v>3000000</v>
      </c>
      <c r="AO55" s="6" t="s">
        <v>2003</v>
      </c>
      <c r="AQ55" s="6" t="s">
        <v>1187</v>
      </c>
      <c r="AU55" s="6">
        <v>223464</v>
      </c>
    </row>
    <row r="56" spans="1:47" x14ac:dyDescent="0.3">
      <c r="A56" s="28" t="s">
        <v>42</v>
      </c>
      <c r="B56" s="6" t="s">
        <v>2177</v>
      </c>
      <c r="C56" s="6" t="s">
        <v>1972</v>
      </c>
      <c r="D56" s="6" t="s">
        <v>2104</v>
      </c>
      <c r="E56" s="6">
        <v>1</v>
      </c>
      <c r="F56" s="6" t="s">
        <v>2004</v>
      </c>
      <c r="G56" s="6" t="s">
        <v>2005</v>
      </c>
      <c r="H56" s="6" t="s">
        <v>2005</v>
      </c>
      <c r="I56" s="6" t="str">
        <f t="shared" si="0"/>
        <v>Stone Grapple</v>
      </c>
      <c r="J56" s="6" t="s">
        <v>120</v>
      </c>
      <c r="K56" s="6">
        <v>1</v>
      </c>
      <c r="P56" s="6">
        <f t="shared" si="1"/>
        <v>5000000</v>
      </c>
      <c r="R56" s="6" t="s">
        <v>2003</v>
      </c>
      <c r="T56" s="6" t="s">
        <v>813</v>
      </c>
      <c r="U56" s="6">
        <v>2014</v>
      </c>
      <c r="V56" s="6">
        <v>1</v>
      </c>
      <c r="AD56" s="6" t="s">
        <v>45</v>
      </c>
      <c r="AJ56" s="31" t="s">
        <v>2113</v>
      </c>
      <c r="AK56" s="6">
        <v>1</v>
      </c>
      <c r="AL56" s="26">
        <v>4800000</v>
      </c>
      <c r="AM56" s="26">
        <v>4800000</v>
      </c>
      <c r="AN56" s="26">
        <v>4800000</v>
      </c>
      <c r="AO56" s="6" t="s">
        <v>2003</v>
      </c>
      <c r="AQ56" s="6" t="s">
        <v>80</v>
      </c>
      <c r="AU56" s="6">
        <v>223465</v>
      </c>
    </row>
    <row r="57" spans="1:47" x14ac:dyDescent="0.3">
      <c r="A57" s="28" t="s">
        <v>42</v>
      </c>
      <c r="B57" s="6" t="s">
        <v>2178</v>
      </c>
      <c r="C57" s="6" t="s">
        <v>1975</v>
      </c>
      <c r="D57" s="6" t="s">
        <v>2104</v>
      </c>
      <c r="E57" s="6">
        <v>1</v>
      </c>
      <c r="F57" s="6" t="s">
        <v>2004</v>
      </c>
      <c r="G57" s="6" t="s">
        <v>2005</v>
      </c>
      <c r="H57" s="6" t="s">
        <v>2005</v>
      </c>
      <c r="I57" s="6" t="str">
        <f t="shared" si="0"/>
        <v>Side Breaker</v>
      </c>
      <c r="J57" s="6" t="s">
        <v>119</v>
      </c>
      <c r="K57" s="6">
        <v>1</v>
      </c>
      <c r="P57" s="6">
        <f t="shared" si="1"/>
        <v>2300000</v>
      </c>
      <c r="R57" s="6" t="s">
        <v>2003</v>
      </c>
      <c r="T57" s="6" t="s">
        <v>864</v>
      </c>
      <c r="U57" s="6">
        <v>2007</v>
      </c>
      <c r="V57" s="6">
        <v>1</v>
      </c>
      <c r="AD57" s="6" t="s">
        <v>45</v>
      </c>
      <c r="AJ57" s="31" t="s">
        <v>2114</v>
      </c>
      <c r="AK57" s="6">
        <v>1</v>
      </c>
      <c r="AL57" s="26">
        <v>2100000</v>
      </c>
      <c r="AM57" s="26">
        <v>2100000</v>
      </c>
      <c r="AN57" s="26">
        <v>2100000</v>
      </c>
      <c r="AO57" s="6" t="s">
        <v>2003</v>
      </c>
      <c r="AQ57" s="6" t="s">
        <v>830</v>
      </c>
      <c r="AU57" s="6">
        <v>223467</v>
      </c>
    </row>
    <row r="58" spans="1:47" x14ac:dyDescent="0.3">
      <c r="A58" s="28" t="s">
        <v>42</v>
      </c>
      <c r="B58" s="6" t="s">
        <v>2179</v>
      </c>
      <c r="C58" s="6" t="s">
        <v>1982</v>
      </c>
      <c r="D58" s="6" t="s">
        <v>2105</v>
      </c>
      <c r="E58" s="6">
        <v>1</v>
      </c>
      <c r="F58" s="6" t="s">
        <v>2004</v>
      </c>
      <c r="G58" s="6" t="s">
        <v>2005</v>
      </c>
      <c r="H58" s="6" t="s">
        <v>2005</v>
      </c>
      <c r="I58" s="6" t="str">
        <f t="shared" si="0"/>
        <v>Standard Bucket</v>
      </c>
      <c r="J58" s="6" t="s">
        <v>442</v>
      </c>
      <c r="K58" s="6">
        <v>1</v>
      </c>
      <c r="P58" s="6">
        <f t="shared" si="1"/>
        <v>2800000</v>
      </c>
      <c r="R58" s="6" t="s">
        <v>2003</v>
      </c>
      <c r="T58" s="6" t="s">
        <v>865</v>
      </c>
      <c r="U58" s="6">
        <v>2015</v>
      </c>
      <c r="V58" s="6">
        <v>5</v>
      </c>
      <c r="AD58" s="6" t="s">
        <v>45</v>
      </c>
      <c r="AJ58" s="31" t="s">
        <v>2123</v>
      </c>
      <c r="AK58" s="6">
        <v>1</v>
      </c>
      <c r="AL58" s="26">
        <v>2600000</v>
      </c>
      <c r="AM58" s="26">
        <v>2600000</v>
      </c>
      <c r="AN58" s="26">
        <v>2600000</v>
      </c>
      <c r="AO58" s="6" t="s">
        <v>2003</v>
      </c>
      <c r="AQ58" s="6" t="s">
        <v>1187</v>
      </c>
      <c r="AU58" s="6">
        <v>223469</v>
      </c>
    </row>
    <row r="59" spans="1:47" x14ac:dyDescent="0.3">
      <c r="A59" s="28" t="s">
        <v>42</v>
      </c>
      <c r="B59" s="6" t="s">
        <v>2178</v>
      </c>
      <c r="C59" s="6" t="s">
        <v>1975</v>
      </c>
      <c r="D59" s="6" t="s">
        <v>2103</v>
      </c>
      <c r="E59" s="6">
        <v>1</v>
      </c>
      <c r="F59" s="6" t="s">
        <v>2004</v>
      </c>
      <c r="G59" s="6" t="s">
        <v>2005</v>
      </c>
      <c r="H59" s="6" t="s">
        <v>2005</v>
      </c>
      <c r="I59" s="6" t="str">
        <f t="shared" si="0"/>
        <v>Side Breaker</v>
      </c>
      <c r="J59" s="6" t="s">
        <v>443</v>
      </c>
      <c r="K59" s="6">
        <v>1</v>
      </c>
      <c r="P59" s="6">
        <f t="shared" si="1"/>
        <v>4500000</v>
      </c>
      <c r="R59" s="6" t="s">
        <v>2003</v>
      </c>
      <c r="T59" s="6" t="s">
        <v>866</v>
      </c>
      <c r="U59" s="6">
        <v>2004</v>
      </c>
      <c r="V59" s="6">
        <v>1</v>
      </c>
      <c r="AD59" s="6" t="s">
        <v>45</v>
      </c>
      <c r="AJ59" s="31" t="s">
        <v>2123</v>
      </c>
      <c r="AK59" s="6">
        <v>1</v>
      </c>
      <c r="AL59" s="26">
        <v>4300000</v>
      </c>
      <c r="AM59" s="26">
        <v>4300000</v>
      </c>
      <c r="AN59" s="26">
        <v>4300000</v>
      </c>
      <c r="AO59" s="6" t="s">
        <v>2003</v>
      </c>
      <c r="AQ59" s="6" t="s">
        <v>1181</v>
      </c>
      <c r="AU59" s="6">
        <v>223470</v>
      </c>
    </row>
    <row r="60" spans="1:47" x14ac:dyDescent="0.3">
      <c r="A60" s="28" t="s">
        <v>42</v>
      </c>
      <c r="B60" s="6" t="s">
        <v>2179</v>
      </c>
      <c r="C60" s="6" t="s">
        <v>1976</v>
      </c>
      <c r="D60" s="6" t="s">
        <v>2104</v>
      </c>
      <c r="E60" s="6">
        <v>1</v>
      </c>
      <c r="F60" s="6" t="s">
        <v>2004</v>
      </c>
      <c r="G60" s="6" t="s">
        <v>2005</v>
      </c>
      <c r="H60" s="6" t="s">
        <v>2005</v>
      </c>
      <c r="I60" s="6" t="str">
        <f t="shared" si="0"/>
        <v>Skeleton Bucket</v>
      </c>
      <c r="J60" s="6" t="s">
        <v>444</v>
      </c>
      <c r="K60" s="6">
        <v>1</v>
      </c>
      <c r="P60" s="6">
        <f t="shared" si="1"/>
        <v>900000</v>
      </c>
      <c r="R60" s="6" t="s">
        <v>2003</v>
      </c>
      <c r="T60" s="6" t="s">
        <v>823</v>
      </c>
      <c r="U60" s="6">
        <v>2013</v>
      </c>
      <c r="V60" s="6">
        <v>1</v>
      </c>
      <c r="AD60" s="6" t="s">
        <v>45</v>
      </c>
      <c r="AJ60" s="31" t="s">
        <v>2113</v>
      </c>
      <c r="AK60" s="6">
        <v>1</v>
      </c>
      <c r="AL60" s="26">
        <v>800000</v>
      </c>
      <c r="AM60" s="26">
        <v>800000</v>
      </c>
      <c r="AN60" s="26">
        <v>800000</v>
      </c>
      <c r="AO60" s="6" t="s">
        <v>2003</v>
      </c>
      <c r="AQ60" s="6" t="s">
        <v>49</v>
      </c>
      <c r="AU60" s="6">
        <v>223477</v>
      </c>
    </row>
    <row r="61" spans="1:47" x14ac:dyDescent="0.3">
      <c r="A61" s="28" t="s">
        <v>42</v>
      </c>
      <c r="B61" s="6" t="s">
        <v>2179</v>
      </c>
      <c r="C61" s="6" t="s">
        <v>1980</v>
      </c>
      <c r="D61" s="6" t="s">
        <v>2100</v>
      </c>
      <c r="E61" s="6">
        <v>1</v>
      </c>
      <c r="F61" s="6" t="s">
        <v>2004</v>
      </c>
      <c r="G61" s="6" t="s">
        <v>2005</v>
      </c>
      <c r="H61" s="6" t="s">
        <v>2005</v>
      </c>
      <c r="I61" s="6" t="str">
        <f t="shared" si="0"/>
        <v>Small Bucket</v>
      </c>
      <c r="J61" s="6" t="s">
        <v>85</v>
      </c>
      <c r="K61" s="6">
        <v>1</v>
      </c>
      <c r="P61" s="6">
        <f t="shared" si="1"/>
        <v>300000</v>
      </c>
      <c r="R61" s="6" t="s">
        <v>2003</v>
      </c>
      <c r="T61" s="6" t="s">
        <v>809</v>
      </c>
      <c r="U61" s="6">
        <v>2010</v>
      </c>
      <c r="V61" s="6">
        <v>1</v>
      </c>
      <c r="AD61" s="6" t="s">
        <v>45</v>
      </c>
      <c r="AJ61" s="31" t="s">
        <v>2114</v>
      </c>
      <c r="AK61" s="6">
        <v>1</v>
      </c>
      <c r="AL61" s="26">
        <v>250000</v>
      </c>
      <c r="AM61" s="26">
        <v>250000</v>
      </c>
      <c r="AN61" s="26">
        <v>250000</v>
      </c>
      <c r="AO61" s="6" t="s">
        <v>2003</v>
      </c>
      <c r="AQ61" s="6" t="s">
        <v>830</v>
      </c>
      <c r="AU61" s="6">
        <v>223480</v>
      </c>
    </row>
    <row r="62" spans="1:47" x14ac:dyDescent="0.3">
      <c r="A62" s="28" t="s">
        <v>42</v>
      </c>
      <c r="B62" s="6" t="s">
        <v>2179</v>
      </c>
      <c r="C62" s="6" t="s">
        <v>1976</v>
      </c>
      <c r="D62" s="6" t="s">
        <v>2105</v>
      </c>
      <c r="E62" s="6">
        <v>1</v>
      </c>
      <c r="F62" s="6" t="s">
        <v>2004</v>
      </c>
      <c r="G62" s="6" t="s">
        <v>2005</v>
      </c>
      <c r="H62" s="6" t="s">
        <v>2005</v>
      </c>
      <c r="I62" s="6" t="str">
        <f t="shared" si="0"/>
        <v>Skeleton Bucket</v>
      </c>
      <c r="J62" s="6" t="s">
        <v>336</v>
      </c>
      <c r="K62" s="6">
        <v>1</v>
      </c>
      <c r="P62" s="6">
        <f t="shared" si="1"/>
        <v>2200000</v>
      </c>
      <c r="R62" s="6" t="s">
        <v>2003</v>
      </c>
      <c r="T62" s="6" t="s">
        <v>2011</v>
      </c>
      <c r="U62" s="6">
        <v>2010</v>
      </c>
      <c r="V62" s="6">
        <v>6</v>
      </c>
      <c r="AD62" s="6" t="s">
        <v>45</v>
      </c>
      <c r="AJ62" s="31" t="s">
        <v>2123</v>
      </c>
      <c r="AK62" s="6">
        <v>1</v>
      </c>
      <c r="AL62" s="26">
        <v>2000000</v>
      </c>
      <c r="AM62" s="26">
        <v>2000000</v>
      </c>
      <c r="AN62" s="26">
        <v>2000000</v>
      </c>
      <c r="AO62" s="6" t="s">
        <v>2003</v>
      </c>
      <c r="AQ62" s="6" t="s">
        <v>1200</v>
      </c>
      <c r="AU62" s="6">
        <v>223484</v>
      </c>
    </row>
    <row r="63" spans="1:47" x14ac:dyDescent="0.3">
      <c r="A63" s="28" t="s">
        <v>42</v>
      </c>
      <c r="B63" s="6" t="s">
        <v>2180</v>
      </c>
      <c r="D63" s="6" t="s">
        <v>2104</v>
      </c>
      <c r="E63" s="6">
        <v>1</v>
      </c>
      <c r="F63" s="6" t="s">
        <v>2004</v>
      </c>
      <c r="G63" s="6" t="s">
        <v>2005</v>
      </c>
      <c r="H63" s="6" t="s">
        <v>2005</v>
      </c>
      <c r="I63" s="6" t="str">
        <f t="shared" si="0"/>
        <v>Quick Coupler</v>
      </c>
      <c r="J63" s="6" t="s">
        <v>445</v>
      </c>
      <c r="K63" s="6">
        <v>1</v>
      </c>
      <c r="P63" s="6">
        <f t="shared" si="1"/>
        <v>900000</v>
      </c>
      <c r="R63" s="6" t="s">
        <v>2003</v>
      </c>
      <c r="T63" s="6" t="s">
        <v>2012</v>
      </c>
      <c r="U63" s="6">
        <v>2014</v>
      </c>
      <c r="V63" s="6">
        <v>1</v>
      </c>
      <c r="AD63" s="6" t="s">
        <v>45</v>
      </c>
      <c r="AJ63" s="31" t="s">
        <v>2113</v>
      </c>
      <c r="AK63" s="6">
        <v>1</v>
      </c>
      <c r="AL63" s="26">
        <v>800000</v>
      </c>
      <c r="AM63" s="26">
        <v>800000</v>
      </c>
      <c r="AN63" s="26">
        <v>800000</v>
      </c>
      <c r="AO63" s="6" t="s">
        <v>2003</v>
      </c>
      <c r="AQ63" s="6" t="s">
        <v>49</v>
      </c>
      <c r="AU63" s="6">
        <v>223485</v>
      </c>
    </row>
    <row r="64" spans="1:47" x14ac:dyDescent="0.3">
      <c r="A64" s="28" t="s">
        <v>42</v>
      </c>
      <c r="B64" s="6" t="s">
        <v>2181</v>
      </c>
      <c r="D64" s="6" t="s">
        <v>2103</v>
      </c>
      <c r="E64" s="6">
        <v>1</v>
      </c>
      <c r="F64" s="6" t="s">
        <v>2004</v>
      </c>
      <c r="G64" s="6" t="s">
        <v>2005</v>
      </c>
      <c r="H64" s="6" t="s">
        <v>2005</v>
      </c>
      <c r="I64" s="6" t="str">
        <f t="shared" si="0"/>
        <v>ETC</v>
      </c>
      <c r="J64" s="6" t="s">
        <v>446</v>
      </c>
      <c r="K64" s="6">
        <v>1</v>
      </c>
      <c r="P64" s="6">
        <f t="shared" si="1"/>
        <v>950000</v>
      </c>
      <c r="R64" s="6" t="s">
        <v>2003</v>
      </c>
      <c r="T64" s="6" t="s">
        <v>2013</v>
      </c>
      <c r="U64" s="6">
        <v>2016</v>
      </c>
      <c r="V64" s="6">
        <v>1</v>
      </c>
      <c r="AD64" s="6" t="s">
        <v>45</v>
      </c>
      <c r="AJ64" s="31" t="s">
        <v>2116</v>
      </c>
      <c r="AK64" s="6">
        <v>1</v>
      </c>
      <c r="AL64" s="26">
        <v>850000</v>
      </c>
      <c r="AM64" s="26">
        <v>850000</v>
      </c>
      <c r="AN64" s="26">
        <v>850000</v>
      </c>
      <c r="AO64" s="6" t="s">
        <v>2003</v>
      </c>
      <c r="AQ64" s="6" t="s">
        <v>90</v>
      </c>
      <c r="AU64" s="6">
        <v>223486</v>
      </c>
    </row>
    <row r="65" spans="1:47" x14ac:dyDescent="0.3">
      <c r="A65" s="28" t="s">
        <v>42</v>
      </c>
      <c r="B65" s="6" t="s">
        <v>2177</v>
      </c>
      <c r="C65" s="6" t="s">
        <v>1974</v>
      </c>
      <c r="D65" s="6" t="s">
        <v>2104</v>
      </c>
      <c r="E65" s="6">
        <v>1</v>
      </c>
      <c r="F65" s="6" t="s">
        <v>2004</v>
      </c>
      <c r="G65" s="6" t="s">
        <v>2005</v>
      </c>
      <c r="H65" s="6" t="s">
        <v>2005</v>
      </c>
      <c r="I65" s="6" t="str">
        <f t="shared" si="0"/>
        <v>Etc Grapple</v>
      </c>
      <c r="J65" s="6" t="s">
        <v>125</v>
      </c>
      <c r="K65" s="6">
        <v>1</v>
      </c>
      <c r="P65" s="6">
        <f t="shared" si="1"/>
        <v>4200000</v>
      </c>
      <c r="R65" s="6" t="s">
        <v>2003</v>
      </c>
      <c r="T65" s="6" t="s">
        <v>2014</v>
      </c>
      <c r="U65" s="6">
        <v>2010</v>
      </c>
      <c r="V65" s="6">
        <v>4</v>
      </c>
      <c r="AD65" s="6" t="s">
        <v>45</v>
      </c>
      <c r="AJ65" s="31" t="s">
        <v>2122</v>
      </c>
      <c r="AK65" s="6">
        <v>1</v>
      </c>
      <c r="AL65" s="26">
        <v>4000000</v>
      </c>
      <c r="AM65" s="26">
        <v>4000000</v>
      </c>
      <c r="AN65" s="26">
        <v>4000000</v>
      </c>
      <c r="AO65" s="6" t="s">
        <v>2003</v>
      </c>
      <c r="AQ65" s="6" t="s">
        <v>1166</v>
      </c>
      <c r="AU65" s="6">
        <v>223487</v>
      </c>
    </row>
    <row r="66" spans="1:47" x14ac:dyDescent="0.3">
      <c r="A66" s="28" t="s">
        <v>42</v>
      </c>
      <c r="B66" s="6" t="s">
        <v>2179</v>
      </c>
      <c r="C66" s="6" t="s">
        <v>1976</v>
      </c>
      <c r="D66" s="6" t="s">
        <v>2104</v>
      </c>
      <c r="E66" s="6">
        <v>1</v>
      </c>
      <c r="F66" s="6" t="s">
        <v>2004</v>
      </c>
      <c r="G66" s="6" t="s">
        <v>2005</v>
      </c>
      <c r="H66" s="6" t="s">
        <v>2005</v>
      </c>
      <c r="I66" s="6" t="str">
        <f t="shared" ref="I66:I129" si="2">IF(ISBLANK(C66),B66,C66)</f>
        <v>Skeleton Bucket</v>
      </c>
      <c r="J66" s="6" t="s">
        <v>110</v>
      </c>
      <c r="K66" s="6">
        <v>1</v>
      </c>
      <c r="P66" s="6">
        <f t="shared" si="1"/>
        <v>950000</v>
      </c>
      <c r="R66" s="6" t="s">
        <v>2003</v>
      </c>
      <c r="T66" s="6" t="s">
        <v>823</v>
      </c>
      <c r="U66" s="6">
        <v>2013</v>
      </c>
      <c r="V66" s="6">
        <v>1</v>
      </c>
      <c r="AD66" s="6" t="s">
        <v>45</v>
      </c>
      <c r="AJ66" s="31" t="s">
        <v>2113</v>
      </c>
      <c r="AK66" s="6">
        <v>1</v>
      </c>
      <c r="AL66" s="26">
        <v>850000</v>
      </c>
      <c r="AM66" s="26">
        <v>850000</v>
      </c>
      <c r="AN66" s="26">
        <v>850000</v>
      </c>
      <c r="AO66" s="6" t="s">
        <v>2003</v>
      </c>
      <c r="AQ66" s="6" t="s">
        <v>49</v>
      </c>
      <c r="AU66" s="6">
        <v>223488</v>
      </c>
    </row>
    <row r="67" spans="1:47" x14ac:dyDescent="0.3">
      <c r="A67" s="28" t="s">
        <v>42</v>
      </c>
      <c r="B67" s="6" t="s">
        <v>2180</v>
      </c>
      <c r="D67" s="6" t="s">
        <v>2104</v>
      </c>
      <c r="E67" s="6">
        <v>1</v>
      </c>
      <c r="F67" s="6" t="s">
        <v>2004</v>
      </c>
      <c r="G67" s="6" t="s">
        <v>2005</v>
      </c>
      <c r="H67" s="6" t="s">
        <v>2005</v>
      </c>
      <c r="I67" s="6" t="str">
        <f t="shared" si="2"/>
        <v>Quick Coupler</v>
      </c>
      <c r="J67" s="6" t="s">
        <v>447</v>
      </c>
      <c r="K67" s="6">
        <v>1</v>
      </c>
      <c r="P67" s="6">
        <f t="shared" ref="P67:P130" si="3">IF(AM67&lt;500000,AM67+50000,IF(AND(AM67&gt;=500000,AM67&lt;2000000),AM67+100000,IF(AND(AM67&gt;=2000000,AM67&lt;5000000),AM67+200000,IF(AM67&gt;=5000000,AM67+500000,AM67))))</f>
        <v>850000</v>
      </c>
      <c r="R67" s="6" t="s">
        <v>2003</v>
      </c>
      <c r="T67" s="6" t="s">
        <v>2012</v>
      </c>
      <c r="U67" s="6">
        <v>2014</v>
      </c>
      <c r="V67" s="6">
        <v>1</v>
      </c>
      <c r="AD67" s="6" t="s">
        <v>45</v>
      </c>
      <c r="AJ67" s="31" t="s">
        <v>2113</v>
      </c>
      <c r="AK67" s="6">
        <v>1</v>
      </c>
      <c r="AL67" s="26">
        <v>750000</v>
      </c>
      <c r="AM67" s="26">
        <v>750000</v>
      </c>
      <c r="AN67" s="26">
        <v>750000</v>
      </c>
      <c r="AO67" s="6" t="s">
        <v>2003</v>
      </c>
      <c r="AQ67" s="6" t="s">
        <v>49</v>
      </c>
      <c r="AU67" s="6">
        <v>223489</v>
      </c>
    </row>
    <row r="68" spans="1:47" x14ac:dyDescent="0.3">
      <c r="A68" s="28" t="s">
        <v>42</v>
      </c>
      <c r="B68" s="6" t="s">
        <v>2181</v>
      </c>
      <c r="D68" s="6" t="s">
        <v>2101</v>
      </c>
      <c r="E68" s="6">
        <v>1</v>
      </c>
      <c r="F68" s="6" t="s">
        <v>2004</v>
      </c>
      <c r="G68" s="6" t="s">
        <v>2005</v>
      </c>
      <c r="H68" s="6" t="s">
        <v>2005</v>
      </c>
      <c r="I68" s="6" t="str">
        <f t="shared" si="2"/>
        <v>ETC</v>
      </c>
      <c r="J68" s="6" t="s">
        <v>156</v>
      </c>
      <c r="K68" s="6">
        <v>1</v>
      </c>
      <c r="P68" s="6">
        <f t="shared" si="3"/>
        <v>10500000</v>
      </c>
      <c r="R68" s="6" t="s">
        <v>2003</v>
      </c>
      <c r="T68" s="6" t="s">
        <v>2014</v>
      </c>
      <c r="U68" s="6">
        <v>2011</v>
      </c>
      <c r="V68" s="6">
        <v>10</v>
      </c>
      <c r="AD68" s="6" t="s">
        <v>45</v>
      </c>
      <c r="AJ68" s="31" t="s">
        <v>2122</v>
      </c>
      <c r="AK68" s="6">
        <v>1</v>
      </c>
      <c r="AL68" s="26">
        <v>10000000</v>
      </c>
      <c r="AM68" s="26">
        <v>10000000</v>
      </c>
      <c r="AN68" s="26">
        <v>10000000</v>
      </c>
      <c r="AO68" s="6" t="s">
        <v>2003</v>
      </c>
      <c r="AQ68" s="6" t="s">
        <v>1166</v>
      </c>
      <c r="AU68" s="6">
        <v>223495</v>
      </c>
    </row>
    <row r="69" spans="1:47" x14ac:dyDescent="0.3">
      <c r="A69" s="28" t="s">
        <v>42</v>
      </c>
      <c r="B69" s="6" t="s">
        <v>2177</v>
      </c>
      <c r="C69" s="6" t="s">
        <v>1972</v>
      </c>
      <c r="D69" s="6" t="s">
        <v>2104</v>
      </c>
      <c r="E69" s="6">
        <v>1</v>
      </c>
      <c r="F69" s="6" t="s">
        <v>2004</v>
      </c>
      <c r="G69" s="6" t="s">
        <v>2005</v>
      </c>
      <c r="H69" s="6" t="s">
        <v>2005</v>
      </c>
      <c r="I69" s="6" t="str">
        <f t="shared" si="2"/>
        <v>Stone Grapple</v>
      </c>
      <c r="J69" s="6" t="s">
        <v>448</v>
      </c>
      <c r="K69" s="6">
        <v>1</v>
      </c>
      <c r="P69" s="6">
        <f t="shared" si="3"/>
        <v>2300000</v>
      </c>
      <c r="R69" s="6" t="s">
        <v>2003</v>
      </c>
      <c r="T69" s="6" t="s">
        <v>68</v>
      </c>
      <c r="U69" s="6">
        <v>2013</v>
      </c>
      <c r="V69" s="6">
        <v>7</v>
      </c>
      <c r="AD69" s="6" t="s">
        <v>45</v>
      </c>
      <c r="AJ69" s="31" t="s">
        <v>2116</v>
      </c>
      <c r="AK69" s="6">
        <v>1</v>
      </c>
      <c r="AL69" s="26">
        <v>2100000</v>
      </c>
      <c r="AM69" s="26">
        <v>2100000</v>
      </c>
      <c r="AN69" s="26">
        <v>2100000</v>
      </c>
      <c r="AO69" s="6" t="s">
        <v>2003</v>
      </c>
      <c r="AQ69" s="6" t="s">
        <v>1153</v>
      </c>
      <c r="AU69" s="6">
        <v>223496</v>
      </c>
    </row>
    <row r="70" spans="1:47" x14ac:dyDescent="0.3">
      <c r="A70" s="28" t="s">
        <v>42</v>
      </c>
      <c r="B70" s="6" t="s">
        <v>2177</v>
      </c>
      <c r="C70" s="6" t="s">
        <v>1972</v>
      </c>
      <c r="D70" s="6" t="s">
        <v>2100</v>
      </c>
      <c r="E70" s="6">
        <v>1</v>
      </c>
      <c r="F70" s="6" t="s">
        <v>2004</v>
      </c>
      <c r="G70" s="6" t="s">
        <v>2005</v>
      </c>
      <c r="H70" s="6" t="s">
        <v>2005</v>
      </c>
      <c r="I70" s="6" t="str">
        <f t="shared" si="2"/>
        <v>Stone Grapple</v>
      </c>
      <c r="J70" s="6" t="s">
        <v>109</v>
      </c>
      <c r="K70" s="6">
        <v>1</v>
      </c>
      <c r="P70" s="6">
        <f t="shared" si="3"/>
        <v>3300000</v>
      </c>
      <c r="R70" s="6" t="s">
        <v>2003</v>
      </c>
      <c r="T70" s="6" t="s">
        <v>107</v>
      </c>
      <c r="U70" s="6">
        <v>2010</v>
      </c>
      <c r="V70" s="6">
        <v>1</v>
      </c>
      <c r="AD70" s="6" t="s">
        <v>45</v>
      </c>
      <c r="AJ70" s="31" t="s">
        <v>2114</v>
      </c>
      <c r="AK70" s="6">
        <v>1</v>
      </c>
      <c r="AL70" s="26">
        <v>3100000</v>
      </c>
      <c r="AM70" s="26">
        <v>3100000</v>
      </c>
      <c r="AN70" s="26">
        <v>3100000</v>
      </c>
      <c r="AO70" s="6" t="s">
        <v>2003</v>
      </c>
      <c r="AQ70" s="6" t="s">
        <v>830</v>
      </c>
      <c r="AU70" s="6">
        <v>223500</v>
      </c>
    </row>
    <row r="71" spans="1:47" x14ac:dyDescent="0.3">
      <c r="A71" s="28" t="s">
        <v>42</v>
      </c>
      <c r="B71" s="6" t="s">
        <v>2178</v>
      </c>
      <c r="C71" s="6" t="s">
        <v>1975</v>
      </c>
      <c r="D71" s="6" t="s">
        <v>2104</v>
      </c>
      <c r="E71" s="6">
        <v>1</v>
      </c>
      <c r="F71" s="6" t="s">
        <v>2004</v>
      </c>
      <c r="G71" s="6" t="s">
        <v>2005</v>
      </c>
      <c r="H71" s="6" t="s">
        <v>2005</v>
      </c>
      <c r="I71" s="6" t="str">
        <f t="shared" si="2"/>
        <v>Side Breaker</v>
      </c>
      <c r="J71" s="6" t="s">
        <v>144</v>
      </c>
      <c r="K71" s="6">
        <v>1</v>
      </c>
      <c r="P71" s="6">
        <f t="shared" si="3"/>
        <v>3000000</v>
      </c>
      <c r="R71" s="6" t="s">
        <v>2003</v>
      </c>
      <c r="T71" s="6" t="s">
        <v>2012</v>
      </c>
      <c r="U71" s="6">
        <v>2013</v>
      </c>
      <c r="V71" s="6">
        <v>1</v>
      </c>
      <c r="AD71" s="6" t="s">
        <v>45</v>
      </c>
      <c r="AJ71" s="31" t="s">
        <v>2113</v>
      </c>
      <c r="AK71" s="6">
        <v>1</v>
      </c>
      <c r="AL71" s="26">
        <v>2800000</v>
      </c>
      <c r="AM71" s="26">
        <v>2800000</v>
      </c>
      <c r="AN71" s="26">
        <v>2800000</v>
      </c>
      <c r="AO71" s="6" t="s">
        <v>2003</v>
      </c>
      <c r="AQ71" s="6" t="s">
        <v>49</v>
      </c>
      <c r="AU71" s="6">
        <v>223503</v>
      </c>
    </row>
    <row r="72" spans="1:47" x14ac:dyDescent="0.3">
      <c r="A72" s="28" t="s">
        <v>42</v>
      </c>
      <c r="B72" s="6" t="s">
        <v>2177</v>
      </c>
      <c r="C72" s="6" t="s">
        <v>1972</v>
      </c>
      <c r="D72" s="6" t="s">
        <v>2100</v>
      </c>
      <c r="E72" s="6">
        <v>1</v>
      </c>
      <c r="F72" s="6" t="s">
        <v>2004</v>
      </c>
      <c r="G72" s="6" t="s">
        <v>2005</v>
      </c>
      <c r="H72" s="6" t="s">
        <v>2005</v>
      </c>
      <c r="I72" s="6" t="str">
        <f t="shared" si="2"/>
        <v>Stone Grapple</v>
      </c>
      <c r="J72" s="6" t="s">
        <v>109</v>
      </c>
      <c r="K72" s="6">
        <v>1</v>
      </c>
      <c r="P72" s="6">
        <f t="shared" si="3"/>
        <v>3100000</v>
      </c>
      <c r="R72" s="6" t="s">
        <v>2003</v>
      </c>
      <c r="T72" s="6" t="s">
        <v>54</v>
      </c>
      <c r="U72" s="6">
        <v>2010</v>
      </c>
      <c r="V72" s="6">
        <v>1</v>
      </c>
      <c r="AD72" s="6" t="s">
        <v>45</v>
      </c>
      <c r="AJ72" s="31" t="s">
        <v>2114</v>
      </c>
      <c r="AK72" s="6">
        <v>1</v>
      </c>
      <c r="AL72" s="26">
        <v>2900000</v>
      </c>
      <c r="AM72" s="26">
        <v>2900000</v>
      </c>
      <c r="AN72" s="26">
        <v>2900000</v>
      </c>
      <c r="AO72" s="6" t="s">
        <v>2003</v>
      </c>
      <c r="AQ72" s="6" t="s">
        <v>54</v>
      </c>
      <c r="AU72" s="6">
        <v>223505</v>
      </c>
    </row>
    <row r="73" spans="1:47" x14ac:dyDescent="0.3">
      <c r="A73" s="28" t="s">
        <v>42</v>
      </c>
      <c r="B73" s="6" t="s">
        <v>2179</v>
      </c>
      <c r="C73" s="6" t="s">
        <v>1976</v>
      </c>
      <c r="D73" s="6" t="s">
        <v>2100</v>
      </c>
      <c r="E73" s="6">
        <v>1</v>
      </c>
      <c r="F73" s="6" t="s">
        <v>2004</v>
      </c>
      <c r="G73" s="6" t="s">
        <v>2005</v>
      </c>
      <c r="H73" s="6" t="s">
        <v>2005</v>
      </c>
      <c r="I73" s="6" t="str">
        <f t="shared" si="2"/>
        <v>Skeleton Bucket</v>
      </c>
      <c r="J73" s="6" t="s">
        <v>234</v>
      </c>
      <c r="K73" s="6">
        <v>1</v>
      </c>
      <c r="P73" s="6">
        <f t="shared" si="3"/>
        <v>600000</v>
      </c>
      <c r="R73" s="6" t="s">
        <v>2003</v>
      </c>
      <c r="T73" s="6" t="s">
        <v>54</v>
      </c>
      <c r="U73" s="6">
        <v>2014</v>
      </c>
      <c r="V73" s="6">
        <v>1</v>
      </c>
      <c r="AD73" s="6" t="s">
        <v>45</v>
      </c>
      <c r="AJ73" s="31" t="s">
        <v>2114</v>
      </c>
      <c r="AK73" s="6">
        <v>1</v>
      </c>
      <c r="AL73" s="26">
        <v>500000</v>
      </c>
      <c r="AM73" s="26">
        <v>500000</v>
      </c>
      <c r="AN73" s="26">
        <v>500000</v>
      </c>
      <c r="AO73" s="6" t="s">
        <v>2003</v>
      </c>
      <c r="AQ73" s="6" t="s">
        <v>54</v>
      </c>
      <c r="AU73" s="6">
        <v>223507</v>
      </c>
    </row>
    <row r="74" spans="1:47" x14ac:dyDescent="0.3">
      <c r="A74" s="28" t="s">
        <v>42</v>
      </c>
      <c r="B74" s="6" t="s">
        <v>2179</v>
      </c>
      <c r="C74" s="19" t="s">
        <v>2205</v>
      </c>
      <c r="D74" s="6" t="s">
        <v>2101</v>
      </c>
      <c r="E74" s="6">
        <v>1</v>
      </c>
      <c r="F74" s="6" t="s">
        <v>2004</v>
      </c>
      <c r="G74" s="6" t="s">
        <v>2005</v>
      </c>
      <c r="H74" s="6" t="s">
        <v>2005</v>
      </c>
      <c r="I74" s="6" t="str">
        <f t="shared" si="2"/>
        <v>Standard Bucket</v>
      </c>
      <c r="J74" s="6" t="s">
        <v>75</v>
      </c>
      <c r="K74" s="6">
        <v>1</v>
      </c>
      <c r="P74" s="6">
        <f t="shared" si="3"/>
        <v>3400000</v>
      </c>
      <c r="R74" s="6" t="s">
        <v>2003</v>
      </c>
      <c r="T74" s="6" t="s">
        <v>839</v>
      </c>
      <c r="U74" s="6">
        <v>2011</v>
      </c>
      <c r="V74" s="6">
        <v>4</v>
      </c>
      <c r="AD74" s="6" t="s">
        <v>45</v>
      </c>
      <c r="AJ74" s="31" t="s">
        <v>2110</v>
      </c>
      <c r="AK74" s="6">
        <v>1</v>
      </c>
      <c r="AL74" s="26">
        <v>3200000</v>
      </c>
      <c r="AM74" s="26">
        <v>3200000</v>
      </c>
      <c r="AN74" s="26">
        <v>3200000</v>
      </c>
      <c r="AO74" s="6" t="s">
        <v>2003</v>
      </c>
      <c r="AQ74" s="6" t="s">
        <v>1234</v>
      </c>
      <c r="AU74" s="6">
        <v>223509</v>
      </c>
    </row>
    <row r="75" spans="1:47" x14ac:dyDescent="0.3">
      <c r="A75" s="28" t="s">
        <v>42</v>
      </c>
      <c r="B75" s="6" t="s">
        <v>2182</v>
      </c>
      <c r="C75" s="19" t="s">
        <v>2205</v>
      </c>
      <c r="D75" s="6" t="s">
        <v>2101</v>
      </c>
      <c r="E75" s="6">
        <v>1</v>
      </c>
      <c r="F75" s="6" t="s">
        <v>2004</v>
      </c>
      <c r="G75" s="6" t="s">
        <v>2005</v>
      </c>
      <c r="H75" s="6" t="s">
        <v>2005</v>
      </c>
      <c r="I75" s="6" t="str">
        <f t="shared" si="2"/>
        <v>Standard Bucket</v>
      </c>
      <c r="J75" s="6" t="s">
        <v>236</v>
      </c>
      <c r="K75" s="6">
        <v>1</v>
      </c>
      <c r="P75" s="6">
        <f t="shared" si="3"/>
        <v>3200000</v>
      </c>
      <c r="R75" s="6" t="s">
        <v>2003</v>
      </c>
      <c r="T75" s="6" t="s">
        <v>54</v>
      </c>
      <c r="U75" s="6">
        <v>2010</v>
      </c>
      <c r="V75" s="6">
        <v>1</v>
      </c>
      <c r="AD75" s="6" t="s">
        <v>45</v>
      </c>
      <c r="AJ75" s="31" t="s">
        <v>2114</v>
      </c>
      <c r="AK75" s="6">
        <v>1</v>
      </c>
      <c r="AL75" s="26">
        <v>3000000</v>
      </c>
      <c r="AM75" s="26">
        <v>3000000</v>
      </c>
      <c r="AN75" s="26">
        <v>3000000</v>
      </c>
      <c r="AO75" s="6" t="s">
        <v>2003</v>
      </c>
      <c r="AQ75" s="6" t="s">
        <v>54</v>
      </c>
      <c r="AU75" s="6">
        <v>223511</v>
      </c>
    </row>
    <row r="76" spans="1:47" x14ac:dyDescent="0.3">
      <c r="A76" s="28" t="s">
        <v>42</v>
      </c>
      <c r="B76" s="6" t="s">
        <v>2182</v>
      </c>
      <c r="C76" s="6" t="s">
        <v>1976</v>
      </c>
      <c r="D76" s="6" t="s">
        <v>2105</v>
      </c>
      <c r="E76" s="6">
        <v>1</v>
      </c>
      <c r="F76" s="6" t="s">
        <v>2004</v>
      </c>
      <c r="G76" s="6" t="s">
        <v>2005</v>
      </c>
      <c r="H76" s="6" t="s">
        <v>2005</v>
      </c>
      <c r="I76" s="6" t="str">
        <f t="shared" si="2"/>
        <v>Skeleton Bucket</v>
      </c>
      <c r="J76" s="6" t="s">
        <v>210</v>
      </c>
      <c r="K76" s="6">
        <v>1</v>
      </c>
      <c r="P76" s="6">
        <f t="shared" si="3"/>
        <v>1400000</v>
      </c>
      <c r="R76" s="6" t="s">
        <v>2003</v>
      </c>
      <c r="T76" s="6" t="s">
        <v>867</v>
      </c>
      <c r="U76" s="6">
        <v>2013</v>
      </c>
      <c r="V76" s="6">
        <v>1</v>
      </c>
      <c r="AD76" s="6" t="s">
        <v>45</v>
      </c>
      <c r="AJ76" s="31" t="s">
        <v>2116</v>
      </c>
      <c r="AK76" s="6">
        <v>1</v>
      </c>
      <c r="AL76" s="26">
        <v>1300000</v>
      </c>
      <c r="AM76" s="26">
        <v>1300000</v>
      </c>
      <c r="AN76" s="26">
        <v>1300000</v>
      </c>
      <c r="AO76" s="6" t="s">
        <v>2003</v>
      </c>
      <c r="AQ76" s="6" t="s">
        <v>90</v>
      </c>
      <c r="AU76" s="6">
        <v>223513</v>
      </c>
    </row>
    <row r="77" spans="1:47" x14ac:dyDescent="0.3">
      <c r="A77" s="28" t="s">
        <v>42</v>
      </c>
      <c r="B77" s="6" t="s">
        <v>2183</v>
      </c>
      <c r="D77" s="6" t="s">
        <v>1999</v>
      </c>
      <c r="E77" s="6">
        <v>1</v>
      </c>
      <c r="F77" s="6" t="s">
        <v>2004</v>
      </c>
      <c r="G77" s="6" t="s">
        <v>2005</v>
      </c>
      <c r="H77" s="6" t="s">
        <v>2005</v>
      </c>
      <c r="I77" s="6" t="str">
        <f t="shared" si="2"/>
        <v>ETC</v>
      </c>
      <c r="J77" s="6" t="s">
        <v>450</v>
      </c>
      <c r="K77" s="6">
        <v>1</v>
      </c>
      <c r="P77" s="6">
        <f t="shared" si="3"/>
        <v>2700000</v>
      </c>
      <c r="R77" s="6" t="s">
        <v>2003</v>
      </c>
      <c r="T77" s="6" t="s">
        <v>868</v>
      </c>
      <c r="U77" s="6">
        <v>2012</v>
      </c>
      <c r="V77" s="6">
        <v>1</v>
      </c>
      <c r="AD77" s="6" t="s">
        <v>45</v>
      </c>
      <c r="AJ77" s="31" t="s">
        <v>2124</v>
      </c>
      <c r="AK77" s="6">
        <v>1</v>
      </c>
      <c r="AL77" s="26">
        <v>2500000</v>
      </c>
      <c r="AM77" s="26">
        <v>2500000</v>
      </c>
      <c r="AN77" s="26">
        <v>2500000</v>
      </c>
      <c r="AO77" s="6" t="s">
        <v>2003</v>
      </c>
      <c r="AQ77" s="6" t="s">
        <v>1255</v>
      </c>
      <c r="AU77" s="6">
        <v>223515</v>
      </c>
    </row>
    <row r="78" spans="1:47" x14ac:dyDescent="0.3">
      <c r="A78" s="28" t="s">
        <v>42</v>
      </c>
      <c r="B78" s="6" t="s">
        <v>2184</v>
      </c>
      <c r="C78" s="19" t="s">
        <v>2206</v>
      </c>
      <c r="D78" s="6" t="s">
        <v>2103</v>
      </c>
      <c r="E78" s="6">
        <v>1</v>
      </c>
      <c r="F78" s="6" t="s">
        <v>2004</v>
      </c>
      <c r="G78" s="6" t="s">
        <v>2005</v>
      </c>
      <c r="H78" s="6" t="s">
        <v>2005</v>
      </c>
      <c r="I78" s="6" t="str">
        <f t="shared" si="2"/>
        <v>Etc Grapple</v>
      </c>
      <c r="J78" s="6" t="s">
        <v>451</v>
      </c>
      <c r="K78" s="6">
        <v>1</v>
      </c>
      <c r="P78" s="6">
        <f t="shared" si="3"/>
        <v>3700000</v>
      </c>
      <c r="R78" s="6" t="s">
        <v>2003</v>
      </c>
      <c r="T78" s="6" t="s">
        <v>869</v>
      </c>
      <c r="U78" s="6">
        <v>2017</v>
      </c>
      <c r="V78" s="6">
        <v>12</v>
      </c>
      <c r="AD78" s="6" t="s">
        <v>45</v>
      </c>
      <c r="AJ78" s="31" t="s">
        <v>2122</v>
      </c>
      <c r="AK78" s="6">
        <v>1</v>
      </c>
      <c r="AL78" s="26">
        <v>3500000</v>
      </c>
      <c r="AM78" s="26">
        <v>3500000</v>
      </c>
      <c r="AN78" s="26">
        <v>3500000</v>
      </c>
      <c r="AO78" s="6" t="s">
        <v>2003</v>
      </c>
      <c r="AQ78" s="6" t="s">
        <v>1256</v>
      </c>
      <c r="AU78" s="6">
        <v>223516</v>
      </c>
    </row>
    <row r="79" spans="1:47" x14ac:dyDescent="0.3">
      <c r="A79" s="28" t="s">
        <v>42</v>
      </c>
      <c r="B79" s="6" t="s">
        <v>2185</v>
      </c>
      <c r="D79" s="6" t="s">
        <v>2101</v>
      </c>
      <c r="E79" s="6">
        <v>1</v>
      </c>
      <c r="F79" s="6" t="s">
        <v>2004</v>
      </c>
      <c r="G79" s="6" t="s">
        <v>2005</v>
      </c>
      <c r="H79" s="6" t="s">
        <v>2005</v>
      </c>
      <c r="I79" s="6" t="str">
        <f t="shared" si="2"/>
        <v>ETC</v>
      </c>
      <c r="J79" s="6" t="s">
        <v>536</v>
      </c>
      <c r="K79" s="6">
        <v>1</v>
      </c>
      <c r="P79" s="6">
        <f t="shared" si="3"/>
        <v>2700000</v>
      </c>
      <c r="R79" s="6" t="s">
        <v>2003</v>
      </c>
      <c r="T79" s="6" t="s">
        <v>1837</v>
      </c>
      <c r="U79" s="6">
        <v>2015</v>
      </c>
      <c r="V79" s="6">
        <v>11</v>
      </c>
      <c r="AD79" s="6" t="s">
        <v>45</v>
      </c>
      <c r="AJ79" s="31" t="s">
        <v>2118</v>
      </c>
      <c r="AK79" s="6">
        <v>1</v>
      </c>
      <c r="AL79" s="26">
        <v>2500000</v>
      </c>
      <c r="AM79" s="26">
        <v>2500000</v>
      </c>
      <c r="AN79" s="26">
        <v>2500000</v>
      </c>
      <c r="AO79" s="6" t="s">
        <v>2003</v>
      </c>
      <c r="AQ79" s="6" t="s">
        <v>1273</v>
      </c>
      <c r="AU79" s="6">
        <v>223525</v>
      </c>
    </row>
    <row r="80" spans="1:47" x14ac:dyDescent="0.3">
      <c r="A80" s="28" t="s">
        <v>42</v>
      </c>
      <c r="B80" s="6" t="s">
        <v>2186</v>
      </c>
      <c r="C80" s="19" t="s">
        <v>2205</v>
      </c>
      <c r="D80" s="6" t="s">
        <v>2105</v>
      </c>
      <c r="E80" s="6">
        <v>1</v>
      </c>
      <c r="F80" s="6" t="s">
        <v>2004</v>
      </c>
      <c r="G80" s="6" t="s">
        <v>2005</v>
      </c>
      <c r="H80" s="6" t="s">
        <v>2005</v>
      </c>
      <c r="I80" s="6" t="str">
        <f t="shared" si="2"/>
        <v>Standard Bucket</v>
      </c>
      <c r="J80" s="6" t="s">
        <v>114</v>
      </c>
      <c r="K80" s="6">
        <v>1</v>
      </c>
      <c r="P80" s="6">
        <f t="shared" si="3"/>
        <v>2500000</v>
      </c>
      <c r="R80" s="6" t="s">
        <v>2003</v>
      </c>
      <c r="T80" s="6" t="s">
        <v>870</v>
      </c>
      <c r="U80" s="6">
        <v>2014</v>
      </c>
      <c r="V80" s="6">
        <v>1</v>
      </c>
      <c r="AD80" s="6" t="s">
        <v>45</v>
      </c>
      <c r="AJ80" s="31" t="s">
        <v>2116</v>
      </c>
      <c r="AK80" s="6">
        <v>1</v>
      </c>
      <c r="AL80" s="26">
        <v>2300000</v>
      </c>
      <c r="AM80" s="26">
        <v>2300000</v>
      </c>
      <c r="AN80" s="26">
        <v>2300000</v>
      </c>
      <c r="AO80" s="6" t="s">
        <v>2003</v>
      </c>
      <c r="AQ80" s="6" t="s">
        <v>1174</v>
      </c>
      <c r="AU80" s="6">
        <v>223541</v>
      </c>
    </row>
    <row r="81" spans="1:47" x14ac:dyDescent="0.3">
      <c r="A81" s="28" t="s">
        <v>42</v>
      </c>
      <c r="B81" s="6" t="s">
        <v>2175</v>
      </c>
      <c r="C81" s="6" t="s">
        <v>1983</v>
      </c>
      <c r="D81" s="6" t="s">
        <v>2001</v>
      </c>
      <c r="E81" s="6">
        <v>1</v>
      </c>
      <c r="F81" s="6" t="s">
        <v>2004</v>
      </c>
      <c r="G81" s="6" t="s">
        <v>2005</v>
      </c>
      <c r="H81" s="6" t="s">
        <v>2005</v>
      </c>
      <c r="I81" s="6" t="str">
        <f t="shared" si="2"/>
        <v>Hydraulic Multi Processor</v>
      </c>
      <c r="J81" s="6" t="s">
        <v>452</v>
      </c>
      <c r="K81" s="6">
        <v>1</v>
      </c>
      <c r="P81" s="6">
        <f t="shared" si="3"/>
        <v>13500000</v>
      </c>
      <c r="R81" s="6" t="s">
        <v>2003</v>
      </c>
      <c r="T81" s="6" t="s">
        <v>871</v>
      </c>
      <c r="U81" s="6">
        <v>2015</v>
      </c>
      <c r="V81" s="6">
        <v>1</v>
      </c>
      <c r="AD81" s="6" t="s">
        <v>45</v>
      </c>
      <c r="AJ81" s="31" t="s">
        <v>2116</v>
      </c>
      <c r="AK81" s="6">
        <v>1</v>
      </c>
      <c r="AL81" s="26">
        <v>13000000</v>
      </c>
      <c r="AM81" s="26">
        <v>13000000</v>
      </c>
      <c r="AN81" s="26">
        <v>13000000</v>
      </c>
      <c r="AO81" s="6" t="s">
        <v>2003</v>
      </c>
      <c r="AQ81" s="6" t="s">
        <v>1199</v>
      </c>
      <c r="AU81" s="6">
        <v>223543</v>
      </c>
    </row>
    <row r="82" spans="1:47" x14ac:dyDescent="0.3">
      <c r="A82" s="28" t="s">
        <v>42</v>
      </c>
      <c r="B82" s="6" t="s">
        <v>2183</v>
      </c>
      <c r="D82" s="6" t="s">
        <v>2100</v>
      </c>
      <c r="E82" s="6">
        <v>1</v>
      </c>
      <c r="F82" s="6" t="s">
        <v>2004</v>
      </c>
      <c r="G82" s="6" t="s">
        <v>2005</v>
      </c>
      <c r="H82" s="6" t="s">
        <v>2005</v>
      </c>
      <c r="I82" s="6" t="str">
        <f t="shared" si="2"/>
        <v>ETC</v>
      </c>
      <c r="J82" s="6" t="s">
        <v>382</v>
      </c>
      <c r="K82" s="6">
        <v>1</v>
      </c>
      <c r="P82" s="6">
        <f t="shared" si="3"/>
        <v>3700000</v>
      </c>
      <c r="R82" s="6" t="s">
        <v>2003</v>
      </c>
      <c r="T82" s="6" t="s">
        <v>2015</v>
      </c>
      <c r="U82" s="6">
        <v>2012</v>
      </c>
      <c r="V82" s="6">
        <v>6</v>
      </c>
      <c r="AD82" s="6" t="s">
        <v>45</v>
      </c>
      <c r="AJ82" s="31" t="s">
        <v>2113</v>
      </c>
      <c r="AK82" s="6">
        <v>1</v>
      </c>
      <c r="AL82" s="26">
        <v>3500000</v>
      </c>
      <c r="AM82" s="26">
        <v>3500000</v>
      </c>
      <c r="AN82" s="26">
        <v>3500000</v>
      </c>
      <c r="AO82" s="6" t="s">
        <v>2003</v>
      </c>
      <c r="AQ82" s="6" t="s">
        <v>47</v>
      </c>
      <c r="AU82" s="6">
        <v>223548</v>
      </c>
    </row>
    <row r="83" spans="1:47" x14ac:dyDescent="0.3">
      <c r="A83" s="28" t="s">
        <v>42</v>
      </c>
      <c r="B83" s="6" t="s">
        <v>2184</v>
      </c>
      <c r="C83" s="6" t="s">
        <v>1973</v>
      </c>
      <c r="D83" s="6" t="s">
        <v>2100</v>
      </c>
      <c r="E83" s="6">
        <v>1</v>
      </c>
      <c r="F83" s="6" t="s">
        <v>2004</v>
      </c>
      <c r="G83" s="6" t="s">
        <v>2005</v>
      </c>
      <c r="H83" s="6" t="s">
        <v>2005</v>
      </c>
      <c r="I83" s="6" t="str">
        <f t="shared" si="2"/>
        <v>Wood Grapple</v>
      </c>
      <c r="J83" s="6" t="s">
        <v>127</v>
      </c>
      <c r="K83" s="6">
        <v>1</v>
      </c>
      <c r="P83" s="6">
        <f t="shared" si="3"/>
        <v>2600000</v>
      </c>
      <c r="R83" s="6" t="s">
        <v>2003</v>
      </c>
      <c r="T83" s="6" t="s">
        <v>2007</v>
      </c>
      <c r="U83" s="6">
        <v>2014</v>
      </c>
      <c r="V83" s="6">
        <v>1</v>
      </c>
      <c r="AD83" s="6" t="s">
        <v>45</v>
      </c>
      <c r="AJ83" s="31" t="s">
        <v>2113</v>
      </c>
      <c r="AK83" s="6">
        <v>1</v>
      </c>
      <c r="AL83" s="26">
        <v>2400000</v>
      </c>
      <c r="AM83" s="26">
        <v>2400000</v>
      </c>
      <c r="AN83" s="26">
        <v>2400000</v>
      </c>
      <c r="AO83" s="6" t="s">
        <v>2003</v>
      </c>
      <c r="AQ83" s="6" t="s">
        <v>49</v>
      </c>
      <c r="AU83" s="6">
        <v>223549</v>
      </c>
    </row>
    <row r="84" spans="1:47" x14ac:dyDescent="0.3">
      <c r="A84" s="28" t="s">
        <v>42</v>
      </c>
      <c r="B84" s="6" t="s">
        <v>2174</v>
      </c>
      <c r="C84" s="6" t="s">
        <v>1975</v>
      </c>
      <c r="D84" s="6" t="s">
        <v>2106</v>
      </c>
      <c r="E84" s="6">
        <v>1</v>
      </c>
      <c r="F84" s="6" t="s">
        <v>2004</v>
      </c>
      <c r="G84" s="6" t="s">
        <v>2005</v>
      </c>
      <c r="H84" s="6" t="s">
        <v>2005</v>
      </c>
      <c r="I84" s="6" t="str">
        <f t="shared" si="2"/>
        <v>Side Breaker</v>
      </c>
      <c r="J84" s="6" t="s">
        <v>205</v>
      </c>
      <c r="K84" s="6">
        <v>1</v>
      </c>
      <c r="P84" s="6">
        <f t="shared" si="3"/>
        <v>1400000</v>
      </c>
      <c r="R84" s="6" t="s">
        <v>2003</v>
      </c>
      <c r="T84" s="6" t="s">
        <v>2007</v>
      </c>
      <c r="U84" s="6">
        <v>2014</v>
      </c>
      <c r="V84" s="6">
        <v>1</v>
      </c>
      <c r="AD84" s="6" t="s">
        <v>45</v>
      </c>
      <c r="AJ84" s="31" t="s">
        <v>2113</v>
      </c>
      <c r="AK84" s="6">
        <v>1</v>
      </c>
      <c r="AL84" s="26">
        <v>1300000</v>
      </c>
      <c r="AM84" s="26">
        <v>1300000</v>
      </c>
      <c r="AN84" s="26">
        <v>1300000</v>
      </c>
      <c r="AO84" s="6" t="s">
        <v>2003</v>
      </c>
      <c r="AQ84" s="6" t="s">
        <v>49</v>
      </c>
      <c r="AU84" s="6">
        <v>223552</v>
      </c>
    </row>
    <row r="85" spans="1:47" x14ac:dyDescent="0.3">
      <c r="A85" s="28" t="s">
        <v>42</v>
      </c>
      <c r="B85" s="6" t="s">
        <v>2184</v>
      </c>
      <c r="C85" s="19" t="s">
        <v>2206</v>
      </c>
      <c r="D85" s="6" t="s">
        <v>2106</v>
      </c>
      <c r="E85" s="6">
        <v>1</v>
      </c>
      <c r="F85" s="6" t="s">
        <v>2004</v>
      </c>
      <c r="G85" s="6" t="s">
        <v>2005</v>
      </c>
      <c r="H85" s="6" t="s">
        <v>2005</v>
      </c>
      <c r="I85" s="6" t="str">
        <f t="shared" si="2"/>
        <v>Etc Grapple</v>
      </c>
      <c r="J85" s="6" t="s">
        <v>300</v>
      </c>
      <c r="K85" s="6">
        <v>1</v>
      </c>
      <c r="P85" s="6">
        <f t="shared" si="3"/>
        <v>2250000</v>
      </c>
      <c r="R85" s="6" t="s">
        <v>2003</v>
      </c>
      <c r="T85" s="6" t="s">
        <v>2007</v>
      </c>
      <c r="U85" s="6">
        <v>2016</v>
      </c>
      <c r="V85" s="6">
        <v>1</v>
      </c>
      <c r="AD85" s="6" t="s">
        <v>45</v>
      </c>
      <c r="AJ85" s="31" t="s">
        <v>2113</v>
      </c>
      <c r="AK85" s="6">
        <v>1</v>
      </c>
      <c r="AL85" s="26">
        <v>2050000</v>
      </c>
      <c r="AM85" s="26">
        <v>2050000</v>
      </c>
      <c r="AN85" s="26">
        <v>2050000</v>
      </c>
      <c r="AO85" s="6" t="s">
        <v>2003</v>
      </c>
      <c r="AQ85" s="6" t="s">
        <v>49</v>
      </c>
      <c r="AU85" s="6">
        <v>223558</v>
      </c>
    </row>
    <row r="86" spans="1:47" hidden="1" x14ac:dyDescent="0.3">
      <c r="A86" s="28" t="s">
        <v>42</v>
      </c>
      <c r="B86" s="6" t="s">
        <v>2185</v>
      </c>
      <c r="E86" s="6">
        <v>1</v>
      </c>
      <c r="F86" s="6" t="s">
        <v>2004</v>
      </c>
      <c r="G86" s="6" t="s">
        <v>2005</v>
      </c>
      <c r="H86" s="6" t="s">
        <v>2005</v>
      </c>
      <c r="I86" s="6" t="str">
        <f t="shared" si="2"/>
        <v>ETC</v>
      </c>
      <c r="J86" s="6" t="s">
        <v>453</v>
      </c>
      <c r="K86" s="6">
        <v>1</v>
      </c>
      <c r="P86" s="6">
        <f t="shared" si="3"/>
        <v>500000</v>
      </c>
      <c r="R86" s="6" t="s">
        <v>2003</v>
      </c>
      <c r="T86" s="6" t="s">
        <v>872</v>
      </c>
      <c r="U86" s="6">
        <v>2017</v>
      </c>
      <c r="V86" s="6">
        <v>1</v>
      </c>
      <c r="AD86" s="6" t="s">
        <v>45</v>
      </c>
      <c r="AJ86" s="31" t="s">
        <v>2119</v>
      </c>
      <c r="AK86" s="6">
        <v>1</v>
      </c>
      <c r="AL86" s="26">
        <v>450000</v>
      </c>
      <c r="AM86" s="26">
        <v>450000</v>
      </c>
      <c r="AN86" s="26">
        <v>450000</v>
      </c>
      <c r="AO86" s="6" t="s">
        <v>2003</v>
      </c>
      <c r="AQ86" s="6" t="s">
        <v>60</v>
      </c>
      <c r="AU86" s="6">
        <v>223560</v>
      </c>
    </row>
    <row r="87" spans="1:47" hidden="1" x14ac:dyDescent="0.3">
      <c r="A87" s="28" t="s">
        <v>42</v>
      </c>
      <c r="B87" s="6" t="s">
        <v>2185</v>
      </c>
      <c r="E87" s="6">
        <v>1</v>
      </c>
      <c r="F87" s="6" t="s">
        <v>2004</v>
      </c>
      <c r="G87" s="6" t="s">
        <v>2005</v>
      </c>
      <c r="H87" s="6" t="s">
        <v>2005</v>
      </c>
      <c r="I87" s="6" t="str">
        <f t="shared" si="2"/>
        <v>ETC</v>
      </c>
      <c r="J87" s="6" t="s">
        <v>454</v>
      </c>
      <c r="K87" s="6">
        <v>1</v>
      </c>
      <c r="P87" s="6">
        <f t="shared" si="3"/>
        <v>2700000</v>
      </c>
      <c r="R87" s="6" t="s">
        <v>2003</v>
      </c>
      <c r="T87" s="6" t="s">
        <v>2007</v>
      </c>
      <c r="U87" s="6">
        <v>2017</v>
      </c>
      <c r="V87" s="6">
        <v>1</v>
      </c>
      <c r="AD87" s="6" t="s">
        <v>45</v>
      </c>
      <c r="AJ87" s="31" t="s">
        <v>2113</v>
      </c>
      <c r="AK87" s="6">
        <v>1</v>
      </c>
      <c r="AL87" s="26">
        <v>2500000</v>
      </c>
      <c r="AM87" s="26">
        <v>2500000</v>
      </c>
      <c r="AN87" s="26">
        <v>2500000</v>
      </c>
      <c r="AO87" s="6" t="s">
        <v>2003</v>
      </c>
      <c r="AQ87" s="6" t="s">
        <v>49</v>
      </c>
      <c r="AU87" s="6">
        <v>223561</v>
      </c>
    </row>
    <row r="88" spans="1:47" x14ac:dyDescent="0.3">
      <c r="A88" s="28" t="s">
        <v>42</v>
      </c>
      <c r="B88" s="6" t="s">
        <v>2187</v>
      </c>
      <c r="C88" s="6" t="s">
        <v>1972</v>
      </c>
      <c r="D88" s="6" t="s">
        <v>2104</v>
      </c>
      <c r="E88" s="6">
        <v>1</v>
      </c>
      <c r="F88" s="6" t="s">
        <v>2004</v>
      </c>
      <c r="G88" s="6" t="s">
        <v>2005</v>
      </c>
      <c r="H88" s="6" t="s">
        <v>2005</v>
      </c>
      <c r="I88" s="6" t="str">
        <f t="shared" si="2"/>
        <v>Stone Grapple</v>
      </c>
      <c r="J88" s="6" t="s">
        <v>44</v>
      </c>
      <c r="K88" s="6">
        <v>1</v>
      </c>
      <c r="P88" s="6">
        <f t="shared" si="3"/>
        <v>2400000</v>
      </c>
      <c r="R88" s="6" t="s">
        <v>2003</v>
      </c>
      <c r="T88" s="6" t="s">
        <v>801</v>
      </c>
      <c r="U88" s="6">
        <v>2010</v>
      </c>
      <c r="V88" s="6">
        <v>6</v>
      </c>
      <c r="AD88" s="6" t="s">
        <v>45</v>
      </c>
      <c r="AJ88" s="31" t="s">
        <v>2110</v>
      </c>
      <c r="AK88" s="6">
        <v>1</v>
      </c>
      <c r="AL88" s="26">
        <v>2200000</v>
      </c>
      <c r="AM88" s="26">
        <v>2200000</v>
      </c>
      <c r="AN88" s="26">
        <v>2200000</v>
      </c>
      <c r="AO88" s="6" t="s">
        <v>2003</v>
      </c>
      <c r="AQ88" s="6" t="s">
        <v>1225</v>
      </c>
      <c r="AU88" s="6">
        <v>223563</v>
      </c>
    </row>
    <row r="89" spans="1:47" x14ac:dyDescent="0.3">
      <c r="A89" s="28" t="s">
        <v>42</v>
      </c>
      <c r="B89" s="6" t="s">
        <v>2187</v>
      </c>
      <c r="C89" s="6" t="s">
        <v>1973</v>
      </c>
      <c r="D89" s="6" t="s">
        <v>2106</v>
      </c>
      <c r="E89" s="6">
        <v>1</v>
      </c>
      <c r="F89" s="6" t="s">
        <v>2004</v>
      </c>
      <c r="G89" s="6" t="s">
        <v>2005</v>
      </c>
      <c r="H89" s="6" t="s">
        <v>2005</v>
      </c>
      <c r="I89" s="6" t="str">
        <f t="shared" si="2"/>
        <v>Wood Grapple</v>
      </c>
      <c r="J89" s="6" t="s">
        <v>417</v>
      </c>
      <c r="K89" s="6">
        <v>1</v>
      </c>
      <c r="P89" s="6">
        <f t="shared" si="3"/>
        <v>1950000</v>
      </c>
      <c r="R89" s="6" t="s">
        <v>2003</v>
      </c>
      <c r="T89" s="6" t="s">
        <v>2007</v>
      </c>
      <c r="U89" s="6">
        <v>2014</v>
      </c>
      <c r="V89" s="6">
        <v>1</v>
      </c>
      <c r="AD89" s="6" t="s">
        <v>45</v>
      </c>
      <c r="AJ89" s="31" t="s">
        <v>2113</v>
      </c>
      <c r="AK89" s="6">
        <v>1</v>
      </c>
      <c r="AL89" s="26">
        <v>1850000</v>
      </c>
      <c r="AM89" s="26">
        <v>1850000</v>
      </c>
      <c r="AN89" s="26">
        <v>1850000</v>
      </c>
      <c r="AO89" s="6" t="s">
        <v>2003</v>
      </c>
      <c r="AQ89" s="6" t="s">
        <v>49</v>
      </c>
      <c r="AU89" s="6">
        <v>223565</v>
      </c>
    </row>
    <row r="90" spans="1:47" x14ac:dyDescent="0.3">
      <c r="A90" s="28" t="s">
        <v>42</v>
      </c>
      <c r="B90" s="6" t="s">
        <v>2188</v>
      </c>
      <c r="D90" s="6" t="s">
        <v>2100</v>
      </c>
      <c r="E90" s="6">
        <v>1</v>
      </c>
      <c r="F90" s="6" t="s">
        <v>2004</v>
      </c>
      <c r="G90" s="6" t="s">
        <v>2005</v>
      </c>
      <c r="H90" s="6" t="s">
        <v>2005</v>
      </c>
      <c r="I90" s="6" t="str">
        <f t="shared" si="2"/>
        <v>Compactor</v>
      </c>
      <c r="J90" s="6" t="s">
        <v>416</v>
      </c>
      <c r="K90" s="6">
        <v>1</v>
      </c>
      <c r="P90" s="6">
        <f t="shared" si="3"/>
        <v>1600000</v>
      </c>
      <c r="R90" s="6" t="s">
        <v>2003</v>
      </c>
      <c r="T90" s="6" t="s">
        <v>1838</v>
      </c>
      <c r="U90" s="6">
        <v>2015</v>
      </c>
      <c r="V90" s="6">
        <v>1</v>
      </c>
      <c r="AD90" s="6" t="s">
        <v>45</v>
      </c>
      <c r="AJ90" s="31" t="s">
        <v>2113</v>
      </c>
      <c r="AK90" s="6">
        <v>1</v>
      </c>
      <c r="AL90" s="26">
        <v>1500000</v>
      </c>
      <c r="AM90" s="26">
        <v>1500000</v>
      </c>
      <c r="AN90" s="26">
        <v>1500000</v>
      </c>
      <c r="AO90" s="6" t="s">
        <v>2003</v>
      </c>
      <c r="AQ90" s="6" t="s">
        <v>1246</v>
      </c>
      <c r="AU90" s="6">
        <v>223572</v>
      </c>
    </row>
    <row r="91" spans="1:47" x14ac:dyDescent="0.3">
      <c r="A91" s="28" t="s">
        <v>42</v>
      </c>
      <c r="B91" s="6" t="s">
        <v>2189</v>
      </c>
      <c r="D91" s="6" t="s">
        <v>2101</v>
      </c>
      <c r="E91" s="6">
        <v>1</v>
      </c>
      <c r="F91" s="6" t="s">
        <v>2004</v>
      </c>
      <c r="G91" s="6" t="s">
        <v>2005</v>
      </c>
      <c r="H91" s="6" t="s">
        <v>2005</v>
      </c>
      <c r="I91" s="6" t="str">
        <f t="shared" si="2"/>
        <v>Quick Coupler</v>
      </c>
      <c r="J91" s="6" t="s">
        <v>244</v>
      </c>
      <c r="K91" s="6">
        <v>1</v>
      </c>
      <c r="P91" s="6">
        <f t="shared" si="3"/>
        <v>3700000</v>
      </c>
      <c r="R91" s="6" t="s">
        <v>2003</v>
      </c>
      <c r="T91" s="6" t="s">
        <v>813</v>
      </c>
      <c r="U91" s="6">
        <v>2013</v>
      </c>
      <c r="V91" s="6">
        <v>1</v>
      </c>
      <c r="AD91" s="6" t="s">
        <v>45</v>
      </c>
      <c r="AJ91" s="31" t="s">
        <v>2113</v>
      </c>
      <c r="AK91" s="6">
        <v>1</v>
      </c>
      <c r="AL91" s="26">
        <v>3500000</v>
      </c>
      <c r="AM91" s="26">
        <v>3500000</v>
      </c>
      <c r="AN91" s="26">
        <v>3500000</v>
      </c>
      <c r="AO91" s="6" t="s">
        <v>2003</v>
      </c>
      <c r="AQ91" s="6" t="s">
        <v>79</v>
      </c>
      <c r="AU91" s="6">
        <v>223573</v>
      </c>
    </row>
    <row r="92" spans="1:47" x14ac:dyDescent="0.3">
      <c r="A92" s="28" t="s">
        <v>42</v>
      </c>
      <c r="B92" s="6" t="s">
        <v>2186</v>
      </c>
      <c r="C92" s="6" t="s">
        <v>2205</v>
      </c>
      <c r="D92" s="6" t="s">
        <v>2101</v>
      </c>
      <c r="E92" s="6">
        <v>1</v>
      </c>
      <c r="F92" s="6" t="s">
        <v>2004</v>
      </c>
      <c r="G92" s="6" t="s">
        <v>2005</v>
      </c>
      <c r="H92" s="6" t="s">
        <v>2005</v>
      </c>
      <c r="I92" s="6" t="str">
        <f t="shared" si="2"/>
        <v>Standard Bucket</v>
      </c>
      <c r="J92" s="6" t="s">
        <v>187</v>
      </c>
      <c r="K92" s="6">
        <v>1</v>
      </c>
      <c r="P92" s="6">
        <f t="shared" si="3"/>
        <v>1600000</v>
      </c>
      <c r="R92" s="6" t="s">
        <v>2003</v>
      </c>
      <c r="T92" s="6" t="s">
        <v>813</v>
      </c>
      <c r="U92" s="6">
        <v>2013</v>
      </c>
      <c r="V92" s="6">
        <v>1</v>
      </c>
      <c r="AD92" s="6" t="s">
        <v>45</v>
      </c>
      <c r="AJ92" s="31" t="s">
        <v>2113</v>
      </c>
      <c r="AK92" s="6">
        <v>1</v>
      </c>
      <c r="AL92" s="26">
        <v>1500000</v>
      </c>
      <c r="AM92" s="26">
        <v>1500000</v>
      </c>
      <c r="AN92" s="26">
        <v>1500000</v>
      </c>
      <c r="AO92" s="6" t="s">
        <v>2003</v>
      </c>
      <c r="AQ92" s="6" t="s">
        <v>80</v>
      </c>
      <c r="AU92" s="6">
        <v>223574</v>
      </c>
    </row>
    <row r="93" spans="1:47" x14ac:dyDescent="0.3">
      <c r="A93" s="28" t="s">
        <v>42</v>
      </c>
      <c r="B93" s="6" t="s">
        <v>2184</v>
      </c>
      <c r="C93" s="6" t="s">
        <v>1972</v>
      </c>
      <c r="D93" s="6" t="s">
        <v>2104</v>
      </c>
      <c r="E93" s="6">
        <v>1</v>
      </c>
      <c r="F93" s="6" t="s">
        <v>2004</v>
      </c>
      <c r="G93" s="6" t="s">
        <v>2005</v>
      </c>
      <c r="H93" s="6" t="s">
        <v>2005</v>
      </c>
      <c r="I93" s="6" t="str">
        <f t="shared" si="2"/>
        <v>Stone Grapple</v>
      </c>
      <c r="J93" s="6" t="s">
        <v>120</v>
      </c>
      <c r="K93" s="6">
        <v>1</v>
      </c>
      <c r="P93" s="6">
        <f t="shared" si="3"/>
        <v>7000000</v>
      </c>
      <c r="R93" s="6" t="s">
        <v>2003</v>
      </c>
      <c r="T93" s="6" t="s">
        <v>822</v>
      </c>
      <c r="U93" s="6">
        <v>2016</v>
      </c>
      <c r="V93" s="6">
        <v>7</v>
      </c>
      <c r="AD93" s="6" t="s">
        <v>45</v>
      </c>
      <c r="AJ93" s="31" t="s">
        <v>2123</v>
      </c>
      <c r="AK93" s="6">
        <v>1</v>
      </c>
      <c r="AL93" s="26">
        <v>6500000</v>
      </c>
      <c r="AM93" s="26">
        <v>6500000</v>
      </c>
      <c r="AN93" s="26">
        <v>6500000</v>
      </c>
      <c r="AO93" s="6" t="s">
        <v>2003</v>
      </c>
      <c r="AQ93" s="6" t="s">
        <v>92</v>
      </c>
      <c r="AU93" s="6">
        <v>223576</v>
      </c>
    </row>
    <row r="94" spans="1:47" x14ac:dyDescent="0.3">
      <c r="A94" s="28" t="s">
        <v>42</v>
      </c>
      <c r="B94" s="6" t="s">
        <v>2174</v>
      </c>
      <c r="C94" s="6" t="s">
        <v>1975</v>
      </c>
      <c r="D94" s="6" t="s">
        <v>2100</v>
      </c>
      <c r="E94" s="6">
        <v>1</v>
      </c>
      <c r="F94" s="6" t="s">
        <v>2004</v>
      </c>
      <c r="G94" s="6" t="s">
        <v>2005</v>
      </c>
      <c r="H94" s="6" t="s">
        <v>2005</v>
      </c>
      <c r="I94" s="6" t="str">
        <f t="shared" si="2"/>
        <v>Side Breaker</v>
      </c>
      <c r="J94" s="6" t="s">
        <v>204</v>
      </c>
      <c r="K94" s="6">
        <v>1</v>
      </c>
      <c r="P94" s="6">
        <f t="shared" si="3"/>
        <v>1350000</v>
      </c>
      <c r="R94" s="6" t="s">
        <v>2003</v>
      </c>
      <c r="T94" s="6" t="s">
        <v>51</v>
      </c>
      <c r="U94" s="6">
        <v>2013</v>
      </c>
      <c r="V94" s="6">
        <v>1</v>
      </c>
      <c r="AD94" s="6" t="s">
        <v>45</v>
      </c>
      <c r="AJ94" s="31" t="s">
        <v>2113</v>
      </c>
      <c r="AK94" s="6">
        <v>1</v>
      </c>
      <c r="AL94" s="26">
        <v>1250000</v>
      </c>
      <c r="AM94" s="26">
        <v>1250000</v>
      </c>
      <c r="AN94" s="26">
        <v>1250000</v>
      </c>
      <c r="AO94" s="6" t="s">
        <v>2003</v>
      </c>
      <c r="AQ94" s="6" t="s">
        <v>49</v>
      </c>
      <c r="AU94" s="6">
        <v>223586</v>
      </c>
    </row>
    <row r="95" spans="1:47" x14ac:dyDescent="0.3">
      <c r="A95" s="28" t="s">
        <v>42</v>
      </c>
      <c r="B95" s="6" t="s">
        <v>2175</v>
      </c>
      <c r="C95" s="19" t="s">
        <v>2207</v>
      </c>
      <c r="D95" s="6" t="s">
        <v>2103</v>
      </c>
      <c r="E95" s="6">
        <v>1</v>
      </c>
      <c r="F95" s="6" t="s">
        <v>2004</v>
      </c>
      <c r="G95" s="6" t="s">
        <v>2005</v>
      </c>
      <c r="H95" s="6" t="s">
        <v>2005</v>
      </c>
      <c r="I95" s="6" t="str">
        <f t="shared" si="2"/>
        <v>Hydraulic Crusher</v>
      </c>
      <c r="J95" s="6" t="s">
        <v>184</v>
      </c>
      <c r="K95" s="6">
        <v>1</v>
      </c>
      <c r="P95" s="6">
        <f t="shared" si="3"/>
        <v>6500000</v>
      </c>
      <c r="R95" s="6" t="s">
        <v>2003</v>
      </c>
      <c r="T95" s="6" t="s">
        <v>66</v>
      </c>
      <c r="U95" s="6">
        <v>2012</v>
      </c>
      <c r="V95" s="6">
        <v>1</v>
      </c>
      <c r="AD95" s="6" t="s">
        <v>45</v>
      </c>
      <c r="AJ95" s="31" t="s">
        <v>2110</v>
      </c>
      <c r="AK95" s="6">
        <v>1</v>
      </c>
      <c r="AL95" s="26">
        <v>6000000</v>
      </c>
      <c r="AM95" s="26">
        <v>6000000</v>
      </c>
      <c r="AN95" s="26">
        <v>6000000</v>
      </c>
      <c r="AO95" s="6" t="s">
        <v>2003</v>
      </c>
      <c r="AQ95" s="6" t="s">
        <v>1150</v>
      </c>
      <c r="AU95" s="6">
        <v>223587</v>
      </c>
    </row>
    <row r="96" spans="1:47" x14ac:dyDescent="0.3">
      <c r="A96" s="28" t="s">
        <v>42</v>
      </c>
      <c r="B96" s="6" t="s">
        <v>2179</v>
      </c>
      <c r="C96" s="6" t="s">
        <v>1980</v>
      </c>
      <c r="D96" s="6" t="s">
        <v>2103</v>
      </c>
      <c r="E96" s="6">
        <v>1</v>
      </c>
      <c r="F96" s="6" t="s">
        <v>2004</v>
      </c>
      <c r="G96" s="6" t="s">
        <v>2005</v>
      </c>
      <c r="H96" s="6" t="s">
        <v>2005</v>
      </c>
      <c r="I96" s="6" t="str">
        <f t="shared" si="2"/>
        <v>Small Bucket</v>
      </c>
      <c r="J96" s="6" t="s">
        <v>139</v>
      </c>
      <c r="K96" s="6">
        <v>1</v>
      </c>
      <c r="P96" s="6">
        <f t="shared" si="3"/>
        <v>1000000</v>
      </c>
      <c r="R96" s="6" t="s">
        <v>2003</v>
      </c>
      <c r="T96" s="6" t="s">
        <v>2016</v>
      </c>
      <c r="U96" s="6">
        <v>2015</v>
      </c>
      <c r="V96" s="6">
        <v>1</v>
      </c>
      <c r="AD96" s="6" t="s">
        <v>45</v>
      </c>
      <c r="AJ96" s="31" t="s">
        <v>2116</v>
      </c>
      <c r="AK96" s="6">
        <v>1</v>
      </c>
      <c r="AL96" s="26">
        <v>900000</v>
      </c>
      <c r="AM96" s="26">
        <v>900000</v>
      </c>
      <c r="AN96" s="26">
        <v>900000</v>
      </c>
      <c r="AO96" s="6" t="s">
        <v>2003</v>
      </c>
      <c r="AQ96" s="6" t="s">
        <v>90</v>
      </c>
      <c r="AU96" s="6">
        <v>223592</v>
      </c>
    </row>
    <row r="97" spans="1:47" x14ac:dyDescent="0.3">
      <c r="A97" s="28" t="s">
        <v>42</v>
      </c>
      <c r="B97" s="6" t="s">
        <v>2190</v>
      </c>
      <c r="D97" s="6" t="s">
        <v>2105</v>
      </c>
      <c r="E97" s="6">
        <v>1</v>
      </c>
      <c r="F97" s="6" t="s">
        <v>2004</v>
      </c>
      <c r="G97" s="6" t="s">
        <v>2005</v>
      </c>
      <c r="H97" s="6" t="s">
        <v>2005</v>
      </c>
      <c r="I97" s="6" t="str">
        <f t="shared" si="2"/>
        <v>Lift Fork</v>
      </c>
      <c r="J97" s="6" t="s">
        <v>277</v>
      </c>
      <c r="K97" s="6">
        <v>1</v>
      </c>
      <c r="P97" s="6">
        <f t="shared" si="3"/>
        <v>600000</v>
      </c>
      <c r="R97" s="6" t="s">
        <v>2003</v>
      </c>
      <c r="T97" s="6" t="s">
        <v>873</v>
      </c>
      <c r="U97" s="6">
        <v>2010</v>
      </c>
      <c r="V97" s="6">
        <v>1</v>
      </c>
      <c r="AD97" s="6" t="s">
        <v>45</v>
      </c>
      <c r="AJ97" s="31" t="s">
        <v>2113</v>
      </c>
      <c r="AK97" s="6">
        <v>1</v>
      </c>
      <c r="AL97" s="26">
        <v>500000</v>
      </c>
      <c r="AM97" s="26">
        <v>500000</v>
      </c>
      <c r="AN97" s="26">
        <v>500000</v>
      </c>
      <c r="AO97" s="6" t="s">
        <v>2003</v>
      </c>
      <c r="AQ97" s="6" t="s">
        <v>1257</v>
      </c>
      <c r="AU97" s="6">
        <v>223596</v>
      </c>
    </row>
    <row r="98" spans="1:47" x14ac:dyDescent="0.3">
      <c r="A98" s="28" t="s">
        <v>42</v>
      </c>
      <c r="B98" s="6" t="s">
        <v>2191</v>
      </c>
      <c r="C98" s="6" t="s">
        <v>1975</v>
      </c>
      <c r="D98" s="6" t="s">
        <v>2104</v>
      </c>
      <c r="E98" s="6">
        <v>1</v>
      </c>
      <c r="F98" s="6" t="s">
        <v>2004</v>
      </c>
      <c r="G98" s="6" t="s">
        <v>2005</v>
      </c>
      <c r="H98" s="6" t="s">
        <v>2005</v>
      </c>
      <c r="I98" s="6" t="str">
        <f t="shared" si="2"/>
        <v>Side Breaker</v>
      </c>
      <c r="J98" s="6" t="s">
        <v>119</v>
      </c>
      <c r="K98" s="6">
        <v>1</v>
      </c>
      <c r="P98" s="6">
        <f t="shared" si="3"/>
        <v>3900000</v>
      </c>
      <c r="R98" s="6" t="s">
        <v>2003</v>
      </c>
      <c r="T98" s="6" t="s">
        <v>1839</v>
      </c>
      <c r="U98" s="6">
        <v>2014</v>
      </c>
      <c r="V98" s="6">
        <v>1</v>
      </c>
      <c r="AD98" s="6" t="s">
        <v>45</v>
      </c>
      <c r="AJ98" s="31" t="s">
        <v>2110</v>
      </c>
      <c r="AK98" s="6">
        <v>1</v>
      </c>
      <c r="AL98" s="26">
        <v>3700000</v>
      </c>
      <c r="AM98" s="26">
        <v>3700000</v>
      </c>
      <c r="AN98" s="26">
        <v>3700000</v>
      </c>
      <c r="AO98" s="6" t="s">
        <v>2003</v>
      </c>
      <c r="AQ98" s="6" t="s">
        <v>1150</v>
      </c>
      <c r="AU98" s="6">
        <v>223597</v>
      </c>
    </row>
    <row r="99" spans="1:47" x14ac:dyDescent="0.3">
      <c r="A99" s="28" t="s">
        <v>42</v>
      </c>
      <c r="B99" s="6" t="s">
        <v>2189</v>
      </c>
      <c r="C99" s="6" t="s">
        <v>1972</v>
      </c>
      <c r="D99" s="6" t="s">
        <v>2104</v>
      </c>
      <c r="E99" s="6">
        <v>1</v>
      </c>
      <c r="F99" s="6" t="s">
        <v>2004</v>
      </c>
      <c r="G99" s="6" t="s">
        <v>2005</v>
      </c>
      <c r="H99" s="6" t="s">
        <v>2005</v>
      </c>
      <c r="I99" s="6" t="str">
        <f t="shared" si="2"/>
        <v>Stone Grapple</v>
      </c>
      <c r="J99" s="6" t="s">
        <v>343</v>
      </c>
      <c r="K99" s="6">
        <v>1</v>
      </c>
      <c r="P99" s="6">
        <f t="shared" si="3"/>
        <v>3000000</v>
      </c>
      <c r="R99" s="6" t="s">
        <v>2003</v>
      </c>
      <c r="T99" s="6" t="s">
        <v>796</v>
      </c>
      <c r="U99" s="6">
        <v>2016</v>
      </c>
      <c r="V99" s="6">
        <v>1</v>
      </c>
      <c r="AD99" s="6" t="s">
        <v>45</v>
      </c>
      <c r="AJ99" s="31" t="s">
        <v>2116</v>
      </c>
      <c r="AK99" s="6">
        <v>1</v>
      </c>
      <c r="AL99" s="26">
        <v>2800000</v>
      </c>
      <c r="AM99" s="26">
        <v>2800000</v>
      </c>
      <c r="AN99" s="26">
        <v>2800000</v>
      </c>
      <c r="AO99" s="6" t="s">
        <v>2003</v>
      </c>
      <c r="AQ99" s="6" t="s">
        <v>1159</v>
      </c>
      <c r="AU99" s="6">
        <v>223599</v>
      </c>
    </row>
    <row r="100" spans="1:47" x14ac:dyDescent="0.3">
      <c r="A100" s="28" t="s">
        <v>42</v>
      </c>
      <c r="B100" s="6" t="s">
        <v>2191</v>
      </c>
      <c r="C100" s="6" t="s">
        <v>1975</v>
      </c>
      <c r="D100" s="6" t="s">
        <v>2107</v>
      </c>
      <c r="E100" s="6">
        <v>1</v>
      </c>
      <c r="F100" s="6" t="s">
        <v>2004</v>
      </c>
      <c r="G100" s="6" t="s">
        <v>2005</v>
      </c>
      <c r="H100" s="6" t="s">
        <v>2005</v>
      </c>
      <c r="I100" s="6" t="str">
        <f t="shared" si="2"/>
        <v>Side Breaker</v>
      </c>
      <c r="J100" s="6" t="s">
        <v>122</v>
      </c>
      <c r="K100" s="6">
        <v>1</v>
      </c>
      <c r="P100" s="6">
        <f t="shared" si="3"/>
        <v>1800000</v>
      </c>
      <c r="R100" s="6" t="s">
        <v>2003</v>
      </c>
      <c r="T100" s="6" t="s">
        <v>2007</v>
      </c>
      <c r="U100" s="6">
        <v>2012</v>
      </c>
      <c r="V100" s="6">
        <v>1</v>
      </c>
      <c r="AD100" s="6" t="s">
        <v>45</v>
      </c>
      <c r="AJ100" s="31" t="s">
        <v>2113</v>
      </c>
      <c r="AK100" s="6">
        <v>1</v>
      </c>
      <c r="AL100" s="26">
        <v>1700000</v>
      </c>
      <c r="AM100" s="26">
        <v>1700000</v>
      </c>
      <c r="AN100" s="26">
        <v>1700000</v>
      </c>
      <c r="AO100" s="6" t="s">
        <v>2003</v>
      </c>
      <c r="AQ100" s="6" t="s">
        <v>49</v>
      </c>
      <c r="AU100" s="6">
        <v>223600</v>
      </c>
    </row>
    <row r="101" spans="1:47" x14ac:dyDescent="0.3">
      <c r="A101" s="28" t="s">
        <v>42</v>
      </c>
      <c r="B101" s="6" t="s">
        <v>2185</v>
      </c>
      <c r="D101" s="6" t="s">
        <v>2101</v>
      </c>
      <c r="E101" s="6">
        <v>1</v>
      </c>
      <c r="F101" s="6" t="s">
        <v>2004</v>
      </c>
      <c r="G101" s="6" t="s">
        <v>2005</v>
      </c>
      <c r="H101" s="6" t="s">
        <v>2005</v>
      </c>
      <c r="I101" s="6" t="str">
        <f t="shared" si="2"/>
        <v>ETC</v>
      </c>
      <c r="J101" s="6" t="s">
        <v>126</v>
      </c>
      <c r="K101" s="6">
        <v>1</v>
      </c>
      <c r="P101" s="6">
        <f t="shared" si="3"/>
        <v>9000000</v>
      </c>
      <c r="R101" s="6" t="s">
        <v>2003</v>
      </c>
      <c r="T101" s="6" t="s">
        <v>874</v>
      </c>
      <c r="U101" s="6">
        <v>2011</v>
      </c>
      <c r="V101" s="6">
        <v>1</v>
      </c>
      <c r="AD101" s="6" t="s">
        <v>45</v>
      </c>
      <c r="AJ101" s="31" t="s">
        <v>2118</v>
      </c>
      <c r="AK101" s="6">
        <v>1</v>
      </c>
      <c r="AL101" s="26">
        <v>8500000</v>
      </c>
      <c r="AM101" s="26">
        <v>8500000</v>
      </c>
      <c r="AN101" s="26">
        <v>8500000</v>
      </c>
      <c r="AO101" s="6" t="s">
        <v>2003</v>
      </c>
      <c r="AQ101" s="6" t="s">
        <v>63</v>
      </c>
      <c r="AU101" s="6">
        <v>223608</v>
      </c>
    </row>
    <row r="102" spans="1:47" hidden="1" x14ac:dyDescent="0.3">
      <c r="A102" s="28" t="s">
        <v>42</v>
      </c>
      <c r="B102" s="6" t="s">
        <v>2191</v>
      </c>
      <c r="C102" s="6" t="s">
        <v>1975</v>
      </c>
      <c r="E102" s="6">
        <v>1</v>
      </c>
      <c r="F102" s="6" t="s">
        <v>2004</v>
      </c>
      <c r="G102" s="6" t="s">
        <v>2005</v>
      </c>
      <c r="H102" s="6" t="s">
        <v>2005</v>
      </c>
      <c r="I102" s="6" t="str">
        <f t="shared" si="2"/>
        <v>Side Breaker</v>
      </c>
      <c r="J102" s="6" t="s">
        <v>456</v>
      </c>
      <c r="K102" s="6">
        <v>1</v>
      </c>
      <c r="P102" s="6">
        <f t="shared" si="3"/>
        <v>1900000</v>
      </c>
      <c r="R102" s="6" t="s">
        <v>2003</v>
      </c>
      <c r="T102" s="6" t="s">
        <v>875</v>
      </c>
      <c r="U102" s="6">
        <v>2017</v>
      </c>
      <c r="V102" s="6">
        <v>1</v>
      </c>
      <c r="AD102" s="6" t="s">
        <v>45</v>
      </c>
      <c r="AJ102" s="31" t="s">
        <v>2116</v>
      </c>
      <c r="AK102" s="6">
        <v>1</v>
      </c>
      <c r="AL102" s="26">
        <v>1800000</v>
      </c>
      <c r="AM102" s="26">
        <v>1800000</v>
      </c>
      <c r="AN102" s="26">
        <v>1800000</v>
      </c>
      <c r="AO102" s="6" t="s">
        <v>2003</v>
      </c>
      <c r="AQ102" s="6" t="s">
        <v>49</v>
      </c>
      <c r="AU102" s="6">
        <v>223609</v>
      </c>
    </row>
    <row r="103" spans="1:47" x14ac:dyDescent="0.3">
      <c r="A103" s="28" t="s">
        <v>42</v>
      </c>
      <c r="B103" s="6" t="s">
        <v>2187</v>
      </c>
      <c r="C103" s="6" t="s">
        <v>1972</v>
      </c>
      <c r="D103" s="6" t="s">
        <v>2100</v>
      </c>
      <c r="E103" s="6">
        <v>1</v>
      </c>
      <c r="F103" s="6" t="s">
        <v>2004</v>
      </c>
      <c r="G103" s="6" t="s">
        <v>2005</v>
      </c>
      <c r="H103" s="6" t="s">
        <v>2005</v>
      </c>
      <c r="I103" s="6" t="str">
        <f t="shared" si="2"/>
        <v>Stone Grapple</v>
      </c>
      <c r="J103" s="6" t="s">
        <v>149</v>
      </c>
      <c r="K103" s="6">
        <v>1</v>
      </c>
      <c r="P103" s="6">
        <f t="shared" si="3"/>
        <v>1700000</v>
      </c>
      <c r="R103" s="6" t="s">
        <v>2003</v>
      </c>
      <c r="T103" s="6" t="s">
        <v>51</v>
      </c>
      <c r="U103" s="6">
        <v>2016</v>
      </c>
      <c r="V103" s="6">
        <v>1</v>
      </c>
      <c r="AD103" s="6" t="s">
        <v>45</v>
      </c>
      <c r="AJ103" s="31" t="s">
        <v>2113</v>
      </c>
      <c r="AK103" s="6">
        <v>1</v>
      </c>
      <c r="AL103" s="26">
        <v>1600000</v>
      </c>
      <c r="AM103" s="26">
        <v>1600000</v>
      </c>
      <c r="AN103" s="26">
        <v>1600000</v>
      </c>
      <c r="AO103" s="6" t="s">
        <v>2003</v>
      </c>
      <c r="AQ103" s="6" t="s">
        <v>49</v>
      </c>
      <c r="AU103" s="6">
        <v>223615</v>
      </c>
    </row>
    <row r="104" spans="1:47" x14ac:dyDescent="0.3">
      <c r="A104" s="28" t="s">
        <v>42</v>
      </c>
      <c r="B104" s="6" t="s">
        <v>2191</v>
      </c>
      <c r="C104" s="6" t="s">
        <v>1975</v>
      </c>
      <c r="D104" s="6" t="s">
        <v>2100</v>
      </c>
      <c r="E104" s="6">
        <v>1</v>
      </c>
      <c r="F104" s="6" t="s">
        <v>2004</v>
      </c>
      <c r="G104" s="6" t="s">
        <v>2005</v>
      </c>
      <c r="H104" s="6" t="s">
        <v>2005</v>
      </c>
      <c r="I104" s="6" t="str">
        <f t="shared" si="2"/>
        <v>Side Breaker</v>
      </c>
      <c r="J104" s="6" t="s">
        <v>160</v>
      </c>
      <c r="K104" s="6">
        <v>1</v>
      </c>
      <c r="P104" s="6">
        <f t="shared" si="3"/>
        <v>1300000</v>
      </c>
      <c r="R104" s="6" t="s">
        <v>2003</v>
      </c>
      <c r="T104" s="6" t="s">
        <v>876</v>
      </c>
      <c r="U104" s="6">
        <v>2007</v>
      </c>
      <c r="V104" s="6">
        <v>1</v>
      </c>
      <c r="AD104" s="6" t="s">
        <v>45</v>
      </c>
      <c r="AJ104" s="31" t="s">
        <v>2120</v>
      </c>
      <c r="AK104" s="6">
        <v>1</v>
      </c>
      <c r="AL104" s="26">
        <v>1200000</v>
      </c>
      <c r="AM104" s="26">
        <v>1200000</v>
      </c>
      <c r="AN104" s="26">
        <v>1200000</v>
      </c>
      <c r="AO104" s="6" t="s">
        <v>2003</v>
      </c>
      <c r="AQ104" s="6" t="s">
        <v>1249</v>
      </c>
      <c r="AU104" s="6">
        <v>223617</v>
      </c>
    </row>
    <row r="105" spans="1:47" x14ac:dyDescent="0.3">
      <c r="A105" s="28" t="s">
        <v>42</v>
      </c>
      <c r="B105" s="6" t="s">
        <v>2187</v>
      </c>
      <c r="C105" s="6" t="s">
        <v>1972</v>
      </c>
      <c r="D105" s="6" t="s">
        <v>2103</v>
      </c>
      <c r="E105" s="6">
        <v>1</v>
      </c>
      <c r="F105" s="6" t="s">
        <v>2004</v>
      </c>
      <c r="G105" s="6" t="s">
        <v>2005</v>
      </c>
      <c r="H105" s="6" t="s">
        <v>2005</v>
      </c>
      <c r="I105" s="6" t="str">
        <f t="shared" si="2"/>
        <v>Stone Grapple</v>
      </c>
      <c r="J105" s="6" t="s">
        <v>217</v>
      </c>
      <c r="K105" s="6">
        <v>1</v>
      </c>
      <c r="P105" s="6">
        <f t="shared" si="3"/>
        <v>7500000</v>
      </c>
      <c r="R105" s="6" t="s">
        <v>2003</v>
      </c>
      <c r="T105" s="6" t="s">
        <v>813</v>
      </c>
      <c r="U105" s="6">
        <v>2014</v>
      </c>
      <c r="V105" s="6">
        <v>1</v>
      </c>
      <c r="AD105" s="6" t="s">
        <v>45</v>
      </c>
      <c r="AJ105" s="31" t="s">
        <v>2113</v>
      </c>
      <c r="AK105" s="6">
        <v>1</v>
      </c>
      <c r="AL105" s="26">
        <v>7000000</v>
      </c>
      <c r="AM105" s="26">
        <v>7000000</v>
      </c>
      <c r="AN105" s="26">
        <v>7000000</v>
      </c>
      <c r="AO105" s="6" t="s">
        <v>2003</v>
      </c>
      <c r="AQ105" s="6" t="s">
        <v>79</v>
      </c>
      <c r="AU105" s="6">
        <v>223620</v>
      </c>
    </row>
    <row r="106" spans="1:47" x14ac:dyDescent="0.3">
      <c r="A106" s="28" t="s">
        <v>42</v>
      </c>
      <c r="B106" s="6" t="s">
        <v>2187</v>
      </c>
      <c r="C106" s="6" t="s">
        <v>1972</v>
      </c>
      <c r="D106" s="6" t="s">
        <v>2103</v>
      </c>
      <c r="E106" s="6">
        <v>1</v>
      </c>
      <c r="F106" s="6" t="s">
        <v>2004</v>
      </c>
      <c r="G106" s="6" t="s">
        <v>2005</v>
      </c>
      <c r="H106" s="6" t="s">
        <v>2005</v>
      </c>
      <c r="I106" s="6" t="str">
        <f t="shared" si="2"/>
        <v>Stone Grapple</v>
      </c>
      <c r="J106" s="6" t="s">
        <v>403</v>
      </c>
      <c r="K106" s="6">
        <v>1</v>
      </c>
      <c r="P106" s="6">
        <f t="shared" si="3"/>
        <v>6500000</v>
      </c>
      <c r="R106" s="6" t="s">
        <v>2003</v>
      </c>
      <c r="T106" s="6" t="s">
        <v>813</v>
      </c>
      <c r="U106" s="6">
        <v>2014</v>
      </c>
      <c r="V106" s="6">
        <v>1</v>
      </c>
      <c r="AD106" s="6" t="s">
        <v>45</v>
      </c>
      <c r="AJ106" s="31" t="s">
        <v>2113</v>
      </c>
      <c r="AK106" s="6">
        <v>1</v>
      </c>
      <c r="AL106" s="26">
        <v>6000000</v>
      </c>
      <c r="AM106" s="26">
        <v>6000000</v>
      </c>
      <c r="AN106" s="26">
        <v>6000000</v>
      </c>
      <c r="AO106" s="6" t="s">
        <v>2003</v>
      </c>
      <c r="AQ106" s="6" t="s">
        <v>80</v>
      </c>
      <c r="AU106" s="6">
        <v>223621</v>
      </c>
    </row>
    <row r="107" spans="1:47" x14ac:dyDescent="0.3">
      <c r="A107" s="28" t="s">
        <v>42</v>
      </c>
      <c r="B107" s="6" t="s">
        <v>2186</v>
      </c>
      <c r="C107" s="19" t="s">
        <v>2205</v>
      </c>
      <c r="D107" s="6" t="s">
        <v>2100</v>
      </c>
      <c r="E107" s="6">
        <v>1</v>
      </c>
      <c r="F107" s="6" t="s">
        <v>2004</v>
      </c>
      <c r="G107" s="6" t="s">
        <v>2005</v>
      </c>
      <c r="H107" s="6" t="s">
        <v>2005</v>
      </c>
      <c r="I107" s="6" t="str">
        <f t="shared" si="2"/>
        <v>Standard Bucket</v>
      </c>
      <c r="J107" s="6" t="s">
        <v>457</v>
      </c>
      <c r="K107" s="6">
        <v>1</v>
      </c>
      <c r="P107" s="6">
        <f t="shared" si="3"/>
        <v>380000</v>
      </c>
      <c r="R107" s="6" t="s">
        <v>2003</v>
      </c>
      <c r="T107" s="6" t="s">
        <v>877</v>
      </c>
      <c r="U107" s="6">
        <v>2017</v>
      </c>
      <c r="V107" s="6">
        <v>1</v>
      </c>
      <c r="AD107" s="6" t="s">
        <v>45</v>
      </c>
      <c r="AJ107" s="31" t="s">
        <v>2113</v>
      </c>
      <c r="AK107" s="6">
        <v>1</v>
      </c>
      <c r="AL107" s="26">
        <v>330000</v>
      </c>
      <c r="AM107" s="26">
        <v>330000</v>
      </c>
      <c r="AN107" s="26">
        <v>330000</v>
      </c>
      <c r="AO107" s="6" t="s">
        <v>2003</v>
      </c>
      <c r="AQ107" s="6" t="s">
        <v>49</v>
      </c>
      <c r="AU107" s="6">
        <v>223626</v>
      </c>
    </row>
    <row r="108" spans="1:47" x14ac:dyDescent="0.3">
      <c r="A108" s="28" t="s">
        <v>42</v>
      </c>
      <c r="B108" s="6" t="s">
        <v>2183</v>
      </c>
      <c r="D108" s="6" t="s">
        <v>2101</v>
      </c>
      <c r="E108" s="6">
        <v>1</v>
      </c>
      <c r="F108" s="6" t="s">
        <v>2004</v>
      </c>
      <c r="G108" s="6" t="s">
        <v>2005</v>
      </c>
      <c r="H108" s="6" t="s">
        <v>2005</v>
      </c>
      <c r="I108" s="6" t="str">
        <f t="shared" si="2"/>
        <v>ETC</v>
      </c>
      <c r="J108" s="6" t="s">
        <v>357</v>
      </c>
      <c r="K108" s="6">
        <v>1</v>
      </c>
      <c r="P108" s="6">
        <f t="shared" si="3"/>
        <v>7500000</v>
      </c>
      <c r="R108" s="6" t="s">
        <v>2003</v>
      </c>
      <c r="T108" s="6" t="s">
        <v>878</v>
      </c>
      <c r="U108" s="6">
        <v>2011</v>
      </c>
      <c r="V108" s="6">
        <v>1</v>
      </c>
      <c r="AD108" s="6" t="s">
        <v>45</v>
      </c>
      <c r="AJ108" s="31" t="s">
        <v>2118</v>
      </c>
      <c r="AK108" s="6">
        <v>1</v>
      </c>
      <c r="AL108" s="26">
        <v>7000000</v>
      </c>
      <c r="AM108" s="26">
        <v>7000000</v>
      </c>
      <c r="AN108" s="26">
        <v>7000000</v>
      </c>
      <c r="AO108" s="6" t="s">
        <v>2003</v>
      </c>
      <c r="AQ108" s="6" t="s">
        <v>63</v>
      </c>
      <c r="AU108" s="6">
        <v>223627</v>
      </c>
    </row>
    <row r="109" spans="1:47" x14ac:dyDescent="0.3">
      <c r="A109" s="28" t="s">
        <v>42</v>
      </c>
      <c r="B109" s="6" t="s">
        <v>2184</v>
      </c>
      <c r="C109" s="6" t="s">
        <v>1972</v>
      </c>
      <c r="D109" s="6" t="s">
        <v>2105</v>
      </c>
      <c r="E109" s="6">
        <v>1</v>
      </c>
      <c r="F109" s="6" t="s">
        <v>2004</v>
      </c>
      <c r="G109" s="6" t="s">
        <v>2005</v>
      </c>
      <c r="H109" s="6" t="s">
        <v>2005</v>
      </c>
      <c r="I109" s="6" t="str">
        <f t="shared" si="2"/>
        <v>Stone Grapple</v>
      </c>
      <c r="J109" s="6" t="s">
        <v>191</v>
      </c>
      <c r="K109" s="6">
        <v>1</v>
      </c>
      <c r="P109" s="6">
        <f t="shared" si="3"/>
        <v>7200000</v>
      </c>
      <c r="R109" s="6" t="s">
        <v>2003</v>
      </c>
      <c r="T109" s="6" t="s">
        <v>2017</v>
      </c>
      <c r="U109" s="6">
        <v>2017</v>
      </c>
      <c r="V109" s="6">
        <v>1</v>
      </c>
      <c r="AD109" s="6" t="s">
        <v>45</v>
      </c>
      <c r="AJ109" s="31" t="s">
        <v>2110</v>
      </c>
      <c r="AK109" s="6">
        <v>1</v>
      </c>
      <c r="AL109" s="26">
        <v>6700000</v>
      </c>
      <c r="AM109" s="26">
        <v>6700000</v>
      </c>
      <c r="AN109" s="26">
        <v>6700000</v>
      </c>
      <c r="AO109" s="6" t="s">
        <v>2003</v>
      </c>
      <c r="AQ109" s="6" t="s">
        <v>1155</v>
      </c>
      <c r="AU109" s="6">
        <v>223630</v>
      </c>
    </row>
    <row r="110" spans="1:47" x14ac:dyDescent="0.3">
      <c r="A110" s="28" t="s">
        <v>42</v>
      </c>
      <c r="B110" s="6" t="s">
        <v>2182</v>
      </c>
      <c r="C110" s="6" t="s">
        <v>1980</v>
      </c>
      <c r="D110" s="6" t="s">
        <v>2104</v>
      </c>
      <c r="E110" s="6">
        <v>1</v>
      </c>
      <c r="F110" s="6" t="s">
        <v>2004</v>
      </c>
      <c r="G110" s="6" t="s">
        <v>2005</v>
      </c>
      <c r="H110" s="6" t="s">
        <v>2005</v>
      </c>
      <c r="I110" s="6" t="str">
        <f t="shared" si="2"/>
        <v>Small Bucket</v>
      </c>
      <c r="J110" s="6" t="s">
        <v>97</v>
      </c>
      <c r="K110" s="6">
        <v>1</v>
      </c>
      <c r="P110" s="6">
        <f t="shared" si="3"/>
        <v>600000</v>
      </c>
      <c r="R110" s="6" t="s">
        <v>2003</v>
      </c>
      <c r="T110" s="6" t="s">
        <v>2018</v>
      </c>
      <c r="U110" s="6">
        <v>2015</v>
      </c>
      <c r="V110" s="6">
        <v>1</v>
      </c>
      <c r="AD110" s="6" t="s">
        <v>45</v>
      </c>
      <c r="AJ110" s="31" t="s">
        <v>2116</v>
      </c>
      <c r="AK110" s="6">
        <v>1</v>
      </c>
      <c r="AL110" s="26">
        <v>500000</v>
      </c>
      <c r="AM110" s="26">
        <v>500000</v>
      </c>
      <c r="AN110" s="26">
        <v>500000</v>
      </c>
      <c r="AO110" s="6" t="s">
        <v>2003</v>
      </c>
      <c r="AQ110" s="6" t="s">
        <v>90</v>
      </c>
      <c r="AU110" s="6">
        <v>223631</v>
      </c>
    </row>
    <row r="111" spans="1:47" x14ac:dyDescent="0.3">
      <c r="A111" s="28" t="s">
        <v>42</v>
      </c>
      <c r="B111" s="6" t="s">
        <v>2174</v>
      </c>
      <c r="C111" s="6" t="s">
        <v>1975</v>
      </c>
      <c r="D111" s="6" t="s">
        <v>2106</v>
      </c>
      <c r="E111" s="6">
        <v>1</v>
      </c>
      <c r="F111" s="6" t="s">
        <v>2004</v>
      </c>
      <c r="G111" s="6" t="s">
        <v>2005</v>
      </c>
      <c r="H111" s="6" t="s">
        <v>2005</v>
      </c>
      <c r="I111" s="6" t="str">
        <f t="shared" si="2"/>
        <v>Side Breaker</v>
      </c>
      <c r="J111" s="6" t="s">
        <v>458</v>
      </c>
      <c r="K111" s="6">
        <v>1</v>
      </c>
      <c r="P111" s="6">
        <f t="shared" si="3"/>
        <v>1600000</v>
      </c>
      <c r="R111" s="6" t="s">
        <v>2003</v>
      </c>
      <c r="T111" s="6" t="s">
        <v>879</v>
      </c>
      <c r="U111" s="6">
        <v>2016</v>
      </c>
      <c r="V111" s="6">
        <v>1</v>
      </c>
      <c r="AD111" s="6" t="s">
        <v>45</v>
      </c>
      <c r="AJ111" s="31" t="s">
        <v>2123</v>
      </c>
      <c r="AK111" s="6">
        <v>1</v>
      </c>
      <c r="AL111" s="26">
        <v>1500000</v>
      </c>
      <c r="AM111" s="26">
        <v>1500000</v>
      </c>
      <c r="AN111" s="26">
        <v>1500000</v>
      </c>
      <c r="AO111" s="6" t="s">
        <v>2003</v>
      </c>
      <c r="AQ111" s="6" t="s">
        <v>1247</v>
      </c>
      <c r="AU111" s="6">
        <v>223634</v>
      </c>
    </row>
    <row r="112" spans="1:47" x14ac:dyDescent="0.3">
      <c r="A112" s="28" t="s">
        <v>42</v>
      </c>
      <c r="B112" s="6" t="s">
        <v>2182</v>
      </c>
      <c r="C112" s="6" t="s">
        <v>1976</v>
      </c>
      <c r="D112" s="6" t="s">
        <v>2104</v>
      </c>
      <c r="E112" s="6">
        <v>1</v>
      </c>
      <c r="F112" s="6" t="s">
        <v>2004</v>
      </c>
      <c r="G112" s="6" t="s">
        <v>2005</v>
      </c>
      <c r="H112" s="6" t="s">
        <v>2005</v>
      </c>
      <c r="I112" s="6" t="str">
        <f t="shared" si="2"/>
        <v>Skeleton Bucket</v>
      </c>
      <c r="J112" s="6" t="s">
        <v>118</v>
      </c>
      <c r="K112" s="6">
        <v>1</v>
      </c>
      <c r="P112" s="6">
        <f t="shared" si="3"/>
        <v>900000</v>
      </c>
      <c r="R112" s="6" t="s">
        <v>2003</v>
      </c>
      <c r="T112" s="6" t="s">
        <v>813</v>
      </c>
      <c r="U112" s="6">
        <v>2013</v>
      </c>
      <c r="V112" s="6">
        <v>1</v>
      </c>
      <c r="AD112" s="6" t="s">
        <v>45</v>
      </c>
      <c r="AJ112" s="31" t="s">
        <v>2113</v>
      </c>
      <c r="AK112" s="6">
        <v>1</v>
      </c>
      <c r="AL112" s="26">
        <v>800000</v>
      </c>
      <c r="AM112" s="26">
        <v>800000</v>
      </c>
      <c r="AN112" s="26">
        <v>800000</v>
      </c>
      <c r="AO112" s="6" t="s">
        <v>2003</v>
      </c>
      <c r="AQ112" s="6" t="s">
        <v>79</v>
      </c>
      <c r="AU112" s="6">
        <v>223638</v>
      </c>
    </row>
    <row r="113" spans="1:47" hidden="1" x14ac:dyDescent="0.3">
      <c r="A113" s="28" t="s">
        <v>42</v>
      </c>
      <c r="B113" s="6" t="s">
        <v>2183</v>
      </c>
      <c r="E113" s="6">
        <v>1</v>
      </c>
      <c r="F113" s="6" t="s">
        <v>2004</v>
      </c>
      <c r="G113" s="6" t="s">
        <v>2005</v>
      </c>
      <c r="H113" s="6" t="s">
        <v>2005</v>
      </c>
      <c r="I113" s="6" t="str">
        <f t="shared" si="2"/>
        <v>ETC</v>
      </c>
      <c r="J113" s="6" t="s">
        <v>227</v>
      </c>
      <c r="K113" s="6">
        <v>1</v>
      </c>
      <c r="P113" s="6">
        <f t="shared" si="3"/>
        <v>250000</v>
      </c>
      <c r="R113" s="6" t="s">
        <v>2003</v>
      </c>
      <c r="T113" s="6" t="s">
        <v>2019</v>
      </c>
      <c r="U113" s="6">
        <v>2017</v>
      </c>
      <c r="V113" s="6">
        <v>1</v>
      </c>
      <c r="AD113" s="6" t="s">
        <v>45</v>
      </c>
      <c r="AJ113" s="31" t="s">
        <v>2124</v>
      </c>
      <c r="AK113" s="6">
        <v>1</v>
      </c>
      <c r="AL113" s="26">
        <v>200000</v>
      </c>
      <c r="AM113" s="26">
        <v>200000</v>
      </c>
      <c r="AN113" s="26">
        <v>200000</v>
      </c>
      <c r="AO113" s="6" t="s">
        <v>2003</v>
      </c>
      <c r="AQ113" s="6" t="s">
        <v>60</v>
      </c>
      <c r="AU113" s="6">
        <v>223640</v>
      </c>
    </row>
    <row r="114" spans="1:47" x14ac:dyDescent="0.3">
      <c r="A114" s="28" t="s">
        <v>42</v>
      </c>
      <c r="B114" s="6" t="s">
        <v>2192</v>
      </c>
      <c r="D114" s="6" t="s">
        <v>1997</v>
      </c>
      <c r="E114" s="6">
        <v>1</v>
      </c>
      <c r="F114" s="6" t="s">
        <v>2004</v>
      </c>
      <c r="G114" s="6" t="s">
        <v>2005</v>
      </c>
      <c r="H114" s="6" t="s">
        <v>2005</v>
      </c>
      <c r="I114" s="6" t="str">
        <f t="shared" si="2"/>
        <v>Lift Fork</v>
      </c>
      <c r="J114" s="6" t="s">
        <v>370</v>
      </c>
      <c r="K114" s="6">
        <v>1</v>
      </c>
      <c r="P114" s="6">
        <f t="shared" si="3"/>
        <v>980000</v>
      </c>
      <c r="R114" s="6" t="s">
        <v>2003</v>
      </c>
      <c r="T114" s="6" t="s">
        <v>2020</v>
      </c>
      <c r="U114" s="6">
        <v>2017</v>
      </c>
      <c r="V114" s="6">
        <v>1</v>
      </c>
      <c r="AD114" s="6" t="s">
        <v>45</v>
      </c>
      <c r="AJ114" s="31" t="s">
        <v>2110</v>
      </c>
      <c r="AK114" s="6">
        <v>1</v>
      </c>
      <c r="AL114" s="26">
        <v>880000</v>
      </c>
      <c r="AM114" s="26">
        <v>880000</v>
      </c>
      <c r="AN114" s="26">
        <v>880000</v>
      </c>
      <c r="AO114" s="6" t="s">
        <v>2003</v>
      </c>
      <c r="AQ114" s="6" t="s">
        <v>1155</v>
      </c>
      <c r="AU114" s="6">
        <v>223643</v>
      </c>
    </row>
    <row r="115" spans="1:47" x14ac:dyDescent="0.3">
      <c r="A115" s="28" t="s">
        <v>42</v>
      </c>
      <c r="B115" s="6" t="s">
        <v>2193</v>
      </c>
      <c r="D115" s="6" t="s">
        <v>2103</v>
      </c>
      <c r="E115" s="6">
        <v>1</v>
      </c>
      <c r="F115" s="6" t="s">
        <v>2004</v>
      </c>
      <c r="G115" s="6" t="s">
        <v>2005</v>
      </c>
      <c r="H115" s="6" t="s">
        <v>2005</v>
      </c>
      <c r="I115" s="6" t="str">
        <f t="shared" si="2"/>
        <v>Ripper</v>
      </c>
      <c r="J115" s="6" t="s">
        <v>473</v>
      </c>
      <c r="K115" s="6">
        <v>1</v>
      </c>
      <c r="P115" s="6">
        <f t="shared" si="3"/>
        <v>1300000</v>
      </c>
      <c r="R115" s="6" t="s">
        <v>2003</v>
      </c>
      <c r="T115" s="6" t="s">
        <v>2021</v>
      </c>
      <c r="U115" s="6">
        <v>2012</v>
      </c>
      <c r="V115" s="6">
        <v>6</v>
      </c>
      <c r="AD115" s="6" t="s">
        <v>45</v>
      </c>
      <c r="AJ115" s="31" t="s">
        <v>2123</v>
      </c>
      <c r="AK115" s="6">
        <v>1</v>
      </c>
      <c r="AL115" s="26">
        <v>1200000</v>
      </c>
      <c r="AM115" s="26">
        <v>1200000</v>
      </c>
      <c r="AN115" s="26">
        <v>1200000</v>
      </c>
      <c r="AO115" s="6" t="s">
        <v>2003</v>
      </c>
      <c r="AQ115" s="6" t="s">
        <v>1151</v>
      </c>
      <c r="AU115" s="6">
        <v>223647</v>
      </c>
    </row>
    <row r="116" spans="1:47" x14ac:dyDescent="0.3">
      <c r="A116" s="28" t="s">
        <v>42</v>
      </c>
      <c r="B116" s="6" t="s">
        <v>2192</v>
      </c>
      <c r="D116" s="6" t="s">
        <v>2105</v>
      </c>
      <c r="E116" s="6">
        <v>1</v>
      </c>
      <c r="F116" s="6" t="s">
        <v>2004</v>
      </c>
      <c r="G116" s="6" t="s">
        <v>2005</v>
      </c>
      <c r="H116" s="6" t="s">
        <v>2005</v>
      </c>
      <c r="I116" s="6" t="str">
        <f t="shared" si="2"/>
        <v>Lift Fork</v>
      </c>
      <c r="J116" s="6" t="s">
        <v>277</v>
      </c>
      <c r="K116" s="6">
        <v>1</v>
      </c>
      <c r="P116" s="6">
        <f t="shared" si="3"/>
        <v>2400000</v>
      </c>
      <c r="R116" s="6" t="s">
        <v>2003</v>
      </c>
      <c r="T116" s="6" t="s">
        <v>2022</v>
      </c>
      <c r="U116" s="6">
        <v>2017</v>
      </c>
      <c r="V116" s="6">
        <v>1</v>
      </c>
      <c r="AD116" s="6" t="s">
        <v>45</v>
      </c>
      <c r="AJ116" s="31" t="s">
        <v>2110</v>
      </c>
      <c r="AK116" s="6">
        <v>1</v>
      </c>
      <c r="AL116" s="26">
        <v>2200000</v>
      </c>
      <c r="AM116" s="26">
        <v>2200000</v>
      </c>
      <c r="AN116" s="26">
        <v>2200000</v>
      </c>
      <c r="AO116" s="6" t="s">
        <v>2003</v>
      </c>
      <c r="AQ116" s="6" t="s">
        <v>1155</v>
      </c>
      <c r="AU116" s="6">
        <v>223652</v>
      </c>
    </row>
    <row r="117" spans="1:47" x14ac:dyDescent="0.3">
      <c r="A117" s="28" t="s">
        <v>42</v>
      </c>
      <c r="B117" s="6" t="s">
        <v>2191</v>
      </c>
      <c r="C117" s="6" t="s">
        <v>1975</v>
      </c>
      <c r="D117" s="6" t="s">
        <v>2104</v>
      </c>
      <c r="E117" s="6">
        <v>1</v>
      </c>
      <c r="F117" s="6" t="s">
        <v>2004</v>
      </c>
      <c r="G117" s="6" t="s">
        <v>2005</v>
      </c>
      <c r="H117" s="6" t="s">
        <v>2005</v>
      </c>
      <c r="I117" s="6" t="str">
        <f t="shared" si="2"/>
        <v>Side Breaker</v>
      </c>
      <c r="J117" s="6" t="s">
        <v>321</v>
      </c>
      <c r="K117" s="6">
        <v>1</v>
      </c>
      <c r="P117" s="6">
        <f t="shared" si="3"/>
        <v>3200000</v>
      </c>
      <c r="R117" s="6" t="s">
        <v>2003</v>
      </c>
      <c r="T117" s="6" t="s">
        <v>2009</v>
      </c>
      <c r="U117" s="6">
        <v>2009</v>
      </c>
      <c r="V117" s="6">
        <v>1</v>
      </c>
      <c r="AD117" s="6" t="s">
        <v>45</v>
      </c>
      <c r="AJ117" s="31" t="s">
        <v>2110</v>
      </c>
      <c r="AK117" s="6">
        <v>1</v>
      </c>
      <c r="AL117" s="26">
        <v>3000000</v>
      </c>
      <c r="AM117" s="26">
        <v>3000000</v>
      </c>
      <c r="AN117" s="26">
        <v>3000000</v>
      </c>
      <c r="AO117" s="6" t="s">
        <v>2003</v>
      </c>
      <c r="AQ117" s="6" t="s">
        <v>1152</v>
      </c>
      <c r="AU117" s="6">
        <v>223653</v>
      </c>
    </row>
    <row r="118" spans="1:47" x14ac:dyDescent="0.3">
      <c r="A118" s="28" t="s">
        <v>42</v>
      </c>
      <c r="B118" s="6" t="s">
        <v>2194</v>
      </c>
      <c r="D118" s="6" t="s">
        <v>2103</v>
      </c>
      <c r="E118" s="6">
        <v>1</v>
      </c>
      <c r="F118" s="6" t="s">
        <v>2004</v>
      </c>
      <c r="G118" s="6" t="s">
        <v>2005</v>
      </c>
      <c r="H118" s="6" t="s">
        <v>2005</v>
      </c>
      <c r="I118" s="6" t="str">
        <f t="shared" si="2"/>
        <v>Lift Fork</v>
      </c>
      <c r="J118" s="6" t="s">
        <v>460</v>
      </c>
      <c r="K118" s="6">
        <v>1</v>
      </c>
      <c r="P118" s="6">
        <f t="shared" si="3"/>
        <v>1700000</v>
      </c>
      <c r="R118" s="6" t="s">
        <v>2003</v>
      </c>
      <c r="T118" s="6" t="s">
        <v>2023</v>
      </c>
      <c r="U118" s="6">
        <v>2017</v>
      </c>
      <c r="V118" s="6">
        <v>1</v>
      </c>
      <c r="AD118" s="6" t="s">
        <v>45</v>
      </c>
      <c r="AJ118" s="31" t="s">
        <v>2110</v>
      </c>
      <c r="AK118" s="6">
        <v>1</v>
      </c>
      <c r="AL118" s="26">
        <v>1600000</v>
      </c>
      <c r="AM118" s="26">
        <v>1600000</v>
      </c>
      <c r="AN118" s="26">
        <v>1600000</v>
      </c>
      <c r="AO118" s="6" t="s">
        <v>2003</v>
      </c>
      <c r="AQ118" s="6" t="s">
        <v>1155</v>
      </c>
      <c r="AU118" s="6">
        <v>223655</v>
      </c>
    </row>
    <row r="119" spans="1:47" x14ac:dyDescent="0.3">
      <c r="A119" s="28" t="s">
        <v>42</v>
      </c>
      <c r="B119" s="6" t="s">
        <v>2187</v>
      </c>
      <c r="C119" s="6" t="s">
        <v>1972</v>
      </c>
      <c r="D119" s="6" t="s">
        <v>2104</v>
      </c>
      <c r="E119" s="6">
        <v>1</v>
      </c>
      <c r="F119" s="6" t="s">
        <v>2004</v>
      </c>
      <c r="G119" s="6" t="s">
        <v>2005</v>
      </c>
      <c r="H119" s="6" t="s">
        <v>2005</v>
      </c>
      <c r="I119" s="6" t="str">
        <f t="shared" si="2"/>
        <v>Stone Grapple</v>
      </c>
      <c r="J119" s="6" t="s">
        <v>261</v>
      </c>
      <c r="K119" s="6">
        <v>1</v>
      </c>
      <c r="P119" s="6">
        <f t="shared" si="3"/>
        <v>1900000</v>
      </c>
      <c r="R119" s="6" t="s">
        <v>2003</v>
      </c>
      <c r="T119" s="6" t="s">
        <v>2007</v>
      </c>
      <c r="U119" s="6">
        <v>2013</v>
      </c>
      <c r="V119" s="6">
        <v>1</v>
      </c>
      <c r="AD119" s="6" t="s">
        <v>45</v>
      </c>
      <c r="AJ119" s="31" t="s">
        <v>2113</v>
      </c>
      <c r="AK119" s="6">
        <v>1</v>
      </c>
      <c r="AL119" s="26">
        <v>1800000</v>
      </c>
      <c r="AM119" s="26">
        <v>1800000</v>
      </c>
      <c r="AN119" s="26">
        <v>1800000</v>
      </c>
      <c r="AO119" s="6" t="s">
        <v>2003</v>
      </c>
      <c r="AQ119" s="6" t="s">
        <v>49</v>
      </c>
      <c r="AU119" s="6">
        <v>223662</v>
      </c>
    </row>
    <row r="120" spans="1:47" x14ac:dyDescent="0.3">
      <c r="A120" s="28" t="s">
        <v>42</v>
      </c>
      <c r="B120" s="6" t="s">
        <v>2186</v>
      </c>
      <c r="C120" s="6" t="s">
        <v>1982</v>
      </c>
      <c r="D120" s="6" t="s">
        <v>2104</v>
      </c>
      <c r="E120" s="6">
        <v>1</v>
      </c>
      <c r="F120" s="6" t="s">
        <v>2004</v>
      </c>
      <c r="G120" s="6" t="s">
        <v>2005</v>
      </c>
      <c r="H120" s="6" t="s">
        <v>2005</v>
      </c>
      <c r="I120" s="6" t="str">
        <f t="shared" si="2"/>
        <v>Standard Bucket</v>
      </c>
      <c r="J120" s="6" t="s">
        <v>480</v>
      </c>
      <c r="K120" s="6">
        <v>1</v>
      </c>
      <c r="P120" s="6">
        <f t="shared" si="3"/>
        <v>1550000</v>
      </c>
      <c r="R120" s="6" t="s">
        <v>2003</v>
      </c>
      <c r="T120" s="6" t="s">
        <v>2024</v>
      </c>
      <c r="U120" s="6">
        <v>2016</v>
      </c>
      <c r="V120" s="6">
        <v>11</v>
      </c>
      <c r="AD120" s="6" t="s">
        <v>45</v>
      </c>
      <c r="AJ120" s="31" t="s">
        <v>2122</v>
      </c>
      <c r="AK120" s="6">
        <v>1</v>
      </c>
      <c r="AL120" s="26">
        <v>1450000</v>
      </c>
      <c r="AM120" s="26">
        <v>1450000</v>
      </c>
      <c r="AN120" s="26">
        <v>1450000</v>
      </c>
      <c r="AO120" s="6" t="s">
        <v>2003</v>
      </c>
      <c r="AQ120" s="6" t="s">
        <v>1919</v>
      </c>
      <c r="AU120" s="6">
        <v>223664</v>
      </c>
    </row>
    <row r="121" spans="1:47" x14ac:dyDescent="0.3">
      <c r="A121" s="28" t="s">
        <v>42</v>
      </c>
      <c r="B121" s="6" t="s">
        <v>2191</v>
      </c>
      <c r="C121" s="6" t="s">
        <v>1975</v>
      </c>
      <c r="D121" s="6" t="s">
        <v>2100</v>
      </c>
      <c r="E121" s="6">
        <v>1</v>
      </c>
      <c r="F121" s="6" t="s">
        <v>2004</v>
      </c>
      <c r="G121" s="6" t="s">
        <v>2005</v>
      </c>
      <c r="H121" s="6" t="s">
        <v>2005</v>
      </c>
      <c r="I121" s="6" t="str">
        <f t="shared" si="2"/>
        <v>Side Breaker</v>
      </c>
      <c r="J121" s="6" t="s">
        <v>461</v>
      </c>
      <c r="K121" s="6">
        <v>1</v>
      </c>
      <c r="P121" s="6">
        <f t="shared" si="3"/>
        <v>1300000</v>
      </c>
      <c r="R121" s="6" t="s">
        <v>2003</v>
      </c>
      <c r="T121" s="6" t="s">
        <v>880</v>
      </c>
      <c r="U121" s="6">
        <v>2010</v>
      </c>
      <c r="V121" s="6">
        <v>1</v>
      </c>
      <c r="AD121" s="6" t="s">
        <v>45</v>
      </c>
      <c r="AJ121" s="31" t="s">
        <v>2119</v>
      </c>
      <c r="AK121" s="6">
        <v>1</v>
      </c>
      <c r="AL121" s="26">
        <v>1200000</v>
      </c>
      <c r="AM121" s="26">
        <v>1200000</v>
      </c>
      <c r="AN121" s="26">
        <v>1200000</v>
      </c>
      <c r="AO121" s="6" t="s">
        <v>2003</v>
      </c>
      <c r="AQ121" s="6" t="s">
        <v>1165</v>
      </c>
      <c r="AU121" s="6">
        <v>223670</v>
      </c>
    </row>
    <row r="122" spans="1:47" x14ac:dyDescent="0.3">
      <c r="A122" s="28" t="s">
        <v>42</v>
      </c>
      <c r="B122" s="6" t="s">
        <v>2191</v>
      </c>
      <c r="C122" s="6" t="s">
        <v>1975</v>
      </c>
      <c r="D122" s="6" t="s">
        <v>2106</v>
      </c>
      <c r="E122" s="6">
        <v>1</v>
      </c>
      <c r="F122" s="6" t="s">
        <v>2004</v>
      </c>
      <c r="G122" s="6" t="s">
        <v>2005</v>
      </c>
      <c r="H122" s="6" t="s">
        <v>2005</v>
      </c>
      <c r="I122" s="6" t="str">
        <f t="shared" si="2"/>
        <v>Side Breaker</v>
      </c>
      <c r="J122" s="6" t="s">
        <v>462</v>
      </c>
      <c r="K122" s="6">
        <v>1</v>
      </c>
      <c r="P122" s="6">
        <f t="shared" si="3"/>
        <v>1450000</v>
      </c>
      <c r="R122" s="6" t="s">
        <v>2003</v>
      </c>
      <c r="T122" s="6" t="s">
        <v>881</v>
      </c>
      <c r="U122" s="6">
        <v>2014</v>
      </c>
      <c r="V122" s="6">
        <v>8</v>
      </c>
      <c r="AD122" s="6" t="s">
        <v>45</v>
      </c>
      <c r="AJ122" s="31" t="s">
        <v>2123</v>
      </c>
      <c r="AK122" s="6">
        <v>1</v>
      </c>
      <c r="AL122" s="26">
        <v>1350000</v>
      </c>
      <c r="AM122" s="26">
        <v>1350000</v>
      </c>
      <c r="AN122" s="26">
        <v>1350000</v>
      </c>
      <c r="AO122" s="6" t="s">
        <v>2003</v>
      </c>
      <c r="AQ122" s="6" t="s">
        <v>1165</v>
      </c>
      <c r="AU122" s="6">
        <v>223673</v>
      </c>
    </row>
    <row r="123" spans="1:47" x14ac:dyDescent="0.3">
      <c r="A123" s="28" t="s">
        <v>42</v>
      </c>
      <c r="B123" s="6" t="s">
        <v>2191</v>
      </c>
      <c r="C123" s="6" t="s">
        <v>1975</v>
      </c>
      <c r="D123" s="6" t="s">
        <v>2104</v>
      </c>
      <c r="E123" s="6">
        <v>1</v>
      </c>
      <c r="F123" s="6" t="s">
        <v>2004</v>
      </c>
      <c r="G123" s="6" t="s">
        <v>2005</v>
      </c>
      <c r="H123" s="6" t="s">
        <v>2005</v>
      </c>
      <c r="I123" s="6" t="str">
        <f t="shared" si="2"/>
        <v>Side Breaker</v>
      </c>
      <c r="J123" s="6" t="s">
        <v>119</v>
      </c>
      <c r="K123" s="6">
        <v>1</v>
      </c>
      <c r="P123" s="6">
        <f t="shared" si="3"/>
        <v>2200000</v>
      </c>
      <c r="R123" s="6" t="s">
        <v>2003</v>
      </c>
      <c r="T123" s="6" t="s">
        <v>54</v>
      </c>
      <c r="U123" s="6">
        <v>2010</v>
      </c>
      <c r="V123" s="6">
        <v>1</v>
      </c>
      <c r="AD123" s="6" t="s">
        <v>45</v>
      </c>
      <c r="AJ123" s="31" t="s">
        <v>2114</v>
      </c>
      <c r="AK123" s="6">
        <v>1</v>
      </c>
      <c r="AL123" s="26">
        <v>2000000</v>
      </c>
      <c r="AM123" s="26">
        <v>2000000</v>
      </c>
      <c r="AN123" s="26">
        <v>2000000</v>
      </c>
      <c r="AO123" s="6" t="s">
        <v>2003</v>
      </c>
      <c r="AQ123" s="6" t="s">
        <v>54</v>
      </c>
      <c r="AU123" s="6">
        <v>223675</v>
      </c>
    </row>
    <row r="124" spans="1:47" x14ac:dyDescent="0.3">
      <c r="A124" s="28" t="s">
        <v>42</v>
      </c>
      <c r="B124" s="6" t="s">
        <v>2195</v>
      </c>
      <c r="C124" s="19" t="s">
        <v>2207</v>
      </c>
      <c r="D124" s="6" t="s">
        <v>2104</v>
      </c>
      <c r="E124" s="6">
        <v>1</v>
      </c>
      <c r="F124" s="6" t="s">
        <v>2004</v>
      </c>
      <c r="G124" s="6" t="s">
        <v>2005</v>
      </c>
      <c r="H124" s="6" t="s">
        <v>2005</v>
      </c>
      <c r="I124" s="6" t="str">
        <f t="shared" si="2"/>
        <v>Hydraulic Crusher</v>
      </c>
      <c r="J124" s="6" t="s">
        <v>103</v>
      </c>
      <c r="K124" s="6">
        <v>1</v>
      </c>
      <c r="P124" s="6">
        <f t="shared" si="3"/>
        <v>11500000</v>
      </c>
      <c r="R124" s="6" t="s">
        <v>2003</v>
      </c>
      <c r="T124" s="6" t="s">
        <v>813</v>
      </c>
      <c r="U124" s="6">
        <v>2015</v>
      </c>
      <c r="V124" s="6">
        <v>1</v>
      </c>
      <c r="AD124" s="6" t="s">
        <v>45</v>
      </c>
      <c r="AJ124" s="31" t="s">
        <v>2113</v>
      </c>
      <c r="AK124" s="6">
        <v>1</v>
      </c>
      <c r="AL124" s="26">
        <v>11000000</v>
      </c>
      <c r="AM124" s="26">
        <v>11000000</v>
      </c>
      <c r="AN124" s="26">
        <v>11000000</v>
      </c>
      <c r="AO124" s="6" t="s">
        <v>2003</v>
      </c>
      <c r="AQ124" s="6" t="s">
        <v>79</v>
      </c>
      <c r="AU124" s="6">
        <v>223677</v>
      </c>
    </row>
    <row r="125" spans="1:47" x14ac:dyDescent="0.3">
      <c r="A125" s="28" t="s">
        <v>42</v>
      </c>
      <c r="B125" s="6" t="s">
        <v>2177</v>
      </c>
      <c r="C125" s="6" t="s">
        <v>1973</v>
      </c>
      <c r="D125" s="6" t="s">
        <v>2104</v>
      </c>
      <c r="E125" s="6">
        <v>1</v>
      </c>
      <c r="F125" s="6" t="s">
        <v>2004</v>
      </c>
      <c r="G125" s="6" t="s">
        <v>2005</v>
      </c>
      <c r="H125" s="6" t="s">
        <v>2005</v>
      </c>
      <c r="I125" s="6" t="str">
        <f t="shared" si="2"/>
        <v>Wood Grapple</v>
      </c>
      <c r="J125" s="6" t="s">
        <v>101</v>
      </c>
      <c r="K125" s="6">
        <v>1</v>
      </c>
      <c r="P125" s="6">
        <f t="shared" si="3"/>
        <v>4800000</v>
      </c>
      <c r="R125" s="6" t="s">
        <v>2003</v>
      </c>
      <c r="T125" s="6" t="s">
        <v>813</v>
      </c>
      <c r="U125" s="6">
        <v>2014</v>
      </c>
      <c r="V125" s="6">
        <v>1</v>
      </c>
      <c r="AD125" s="6" t="s">
        <v>45</v>
      </c>
      <c r="AJ125" s="31" t="s">
        <v>2113</v>
      </c>
      <c r="AK125" s="6">
        <v>1</v>
      </c>
      <c r="AL125" s="26">
        <v>4600000</v>
      </c>
      <c r="AM125" s="26">
        <v>4600000</v>
      </c>
      <c r="AN125" s="26">
        <v>4600000</v>
      </c>
      <c r="AO125" s="6" t="s">
        <v>2003</v>
      </c>
      <c r="AQ125" s="6" t="s">
        <v>80</v>
      </c>
      <c r="AU125" s="6">
        <v>223678</v>
      </c>
    </row>
    <row r="126" spans="1:47" x14ac:dyDescent="0.3">
      <c r="A126" s="28" t="s">
        <v>42</v>
      </c>
      <c r="B126" s="6" t="s">
        <v>2177</v>
      </c>
      <c r="C126" s="6" t="s">
        <v>1972</v>
      </c>
      <c r="D126" s="6" t="s">
        <v>2104</v>
      </c>
      <c r="E126" s="6">
        <v>1</v>
      </c>
      <c r="F126" s="6" t="s">
        <v>2004</v>
      </c>
      <c r="G126" s="6" t="s">
        <v>2005</v>
      </c>
      <c r="H126" s="6" t="s">
        <v>2005</v>
      </c>
      <c r="I126" s="6" t="str">
        <f t="shared" si="2"/>
        <v>Stone Grapple</v>
      </c>
      <c r="J126" s="6" t="s">
        <v>121</v>
      </c>
      <c r="K126" s="6">
        <v>1</v>
      </c>
      <c r="P126" s="6">
        <f t="shared" si="3"/>
        <v>2900000</v>
      </c>
      <c r="R126" s="6" t="s">
        <v>2003</v>
      </c>
      <c r="T126" s="6" t="s">
        <v>1840</v>
      </c>
      <c r="U126" s="6">
        <v>2015</v>
      </c>
      <c r="V126" s="6">
        <v>5</v>
      </c>
      <c r="AD126" s="6" t="s">
        <v>45</v>
      </c>
      <c r="AJ126" s="31" t="s">
        <v>2112</v>
      </c>
      <c r="AK126" s="6">
        <v>1</v>
      </c>
      <c r="AL126" s="26">
        <v>2700000</v>
      </c>
      <c r="AM126" s="26">
        <v>2700000</v>
      </c>
      <c r="AN126" s="26">
        <v>2700000</v>
      </c>
      <c r="AO126" s="6" t="s">
        <v>2003</v>
      </c>
      <c r="AQ126" s="6" t="s">
        <v>1184</v>
      </c>
      <c r="AU126" s="6">
        <v>223680</v>
      </c>
    </row>
    <row r="127" spans="1:47" x14ac:dyDescent="0.3">
      <c r="A127" s="28" t="s">
        <v>42</v>
      </c>
      <c r="B127" s="6" t="s">
        <v>2179</v>
      </c>
      <c r="C127" s="6" t="s">
        <v>1976</v>
      </c>
      <c r="D127" s="6" t="s">
        <v>2100</v>
      </c>
      <c r="E127" s="6">
        <v>1</v>
      </c>
      <c r="F127" s="6" t="s">
        <v>2004</v>
      </c>
      <c r="G127" s="6" t="s">
        <v>2005</v>
      </c>
      <c r="H127" s="6" t="s">
        <v>2005</v>
      </c>
      <c r="I127" s="6" t="str">
        <f t="shared" si="2"/>
        <v>Skeleton Bucket</v>
      </c>
      <c r="J127" s="6" t="s">
        <v>234</v>
      </c>
      <c r="K127" s="6">
        <v>1</v>
      </c>
      <c r="P127" s="6">
        <f t="shared" si="3"/>
        <v>600000</v>
      </c>
      <c r="R127" s="6" t="s">
        <v>2003</v>
      </c>
      <c r="T127" s="6" t="s">
        <v>794</v>
      </c>
      <c r="U127" s="6">
        <v>2015</v>
      </c>
      <c r="V127" s="6">
        <v>1</v>
      </c>
      <c r="AD127" s="6" t="s">
        <v>45</v>
      </c>
      <c r="AJ127" s="31" t="s">
        <v>2122</v>
      </c>
      <c r="AK127" s="6">
        <v>1</v>
      </c>
      <c r="AL127" s="26">
        <v>500000</v>
      </c>
      <c r="AM127" s="26">
        <v>500000</v>
      </c>
      <c r="AN127" s="26">
        <v>500000</v>
      </c>
      <c r="AO127" s="6" t="s">
        <v>2003</v>
      </c>
      <c r="AQ127" s="6" t="s">
        <v>1154</v>
      </c>
      <c r="AU127" s="6">
        <v>223692</v>
      </c>
    </row>
    <row r="128" spans="1:47" x14ac:dyDescent="0.3">
      <c r="A128" s="28" t="s">
        <v>42</v>
      </c>
      <c r="B128" s="6" t="s">
        <v>2177</v>
      </c>
      <c r="C128" s="6" t="s">
        <v>1974</v>
      </c>
      <c r="D128" s="6" t="s">
        <v>2100</v>
      </c>
      <c r="E128" s="6">
        <v>1</v>
      </c>
      <c r="F128" s="6" t="s">
        <v>2004</v>
      </c>
      <c r="G128" s="6" t="s">
        <v>2005</v>
      </c>
      <c r="H128" s="6" t="s">
        <v>2005</v>
      </c>
      <c r="I128" s="6" t="str">
        <f t="shared" si="2"/>
        <v>Etc Grapple</v>
      </c>
      <c r="J128" s="6" t="s">
        <v>136</v>
      </c>
      <c r="K128" s="6">
        <v>1</v>
      </c>
      <c r="P128" s="6">
        <f t="shared" si="3"/>
        <v>2500000</v>
      </c>
      <c r="R128" s="6" t="s">
        <v>2003</v>
      </c>
      <c r="T128" s="6" t="s">
        <v>794</v>
      </c>
      <c r="U128" s="6">
        <v>2015</v>
      </c>
      <c r="V128" s="6">
        <v>1</v>
      </c>
      <c r="AD128" s="6" t="s">
        <v>45</v>
      </c>
      <c r="AJ128" s="31" t="s">
        <v>2122</v>
      </c>
      <c r="AK128" s="6">
        <v>1</v>
      </c>
      <c r="AL128" s="26">
        <v>2300000</v>
      </c>
      <c r="AM128" s="26">
        <v>2300000</v>
      </c>
      <c r="AN128" s="26">
        <v>2300000</v>
      </c>
      <c r="AO128" s="6" t="s">
        <v>2003</v>
      </c>
      <c r="AQ128" s="6" t="s">
        <v>1183</v>
      </c>
      <c r="AU128" s="6">
        <v>223696</v>
      </c>
    </row>
    <row r="129" spans="1:47" x14ac:dyDescent="0.3">
      <c r="A129" s="28" t="s">
        <v>42</v>
      </c>
      <c r="B129" s="6" t="s">
        <v>2177</v>
      </c>
      <c r="C129" s="6" t="s">
        <v>1972</v>
      </c>
      <c r="D129" s="6" t="s">
        <v>2104</v>
      </c>
      <c r="E129" s="6">
        <v>1</v>
      </c>
      <c r="F129" s="6" t="s">
        <v>2004</v>
      </c>
      <c r="G129" s="6" t="s">
        <v>2005</v>
      </c>
      <c r="H129" s="6" t="s">
        <v>2005</v>
      </c>
      <c r="I129" s="6" t="str">
        <f t="shared" si="2"/>
        <v>Stone Grapple</v>
      </c>
      <c r="J129" s="6" t="s">
        <v>130</v>
      </c>
      <c r="K129" s="6">
        <v>1</v>
      </c>
      <c r="P129" s="6">
        <f t="shared" si="3"/>
        <v>2600000</v>
      </c>
      <c r="R129" s="6" t="s">
        <v>2003</v>
      </c>
      <c r="T129" s="6" t="s">
        <v>2007</v>
      </c>
      <c r="U129" s="6">
        <v>2014</v>
      </c>
      <c r="V129" s="6">
        <v>1</v>
      </c>
      <c r="AD129" s="6" t="s">
        <v>45</v>
      </c>
      <c r="AJ129" s="31" t="s">
        <v>2113</v>
      </c>
      <c r="AK129" s="6">
        <v>1</v>
      </c>
      <c r="AL129" s="26">
        <v>2400000</v>
      </c>
      <c r="AM129" s="26">
        <v>2400000</v>
      </c>
      <c r="AN129" s="26">
        <v>2400000</v>
      </c>
      <c r="AO129" s="6" t="s">
        <v>2003</v>
      </c>
      <c r="AQ129" s="6" t="s">
        <v>49</v>
      </c>
      <c r="AU129" s="6">
        <v>223699</v>
      </c>
    </row>
    <row r="130" spans="1:47" hidden="1" x14ac:dyDescent="0.3">
      <c r="A130" s="28" t="s">
        <v>42</v>
      </c>
      <c r="B130" s="6" t="s">
        <v>2177</v>
      </c>
      <c r="C130" s="6" t="s">
        <v>1974</v>
      </c>
      <c r="E130" s="6">
        <v>1</v>
      </c>
      <c r="F130" s="6" t="s">
        <v>2004</v>
      </c>
      <c r="G130" s="6" t="s">
        <v>2005</v>
      </c>
      <c r="H130" s="6" t="s">
        <v>2005</v>
      </c>
      <c r="I130" s="6" t="str">
        <f t="shared" ref="I130:I193" si="4">IF(ISBLANK(C130),B130,C130)</f>
        <v>Etc Grapple</v>
      </c>
      <c r="J130" s="6" t="s">
        <v>431</v>
      </c>
      <c r="K130" s="6">
        <v>1</v>
      </c>
      <c r="P130" s="6">
        <f t="shared" si="3"/>
        <v>3400000</v>
      </c>
      <c r="R130" s="6" t="s">
        <v>2003</v>
      </c>
      <c r="T130" s="6" t="s">
        <v>789</v>
      </c>
      <c r="U130" s="6">
        <v>2016</v>
      </c>
      <c r="V130" s="6">
        <v>5</v>
      </c>
      <c r="AD130" s="6" t="s">
        <v>45</v>
      </c>
      <c r="AJ130" s="31" t="s">
        <v>2122</v>
      </c>
      <c r="AK130" s="6">
        <v>1</v>
      </c>
      <c r="AL130" s="26">
        <v>3200000</v>
      </c>
      <c r="AM130" s="26">
        <v>3200000</v>
      </c>
      <c r="AN130" s="26">
        <v>3200000</v>
      </c>
      <c r="AO130" s="6" t="s">
        <v>2003</v>
      </c>
      <c r="AQ130" s="6" t="s">
        <v>65</v>
      </c>
      <c r="AU130" s="6">
        <v>223702</v>
      </c>
    </row>
    <row r="131" spans="1:47" x14ac:dyDescent="0.3">
      <c r="A131" s="28" t="s">
        <v>42</v>
      </c>
      <c r="B131" s="6" t="s">
        <v>2179</v>
      </c>
      <c r="C131" s="19" t="s">
        <v>2208</v>
      </c>
      <c r="D131" s="6" t="s">
        <v>2105</v>
      </c>
      <c r="E131" s="6">
        <v>1</v>
      </c>
      <c r="F131" s="6" t="s">
        <v>2004</v>
      </c>
      <c r="G131" s="6" t="s">
        <v>2005</v>
      </c>
      <c r="H131" s="6" t="s">
        <v>2005</v>
      </c>
      <c r="I131" s="6" t="str">
        <f t="shared" si="4"/>
        <v>Skeleton Bucket</v>
      </c>
      <c r="J131" s="6" t="s">
        <v>406</v>
      </c>
      <c r="K131" s="6">
        <v>1</v>
      </c>
      <c r="P131" s="6">
        <f t="shared" ref="P131:P194" si="5">IF(AM131&lt;500000,AM131+50000,IF(AND(AM131&gt;=500000,AM131&lt;2000000),AM131+100000,IF(AND(AM131&gt;=2000000,AM131&lt;5000000),AM131+200000,IF(AM131&gt;=5000000,AM131+500000,AM131))))</f>
        <v>3500000</v>
      </c>
      <c r="R131" s="6" t="s">
        <v>2003</v>
      </c>
      <c r="T131" s="6" t="s">
        <v>2025</v>
      </c>
      <c r="U131" s="6">
        <v>2017</v>
      </c>
      <c r="V131" s="6">
        <v>1</v>
      </c>
      <c r="AD131" s="6" t="s">
        <v>45</v>
      </c>
      <c r="AJ131" s="31" t="s">
        <v>2110</v>
      </c>
      <c r="AK131" s="6">
        <v>1</v>
      </c>
      <c r="AL131" s="26">
        <v>3300000</v>
      </c>
      <c r="AM131" s="26">
        <v>3300000</v>
      </c>
      <c r="AN131" s="26">
        <v>3300000</v>
      </c>
      <c r="AO131" s="6" t="s">
        <v>2003</v>
      </c>
      <c r="AQ131" s="6" t="s">
        <v>1155</v>
      </c>
      <c r="AU131" s="6">
        <v>223705</v>
      </c>
    </row>
    <row r="132" spans="1:47" x14ac:dyDescent="0.3">
      <c r="A132" s="28" t="s">
        <v>42</v>
      </c>
      <c r="B132" s="6" t="s">
        <v>2182</v>
      </c>
      <c r="C132" s="6" t="s">
        <v>1976</v>
      </c>
      <c r="D132" s="6" t="s">
        <v>2100</v>
      </c>
      <c r="E132" s="6">
        <v>1</v>
      </c>
      <c r="F132" s="6" t="s">
        <v>2004</v>
      </c>
      <c r="G132" s="6" t="s">
        <v>2005</v>
      </c>
      <c r="H132" s="6" t="s">
        <v>2005</v>
      </c>
      <c r="I132" s="6" t="str">
        <f t="shared" si="4"/>
        <v>Skeleton Bucket</v>
      </c>
      <c r="J132" s="6" t="s">
        <v>269</v>
      </c>
      <c r="K132" s="6">
        <v>1</v>
      </c>
      <c r="P132" s="6">
        <f t="shared" si="5"/>
        <v>400000</v>
      </c>
      <c r="R132" s="6" t="s">
        <v>2003</v>
      </c>
      <c r="T132" s="6" t="s">
        <v>2026</v>
      </c>
      <c r="U132" s="6">
        <v>2015</v>
      </c>
      <c r="V132" s="6">
        <v>1</v>
      </c>
      <c r="AD132" s="6" t="s">
        <v>45</v>
      </c>
      <c r="AJ132" s="31" t="s">
        <v>2118</v>
      </c>
      <c r="AK132" s="6">
        <v>1</v>
      </c>
      <c r="AL132" s="26">
        <v>350000</v>
      </c>
      <c r="AM132" s="26">
        <v>350000</v>
      </c>
      <c r="AN132" s="26">
        <v>350000</v>
      </c>
      <c r="AO132" s="6" t="s">
        <v>2003</v>
      </c>
      <c r="AQ132" s="6" t="s">
        <v>1259</v>
      </c>
      <c r="AU132" s="6">
        <v>223709</v>
      </c>
    </row>
    <row r="133" spans="1:47" x14ac:dyDescent="0.3">
      <c r="A133" s="28" t="s">
        <v>42</v>
      </c>
      <c r="B133" s="6" t="s">
        <v>2174</v>
      </c>
      <c r="C133" s="6" t="s">
        <v>1975</v>
      </c>
      <c r="D133" s="6" t="s">
        <v>2105</v>
      </c>
      <c r="E133" s="6">
        <v>1</v>
      </c>
      <c r="F133" s="6" t="s">
        <v>2004</v>
      </c>
      <c r="G133" s="6" t="s">
        <v>2005</v>
      </c>
      <c r="H133" s="6" t="s">
        <v>2005</v>
      </c>
      <c r="I133" s="6" t="str">
        <f t="shared" si="4"/>
        <v>Side Breaker</v>
      </c>
      <c r="J133" s="6" t="s">
        <v>352</v>
      </c>
      <c r="K133" s="6">
        <v>1</v>
      </c>
      <c r="P133" s="6">
        <f t="shared" si="5"/>
        <v>9000000</v>
      </c>
      <c r="R133" s="6" t="s">
        <v>2003</v>
      </c>
      <c r="T133" s="6" t="s">
        <v>834</v>
      </c>
      <c r="U133" s="6">
        <v>2010</v>
      </c>
      <c r="V133" s="6">
        <v>1</v>
      </c>
      <c r="AD133" s="6" t="s">
        <v>45</v>
      </c>
      <c r="AJ133" s="31" t="s">
        <v>2123</v>
      </c>
      <c r="AK133" s="6">
        <v>1</v>
      </c>
      <c r="AL133" s="26">
        <v>8500000</v>
      </c>
      <c r="AM133" s="26">
        <v>8500000</v>
      </c>
      <c r="AN133" s="26">
        <v>8500000</v>
      </c>
      <c r="AO133" s="6" t="s">
        <v>2003</v>
      </c>
      <c r="AQ133" s="6" t="s">
        <v>1167</v>
      </c>
      <c r="AU133" s="6">
        <v>223710</v>
      </c>
    </row>
    <row r="134" spans="1:47" x14ac:dyDescent="0.3">
      <c r="A134" s="28" t="s">
        <v>42</v>
      </c>
      <c r="B134" s="6" t="s">
        <v>2182</v>
      </c>
      <c r="C134" s="19" t="s">
        <v>2210</v>
      </c>
      <c r="D134" s="6" t="s">
        <v>2104</v>
      </c>
      <c r="E134" s="6">
        <v>1</v>
      </c>
      <c r="F134" s="6" t="s">
        <v>2004</v>
      </c>
      <c r="G134" s="6" t="s">
        <v>2005</v>
      </c>
      <c r="H134" s="6" t="s">
        <v>2005</v>
      </c>
      <c r="I134" s="6" t="str">
        <f t="shared" si="4"/>
        <v>Etc Bucket</v>
      </c>
      <c r="J134" s="6" t="s">
        <v>362</v>
      </c>
      <c r="K134" s="6">
        <v>1</v>
      </c>
      <c r="P134" s="6">
        <f t="shared" si="5"/>
        <v>1350000</v>
      </c>
      <c r="R134" s="6" t="s">
        <v>2003</v>
      </c>
      <c r="T134" s="6" t="s">
        <v>1841</v>
      </c>
      <c r="U134" s="6">
        <v>2016</v>
      </c>
      <c r="V134" s="6">
        <v>1</v>
      </c>
      <c r="AD134" s="6" t="s">
        <v>45</v>
      </c>
      <c r="AJ134" s="31" t="s">
        <v>2122</v>
      </c>
      <c r="AK134" s="6">
        <v>1</v>
      </c>
      <c r="AL134" s="26">
        <v>1250000</v>
      </c>
      <c r="AM134" s="26">
        <v>1250000</v>
      </c>
      <c r="AN134" s="26">
        <v>1250000</v>
      </c>
      <c r="AO134" s="6" t="s">
        <v>2003</v>
      </c>
      <c r="AQ134" s="6" t="s">
        <v>1232</v>
      </c>
      <c r="AU134" s="6">
        <v>223719</v>
      </c>
    </row>
    <row r="135" spans="1:47" hidden="1" x14ac:dyDescent="0.3">
      <c r="A135" s="28" t="s">
        <v>42</v>
      </c>
      <c r="B135" s="6" t="s">
        <v>2192</v>
      </c>
      <c r="E135" s="6">
        <v>1</v>
      </c>
      <c r="F135" s="6" t="s">
        <v>2004</v>
      </c>
      <c r="G135" s="6" t="s">
        <v>2005</v>
      </c>
      <c r="H135" s="6" t="s">
        <v>2005</v>
      </c>
      <c r="I135" s="6" t="str">
        <f t="shared" si="4"/>
        <v>Lift Fork</v>
      </c>
      <c r="J135" s="6" t="s">
        <v>327</v>
      </c>
      <c r="K135" s="6">
        <v>1</v>
      </c>
      <c r="P135" s="6">
        <f t="shared" si="5"/>
        <v>1100000</v>
      </c>
      <c r="R135" s="6" t="s">
        <v>2003</v>
      </c>
      <c r="T135" s="6" t="s">
        <v>882</v>
      </c>
      <c r="U135" s="6">
        <v>2016</v>
      </c>
      <c r="V135" s="6">
        <v>12</v>
      </c>
      <c r="AD135" s="6" t="s">
        <v>45</v>
      </c>
      <c r="AJ135" s="31" t="s">
        <v>2118</v>
      </c>
      <c r="AK135" s="6">
        <v>1</v>
      </c>
      <c r="AL135" s="26">
        <v>1000000</v>
      </c>
      <c r="AM135" s="26">
        <v>1000000</v>
      </c>
      <c r="AN135" s="26">
        <v>1000000</v>
      </c>
      <c r="AO135" s="6" t="s">
        <v>2003</v>
      </c>
      <c r="AQ135" s="6" t="s">
        <v>1222</v>
      </c>
      <c r="AU135" s="6">
        <v>223727</v>
      </c>
    </row>
    <row r="136" spans="1:47" x14ac:dyDescent="0.3">
      <c r="A136" s="28" t="s">
        <v>42</v>
      </c>
      <c r="B136" s="6" t="s">
        <v>2191</v>
      </c>
      <c r="C136" s="6" t="s">
        <v>1975</v>
      </c>
      <c r="D136" s="6" t="s">
        <v>2104</v>
      </c>
      <c r="E136" s="6">
        <v>1</v>
      </c>
      <c r="F136" s="6" t="s">
        <v>2004</v>
      </c>
      <c r="G136" s="6" t="s">
        <v>2005</v>
      </c>
      <c r="H136" s="6" t="s">
        <v>2005</v>
      </c>
      <c r="I136" s="6" t="str">
        <f t="shared" si="4"/>
        <v>Side Breaker</v>
      </c>
      <c r="J136" s="6" t="s">
        <v>464</v>
      </c>
      <c r="K136" s="6">
        <v>1</v>
      </c>
      <c r="P136" s="6">
        <f t="shared" si="5"/>
        <v>2700000</v>
      </c>
      <c r="R136" s="6" t="s">
        <v>2003</v>
      </c>
      <c r="T136" s="6" t="s">
        <v>883</v>
      </c>
      <c r="U136" s="6">
        <v>2011</v>
      </c>
      <c r="V136" s="6">
        <v>1</v>
      </c>
      <c r="AD136" s="6" t="s">
        <v>45</v>
      </c>
      <c r="AJ136" s="31" t="s">
        <v>2117</v>
      </c>
      <c r="AK136" s="6">
        <v>1</v>
      </c>
      <c r="AL136" s="26">
        <v>2500000</v>
      </c>
      <c r="AM136" s="26">
        <v>2500000</v>
      </c>
      <c r="AN136" s="26">
        <v>2500000</v>
      </c>
      <c r="AO136" s="6" t="s">
        <v>2003</v>
      </c>
      <c r="AQ136" s="6" t="s">
        <v>1180</v>
      </c>
      <c r="AU136" s="6">
        <v>223728</v>
      </c>
    </row>
    <row r="137" spans="1:47" x14ac:dyDescent="0.3">
      <c r="A137" s="28" t="s">
        <v>42</v>
      </c>
      <c r="B137" s="6" t="s">
        <v>2187</v>
      </c>
      <c r="C137" s="6" t="s">
        <v>1972</v>
      </c>
      <c r="D137" s="6" t="s">
        <v>2104</v>
      </c>
      <c r="E137" s="6">
        <v>1</v>
      </c>
      <c r="F137" s="6" t="s">
        <v>2004</v>
      </c>
      <c r="G137" s="6" t="s">
        <v>2005</v>
      </c>
      <c r="H137" s="6" t="s">
        <v>2005</v>
      </c>
      <c r="I137" s="6" t="str">
        <f t="shared" si="4"/>
        <v>Stone Grapple</v>
      </c>
      <c r="J137" s="6" t="s">
        <v>161</v>
      </c>
      <c r="K137" s="6">
        <v>1</v>
      </c>
      <c r="P137" s="6">
        <f t="shared" si="5"/>
        <v>2800000</v>
      </c>
      <c r="R137" s="6" t="s">
        <v>2003</v>
      </c>
      <c r="T137" s="6" t="s">
        <v>823</v>
      </c>
      <c r="U137" s="6">
        <v>2014</v>
      </c>
      <c r="V137" s="6">
        <v>1</v>
      </c>
      <c r="AD137" s="6" t="s">
        <v>45</v>
      </c>
      <c r="AJ137" s="31" t="s">
        <v>2113</v>
      </c>
      <c r="AK137" s="6">
        <v>1</v>
      </c>
      <c r="AL137" s="26">
        <v>2600000</v>
      </c>
      <c r="AM137" s="26">
        <v>2600000</v>
      </c>
      <c r="AN137" s="26">
        <v>2600000</v>
      </c>
      <c r="AO137" s="6" t="s">
        <v>2003</v>
      </c>
      <c r="AQ137" s="6" t="s">
        <v>49</v>
      </c>
      <c r="AU137" s="6">
        <v>223730</v>
      </c>
    </row>
    <row r="138" spans="1:47" x14ac:dyDescent="0.3">
      <c r="A138" s="28" t="s">
        <v>42</v>
      </c>
      <c r="B138" s="6" t="s">
        <v>2187</v>
      </c>
      <c r="C138" s="6" t="s">
        <v>1972</v>
      </c>
      <c r="D138" s="6" t="s">
        <v>2104</v>
      </c>
      <c r="E138" s="6">
        <v>1</v>
      </c>
      <c r="F138" s="6" t="s">
        <v>2004</v>
      </c>
      <c r="G138" s="6" t="s">
        <v>2005</v>
      </c>
      <c r="H138" s="6" t="s">
        <v>2005</v>
      </c>
      <c r="I138" s="6" t="str">
        <f t="shared" si="4"/>
        <v>Stone Grapple</v>
      </c>
      <c r="J138" s="6" t="s">
        <v>44</v>
      </c>
      <c r="K138" s="6">
        <v>1</v>
      </c>
      <c r="P138" s="6">
        <f t="shared" si="5"/>
        <v>2800000</v>
      </c>
      <c r="R138" s="6" t="s">
        <v>2003</v>
      </c>
      <c r="T138" s="6" t="s">
        <v>2007</v>
      </c>
      <c r="U138" s="6">
        <v>2014</v>
      </c>
      <c r="V138" s="6">
        <v>1</v>
      </c>
      <c r="AD138" s="6" t="s">
        <v>45</v>
      </c>
      <c r="AJ138" s="31" t="s">
        <v>2113</v>
      </c>
      <c r="AK138" s="6">
        <v>1</v>
      </c>
      <c r="AL138" s="26">
        <v>2600000</v>
      </c>
      <c r="AM138" s="26">
        <v>2600000</v>
      </c>
      <c r="AN138" s="26">
        <v>2600000</v>
      </c>
      <c r="AO138" s="6" t="s">
        <v>2003</v>
      </c>
      <c r="AQ138" s="6" t="s">
        <v>49</v>
      </c>
      <c r="AU138" s="6">
        <v>223731</v>
      </c>
    </row>
    <row r="139" spans="1:47" x14ac:dyDescent="0.3">
      <c r="A139" s="28" t="s">
        <v>42</v>
      </c>
      <c r="B139" s="6" t="s">
        <v>2187</v>
      </c>
      <c r="C139" s="19" t="s">
        <v>2206</v>
      </c>
      <c r="D139" s="6" t="s">
        <v>2002</v>
      </c>
      <c r="E139" s="6">
        <v>1</v>
      </c>
      <c r="F139" s="6" t="s">
        <v>2004</v>
      </c>
      <c r="G139" s="6" t="s">
        <v>2005</v>
      </c>
      <c r="H139" s="6" t="s">
        <v>2005</v>
      </c>
      <c r="I139" s="6" t="str">
        <f t="shared" si="4"/>
        <v>Etc Grapple</v>
      </c>
      <c r="J139" s="6" t="s">
        <v>305</v>
      </c>
      <c r="K139" s="6">
        <v>1</v>
      </c>
      <c r="P139" s="6">
        <f t="shared" si="5"/>
        <v>2250000</v>
      </c>
      <c r="R139" s="6" t="s">
        <v>2003</v>
      </c>
      <c r="T139" s="6" t="s">
        <v>2007</v>
      </c>
      <c r="U139" s="6">
        <v>2016</v>
      </c>
      <c r="V139" s="6">
        <v>1</v>
      </c>
      <c r="AD139" s="6" t="s">
        <v>45</v>
      </c>
      <c r="AJ139" s="31" t="s">
        <v>2113</v>
      </c>
      <c r="AK139" s="6">
        <v>1</v>
      </c>
      <c r="AL139" s="26">
        <v>2050000</v>
      </c>
      <c r="AM139" s="26">
        <v>2050000</v>
      </c>
      <c r="AN139" s="26">
        <v>2050000</v>
      </c>
      <c r="AO139" s="6" t="s">
        <v>2003</v>
      </c>
      <c r="AQ139" s="6" t="s">
        <v>49</v>
      </c>
      <c r="AU139" s="6">
        <v>223733</v>
      </c>
    </row>
    <row r="140" spans="1:47" x14ac:dyDescent="0.3">
      <c r="A140" s="28" t="s">
        <v>42</v>
      </c>
      <c r="B140" s="6" t="s">
        <v>2186</v>
      </c>
      <c r="C140" s="19" t="s">
        <v>2205</v>
      </c>
      <c r="D140" s="6" t="s">
        <v>2104</v>
      </c>
      <c r="E140" s="6">
        <v>1</v>
      </c>
      <c r="F140" s="6" t="s">
        <v>2004</v>
      </c>
      <c r="G140" s="6" t="s">
        <v>2005</v>
      </c>
      <c r="H140" s="6" t="s">
        <v>2005</v>
      </c>
      <c r="I140" s="6" t="str">
        <f t="shared" si="4"/>
        <v>Standard Bucket</v>
      </c>
      <c r="J140" s="6" t="s">
        <v>387</v>
      </c>
      <c r="K140" s="6">
        <v>1</v>
      </c>
      <c r="P140" s="6">
        <f t="shared" si="5"/>
        <v>1100000</v>
      </c>
      <c r="R140" s="6" t="s">
        <v>2003</v>
      </c>
      <c r="T140" s="6" t="s">
        <v>843</v>
      </c>
      <c r="U140" s="6">
        <v>2013</v>
      </c>
      <c r="V140" s="6">
        <v>1</v>
      </c>
      <c r="AD140" s="6" t="s">
        <v>45</v>
      </c>
      <c r="AJ140" s="31" t="s">
        <v>2118</v>
      </c>
      <c r="AK140" s="6">
        <v>1</v>
      </c>
      <c r="AL140" s="26">
        <v>1000000</v>
      </c>
      <c r="AM140" s="26">
        <v>1000000</v>
      </c>
      <c r="AN140" s="26">
        <v>1000000</v>
      </c>
      <c r="AO140" s="6" t="s">
        <v>2003</v>
      </c>
      <c r="AQ140" s="6" t="s">
        <v>1149</v>
      </c>
      <c r="AU140" s="6">
        <v>223742</v>
      </c>
    </row>
    <row r="141" spans="1:47" x14ac:dyDescent="0.3">
      <c r="A141" s="28" t="s">
        <v>42</v>
      </c>
      <c r="B141" s="6" t="s">
        <v>2184</v>
      </c>
      <c r="C141" s="6" t="s">
        <v>1973</v>
      </c>
      <c r="D141" s="6" t="s">
        <v>2002</v>
      </c>
      <c r="E141" s="6">
        <v>1</v>
      </c>
      <c r="F141" s="6" t="s">
        <v>2004</v>
      </c>
      <c r="G141" s="6" t="s">
        <v>2005</v>
      </c>
      <c r="H141" s="6" t="s">
        <v>2005</v>
      </c>
      <c r="I141" s="6" t="str">
        <f t="shared" si="4"/>
        <v>Wood Grapple</v>
      </c>
      <c r="J141" s="6" t="s">
        <v>466</v>
      </c>
      <c r="K141" s="6">
        <v>1</v>
      </c>
      <c r="P141" s="6">
        <f t="shared" si="5"/>
        <v>1950000</v>
      </c>
      <c r="R141" s="6" t="s">
        <v>2003</v>
      </c>
      <c r="T141" s="6" t="s">
        <v>2007</v>
      </c>
      <c r="U141" s="6">
        <v>2014</v>
      </c>
      <c r="V141" s="6">
        <v>1</v>
      </c>
      <c r="AD141" s="6" t="s">
        <v>45</v>
      </c>
      <c r="AJ141" s="31" t="s">
        <v>2113</v>
      </c>
      <c r="AK141" s="6">
        <v>1</v>
      </c>
      <c r="AL141" s="26">
        <v>1850000</v>
      </c>
      <c r="AM141" s="26">
        <v>1850000</v>
      </c>
      <c r="AN141" s="26">
        <v>1850000</v>
      </c>
      <c r="AO141" s="6" t="s">
        <v>2003</v>
      </c>
      <c r="AQ141" s="6" t="s">
        <v>49</v>
      </c>
      <c r="AU141" s="6">
        <v>223744</v>
      </c>
    </row>
    <row r="142" spans="1:47" hidden="1" x14ac:dyDescent="0.3">
      <c r="A142" s="28" t="s">
        <v>42</v>
      </c>
      <c r="B142" s="6" t="s">
        <v>2183</v>
      </c>
      <c r="E142" s="6">
        <v>1</v>
      </c>
      <c r="F142" s="6" t="s">
        <v>2004</v>
      </c>
      <c r="G142" s="6" t="s">
        <v>2005</v>
      </c>
      <c r="H142" s="6" t="s">
        <v>2005</v>
      </c>
      <c r="I142" s="6" t="str">
        <f t="shared" si="4"/>
        <v>ETC</v>
      </c>
      <c r="J142" s="6" t="s">
        <v>467</v>
      </c>
      <c r="K142" s="6">
        <v>1</v>
      </c>
      <c r="P142" s="6">
        <f t="shared" si="5"/>
        <v>3000000</v>
      </c>
      <c r="R142" s="6" t="s">
        <v>2003</v>
      </c>
      <c r="T142" s="6" t="s">
        <v>796</v>
      </c>
      <c r="U142" s="6">
        <v>2016</v>
      </c>
      <c r="V142" s="6">
        <v>1</v>
      </c>
      <c r="AD142" s="6" t="s">
        <v>45</v>
      </c>
      <c r="AJ142" s="31" t="s">
        <v>2117</v>
      </c>
      <c r="AK142" s="6">
        <v>1</v>
      </c>
      <c r="AL142" s="26">
        <v>2800000</v>
      </c>
      <c r="AM142" s="26">
        <v>2800000</v>
      </c>
      <c r="AN142" s="26">
        <v>2800000</v>
      </c>
      <c r="AO142" s="6" t="s">
        <v>2003</v>
      </c>
      <c r="AQ142" s="6" t="s">
        <v>1159</v>
      </c>
      <c r="AU142" s="6">
        <v>223745</v>
      </c>
    </row>
    <row r="143" spans="1:47" x14ac:dyDescent="0.3">
      <c r="A143" s="28" t="s">
        <v>42</v>
      </c>
      <c r="B143" s="6" t="s">
        <v>2182</v>
      </c>
      <c r="C143" s="6" t="s">
        <v>1976</v>
      </c>
      <c r="D143" s="6" t="s">
        <v>2100</v>
      </c>
      <c r="E143" s="6">
        <v>1</v>
      </c>
      <c r="F143" s="6" t="s">
        <v>2004</v>
      </c>
      <c r="G143" s="6" t="s">
        <v>2005</v>
      </c>
      <c r="H143" s="6" t="s">
        <v>2005</v>
      </c>
      <c r="I143" s="6" t="str">
        <f t="shared" si="4"/>
        <v>Skeleton Bucket</v>
      </c>
      <c r="J143" s="6" t="s">
        <v>269</v>
      </c>
      <c r="K143" s="6">
        <v>1</v>
      </c>
      <c r="P143" s="6">
        <f t="shared" si="5"/>
        <v>700000</v>
      </c>
      <c r="R143" s="6" t="s">
        <v>2003</v>
      </c>
      <c r="T143" s="6" t="s">
        <v>2027</v>
      </c>
      <c r="U143" s="6">
        <v>2017</v>
      </c>
      <c r="V143" s="6">
        <v>1</v>
      </c>
      <c r="AD143" s="6" t="s">
        <v>45</v>
      </c>
      <c r="AJ143" s="31" t="s">
        <v>2124</v>
      </c>
      <c r="AK143" s="6">
        <v>1</v>
      </c>
      <c r="AL143" s="26">
        <v>600000</v>
      </c>
      <c r="AM143" s="26">
        <v>600000</v>
      </c>
      <c r="AN143" s="26">
        <v>600000</v>
      </c>
      <c r="AO143" s="6" t="s">
        <v>2003</v>
      </c>
      <c r="AQ143" s="6" t="s">
        <v>1144</v>
      </c>
      <c r="AU143" s="6">
        <v>223746</v>
      </c>
    </row>
    <row r="144" spans="1:47" x14ac:dyDescent="0.3">
      <c r="A144" s="28" t="s">
        <v>42</v>
      </c>
      <c r="B144" s="6" t="s">
        <v>2174</v>
      </c>
      <c r="C144" s="6" t="s">
        <v>1975</v>
      </c>
      <c r="D144" s="6" t="s">
        <v>2106</v>
      </c>
      <c r="E144" s="6">
        <v>1</v>
      </c>
      <c r="F144" s="6" t="s">
        <v>2004</v>
      </c>
      <c r="G144" s="6" t="s">
        <v>2005</v>
      </c>
      <c r="H144" s="6" t="s">
        <v>2005</v>
      </c>
      <c r="I144" s="6" t="str">
        <f t="shared" si="4"/>
        <v>Side Breaker</v>
      </c>
      <c r="J144" s="6" t="s">
        <v>242</v>
      </c>
      <c r="K144" s="6">
        <v>1</v>
      </c>
      <c r="P144" s="6">
        <f t="shared" si="5"/>
        <v>1450000</v>
      </c>
      <c r="R144" s="6" t="s">
        <v>2003</v>
      </c>
      <c r="T144" s="6" t="s">
        <v>2007</v>
      </c>
      <c r="U144" s="6">
        <v>2014</v>
      </c>
      <c r="V144" s="6">
        <v>1</v>
      </c>
      <c r="AD144" s="6" t="s">
        <v>45</v>
      </c>
      <c r="AJ144" s="31" t="s">
        <v>2113</v>
      </c>
      <c r="AK144" s="6">
        <v>1</v>
      </c>
      <c r="AL144" s="26">
        <v>1350000</v>
      </c>
      <c r="AM144" s="26">
        <v>1350000</v>
      </c>
      <c r="AN144" s="26">
        <v>1350000</v>
      </c>
      <c r="AO144" s="6" t="s">
        <v>2003</v>
      </c>
      <c r="AQ144" s="6" t="s">
        <v>49</v>
      </c>
      <c r="AU144" s="6">
        <v>223751</v>
      </c>
    </row>
    <row r="145" spans="1:47" x14ac:dyDescent="0.3">
      <c r="A145" s="28" t="s">
        <v>42</v>
      </c>
      <c r="B145" s="6" t="s">
        <v>2184</v>
      </c>
      <c r="C145" s="6" t="s">
        <v>1972</v>
      </c>
      <c r="D145" s="6" t="s">
        <v>2101</v>
      </c>
      <c r="E145" s="6">
        <v>1</v>
      </c>
      <c r="F145" s="6" t="s">
        <v>2004</v>
      </c>
      <c r="G145" s="6" t="s">
        <v>2005</v>
      </c>
      <c r="H145" s="6" t="s">
        <v>2005</v>
      </c>
      <c r="I145" s="6" t="str">
        <f t="shared" si="4"/>
        <v>Stone Grapple</v>
      </c>
      <c r="J145" s="6" t="s">
        <v>180</v>
      </c>
      <c r="K145" s="6">
        <v>1</v>
      </c>
      <c r="P145" s="6">
        <f t="shared" si="5"/>
        <v>10300000</v>
      </c>
      <c r="R145" s="6" t="s">
        <v>2003</v>
      </c>
      <c r="T145" s="6" t="s">
        <v>813</v>
      </c>
      <c r="U145" s="6">
        <v>2014</v>
      </c>
      <c r="V145" s="6">
        <v>1</v>
      </c>
      <c r="AD145" s="6" t="s">
        <v>45</v>
      </c>
      <c r="AJ145" s="31" t="s">
        <v>2113</v>
      </c>
      <c r="AK145" s="6">
        <v>1</v>
      </c>
      <c r="AL145" s="26">
        <v>9800000</v>
      </c>
      <c r="AM145" s="26">
        <v>9800000</v>
      </c>
      <c r="AN145" s="26">
        <v>9800000</v>
      </c>
      <c r="AO145" s="6" t="s">
        <v>2003</v>
      </c>
      <c r="AQ145" s="6" t="s">
        <v>80</v>
      </c>
      <c r="AU145" s="6">
        <v>223753</v>
      </c>
    </row>
    <row r="146" spans="1:47" x14ac:dyDescent="0.3">
      <c r="A146" s="28" t="s">
        <v>42</v>
      </c>
      <c r="B146" s="6" t="s">
        <v>2184</v>
      </c>
      <c r="C146" s="6" t="s">
        <v>1972</v>
      </c>
      <c r="D146" s="6" t="s">
        <v>2100</v>
      </c>
      <c r="E146" s="6">
        <v>1</v>
      </c>
      <c r="F146" s="6" t="s">
        <v>2004</v>
      </c>
      <c r="G146" s="6" t="s">
        <v>2005</v>
      </c>
      <c r="H146" s="6" t="s">
        <v>2005</v>
      </c>
      <c r="I146" s="6" t="str">
        <f t="shared" si="4"/>
        <v>Stone Grapple</v>
      </c>
      <c r="J146" s="6" t="s">
        <v>149</v>
      </c>
      <c r="K146" s="6">
        <v>1</v>
      </c>
      <c r="P146" s="6">
        <f t="shared" si="5"/>
        <v>1650000</v>
      </c>
      <c r="R146" s="6" t="s">
        <v>2003</v>
      </c>
      <c r="T146" s="6" t="s">
        <v>51</v>
      </c>
      <c r="U146" s="6">
        <v>2016</v>
      </c>
      <c r="V146" s="6">
        <v>1</v>
      </c>
      <c r="AD146" s="6" t="s">
        <v>45</v>
      </c>
      <c r="AJ146" s="31" t="s">
        <v>2113</v>
      </c>
      <c r="AK146" s="6">
        <v>1</v>
      </c>
      <c r="AL146" s="26">
        <v>1550000</v>
      </c>
      <c r="AM146" s="26">
        <v>1550000</v>
      </c>
      <c r="AN146" s="26">
        <v>1550000</v>
      </c>
      <c r="AO146" s="6" t="s">
        <v>2003</v>
      </c>
      <c r="AQ146" s="6" t="s">
        <v>49</v>
      </c>
      <c r="AU146" s="6">
        <v>223756</v>
      </c>
    </row>
    <row r="147" spans="1:47" x14ac:dyDescent="0.3">
      <c r="A147" s="28" t="s">
        <v>42</v>
      </c>
      <c r="B147" s="6" t="s">
        <v>2184</v>
      </c>
      <c r="C147" s="19" t="s">
        <v>2206</v>
      </c>
      <c r="D147" s="6" t="s">
        <v>2106</v>
      </c>
      <c r="E147" s="6">
        <v>1</v>
      </c>
      <c r="F147" s="6" t="s">
        <v>2004</v>
      </c>
      <c r="G147" s="6" t="s">
        <v>2005</v>
      </c>
      <c r="H147" s="6" t="s">
        <v>2005</v>
      </c>
      <c r="I147" s="6" t="str">
        <f t="shared" si="4"/>
        <v>Etc Grapple</v>
      </c>
      <c r="J147" s="6" t="s">
        <v>267</v>
      </c>
      <c r="K147" s="6">
        <v>1</v>
      </c>
      <c r="P147" s="6">
        <f t="shared" si="5"/>
        <v>2250000</v>
      </c>
      <c r="R147" s="6" t="s">
        <v>2003</v>
      </c>
      <c r="T147" s="6" t="s">
        <v>2007</v>
      </c>
      <c r="U147" s="6">
        <v>2016</v>
      </c>
      <c r="V147" s="6">
        <v>1</v>
      </c>
      <c r="AD147" s="6" t="s">
        <v>45</v>
      </c>
      <c r="AJ147" s="31" t="s">
        <v>2113</v>
      </c>
      <c r="AK147" s="6">
        <v>1</v>
      </c>
      <c r="AL147" s="26">
        <v>2050000</v>
      </c>
      <c r="AM147" s="26">
        <v>2050000</v>
      </c>
      <c r="AN147" s="26">
        <v>2050000</v>
      </c>
      <c r="AO147" s="6" t="s">
        <v>2003</v>
      </c>
      <c r="AQ147" s="6" t="s">
        <v>49</v>
      </c>
      <c r="AU147" s="6">
        <v>223759</v>
      </c>
    </row>
    <row r="148" spans="1:47" x14ac:dyDescent="0.3">
      <c r="A148" s="28" t="s">
        <v>42</v>
      </c>
      <c r="B148" s="6" t="s">
        <v>2187</v>
      </c>
      <c r="C148" s="6" t="s">
        <v>1974</v>
      </c>
      <c r="D148" s="6" t="s">
        <v>2104</v>
      </c>
      <c r="E148" s="6">
        <v>1</v>
      </c>
      <c r="F148" s="6" t="s">
        <v>2004</v>
      </c>
      <c r="G148" s="6" t="s">
        <v>2005</v>
      </c>
      <c r="H148" s="6" t="s">
        <v>2005</v>
      </c>
      <c r="I148" s="6" t="str">
        <f t="shared" si="4"/>
        <v>Etc Grapple</v>
      </c>
      <c r="J148" s="6" t="s">
        <v>125</v>
      </c>
      <c r="K148" s="6">
        <v>1</v>
      </c>
      <c r="P148" s="6">
        <f t="shared" si="5"/>
        <v>5500000</v>
      </c>
      <c r="R148" s="6" t="s">
        <v>2003</v>
      </c>
      <c r="T148" s="6" t="s">
        <v>1842</v>
      </c>
      <c r="U148" s="6">
        <v>2016</v>
      </c>
      <c r="V148" s="6">
        <v>10</v>
      </c>
      <c r="AD148" s="6" t="s">
        <v>45</v>
      </c>
      <c r="AJ148" s="31" t="s">
        <v>2110</v>
      </c>
      <c r="AK148" s="6">
        <v>1</v>
      </c>
      <c r="AL148" s="26">
        <v>5000000</v>
      </c>
      <c r="AM148" s="26">
        <v>5000000</v>
      </c>
      <c r="AN148" s="26">
        <v>5000000</v>
      </c>
      <c r="AO148" s="6" t="s">
        <v>2003</v>
      </c>
      <c r="AQ148" s="6" t="s">
        <v>1225</v>
      </c>
      <c r="AU148" s="6">
        <v>223766</v>
      </c>
    </row>
    <row r="149" spans="1:47" x14ac:dyDescent="0.3">
      <c r="A149" s="28" t="s">
        <v>42</v>
      </c>
      <c r="B149" s="6" t="s">
        <v>2186</v>
      </c>
      <c r="C149" s="6" t="s">
        <v>1976</v>
      </c>
      <c r="D149" s="6" t="s">
        <v>2100</v>
      </c>
      <c r="E149" s="6">
        <v>1</v>
      </c>
      <c r="F149" s="6" t="s">
        <v>2004</v>
      </c>
      <c r="G149" s="6" t="s">
        <v>2005</v>
      </c>
      <c r="H149" s="6" t="s">
        <v>2005</v>
      </c>
      <c r="I149" s="6" t="str">
        <f t="shared" si="4"/>
        <v>Skeleton Bucket</v>
      </c>
      <c r="J149" s="6" t="s">
        <v>245</v>
      </c>
      <c r="K149" s="6">
        <v>1</v>
      </c>
      <c r="P149" s="6">
        <f t="shared" si="5"/>
        <v>700000</v>
      </c>
      <c r="R149" s="6" t="s">
        <v>2003</v>
      </c>
      <c r="T149" s="6" t="s">
        <v>2027</v>
      </c>
      <c r="U149" s="6">
        <v>2017</v>
      </c>
      <c r="V149" s="6">
        <v>1</v>
      </c>
      <c r="AD149" s="6" t="s">
        <v>45</v>
      </c>
      <c r="AJ149" s="31" t="s">
        <v>2124</v>
      </c>
      <c r="AK149" s="6">
        <v>1</v>
      </c>
      <c r="AL149" s="26">
        <v>600000</v>
      </c>
      <c r="AM149" s="26">
        <v>600000</v>
      </c>
      <c r="AN149" s="26">
        <v>600000</v>
      </c>
      <c r="AO149" s="6" t="s">
        <v>2003</v>
      </c>
      <c r="AQ149" s="6" t="s">
        <v>1144</v>
      </c>
      <c r="AU149" s="6">
        <v>223767</v>
      </c>
    </row>
    <row r="150" spans="1:47" hidden="1" x14ac:dyDescent="0.3">
      <c r="A150" s="28" t="s">
        <v>42</v>
      </c>
      <c r="B150" s="6" t="s">
        <v>2185</v>
      </c>
      <c r="E150" s="6">
        <v>1</v>
      </c>
      <c r="F150" s="6" t="s">
        <v>2004</v>
      </c>
      <c r="G150" s="6" t="s">
        <v>2005</v>
      </c>
      <c r="H150" s="6" t="s">
        <v>2005</v>
      </c>
      <c r="I150" s="6" t="str">
        <f t="shared" si="4"/>
        <v>ETC</v>
      </c>
      <c r="J150" s="6" t="s">
        <v>410</v>
      </c>
      <c r="K150" s="6">
        <v>1</v>
      </c>
      <c r="P150" s="6">
        <f t="shared" si="5"/>
        <v>500000</v>
      </c>
      <c r="R150" s="6" t="s">
        <v>2003</v>
      </c>
      <c r="T150" s="6" t="s">
        <v>2028</v>
      </c>
      <c r="U150" s="6">
        <v>2017</v>
      </c>
      <c r="V150" s="6">
        <v>1</v>
      </c>
      <c r="AD150" s="6" t="s">
        <v>45</v>
      </c>
      <c r="AJ150" s="31" t="s">
        <v>2119</v>
      </c>
      <c r="AK150" s="6">
        <v>1</v>
      </c>
      <c r="AL150" s="26">
        <v>450000</v>
      </c>
      <c r="AM150" s="26">
        <v>450000</v>
      </c>
      <c r="AN150" s="26">
        <v>450000</v>
      </c>
      <c r="AO150" s="6" t="s">
        <v>2003</v>
      </c>
      <c r="AQ150" s="6" t="s">
        <v>60</v>
      </c>
      <c r="AU150" s="6">
        <v>223768</v>
      </c>
    </row>
    <row r="151" spans="1:47" x14ac:dyDescent="0.3">
      <c r="A151" s="28" t="s">
        <v>42</v>
      </c>
      <c r="B151" s="6" t="s">
        <v>2191</v>
      </c>
      <c r="C151" s="6" t="s">
        <v>1975</v>
      </c>
      <c r="D151" s="6" t="s">
        <v>2100</v>
      </c>
      <c r="E151" s="6">
        <v>1</v>
      </c>
      <c r="F151" s="6" t="s">
        <v>2004</v>
      </c>
      <c r="G151" s="6" t="s">
        <v>2005</v>
      </c>
      <c r="H151" s="6" t="s">
        <v>2005</v>
      </c>
      <c r="I151" s="6" t="str">
        <f t="shared" si="4"/>
        <v>Side Breaker</v>
      </c>
      <c r="J151" s="6" t="s">
        <v>468</v>
      </c>
      <c r="K151" s="6">
        <v>1</v>
      </c>
      <c r="P151" s="6">
        <f t="shared" si="5"/>
        <v>1350000</v>
      </c>
      <c r="R151" s="6" t="s">
        <v>2003</v>
      </c>
      <c r="T151" s="6" t="s">
        <v>2007</v>
      </c>
      <c r="U151" s="6">
        <v>2014</v>
      </c>
      <c r="V151" s="6">
        <v>1</v>
      </c>
      <c r="AD151" s="6" t="s">
        <v>45</v>
      </c>
      <c r="AJ151" s="31" t="s">
        <v>2113</v>
      </c>
      <c r="AK151" s="6">
        <v>1</v>
      </c>
      <c r="AL151" s="26">
        <v>1250000</v>
      </c>
      <c r="AM151" s="26">
        <v>1250000</v>
      </c>
      <c r="AN151" s="26">
        <v>1250000</v>
      </c>
      <c r="AO151" s="6" t="s">
        <v>2003</v>
      </c>
      <c r="AQ151" s="6" t="s">
        <v>49</v>
      </c>
      <c r="AU151" s="6">
        <v>223769</v>
      </c>
    </row>
    <row r="152" spans="1:47" x14ac:dyDescent="0.3">
      <c r="A152" s="28" t="s">
        <v>42</v>
      </c>
      <c r="B152" s="6" t="s">
        <v>2186</v>
      </c>
      <c r="C152" s="19" t="s">
        <v>2210</v>
      </c>
      <c r="D152" s="6" t="s">
        <v>2101</v>
      </c>
      <c r="E152" s="6">
        <v>1</v>
      </c>
      <c r="F152" s="6" t="s">
        <v>2004</v>
      </c>
      <c r="G152" s="6" t="s">
        <v>2005</v>
      </c>
      <c r="H152" s="6" t="s">
        <v>2005</v>
      </c>
      <c r="I152" s="6" t="str">
        <f t="shared" si="4"/>
        <v>Etc Bucket</v>
      </c>
      <c r="J152" s="6" t="s">
        <v>469</v>
      </c>
      <c r="K152" s="6">
        <v>1</v>
      </c>
      <c r="P152" s="6">
        <f t="shared" si="5"/>
        <v>3200000</v>
      </c>
      <c r="R152" s="6" t="s">
        <v>2003</v>
      </c>
      <c r="T152" s="6" t="s">
        <v>884</v>
      </c>
      <c r="U152" s="6">
        <v>2016</v>
      </c>
      <c r="V152" s="6">
        <v>1</v>
      </c>
      <c r="AD152" s="6" t="s">
        <v>45</v>
      </c>
      <c r="AJ152" s="31" t="s">
        <v>2122</v>
      </c>
      <c r="AK152" s="6">
        <v>1</v>
      </c>
      <c r="AL152" s="26">
        <v>3000000</v>
      </c>
      <c r="AM152" s="26">
        <v>3000000</v>
      </c>
      <c r="AN152" s="26">
        <v>3000000</v>
      </c>
      <c r="AO152" s="6" t="s">
        <v>2003</v>
      </c>
      <c r="AQ152" s="6" t="s">
        <v>1260</v>
      </c>
      <c r="AU152" s="6">
        <v>223777</v>
      </c>
    </row>
    <row r="153" spans="1:47" x14ac:dyDescent="0.3">
      <c r="A153" s="28" t="s">
        <v>42</v>
      </c>
      <c r="B153" s="6" t="s">
        <v>2183</v>
      </c>
      <c r="D153" s="6" t="s">
        <v>2101</v>
      </c>
      <c r="E153" s="6">
        <v>1</v>
      </c>
      <c r="F153" s="6" t="s">
        <v>2004</v>
      </c>
      <c r="G153" s="6" t="s">
        <v>2005</v>
      </c>
      <c r="H153" s="6" t="s">
        <v>2005</v>
      </c>
      <c r="I153" s="6" t="str">
        <f t="shared" si="4"/>
        <v>ETC</v>
      </c>
      <c r="J153" s="6" t="s">
        <v>151</v>
      </c>
      <c r="K153" s="6">
        <v>1</v>
      </c>
      <c r="P153" s="6">
        <f t="shared" si="5"/>
        <v>6500000</v>
      </c>
      <c r="R153" s="6" t="s">
        <v>2003</v>
      </c>
      <c r="T153" s="6">
        <v>1</v>
      </c>
      <c r="U153" s="6">
        <v>2014</v>
      </c>
      <c r="V153" s="6">
        <v>1</v>
      </c>
      <c r="AD153" s="6" t="s">
        <v>45</v>
      </c>
      <c r="AJ153" s="31" t="s">
        <v>2116</v>
      </c>
      <c r="AK153" s="6">
        <v>1</v>
      </c>
      <c r="AL153" s="26">
        <v>6000000</v>
      </c>
      <c r="AM153" s="26">
        <v>6000000</v>
      </c>
      <c r="AN153" s="26">
        <v>6000000</v>
      </c>
      <c r="AO153" s="6" t="s">
        <v>2003</v>
      </c>
      <c r="AQ153" s="6" t="s">
        <v>1185</v>
      </c>
      <c r="AU153" s="6">
        <v>223778</v>
      </c>
    </row>
    <row r="154" spans="1:47" x14ac:dyDescent="0.3">
      <c r="A154" s="28" t="s">
        <v>42</v>
      </c>
      <c r="B154" s="6" t="s">
        <v>2184</v>
      </c>
      <c r="C154" s="6" t="s">
        <v>1973</v>
      </c>
      <c r="D154" s="6" t="s">
        <v>2100</v>
      </c>
      <c r="E154" s="6">
        <v>1</v>
      </c>
      <c r="F154" s="6" t="s">
        <v>2004</v>
      </c>
      <c r="G154" s="6" t="s">
        <v>2005</v>
      </c>
      <c r="H154" s="6" t="s">
        <v>2005</v>
      </c>
      <c r="I154" s="6" t="str">
        <f t="shared" si="4"/>
        <v>Wood Grapple</v>
      </c>
      <c r="J154" s="6" t="s">
        <v>127</v>
      </c>
      <c r="K154" s="6">
        <v>1</v>
      </c>
      <c r="P154" s="6">
        <f t="shared" si="5"/>
        <v>2200000</v>
      </c>
      <c r="R154" s="6" t="s">
        <v>2003</v>
      </c>
      <c r="T154" s="6" t="s">
        <v>830</v>
      </c>
      <c r="U154" s="6">
        <v>2010</v>
      </c>
      <c r="V154" s="6">
        <v>1</v>
      </c>
      <c r="AD154" s="6" t="s">
        <v>45</v>
      </c>
      <c r="AJ154" s="31" t="s">
        <v>2114</v>
      </c>
      <c r="AK154" s="6">
        <v>1</v>
      </c>
      <c r="AL154" s="26">
        <v>2000000</v>
      </c>
      <c r="AM154" s="26">
        <v>2000000</v>
      </c>
      <c r="AN154" s="26">
        <v>2000000</v>
      </c>
      <c r="AO154" s="6" t="s">
        <v>2003</v>
      </c>
      <c r="AQ154" s="6" t="s">
        <v>830</v>
      </c>
      <c r="AU154" s="6">
        <v>223779</v>
      </c>
    </row>
    <row r="155" spans="1:47" x14ac:dyDescent="0.3">
      <c r="A155" s="29" t="s">
        <v>42</v>
      </c>
      <c r="B155" s="23" t="s">
        <v>2183</v>
      </c>
      <c r="C155" s="23"/>
      <c r="D155" s="23" t="s">
        <v>2101</v>
      </c>
      <c r="E155" s="23">
        <v>1</v>
      </c>
      <c r="F155" s="23" t="s">
        <v>2004</v>
      </c>
      <c r="G155" s="23" t="s">
        <v>2005</v>
      </c>
      <c r="H155" s="23" t="s">
        <v>2005</v>
      </c>
      <c r="I155" s="23" t="str">
        <f t="shared" si="4"/>
        <v>ETC</v>
      </c>
      <c r="J155" s="23" t="s">
        <v>88</v>
      </c>
      <c r="K155" s="6">
        <v>1</v>
      </c>
      <c r="P155" s="6">
        <f t="shared" si="5"/>
        <v>6500000</v>
      </c>
      <c r="R155" s="6" t="s">
        <v>2003</v>
      </c>
      <c r="T155" s="6">
        <v>1</v>
      </c>
      <c r="U155" s="6">
        <v>2014</v>
      </c>
      <c r="V155" s="6">
        <v>1</v>
      </c>
      <c r="AD155" s="6" t="s">
        <v>45</v>
      </c>
      <c r="AJ155" s="31" t="s">
        <v>2116</v>
      </c>
      <c r="AK155" s="6">
        <v>1</v>
      </c>
      <c r="AL155" s="26">
        <v>6000000</v>
      </c>
      <c r="AM155" s="26">
        <v>6000000</v>
      </c>
      <c r="AN155" s="26">
        <v>6000000</v>
      </c>
      <c r="AO155" s="6" t="s">
        <v>2003</v>
      </c>
      <c r="AQ155" s="6" t="s">
        <v>1185</v>
      </c>
      <c r="AU155" s="6">
        <v>223782</v>
      </c>
    </row>
    <row r="156" spans="1:47" x14ac:dyDescent="0.3">
      <c r="A156" s="28" t="s">
        <v>42</v>
      </c>
      <c r="B156" s="6" t="s">
        <v>2174</v>
      </c>
      <c r="C156" s="6" t="s">
        <v>1975</v>
      </c>
      <c r="D156" s="6" t="s">
        <v>2104</v>
      </c>
      <c r="E156" s="6">
        <v>1</v>
      </c>
      <c r="F156" s="6" t="s">
        <v>2004</v>
      </c>
      <c r="G156" s="6" t="s">
        <v>2005</v>
      </c>
      <c r="H156" s="6" t="s">
        <v>2005</v>
      </c>
      <c r="I156" s="6" t="str">
        <f t="shared" si="4"/>
        <v>Side Breaker</v>
      </c>
      <c r="J156" s="6" t="s">
        <v>325</v>
      </c>
      <c r="K156" s="6">
        <v>1</v>
      </c>
      <c r="P156" s="6">
        <f t="shared" si="5"/>
        <v>3200000</v>
      </c>
      <c r="R156" s="6" t="s">
        <v>2003</v>
      </c>
      <c r="T156" s="6" t="s">
        <v>2009</v>
      </c>
      <c r="U156" s="6">
        <v>2009</v>
      </c>
      <c r="V156" s="6">
        <v>1</v>
      </c>
      <c r="AD156" s="6" t="s">
        <v>45</v>
      </c>
      <c r="AJ156" s="31" t="s">
        <v>2110</v>
      </c>
      <c r="AK156" s="6">
        <v>1</v>
      </c>
      <c r="AL156" s="26">
        <v>3000000</v>
      </c>
      <c r="AM156" s="26">
        <v>3000000</v>
      </c>
      <c r="AN156" s="26">
        <v>3000000</v>
      </c>
      <c r="AO156" s="6" t="s">
        <v>2003</v>
      </c>
      <c r="AQ156" s="6" t="s">
        <v>1152</v>
      </c>
      <c r="AU156" s="6">
        <v>223783</v>
      </c>
    </row>
    <row r="157" spans="1:47" x14ac:dyDescent="0.3">
      <c r="A157" s="28" t="s">
        <v>42</v>
      </c>
      <c r="B157" s="6" t="s">
        <v>2184</v>
      </c>
      <c r="C157" s="6" t="s">
        <v>1974</v>
      </c>
      <c r="D157" s="6" t="s">
        <v>2100</v>
      </c>
      <c r="E157" s="6">
        <v>1</v>
      </c>
      <c r="F157" s="6" t="s">
        <v>2004</v>
      </c>
      <c r="G157" s="6" t="s">
        <v>2005</v>
      </c>
      <c r="H157" s="6" t="s">
        <v>2005</v>
      </c>
      <c r="I157" s="6" t="str">
        <f t="shared" si="4"/>
        <v>Etc Grapple</v>
      </c>
      <c r="J157" s="6" t="s">
        <v>136</v>
      </c>
      <c r="K157" s="6">
        <v>1</v>
      </c>
      <c r="P157" s="6">
        <f t="shared" si="5"/>
        <v>2200000</v>
      </c>
      <c r="R157" s="6" t="s">
        <v>2003</v>
      </c>
      <c r="T157" s="6" t="s">
        <v>2029</v>
      </c>
      <c r="U157" s="6">
        <v>2007</v>
      </c>
      <c r="V157" s="6">
        <v>1</v>
      </c>
      <c r="AD157" s="6" t="s">
        <v>45</v>
      </c>
      <c r="AJ157" s="31" t="s">
        <v>2123</v>
      </c>
      <c r="AK157" s="6">
        <v>1</v>
      </c>
      <c r="AL157" s="26">
        <v>2000000</v>
      </c>
      <c r="AM157" s="26">
        <v>2000000</v>
      </c>
      <c r="AN157" s="26">
        <v>2000000</v>
      </c>
      <c r="AO157" s="6" t="s">
        <v>2003</v>
      </c>
      <c r="AQ157" s="6" t="s">
        <v>1143</v>
      </c>
      <c r="AU157" s="6">
        <v>223784</v>
      </c>
    </row>
    <row r="158" spans="1:47" x14ac:dyDescent="0.3">
      <c r="A158" s="28" t="s">
        <v>42</v>
      </c>
      <c r="B158" s="6" t="s">
        <v>2174</v>
      </c>
      <c r="C158" s="6" t="s">
        <v>1975</v>
      </c>
      <c r="D158" s="6" t="s">
        <v>2105</v>
      </c>
      <c r="E158" s="6">
        <v>1</v>
      </c>
      <c r="F158" s="6" t="s">
        <v>2004</v>
      </c>
      <c r="G158" s="6" t="s">
        <v>2005</v>
      </c>
      <c r="H158" s="6" t="s">
        <v>2005</v>
      </c>
      <c r="I158" s="6" t="str">
        <f t="shared" si="4"/>
        <v>Side Breaker</v>
      </c>
      <c r="J158" s="6" t="s">
        <v>150</v>
      </c>
      <c r="K158" s="6">
        <v>1</v>
      </c>
      <c r="P158" s="6">
        <f t="shared" si="5"/>
        <v>8500000</v>
      </c>
      <c r="R158" s="6" t="s">
        <v>2003</v>
      </c>
      <c r="T158" s="6" t="s">
        <v>1843</v>
      </c>
      <c r="U158" s="6">
        <v>2013</v>
      </c>
      <c r="V158" s="6">
        <v>1</v>
      </c>
      <c r="AD158" s="6" t="s">
        <v>45</v>
      </c>
      <c r="AJ158" s="31" t="s">
        <v>2116</v>
      </c>
      <c r="AK158" s="6">
        <v>1</v>
      </c>
      <c r="AL158" s="26">
        <v>8000000</v>
      </c>
      <c r="AM158" s="26">
        <v>8000000</v>
      </c>
      <c r="AN158" s="26">
        <v>8000000</v>
      </c>
      <c r="AO158" s="6" t="s">
        <v>2003</v>
      </c>
      <c r="AQ158" s="6" t="s">
        <v>60</v>
      </c>
      <c r="AU158" s="6">
        <v>223792</v>
      </c>
    </row>
    <row r="159" spans="1:47" x14ac:dyDescent="0.3">
      <c r="A159" s="28" t="s">
        <v>42</v>
      </c>
      <c r="B159" s="6" t="s">
        <v>2183</v>
      </c>
      <c r="D159" s="6" t="s">
        <v>2101</v>
      </c>
      <c r="E159" s="6">
        <v>1</v>
      </c>
      <c r="F159" s="6" t="s">
        <v>2004</v>
      </c>
      <c r="G159" s="6" t="s">
        <v>2005</v>
      </c>
      <c r="H159" s="6" t="s">
        <v>2005</v>
      </c>
      <c r="I159" s="6" t="str">
        <f t="shared" si="4"/>
        <v>ETC</v>
      </c>
      <c r="J159" s="6" t="s">
        <v>151</v>
      </c>
      <c r="K159" s="6">
        <v>1</v>
      </c>
      <c r="P159" s="6">
        <f t="shared" si="5"/>
        <v>7000000</v>
      </c>
      <c r="R159" s="6" t="s">
        <v>2003</v>
      </c>
      <c r="T159" s="6" t="s">
        <v>1844</v>
      </c>
      <c r="U159" s="6">
        <v>2010</v>
      </c>
      <c r="V159" s="6">
        <v>1</v>
      </c>
      <c r="AD159" s="6" t="s">
        <v>45</v>
      </c>
      <c r="AJ159" s="31" t="s">
        <v>2118</v>
      </c>
      <c r="AK159" s="6">
        <v>1</v>
      </c>
      <c r="AL159" s="26">
        <v>6500000</v>
      </c>
      <c r="AM159" s="26">
        <v>6500000</v>
      </c>
      <c r="AN159" s="26">
        <v>6500000</v>
      </c>
      <c r="AO159" s="6" t="s">
        <v>2003</v>
      </c>
      <c r="AQ159" s="6" t="s">
        <v>63</v>
      </c>
      <c r="AU159" s="6">
        <v>223793</v>
      </c>
    </row>
    <row r="160" spans="1:47" x14ac:dyDescent="0.3">
      <c r="A160" s="28" t="s">
        <v>42</v>
      </c>
      <c r="B160" s="6" t="s">
        <v>2174</v>
      </c>
      <c r="C160" s="6" t="s">
        <v>1975</v>
      </c>
      <c r="D160" s="6" t="s">
        <v>2100</v>
      </c>
      <c r="E160" s="6">
        <v>1</v>
      </c>
      <c r="F160" s="6" t="s">
        <v>2004</v>
      </c>
      <c r="G160" s="6" t="s">
        <v>2005</v>
      </c>
      <c r="H160" s="6" t="s">
        <v>2005</v>
      </c>
      <c r="I160" s="6" t="str">
        <f t="shared" si="4"/>
        <v>Side Breaker</v>
      </c>
      <c r="J160" s="6" t="s">
        <v>389</v>
      </c>
      <c r="K160" s="6">
        <v>1</v>
      </c>
      <c r="P160" s="6">
        <f t="shared" si="5"/>
        <v>1500000</v>
      </c>
      <c r="R160" s="6" t="s">
        <v>2003</v>
      </c>
      <c r="T160" s="6" t="s">
        <v>822</v>
      </c>
      <c r="U160" s="6">
        <v>2015</v>
      </c>
      <c r="V160" s="6">
        <v>5</v>
      </c>
      <c r="AD160" s="6" t="s">
        <v>45</v>
      </c>
      <c r="AJ160" s="31" t="s">
        <v>2123</v>
      </c>
      <c r="AK160" s="6">
        <v>1</v>
      </c>
      <c r="AL160" s="26">
        <v>1400000</v>
      </c>
      <c r="AM160" s="26">
        <v>1400000</v>
      </c>
      <c r="AN160" s="26">
        <v>1400000</v>
      </c>
      <c r="AO160" s="6" t="s">
        <v>2003</v>
      </c>
      <c r="AQ160" s="6" t="s">
        <v>92</v>
      </c>
      <c r="AU160" s="6">
        <v>223794</v>
      </c>
    </row>
    <row r="161" spans="1:47" x14ac:dyDescent="0.3">
      <c r="A161" s="28" t="s">
        <v>42</v>
      </c>
      <c r="B161" s="6" t="s">
        <v>2183</v>
      </c>
      <c r="D161" s="6" t="s">
        <v>2103</v>
      </c>
      <c r="E161" s="6">
        <v>1</v>
      </c>
      <c r="F161" s="6" t="s">
        <v>2004</v>
      </c>
      <c r="G161" s="6" t="s">
        <v>2005</v>
      </c>
      <c r="H161" s="6" t="s">
        <v>2005</v>
      </c>
      <c r="I161" s="6" t="str">
        <f t="shared" si="4"/>
        <v>ETC</v>
      </c>
      <c r="J161" s="6" t="s">
        <v>401</v>
      </c>
      <c r="K161" s="6">
        <v>1</v>
      </c>
      <c r="P161" s="6">
        <f t="shared" si="5"/>
        <v>1000000</v>
      </c>
      <c r="R161" s="6" t="s">
        <v>2003</v>
      </c>
      <c r="T161" s="6" t="s">
        <v>813</v>
      </c>
      <c r="U161" s="6">
        <v>2013</v>
      </c>
      <c r="V161" s="6">
        <v>1</v>
      </c>
      <c r="AD161" s="6" t="s">
        <v>45</v>
      </c>
      <c r="AJ161" s="31" t="s">
        <v>2113</v>
      </c>
      <c r="AK161" s="6">
        <v>1</v>
      </c>
      <c r="AL161" s="26">
        <v>900000</v>
      </c>
      <c r="AM161" s="26">
        <v>900000</v>
      </c>
      <c r="AN161" s="26">
        <v>900000</v>
      </c>
      <c r="AO161" s="6" t="s">
        <v>2003</v>
      </c>
      <c r="AQ161" s="6" t="s">
        <v>80</v>
      </c>
      <c r="AU161" s="6">
        <v>223795</v>
      </c>
    </row>
    <row r="162" spans="1:47" x14ac:dyDescent="0.3">
      <c r="A162" s="28" t="s">
        <v>42</v>
      </c>
      <c r="B162" s="6" t="s">
        <v>2183</v>
      </c>
      <c r="D162" s="6" t="s">
        <v>2105</v>
      </c>
      <c r="E162" s="6">
        <v>1</v>
      </c>
      <c r="F162" s="6" t="s">
        <v>2004</v>
      </c>
      <c r="G162" s="6" t="s">
        <v>2005</v>
      </c>
      <c r="H162" s="6" t="s">
        <v>2005</v>
      </c>
      <c r="I162" s="6" t="str">
        <f t="shared" si="4"/>
        <v>ETC</v>
      </c>
      <c r="J162" s="6" t="s">
        <v>231</v>
      </c>
      <c r="K162" s="6">
        <v>1</v>
      </c>
      <c r="P162" s="6">
        <f t="shared" si="5"/>
        <v>1500000</v>
      </c>
      <c r="R162" s="6" t="s">
        <v>2003</v>
      </c>
      <c r="T162" s="6" t="s">
        <v>885</v>
      </c>
      <c r="U162" s="6">
        <v>2014</v>
      </c>
      <c r="V162" s="6">
        <v>1</v>
      </c>
      <c r="AD162" s="6" t="s">
        <v>45</v>
      </c>
      <c r="AJ162" s="31" t="s">
        <v>2119</v>
      </c>
      <c r="AK162" s="6">
        <v>1</v>
      </c>
      <c r="AL162" s="26">
        <v>1400000</v>
      </c>
      <c r="AM162" s="26">
        <v>1400000</v>
      </c>
      <c r="AN162" s="26">
        <v>1400000</v>
      </c>
      <c r="AO162" s="6" t="s">
        <v>2003</v>
      </c>
      <c r="AQ162" s="6" t="s">
        <v>60</v>
      </c>
      <c r="AU162" s="6">
        <v>223805</v>
      </c>
    </row>
    <row r="163" spans="1:47" x14ac:dyDescent="0.3">
      <c r="A163" s="28" t="s">
        <v>42</v>
      </c>
      <c r="B163" s="6" t="s">
        <v>2192</v>
      </c>
      <c r="D163" s="6" t="s">
        <v>2104</v>
      </c>
      <c r="E163" s="6">
        <v>1</v>
      </c>
      <c r="F163" s="6" t="s">
        <v>2004</v>
      </c>
      <c r="G163" s="6" t="s">
        <v>2005</v>
      </c>
      <c r="H163" s="6" t="s">
        <v>2005</v>
      </c>
      <c r="I163" s="6" t="str">
        <f t="shared" si="4"/>
        <v>Lift Fork</v>
      </c>
      <c r="J163" s="6" t="s">
        <v>529</v>
      </c>
      <c r="K163" s="6">
        <v>1</v>
      </c>
      <c r="P163" s="6">
        <f t="shared" si="5"/>
        <v>1250000</v>
      </c>
      <c r="R163" s="6" t="s">
        <v>2003</v>
      </c>
      <c r="T163" s="6" t="s">
        <v>2030</v>
      </c>
      <c r="U163" s="6">
        <v>2017</v>
      </c>
      <c r="V163" s="6">
        <v>1</v>
      </c>
      <c r="AD163" s="6" t="s">
        <v>45</v>
      </c>
      <c r="AJ163" s="31" t="s">
        <v>2110</v>
      </c>
      <c r="AK163" s="6">
        <v>1</v>
      </c>
      <c r="AL163" s="26">
        <v>1150000</v>
      </c>
      <c r="AM163" s="26">
        <v>1150000</v>
      </c>
      <c r="AN163" s="26">
        <v>1150000</v>
      </c>
      <c r="AO163" s="6" t="s">
        <v>2003</v>
      </c>
      <c r="AQ163" s="6" t="s">
        <v>1155</v>
      </c>
      <c r="AU163" s="6">
        <v>223810</v>
      </c>
    </row>
    <row r="164" spans="1:47" x14ac:dyDescent="0.3">
      <c r="A164" s="28" t="s">
        <v>42</v>
      </c>
      <c r="B164" s="6" t="s">
        <v>2187</v>
      </c>
      <c r="C164" s="6" t="s">
        <v>1972</v>
      </c>
      <c r="D164" s="6" t="s">
        <v>2103</v>
      </c>
      <c r="E164" s="6">
        <v>1</v>
      </c>
      <c r="F164" s="6" t="s">
        <v>2004</v>
      </c>
      <c r="G164" s="6" t="s">
        <v>2005</v>
      </c>
      <c r="H164" s="6" t="s">
        <v>2005</v>
      </c>
      <c r="I164" s="6" t="str">
        <f t="shared" si="4"/>
        <v>Stone Grapple</v>
      </c>
      <c r="J164" s="6" t="s">
        <v>217</v>
      </c>
      <c r="K164" s="6">
        <v>1</v>
      </c>
      <c r="P164" s="6">
        <f t="shared" si="5"/>
        <v>6500000</v>
      </c>
      <c r="R164" s="6" t="s">
        <v>2003</v>
      </c>
      <c r="T164" s="6" t="s">
        <v>813</v>
      </c>
      <c r="U164" s="6">
        <v>2013</v>
      </c>
      <c r="V164" s="6">
        <v>1</v>
      </c>
      <c r="AD164" s="6" t="s">
        <v>45</v>
      </c>
      <c r="AJ164" s="31" t="s">
        <v>2113</v>
      </c>
      <c r="AK164" s="6">
        <v>1</v>
      </c>
      <c r="AL164" s="26">
        <v>6000000</v>
      </c>
      <c r="AM164" s="26">
        <v>6000000</v>
      </c>
      <c r="AN164" s="26">
        <v>6000000</v>
      </c>
      <c r="AO164" s="6" t="s">
        <v>2003</v>
      </c>
      <c r="AQ164" s="6" t="s">
        <v>79</v>
      </c>
      <c r="AU164" s="6">
        <v>223814</v>
      </c>
    </row>
    <row r="165" spans="1:47" x14ac:dyDescent="0.3">
      <c r="A165" s="28" t="s">
        <v>42</v>
      </c>
      <c r="B165" s="6" t="s">
        <v>2187</v>
      </c>
      <c r="C165" s="6" t="s">
        <v>1972</v>
      </c>
      <c r="D165" s="6" t="s">
        <v>2104</v>
      </c>
      <c r="E165" s="6">
        <v>1</v>
      </c>
      <c r="F165" s="6" t="s">
        <v>2004</v>
      </c>
      <c r="G165" s="6" t="s">
        <v>2005</v>
      </c>
      <c r="H165" s="6" t="s">
        <v>2005</v>
      </c>
      <c r="I165" s="6" t="str">
        <f t="shared" si="4"/>
        <v>Stone Grapple</v>
      </c>
      <c r="J165" s="6" t="s">
        <v>44</v>
      </c>
      <c r="K165" s="6">
        <v>1</v>
      </c>
      <c r="P165" s="6">
        <f t="shared" si="5"/>
        <v>2300000</v>
      </c>
      <c r="R165" s="6" t="s">
        <v>2003</v>
      </c>
      <c r="T165" s="6" t="s">
        <v>813</v>
      </c>
      <c r="U165" s="6">
        <v>2013</v>
      </c>
      <c r="V165" s="6">
        <v>1</v>
      </c>
      <c r="AD165" s="6" t="s">
        <v>45</v>
      </c>
      <c r="AJ165" s="31" t="s">
        <v>2113</v>
      </c>
      <c r="AK165" s="6">
        <v>1</v>
      </c>
      <c r="AL165" s="26">
        <v>2100000</v>
      </c>
      <c r="AM165" s="26">
        <v>2100000</v>
      </c>
      <c r="AN165" s="26">
        <v>2100000</v>
      </c>
      <c r="AO165" s="6" t="s">
        <v>2003</v>
      </c>
      <c r="AQ165" s="6" t="s">
        <v>80</v>
      </c>
      <c r="AU165" s="6">
        <v>223815</v>
      </c>
    </row>
    <row r="166" spans="1:47" x14ac:dyDescent="0.3">
      <c r="A166" s="28" t="s">
        <v>42</v>
      </c>
      <c r="B166" s="6" t="s">
        <v>2187</v>
      </c>
      <c r="C166" s="6" t="s">
        <v>1984</v>
      </c>
      <c r="D166" s="6" t="s">
        <v>2103</v>
      </c>
      <c r="E166" s="6">
        <v>1</v>
      </c>
      <c r="F166" s="6" t="s">
        <v>2004</v>
      </c>
      <c r="G166" s="6" t="s">
        <v>2005</v>
      </c>
      <c r="H166" s="6" t="s">
        <v>2005</v>
      </c>
      <c r="I166" s="6" t="str">
        <f t="shared" si="4"/>
        <v>Scrap Grapple</v>
      </c>
      <c r="J166" s="6" t="s">
        <v>323</v>
      </c>
      <c r="K166" s="6">
        <v>1</v>
      </c>
      <c r="P166" s="6">
        <f t="shared" si="5"/>
        <v>5500000</v>
      </c>
      <c r="R166" s="6" t="s">
        <v>2003</v>
      </c>
      <c r="T166" s="6" t="s">
        <v>886</v>
      </c>
      <c r="U166" s="6">
        <v>2012</v>
      </c>
      <c r="V166" s="6">
        <v>1</v>
      </c>
      <c r="AD166" s="6" t="s">
        <v>45</v>
      </c>
      <c r="AJ166" s="31" t="s">
        <v>2116</v>
      </c>
      <c r="AK166" s="6">
        <v>1</v>
      </c>
      <c r="AL166" s="26">
        <v>5000000</v>
      </c>
      <c r="AM166" s="26">
        <v>5000000</v>
      </c>
      <c r="AN166" s="26">
        <v>5000000</v>
      </c>
      <c r="AO166" s="6" t="s">
        <v>2003</v>
      </c>
      <c r="AQ166" s="6" t="s">
        <v>1250</v>
      </c>
      <c r="AU166" s="6">
        <v>223816</v>
      </c>
    </row>
    <row r="167" spans="1:47" x14ac:dyDescent="0.3">
      <c r="A167" s="28" t="s">
        <v>42</v>
      </c>
      <c r="B167" s="6" t="s">
        <v>2187</v>
      </c>
      <c r="C167" s="6" t="s">
        <v>1972</v>
      </c>
      <c r="D167" s="6" t="s">
        <v>2100</v>
      </c>
      <c r="E167" s="6">
        <v>1</v>
      </c>
      <c r="F167" s="6" t="s">
        <v>2004</v>
      </c>
      <c r="G167" s="6" t="s">
        <v>2005</v>
      </c>
      <c r="H167" s="6" t="s">
        <v>2005</v>
      </c>
      <c r="I167" s="6" t="str">
        <f t="shared" si="4"/>
        <v>Stone Grapple</v>
      </c>
      <c r="J167" s="6" t="s">
        <v>168</v>
      </c>
      <c r="K167" s="6">
        <v>1</v>
      </c>
      <c r="P167" s="6">
        <f t="shared" si="5"/>
        <v>1500000</v>
      </c>
      <c r="R167" s="6" t="s">
        <v>2003</v>
      </c>
      <c r="T167" s="6" t="s">
        <v>1845</v>
      </c>
      <c r="U167" s="6">
        <v>2012</v>
      </c>
      <c r="V167" s="6">
        <v>1</v>
      </c>
      <c r="AD167" s="6" t="s">
        <v>45</v>
      </c>
      <c r="AJ167" s="31" t="s">
        <v>2110</v>
      </c>
      <c r="AK167" s="6">
        <v>1</v>
      </c>
      <c r="AL167" s="26">
        <v>1400000</v>
      </c>
      <c r="AM167" s="26">
        <v>1400000</v>
      </c>
      <c r="AN167" s="26">
        <v>1400000</v>
      </c>
      <c r="AO167" s="6" t="s">
        <v>2003</v>
      </c>
      <c r="AQ167" s="6" t="s">
        <v>1150</v>
      </c>
      <c r="AU167" s="6">
        <v>223819</v>
      </c>
    </row>
    <row r="168" spans="1:47" x14ac:dyDescent="0.3">
      <c r="A168" s="28" t="s">
        <v>42</v>
      </c>
      <c r="B168" s="6" t="s">
        <v>2186</v>
      </c>
      <c r="C168" s="19" t="s">
        <v>2205</v>
      </c>
      <c r="D168" s="6" t="s">
        <v>2105</v>
      </c>
      <c r="E168" s="6">
        <v>1</v>
      </c>
      <c r="F168" s="6" t="s">
        <v>2004</v>
      </c>
      <c r="G168" s="6" t="s">
        <v>2005</v>
      </c>
      <c r="H168" s="6" t="s">
        <v>2005</v>
      </c>
      <c r="I168" s="6" t="str">
        <f t="shared" si="4"/>
        <v>Standard Bucket</v>
      </c>
      <c r="J168" s="6" t="s">
        <v>260</v>
      </c>
      <c r="K168" s="6">
        <v>1</v>
      </c>
      <c r="P168" s="6">
        <f t="shared" si="5"/>
        <v>2000000</v>
      </c>
      <c r="R168" s="6" t="s">
        <v>2003</v>
      </c>
      <c r="T168" s="6" t="s">
        <v>887</v>
      </c>
      <c r="U168" s="6">
        <v>2015</v>
      </c>
      <c r="V168" s="6">
        <v>1</v>
      </c>
      <c r="AD168" s="6" t="s">
        <v>45</v>
      </c>
      <c r="AJ168" s="31" t="s">
        <v>2116</v>
      </c>
      <c r="AK168" s="6">
        <v>1</v>
      </c>
      <c r="AL168" s="26">
        <v>1900000</v>
      </c>
      <c r="AM168" s="26">
        <v>1900000</v>
      </c>
      <c r="AN168" s="26">
        <v>1900000</v>
      </c>
      <c r="AO168" s="6" t="s">
        <v>2003</v>
      </c>
      <c r="AQ168" s="6" t="s">
        <v>1185</v>
      </c>
      <c r="AU168" s="6">
        <v>223821</v>
      </c>
    </row>
    <row r="169" spans="1:47" x14ac:dyDescent="0.3">
      <c r="A169" s="28" t="s">
        <v>42</v>
      </c>
      <c r="B169" s="6" t="s">
        <v>2174</v>
      </c>
      <c r="C169" s="6" t="s">
        <v>1975</v>
      </c>
      <c r="D169" s="6" t="s">
        <v>2100</v>
      </c>
      <c r="E169" s="6">
        <v>1</v>
      </c>
      <c r="F169" s="6" t="s">
        <v>2004</v>
      </c>
      <c r="G169" s="6" t="s">
        <v>2005</v>
      </c>
      <c r="H169" s="6" t="s">
        <v>2005</v>
      </c>
      <c r="I169" s="6" t="str">
        <f t="shared" si="4"/>
        <v>Side Breaker</v>
      </c>
      <c r="J169" s="6" t="s">
        <v>312</v>
      </c>
      <c r="K169" s="6">
        <v>1</v>
      </c>
      <c r="P169" s="6">
        <f t="shared" si="5"/>
        <v>2700000</v>
      </c>
      <c r="R169" s="6" t="s">
        <v>2003</v>
      </c>
      <c r="T169" s="6" t="s">
        <v>2031</v>
      </c>
      <c r="U169" s="6">
        <v>2015</v>
      </c>
      <c r="V169" s="6">
        <v>7</v>
      </c>
      <c r="AD169" s="6" t="s">
        <v>45</v>
      </c>
      <c r="AJ169" s="31" t="s">
        <v>2123</v>
      </c>
      <c r="AK169" s="6">
        <v>1</v>
      </c>
      <c r="AL169" s="26">
        <v>2500000</v>
      </c>
      <c r="AM169" s="26">
        <v>2500000</v>
      </c>
      <c r="AN169" s="26">
        <v>2500000</v>
      </c>
      <c r="AO169" s="6" t="s">
        <v>2003</v>
      </c>
      <c r="AQ169" s="6" t="s">
        <v>1151</v>
      </c>
      <c r="AU169" s="6">
        <v>223823</v>
      </c>
    </row>
    <row r="170" spans="1:47" x14ac:dyDescent="0.3">
      <c r="A170" s="28" t="s">
        <v>42</v>
      </c>
      <c r="B170" s="6" t="s">
        <v>2184</v>
      </c>
      <c r="C170" s="6" t="s">
        <v>1972</v>
      </c>
      <c r="D170" s="6" t="s">
        <v>2105</v>
      </c>
      <c r="E170" s="6">
        <v>1</v>
      </c>
      <c r="F170" s="6" t="s">
        <v>2004</v>
      </c>
      <c r="G170" s="6" t="s">
        <v>2005</v>
      </c>
      <c r="H170" s="6" t="s">
        <v>2005</v>
      </c>
      <c r="I170" s="6" t="str">
        <f t="shared" si="4"/>
        <v>Stone Grapple</v>
      </c>
      <c r="J170" s="6" t="s">
        <v>472</v>
      </c>
      <c r="K170" s="6">
        <v>1</v>
      </c>
      <c r="P170" s="6">
        <f t="shared" si="5"/>
        <v>9500000</v>
      </c>
      <c r="R170" s="6" t="s">
        <v>2003</v>
      </c>
      <c r="T170" s="6" t="s">
        <v>888</v>
      </c>
      <c r="U170" s="6">
        <v>2014</v>
      </c>
      <c r="V170" s="6">
        <v>7</v>
      </c>
      <c r="AD170" s="6" t="s">
        <v>45</v>
      </c>
      <c r="AJ170" s="31" t="s">
        <v>2118</v>
      </c>
      <c r="AK170" s="6">
        <v>1</v>
      </c>
      <c r="AL170" s="26">
        <v>9000000</v>
      </c>
      <c r="AM170" s="26">
        <v>9000000</v>
      </c>
      <c r="AN170" s="26">
        <v>9000000</v>
      </c>
      <c r="AO170" s="6" t="s">
        <v>2003</v>
      </c>
      <c r="AQ170" s="6" t="s">
        <v>67</v>
      </c>
      <c r="AU170" s="6">
        <v>223831</v>
      </c>
    </row>
    <row r="171" spans="1:47" x14ac:dyDescent="0.3">
      <c r="A171" s="28" t="s">
        <v>42</v>
      </c>
      <c r="B171" s="6" t="s">
        <v>2182</v>
      </c>
      <c r="C171" s="6" t="s">
        <v>1980</v>
      </c>
      <c r="D171" s="6" t="s">
        <v>2104</v>
      </c>
      <c r="E171" s="6">
        <v>1</v>
      </c>
      <c r="F171" s="6" t="s">
        <v>2004</v>
      </c>
      <c r="G171" s="6" t="s">
        <v>2005</v>
      </c>
      <c r="H171" s="6" t="s">
        <v>2005</v>
      </c>
      <c r="I171" s="6" t="str">
        <f t="shared" si="4"/>
        <v>Small Bucket</v>
      </c>
      <c r="J171" s="6" t="s">
        <v>97</v>
      </c>
      <c r="K171" s="6">
        <v>1</v>
      </c>
      <c r="P171" s="6">
        <f t="shared" si="5"/>
        <v>600000</v>
      </c>
      <c r="R171" s="6" t="s">
        <v>2003</v>
      </c>
      <c r="T171" s="6" t="s">
        <v>813</v>
      </c>
      <c r="U171" s="6">
        <v>2013</v>
      </c>
      <c r="V171" s="6">
        <v>1</v>
      </c>
      <c r="AD171" s="6" t="s">
        <v>45</v>
      </c>
      <c r="AJ171" s="31" t="s">
        <v>2113</v>
      </c>
      <c r="AK171" s="6">
        <v>1</v>
      </c>
      <c r="AL171" s="26">
        <v>500000</v>
      </c>
      <c r="AM171" s="26">
        <v>500000</v>
      </c>
      <c r="AN171" s="26">
        <v>500000</v>
      </c>
      <c r="AO171" s="6" t="s">
        <v>2003</v>
      </c>
      <c r="AQ171" s="6" t="s">
        <v>80</v>
      </c>
      <c r="AU171" s="6">
        <v>223837</v>
      </c>
    </row>
    <row r="172" spans="1:47" hidden="1" x14ac:dyDescent="0.3">
      <c r="A172" s="28" t="s">
        <v>42</v>
      </c>
      <c r="B172" s="6" t="s">
        <v>2184</v>
      </c>
      <c r="C172" s="6" t="s">
        <v>1974</v>
      </c>
      <c r="E172" s="6">
        <v>1</v>
      </c>
      <c r="F172" s="6" t="s">
        <v>2004</v>
      </c>
      <c r="G172" s="6" t="s">
        <v>2005</v>
      </c>
      <c r="H172" s="6" t="s">
        <v>2005</v>
      </c>
      <c r="I172" s="6" t="str">
        <f t="shared" si="4"/>
        <v>Etc Grapple</v>
      </c>
      <c r="J172" s="6" t="s">
        <v>474</v>
      </c>
      <c r="K172" s="6">
        <v>1</v>
      </c>
      <c r="P172" s="6">
        <f t="shared" si="5"/>
        <v>3200000</v>
      </c>
      <c r="R172" s="6" t="s">
        <v>2003</v>
      </c>
      <c r="T172" s="6" t="s">
        <v>889</v>
      </c>
      <c r="U172" s="6">
        <v>2012</v>
      </c>
      <c r="V172" s="6">
        <v>1</v>
      </c>
      <c r="AD172" s="6" t="s">
        <v>45</v>
      </c>
      <c r="AJ172" s="31" t="s">
        <v>2125</v>
      </c>
      <c r="AK172" s="6">
        <v>1</v>
      </c>
      <c r="AL172" s="26">
        <v>3000000</v>
      </c>
      <c r="AM172" s="26">
        <v>3000000</v>
      </c>
      <c r="AN172" s="26">
        <v>3000000</v>
      </c>
      <c r="AO172" s="6" t="s">
        <v>2003</v>
      </c>
      <c r="AQ172" s="6" t="s">
        <v>1261</v>
      </c>
      <c r="AU172" s="6">
        <v>223841</v>
      </c>
    </row>
    <row r="173" spans="1:47" x14ac:dyDescent="0.3">
      <c r="A173" s="28" t="s">
        <v>42</v>
      </c>
      <c r="B173" s="6" t="s">
        <v>2174</v>
      </c>
      <c r="C173" s="6" t="s">
        <v>1975</v>
      </c>
      <c r="D173" s="6" t="s">
        <v>2105</v>
      </c>
      <c r="E173" s="6">
        <v>1</v>
      </c>
      <c r="F173" s="6" t="s">
        <v>2004</v>
      </c>
      <c r="G173" s="6" t="s">
        <v>2005</v>
      </c>
      <c r="H173" s="6" t="s">
        <v>2005</v>
      </c>
      <c r="I173" s="6" t="str">
        <f t="shared" si="4"/>
        <v>Side Breaker</v>
      </c>
      <c r="J173" s="6" t="s">
        <v>475</v>
      </c>
      <c r="K173" s="6">
        <v>1</v>
      </c>
      <c r="P173" s="6">
        <f t="shared" si="5"/>
        <v>9500000</v>
      </c>
      <c r="R173" s="6" t="s">
        <v>2003</v>
      </c>
      <c r="T173" s="6" t="s">
        <v>890</v>
      </c>
      <c r="U173" s="6">
        <v>2014</v>
      </c>
      <c r="V173" s="6">
        <v>1</v>
      </c>
      <c r="AD173" s="6" t="s">
        <v>45</v>
      </c>
      <c r="AJ173" s="31" t="s">
        <v>2116</v>
      </c>
      <c r="AK173" s="6">
        <v>1</v>
      </c>
      <c r="AL173" s="26">
        <v>9000000</v>
      </c>
      <c r="AM173" s="26">
        <v>9000000</v>
      </c>
      <c r="AN173" s="26">
        <v>9000000</v>
      </c>
      <c r="AO173" s="6" t="s">
        <v>2003</v>
      </c>
      <c r="AQ173" s="6" t="s">
        <v>1262</v>
      </c>
      <c r="AU173" s="6">
        <v>223842</v>
      </c>
    </row>
    <row r="174" spans="1:47" x14ac:dyDescent="0.3">
      <c r="A174" s="28" t="s">
        <v>42</v>
      </c>
      <c r="B174" s="6" t="s">
        <v>2183</v>
      </c>
      <c r="D174" s="6" t="s">
        <v>2105</v>
      </c>
      <c r="E174" s="6">
        <v>1</v>
      </c>
      <c r="F174" s="6" t="s">
        <v>2004</v>
      </c>
      <c r="G174" s="6" t="s">
        <v>2005</v>
      </c>
      <c r="H174" s="6" t="s">
        <v>2005</v>
      </c>
      <c r="I174" s="6" t="str">
        <f t="shared" si="4"/>
        <v>ETC</v>
      </c>
      <c r="J174" s="6" t="s">
        <v>477</v>
      </c>
      <c r="K174" s="6">
        <v>1</v>
      </c>
      <c r="P174" s="6">
        <f t="shared" si="5"/>
        <v>12500000</v>
      </c>
      <c r="R174" s="6" t="s">
        <v>2003</v>
      </c>
      <c r="T174" s="6" t="s">
        <v>891</v>
      </c>
      <c r="U174" s="6">
        <v>2014</v>
      </c>
      <c r="V174" s="6">
        <v>1</v>
      </c>
      <c r="AD174" s="6" t="s">
        <v>45</v>
      </c>
      <c r="AJ174" s="31" t="s">
        <v>2121</v>
      </c>
      <c r="AK174" s="6">
        <v>1</v>
      </c>
      <c r="AL174" s="26">
        <v>12000000</v>
      </c>
      <c r="AM174" s="26">
        <v>12000000</v>
      </c>
      <c r="AN174" s="26">
        <v>12000000</v>
      </c>
      <c r="AO174" s="6" t="s">
        <v>2003</v>
      </c>
      <c r="AQ174" s="6" t="s">
        <v>1262</v>
      </c>
      <c r="AU174" s="6">
        <v>223845</v>
      </c>
    </row>
    <row r="175" spans="1:47" x14ac:dyDescent="0.3">
      <c r="A175" s="28" t="s">
        <v>42</v>
      </c>
      <c r="B175" s="6" t="s">
        <v>2184</v>
      </c>
      <c r="C175" s="19" t="s">
        <v>2206</v>
      </c>
      <c r="D175" s="6" t="s">
        <v>2105</v>
      </c>
      <c r="E175" s="6">
        <v>1</v>
      </c>
      <c r="F175" s="6" t="s">
        <v>2004</v>
      </c>
      <c r="G175" s="6" t="s">
        <v>2005</v>
      </c>
      <c r="H175" s="6" t="s">
        <v>2005</v>
      </c>
      <c r="I175" s="6" t="str">
        <f t="shared" si="4"/>
        <v>Etc Grapple</v>
      </c>
      <c r="J175" s="6" t="s">
        <v>157</v>
      </c>
      <c r="K175" s="6">
        <v>1</v>
      </c>
      <c r="P175" s="6">
        <f t="shared" si="5"/>
        <v>6500000</v>
      </c>
      <c r="R175" s="6" t="s">
        <v>2003</v>
      </c>
      <c r="T175" s="6" t="s">
        <v>892</v>
      </c>
      <c r="U175" s="6">
        <v>2014</v>
      </c>
      <c r="V175" s="6">
        <v>1</v>
      </c>
      <c r="AD175" s="6" t="s">
        <v>45</v>
      </c>
      <c r="AJ175" s="31" t="s">
        <v>2121</v>
      </c>
      <c r="AK175" s="6">
        <v>1</v>
      </c>
      <c r="AL175" s="26">
        <v>6000000</v>
      </c>
      <c r="AM175" s="26">
        <v>6000000</v>
      </c>
      <c r="AN175" s="26">
        <v>6000000</v>
      </c>
      <c r="AO175" s="6" t="s">
        <v>2003</v>
      </c>
      <c r="AQ175" s="6" t="s">
        <v>1262</v>
      </c>
      <c r="AU175" s="6">
        <v>223851</v>
      </c>
    </row>
    <row r="176" spans="1:47" x14ac:dyDescent="0.3">
      <c r="A176" s="28" t="s">
        <v>42</v>
      </c>
      <c r="B176" s="6" t="s">
        <v>2193</v>
      </c>
      <c r="D176" s="6" t="s">
        <v>2105</v>
      </c>
      <c r="E176" s="6">
        <v>1</v>
      </c>
      <c r="F176" s="6" t="s">
        <v>2004</v>
      </c>
      <c r="G176" s="6" t="s">
        <v>2005</v>
      </c>
      <c r="H176" s="6" t="s">
        <v>2005</v>
      </c>
      <c r="I176" s="6" t="str">
        <f t="shared" si="4"/>
        <v>Ripper</v>
      </c>
      <c r="J176" s="6" t="s">
        <v>478</v>
      </c>
      <c r="K176" s="6">
        <v>1</v>
      </c>
      <c r="P176" s="6">
        <f t="shared" si="5"/>
        <v>1300000</v>
      </c>
      <c r="R176" s="6" t="s">
        <v>2003</v>
      </c>
      <c r="T176" s="6" t="s">
        <v>893</v>
      </c>
      <c r="U176" s="6">
        <v>2016</v>
      </c>
      <c r="V176" s="6">
        <v>1</v>
      </c>
      <c r="AD176" s="6" t="s">
        <v>45</v>
      </c>
      <c r="AJ176" s="31" t="s">
        <v>2121</v>
      </c>
      <c r="AK176" s="6">
        <v>1</v>
      </c>
      <c r="AL176" s="26">
        <v>1200000</v>
      </c>
      <c r="AM176" s="26">
        <v>1200000</v>
      </c>
      <c r="AN176" s="26">
        <v>1200000</v>
      </c>
      <c r="AO176" s="6" t="s">
        <v>2003</v>
      </c>
      <c r="AQ176" s="6" t="s">
        <v>1262</v>
      </c>
      <c r="AU176" s="6">
        <v>223854</v>
      </c>
    </row>
    <row r="177" spans="1:47" x14ac:dyDescent="0.3">
      <c r="A177" s="28" t="s">
        <v>42</v>
      </c>
      <c r="B177" s="6" t="s">
        <v>2184</v>
      </c>
      <c r="C177" s="6" t="s">
        <v>1972</v>
      </c>
      <c r="D177" s="6" t="s">
        <v>2104</v>
      </c>
      <c r="E177" s="6">
        <v>1</v>
      </c>
      <c r="F177" s="6" t="s">
        <v>2004</v>
      </c>
      <c r="G177" s="6" t="s">
        <v>2005</v>
      </c>
      <c r="H177" s="6" t="s">
        <v>2005</v>
      </c>
      <c r="I177" s="6" t="str">
        <f t="shared" si="4"/>
        <v>Stone Grapple</v>
      </c>
      <c r="J177" s="6" t="s">
        <v>120</v>
      </c>
      <c r="K177" s="6">
        <v>1</v>
      </c>
      <c r="P177" s="6">
        <f t="shared" si="5"/>
        <v>5000000</v>
      </c>
      <c r="R177" s="6" t="s">
        <v>2003</v>
      </c>
      <c r="T177" s="6" t="s">
        <v>813</v>
      </c>
      <c r="U177" s="6">
        <v>2013</v>
      </c>
      <c r="V177" s="6">
        <v>1</v>
      </c>
      <c r="AD177" s="6" t="s">
        <v>45</v>
      </c>
      <c r="AJ177" s="31" t="s">
        <v>2113</v>
      </c>
      <c r="AK177" s="6">
        <v>1</v>
      </c>
      <c r="AL177" s="26">
        <v>4800000</v>
      </c>
      <c r="AM177" s="26">
        <v>4800000</v>
      </c>
      <c r="AN177" s="26">
        <v>4800000</v>
      </c>
      <c r="AO177" s="6" t="s">
        <v>2003</v>
      </c>
      <c r="AQ177" s="6" t="s">
        <v>79</v>
      </c>
      <c r="AU177" s="6">
        <v>223856</v>
      </c>
    </row>
    <row r="178" spans="1:47" hidden="1" x14ac:dyDescent="0.3">
      <c r="A178" s="28" t="s">
        <v>42</v>
      </c>
      <c r="B178" s="6" t="s">
        <v>2184</v>
      </c>
      <c r="E178" s="6">
        <v>1</v>
      </c>
      <c r="F178" s="6" t="s">
        <v>2004</v>
      </c>
      <c r="G178" s="6" t="s">
        <v>2005</v>
      </c>
      <c r="H178" s="6" t="s">
        <v>2005</v>
      </c>
      <c r="I178" s="6" t="str">
        <f t="shared" si="4"/>
        <v>Grapple</v>
      </c>
      <c r="J178" s="6" t="s">
        <v>479</v>
      </c>
      <c r="K178" s="6">
        <v>1</v>
      </c>
      <c r="P178" s="6">
        <f t="shared" si="5"/>
        <v>1600000</v>
      </c>
      <c r="R178" s="6" t="s">
        <v>2003</v>
      </c>
      <c r="T178" s="6" t="s">
        <v>894</v>
      </c>
      <c r="U178" s="6">
        <v>2014</v>
      </c>
      <c r="V178" s="6">
        <v>1</v>
      </c>
      <c r="AD178" s="6" t="s">
        <v>45</v>
      </c>
      <c r="AJ178" s="31" t="s">
        <v>2114</v>
      </c>
      <c r="AK178" s="6">
        <v>1</v>
      </c>
      <c r="AL178" s="26">
        <v>1500000</v>
      </c>
      <c r="AM178" s="26">
        <v>1500000</v>
      </c>
      <c r="AN178" s="26">
        <v>1500000</v>
      </c>
      <c r="AO178" s="6" t="s">
        <v>2003</v>
      </c>
      <c r="AQ178" s="6" t="s">
        <v>1245</v>
      </c>
      <c r="AU178" s="6">
        <v>223858</v>
      </c>
    </row>
    <row r="179" spans="1:47" x14ac:dyDescent="0.3">
      <c r="A179" s="28" t="s">
        <v>42</v>
      </c>
      <c r="B179" s="6" t="s">
        <v>2193</v>
      </c>
      <c r="D179" s="6" t="s">
        <v>2100</v>
      </c>
      <c r="E179" s="6">
        <v>1</v>
      </c>
      <c r="F179" s="6" t="s">
        <v>2004</v>
      </c>
      <c r="G179" s="6" t="s">
        <v>2005</v>
      </c>
      <c r="H179" s="6" t="s">
        <v>2005</v>
      </c>
      <c r="I179" s="6" t="str">
        <f t="shared" si="4"/>
        <v>Ripper</v>
      </c>
      <c r="J179" s="6" t="s">
        <v>513</v>
      </c>
      <c r="K179" s="6">
        <v>1</v>
      </c>
      <c r="P179" s="6">
        <f t="shared" si="5"/>
        <v>430000</v>
      </c>
      <c r="R179" s="6" t="s">
        <v>2003</v>
      </c>
      <c r="T179" s="6" t="s">
        <v>2032</v>
      </c>
      <c r="U179" s="6">
        <v>2017</v>
      </c>
      <c r="V179" s="6">
        <v>1</v>
      </c>
      <c r="AD179" s="6" t="s">
        <v>45</v>
      </c>
      <c r="AJ179" s="31" t="s">
        <v>2110</v>
      </c>
      <c r="AK179" s="6">
        <v>1</v>
      </c>
      <c r="AL179" s="26">
        <v>380000</v>
      </c>
      <c r="AM179" s="26">
        <v>380000</v>
      </c>
      <c r="AN179" s="26">
        <v>380000</v>
      </c>
      <c r="AO179" s="6" t="s">
        <v>2003</v>
      </c>
      <c r="AQ179" s="6" t="s">
        <v>1155</v>
      </c>
      <c r="AU179" s="6">
        <v>223867</v>
      </c>
    </row>
    <row r="180" spans="1:47" x14ac:dyDescent="0.3">
      <c r="A180" s="28" t="s">
        <v>42</v>
      </c>
      <c r="B180" s="6" t="s">
        <v>2174</v>
      </c>
      <c r="C180" s="6" t="s">
        <v>1975</v>
      </c>
      <c r="D180" s="6" t="s">
        <v>2105</v>
      </c>
      <c r="E180" s="6">
        <v>1</v>
      </c>
      <c r="F180" s="6" t="s">
        <v>2004</v>
      </c>
      <c r="G180" s="6" t="s">
        <v>2005</v>
      </c>
      <c r="H180" s="6" t="s">
        <v>2005</v>
      </c>
      <c r="I180" s="6" t="str">
        <f t="shared" si="4"/>
        <v>Side Breaker</v>
      </c>
      <c r="J180" s="6" t="s">
        <v>481</v>
      </c>
      <c r="K180" s="6">
        <v>1</v>
      </c>
      <c r="P180" s="6">
        <f t="shared" si="5"/>
        <v>4200000</v>
      </c>
      <c r="R180" s="6" t="s">
        <v>2003</v>
      </c>
      <c r="T180" s="6" t="s">
        <v>2009</v>
      </c>
      <c r="U180" s="6">
        <v>2009</v>
      </c>
      <c r="V180" s="6">
        <v>1</v>
      </c>
      <c r="AD180" s="6" t="s">
        <v>45</v>
      </c>
      <c r="AJ180" s="31" t="s">
        <v>2117</v>
      </c>
      <c r="AK180" s="6">
        <v>1</v>
      </c>
      <c r="AL180" s="26">
        <v>4000000</v>
      </c>
      <c r="AM180" s="26">
        <v>4000000</v>
      </c>
      <c r="AN180" s="26">
        <v>4000000</v>
      </c>
      <c r="AO180" s="6" t="s">
        <v>2003</v>
      </c>
      <c r="AQ180" s="6" t="s">
        <v>1152</v>
      </c>
      <c r="AU180" s="6">
        <v>223871</v>
      </c>
    </row>
    <row r="181" spans="1:47" x14ac:dyDescent="0.3">
      <c r="A181" s="28" t="s">
        <v>42</v>
      </c>
      <c r="B181" s="6" t="s">
        <v>2184</v>
      </c>
      <c r="C181" s="6" t="s">
        <v>1974</v>
      </c>
      <c r="D181" s="6" t="s">
        <v>2100</v>
      </c>
      <c r="E181" s="6">
        <v>1</v>
      </c>
      <c r="F181" s="6" t="s">
        <v>2004</v>
      </c>
      <c r="G181" s="6" t="s">
        <v>2005</v>
      </c>
      <c r="H181" s="6" t="s">
        <v>2005</v>
      </c>
      <c r="I181" s="6" t="str">
        <f t="shared" si="4"/>
        <v>Etc Grapple</v>
      </c>
      <c r="J181" s="6" t="s">
        <v>136</v>
      </c>
      <c r="K181" s="6">
        <v>1</v>
      </c>
      <c r="P181" s="6">
        <f t="shared" si="5"/>
        <v>2500000</v>
      </c>
      <c r="R181" s="6" t="s">
        <v>2003</v>
      </c>
      <c r="T181" s="6" t="s">
        <v>895</v>
      </c>
      <c r="U181" s="6">
        <v>2015</v>
      </c>
      <c r="V181" s="6">
        <v>1</v>
      </c>
      <c r="AD181" s="6" t="s">
        <v>45</v>
      </c>
      <c r="AJ181" s="31" t="s">
        <v>2122</v>
      </c>
      <c r="AK181" s="6">
        <v>1</v>
      </c>
      <c r="AL181" s="26">
        <v>2300000</v>
      </c>
      <c r="AM181" s="26">
        <v>2300000</v>
      </c>
      <c r="AN181" s="26">
        <v>2300000</v>
      </c>
      <c r="AO181" s="6" t="s">
        <v>2003</v>
      </c>
      <c r="AQ181" s="6" t="s">
        <v>1188</v>
      </c>
      <c r="AU181" s="6">
        <v>223873</v>
      </c>
    </row>
    <row r="182" spans="1:47" hidden="1" x14ac:dyDescent="0.3">
      <c r="A182" s="28" t="s">
        <v>42</v>
      </c>
      <c r="B182" s="6" t="s">
        <v>2183</v>
      </c>
      <c r="E182" s="6">
        <v>1</v>
      </c>
      <c r="F182" s="6" t="s">
        <v>2004</v>
      </c>
      <c r="G182" s="6" t="s">
        <v>2005</v>
      </c>
      <c r="H182" s="6" t="s">
        <v>2005</v>
      </c>
      <c r="I182" s="6" t="str">
        <f t="shared" si="4"/>
        <v>ETC</v>
      </c>
      <c r="J182" s="6" t="s">
        <v>228</v>
      </c>
      <c r="K182" s="6">
        <v>1</v>
      </c>
      <c r="P182" s="6">
        <f t="shared" si="5"/>
        <v>4200000</v>
      </c>
      <c r="R182" s="6" t="s">
        <v>2003</v>
      </c>
      <c r="T182" s="6" t="s">
        <v>1846</v>
      </c>
      <c r="U182" s="6">
        <v>2009</v>
      </c>
      <c r="V182" s="6">
        <v>1</v>
      </c>
      <c r="AD182" s="6" t="s">
        <v>45</v>
      </c>
      <c r="AJ182" s="31" t="s">
        <v>2118</v>
      </c>
      <c r="AK182" s="6">
        <v>1</v>
      </c>
      <c r="AL182" s="26">
        <v>4000000</v>
      </c>
      <c r="AM182" s="26">
        <v>4000000</v>
      </c>
      <c r="AN182" s="26">
        <v>4000000</v>
      </c>
      <c r="AO182" s="6" t="s">
        <v>2003</v>
      </c>
      <c r="AQ182" s="6" t="s">
        <v>67</v>
      </c>
      <c r="AU182" s="6">
        <v>223878</v>
      </c>
    </row>
    <row r="183" spans="1:47" x14ac:dyDescent="0.3">
      <c r="A183" s="28" t="s">
        <v>42</v>
      </c>
      <c r="B183" s="6" t="s">
        <v>2174</v>
      </c>
      <c r="C183" s="6" t="s">
        <v>1975</v>
      </c>
      <c r="D183" s="6" t="s">
        <v>2106</v>
      </c>
      <c r="E183" s="6">
        <v>1</v>
      </c>
      <c r="F183" s="6" t="s">
        <v>2004</v>
      </c>
      <c r="G183" s="6" t="s">
        <v>2005</v>
      </c>
      <c r="H183" s="6" t="s">
        <v>2005</v>
      </c>
      <c r="I183" s="6" t="str">
        <f t="shared" si="4"/>
        <v>Side Breaker</v>
      </c>
      <c r="J183" s="6" t="s">
        <v>172</v>
      </c>
      <c r="K183" s="6">
        <v>1</v>
      </c>
      <c r="P183" s="6">
        <f t="shared" si="5"/>
        <v>1300000</v>
      </c>
      <c r="R183" s="6" t="s">
        <v>2003</v>
      </c>
      <c r="T183" s="6" t="s">
        <v>790</v>
      </c>
      <c r="U183" s="6">
        <v>2015</v>
      </c>
      <c r="V183" s="6">
        <v>1</v>
      </c>
      <c r="AD183" s="6" t="s">
        <v>45</v>
      </c>
      <c r="AJ183" s="31" t="s">
        <v>2112</v>
      </c>
      <c r="AK183" s="6">
        <v>1</v>
      </c>
      <c r="AL183" s="26">
        <v>1200000</v>
      </c>
      <c r="AM183" s="26">
        <v>1200000</v>
      </c>
      <c r="AN183" s="26">
        <v>1200000</v>
      </c>
      <c r="AO183" s="6" t="s">
        <v>2003</v>
      </c>
      <c r="AQ183" s="6" t="s">
        <v>1142</v>
      </c>
      <c r="AU183" s="6">
        <v>223879</v>
      </c>
    </row>
    <row r="184" spans="1:47" hidden="1" x14ac:dyDescent="0.3">
      <c r="A184" s="28" t="s">
        <v>42</v>
      </c>
      <c r="B184" s="6" t="s">
        <v>2184</v>
      </c>
      <c r="C184" s="6" t="s">
        <v>1972</v>
      </c>
      <c r="E184" s="6">
        <v>1</v>
      </c>
      <c r="F184" s="6" t="s">
        <v>2004</v>
      </c>
      <c r="G184" s="6" t="s">
        <v>2005</v>
      </c>
      <c r="H184" s="6" t="s">
        <v>2005</v>
      </c>
      <c r="I184" s="6" t="str">
        <f t="shared" si="4"/>
        <v>Stone Grapple</v>
      </c>
      <c r="J184" s="6" t="s">
        <v>482</v>
      </c>
      <c r="K184" s="6">
        <v>1</v>
      </c>
      <c r="P184" s="6">
        <f t="shared" si="5"/>
        <v>2200000</v>
      </c>
      <c r="R184" s="6" t="s">
        <v>2003</v>
      </c>
      <c r="T184" s="6" t="s">
        <v>896</v>
      </c>
      <c r="U184" s="6">
        <v>2017</v>
      </c>
      <c r="V184" s="6">
        <v>1</v>
      </c>
      <c r="AD184" s="6" t="s">
        <v>45</v>
      </c>
      <c r="AJ184" s="31" t="s">
        <v>2114</v>
      </c>
      <c r="AK184" s="6">
        <v>1</v>
      </c>
      <c r="AL184" s="26">
        <v>2000000</v>
      </c>
      <c r="AM184" s="26">
        <v>2000000</v>
      </c>
      <c r="AN184" s="26">
        <v>2000000</v>
      </c>
      <c r="AO184" s="6" t="s">
        <v>2003</v>
      </c>
      <c r="AQ184" s="6" t="s">
        <v>1245</v>
      </c>
      <c r="AU184" s="6">
        <v>223883</v>
      </c>
    </row>
    <row r="185" spans="1:47" x14ac:dyDescent="0.3">
      <c r="A185" s="28" t="s">
        <v>42</v>
      </c>
      <c r="B185" s="6" t="s">
        <v>2174</v>
      </c>
      <c r="C185" s="6" t="s">
        <v>1975</v>
      </c>
      <c r="D185" s="6" t="s">
        <v>2104</v>
      </c>
      <c r="E185" s="6">
        <v>1</v>
      </c>
      <c r="F185" s="6" t="s">
        <v>2004</v>
      </c>
      <c r="G185" s="6" t="s">
        <v>2005</v>
      </c>
      <c r="H185" s="6" t="s">
        <v>2005</v>
      </c>
      <c r="I185" s="6" t="str">
        <f t="shared" si="4"/>
        <v>Side Breaker</v>
      </c>
      <c r="J185" s="6" t="s">
        <v>119</v>
      </c>
      <c r="K185" s="6">
        <v>1</v>
      </c>
      <c r="P185" s="6">
        <f t="shared" si="5"/>
        <v>3000000</v>
      </c>
      <c r="R185" s="6" t="s">
        <v>2003</v>
      </c>
      <c r="T185" s="6" t="s">
        <v>789</v>
      </c>
      <c r="U185" s="6">
        <v>2007</v>
      </c>
      <c r="V185" s="6">
        <v>1</v>
      </c>
      <c r="AD185" s="6" t="s">
        <v>45</v>
      </c>
      <c r="AJ185" s="31" t="s">
        <v>2122</v>
      </c>
      <c r="AK185" s="6">
        <v>1</v>
      </c>
      <c r="AL185" s="26">
        <v>2800000</v>
      </c>
      <c r="AM185" s="26">
        <v>2800000</v>
      </c>
      <c r="AN185" s="26">
        <v>2800000</v>
      </c>
      <c r="AO185" s="6" t="s">
        <v>2003</v>
      </c>
      <c r="AQ185" s="6" t="s">
        <v>65</v>
      </c>
      <c r="AU185" s="6">
        <v>223889</v>
      </c>
    </row>
    <row r="186" spans="1:47" x14ac:dyDescent="0.3">
      <c r="A186" s="28" t="s">
        <v>42</v>
      </c>
      <c r="B186" s="6" t="s">
        <v>2196</v>
      </c>
      <c r="D186" s="6" t="s">
        <v>2104</v>
      </c>
      <c r="E186" s="6">
        <v>1</v>
      </c>
      <c r="F186" s="6" t="s">
        <v>2004</v>
      </c>
      <c r="G186" s="6" t="s">
        <v>2005</v>
      </c>
      <c r="H186" s="6" t="s">
        <v>2005</v>
      </c>
      <c r="I186" s="6" t="str">
        <f t="shared" si="4"/>
        <v>Shear&amp;Cutter</v>
      </c>
      <c r="J186" s="6" t="s">
        <v>646</v>
      </c>
      <c r="K186" s="6">
        <v>1</v>
      </c>
      <c r="P186" s="6">
        <f t="shared" si="5"/>
        <v>15500000</v>
      </c>
      <c r="R186" s="6" t="s">
        <v>2003</v>
      </c>
      <c r="T186" s="6" t="s">
        <v>789</v>
      </c>
      <c r="U186" s="6">
        <v>2014</v>
      </c>
      <c r="V186" s="6">
        <v>1</v>
      </c>
      <c r="AD186" s="6" t="s">
        <v>45</v>
      </c>
      <c r="AJ186" s="31" t="s">
        <v>2122</v>
      </c>
      <c r="AK186" s="6">
        <v>1</v>
      </c>
      <c r="AL186" s="26">
        <v>15000000</v>
      </c>
      <c r="AM186" s="26">
        <v>15000000</v>
      </c>
      <c r="AN186" s="26">
        <v>15000000</v>
      </c>
      <c r="AO186" s="6" t="s">
        <v>2003</v>
      </c>
      <c r="AQ186" s="6" t="s">
        <v>65</v>
      </c>
      <c r="AU186" s="6">
        <v>223891</v>
      </c>
    </row>
    <row r="187" spans="1:47" x14ac:dyDescent="0.3">
      <c r="A187" s="28" t="s">
        <v>42</v>
      </c>
      <c r="B187" s="6" t="s">
        <v>2184</v>
      </c>
      <c r="C187" s="6" t="s">
        <v>1974</v>
      </c>
      <c r="D187" s="6" t="s">
        <v>2104</v>
      </c>
      <c r="E187" s="6">
        <v>1</v>
      </c>
      <c r="F187" s="6" t="s">
        <v>2004</v>
      </c>
      <c r="G187" s="6" t="s">
        <v>2005</v>
      </c>
      <c r="H187" s="6" t="s">
        <v>2005</v>
      </c>
      <c r="I187" s="6" t="str">
        <f t="shared" si="4"/>
        <v>Etc Grapple</v>
      </c>
      <c r="J187" s="6" t="s">
        <v>125</v>
      </c>
      <c r="K187" s="6">
        <v>1</v>
      </c>
      <c r="P187" s="6">
        <f t="shared" si="5"/>
        <v>3200000</v>
      </c>
      <c r="R187" s="6" t="s">
        <v>2003</v>
      </c>
      <c r="T187" s="6" t="s">
        <v>897</v>
      </c>
      <c r="U187" s="6">
        <v>2012</v>
      </c>
      <c r="V187" s="6">
        <v>1</v>
      </c>
      <c r="AD187" s="6" t="s">
        <v>45</v>
      </c>
      <c r="AJ187" s="31" t="s">
        <v>2125</v>
      </c>
      <c r="AK187" s="6">
        <v>1</v>
      </c>
      <c r="AL187" s="26">
        <v>3000000</v>
      </c>
      <c r="AM187" s="26">
        <v>3000000</v>
      </c>
      <c r="AN187" s="26">
        <v>3000000</v>
      </c>
      <c r="AO187" s="6" t="s">
        <v>2003</v>
      </c>
      <c r="AQ187" s="6" t="s">
        <v>1261</v>
      </c>
      <c r="AU187" s="6">
        <v>223892</v>
      </c>
    </row>
    <row r="188" spans="1:47" x14ac:dyDescent="0.3">
      <c r="A188" s="28" t="s">
        <v>42</v>
      </c>
      <c r="B188" s="6" t="s">
        <v>2184</v>
      </c>
      <c r="C188" s="6" t="s">
        <v>1972</v>
      </c>
      <c r="D188" s="6" t="s">
        <v>2104</v>
      </c>
      <c r="E188" s="6">
        <v>1</v>
      </c>
      <c r="F188" s="6" t="s">
        <v>2004</v>
      </c>
      <c r="G188" s="6" t="s">
        <v>2005</v>
      </c>
      <c r="H188" s="6" t="s">
        <v>2005</v>
      </c>
      <c r="I188" s="6" t="str">
        <f t="shared" si="4"/>
        <v>Stone Grapple</v>
      </c>
      <c r="J188" s="6" t="s">
        <v>166</v>
      </c>
      <c r="K188" s="6">
        <v>1</v>
      </c>
      <c r="P188" s="6">
        <f t="shared" si="5"/>
        <v>2200000</v>
      </c>
      <c r="R188" s="6" t="s">
        <v>2003</v>
      </c>
      <c r="T188" s="6" t="s">
        <v>816</v>
      </c>
      <c r="U188" s="6">
        <v>2010</v>
      </c>
      <c r="V188" s="6">
        <v>1</v>
      </c>
      <c r="AD188" s="6" t="s">
        <v>45</v>
      </c>
      <c r="AJ188" s="31" t="s">
        <v>2112</v>
      </c>
      <c r="AK188" s="6">
        <v>1</v>
      </c>
      <c r="AL188" s="26">
        <v>2000000</v>
      </c>
      <c r="AM188" s="26">
        <v>2000000</v>
      </c>
      <c r="AN188" s="26">
        <v>2000000</v>
      </c>
      <c r="AO188" s="6" t="s">
        <v>2003</v>
      </c>
      <c r="AQ188" s="6" t="s">
        <v>1243</v>
      </c>
      <c r="AU188" s="6">
        <v>223895</v>
      </c>
    </row>
    <row r="189" spans="1:47" x14ac:dyDescent="0.3">
      <c r="A189" s="28" t="s">
        <v>42</v>
      </c>
      <c r="B189" s="6" t="s">
        <v>2182</v>
      </c>
      <c r="C189" s="19" t="s">
        <v>2205</v>
      </c>
      <c r="D189" s="6" t="s">
        <v>2100</v>
      </c>
      <c r="E189" s="6">
        <v>1</v>
      </c>
      <c r="F189" s="6" t="s">
        <v>2004</v>
      </c>
      <c r="G189" s="6" t="s">
        <v>2005</v>
      </c>
      <c r="H189" s="6" t="s">
        <v>2005</v>
      </c>
      <c r="I189" s="6" t="str">
        <f t="shared" si="4"/>
        <v>Standard Bucket</v>
      </c>
      <c r="J189" s="6" t="s">
        <v>430</v>
      </c>
      <c r="K189" s="6">
        <v>1</v>
      </c>
      <c r="P189" s="6">
        <f t="shared" si="5"/>
        <v>250000</v>
      </c>
      <c r="R189" s="6" t="s">
        <v>2003</v>
      </c>
      <c r="T189" s="6" t="s">
        <v>898</v>
      </c>
      <c r="U189" s="6">
        <v>2015</v>
      </c>
      <c r="V189" s="6">
        <v>1</v>
      </c>
      <c r="AD189" s="6" t="s">
        <v>45</v>
      </c>
      <c r="AJ189" s="31" t="s">
        <v>2116</v>
      </c>
      <c r="AK189" s="6">
        <v>1</v>
      </c>
      <c r="AL189" s="26">
        <v>200000</v>
      </c>
      <c r="AM189" s="26">
        <v>200000</v>
      </c>
      <c r="AN189" s="26">
        <v>200000</v>
      </c>
      <c r="AO189" s="6" t="s">
        <v>2003</v>
      </c>
      <c r="AQ189" s="6" t="s">
        <v>90</v>
      </c>
      <c r="AU189" s="6">
        <v>223899</v>
      </c>
    </row>
    <row r="190" spans="1:47" x14ac:dyDescent="0.3">
      <c r="A190" s="28" t="s">
        <v>42</v>
      </c>
      <c r="B190" s="6" t="s">
        <v>2184</v>
      </c>
      <c r="C190" s="6" t="s">
        <v>1974</v>
      </c>
      <c r="D190" s="6" t="s">
        <v>2104</v>
      </c>
      <c r="E190" s="6">
        <v>1</v>
      </c>
      <c r="F190" s="6" t="s">
        <v>2004</v>
      </c>
      <c r="G190" s="6" t="s">
        <v>2005</v>
      </c>
      <c r="H190" s="6" t="s">
        <v>2005</v>
      </c>
      <c r="I190" s="6" t="str">
        <f t="shared" si="4"/>
        <v>Etc Grapple</v>
      </c>
      <c r="J190" s="6" t="s">
        <v>125</v>
      </c>
      <c r="K190" s="6">
        <v>1</v>
      </c>
      <c r="P190" s="6">
        <f t="shared" si="5"/>
        <v>4200000</v>
      </c>
      <c r="R190" s="6" t="s">
        <v>2003</v>
      </c>
      <c r="T190" s="6" t="s">
        <v>899</v>
      </c>
      <c r="U190" s="6">
        <v>2011</v>
      </c>
      <c r="V190" s="6">
        <v>7</v>
      </c>
      <c r="AD190" s="6" t="s">
        <v>45</v>
      </c>
      <c r="AJ190" s="31" t="s">
        <v>2117</v>
      </c>
      <c r="AK190" s="6">
        <v>1</v>
      </c>
      <c r="AL190" s="26">
        <v>4000000</v>
      </c>
      <c r="AM190" s="26">
        <v>4000000</v>
      </c>
      <c r="AN190" s="26">
        <v>4000000</v>
      </c>
      <c r="AO190" s="6" t="s">
        <v>2003</v>
      </c>
      <c r="AQ190" s="6" t="s">
        <v>899</v>
      </c>
      <c r="AU190" s="6">
        <v>223905</v>
      </c>
    </row>
    <row r="191" spans="1:47" x14ac:dyDescent="0.3">
      <c r="A191" s="28" t="s">
        <v>42</v>
      </c>
      <c r="B191" s="6" t="s">
        <v>2192</v>
      </c>
      <c r="C191" s="6" t="s">
        <v>1980</v>
      </c>
      <c r="D191" s="6" t="s">
        <v>2104</v>
      </c>
      <c r="E191" s="6">
        <v>1</v>
      </c>
      <c r="F191" s="6" t="s">
        <v>2004</v>
      </c>
      <c r="G191" s="6" t="s">
        <v>2005</v>
      </c>
      <c r="H191" s="6" t="s">
        <v>2005</v>
      </c>
      <c r="I191" s="6" t="str">
        <f t="shared" si="4"/>
        <v>Small Bucket</v>
      </c>
      <c r="J191" s="6" t="s">
        <v>465</v>
      </c>
      <c r="K191" s="6">
        <v>1</v>
      </c>
      <c r="P191" s="6">
        <f t="shared" si="5"/>
        <v>1100000</v>
      </c>
      <c r="R191" s="6" t="s">
        <v>2003</v>
      </c>
      <c r="T191" s="6" t="s">
        <v>793</v>
      </c>
      <c r="U191" s="6">
        <v>2011</v>
      </c>
      <c r="V191" s="6">
        <v>1</v>
      </c>
      <c r="AD191" s="6" t="s">
        <v>45</v>
      </c>
      <c r="AJ191" s="31" t="s">
        <v>2116</v>
      </c>
      <c r="AK191" s="6">
        <v>1</v>
      </c>
      <c r="AL191" s="26">
        <v>1000000</v>
      </c>
      <c r="AM191" s="26">
        <v>1000000</v>
      </c>
      <c r="AN191" s="26">
        <v>1000000</v>
      </c>
      <c r="AO191" s="6" t="s">
        <v>2003</v>
      </c>
      <c r="AQ191" s="6" t="s">
        <v>1146</v>
      </c>
      <c r="AU191" s="6">
        <v>223906</v>
      </c>
    </row>
    <row r="192" spans="1:47" x14ac:dyDescent="0.3">
      <c r="A192" s="28" t="s">
        <v>42</v>
      </c>
      <c r="B192" s="6" t="s">
        <v>2183</v>
      </c>
      <c r="D192" s="6" t="s">
        <v>2100</v>
      </c>
      <c r="E192" s="6">
        <v>1</v>
      </c>
      <c r="F192" s="6" t="s">
        <v>2004</v>
      </c>
      <c r="G192" s="6" t="s">
        <v>2005</v>
      </c>
      <c r="H192" s="6" t="s">
        <v>2005</v>
      </c>
      <c r="I192" s="6" t="str">
        <f t="shared" si="4"/>
        <v>ETC</v>
      </c>
      <c r="J192" s="6" t="s">
        <v>138</v>
      </c>
      <c r="K192" s="6">
        <v>1</v>
      </c>
      <c r="P192" s="6">
        <f t="shared" si="5"/>
        <v>3700000</v>
      </c>
      <c r="R192" s="6" t="s">
        <v>2003</v>
      </c>
      <c r="T192" s="6" t="s">
        <v>2015</v>
      </c>
      <c r="U192" s="6">
        <v>2012</v>
      </c>
      <c r="V192" s="6">
        <v>6</v>
      </c>
      <c r="AD192" s="6" t="s">
        <v>45</v>
      </c>
      <c r="AJ192" s="31" t="s">
        <v>2113</v>
      </c>
      <c r="AK192" s="6">
        <v>1</v>
      </c>
      <c r="AL192" s="26">
        <v>3500000</v>
      </c>
      <c r="AM192" s="26">
        <v>3500000</v>
      </c>
      <c r="AN192" s="26">
        <v>3500000</v>
      </c>
      <c r="AO192" s="6" t="s">
        <v>2003</v>
      </c>
      <c r="AQ192" s="6" t="s">
        <v>47</v>
      </c>
      <c r="AU192" s="6">
        <v>223915</v>
      </c>
    </row>
    <row r="193" spans="1:47" x14ac:dyDescent="0.3">
      <c r="A193" s="28" t="s">
        <v>42</v>
      </c>
      <c r="B193" s="6" t="s">
        <v>2184</v>
      </c>
      <c r="C193" s="6" t="s">
        <v>1972</v>
      </c>
      <c r="D193" s="6" t="s">
        <v>2104</v>
      </c>
      <c r="E193" s="6">
        <v>1</v>
      </c>
      <c r="F193" s="6" t="s">
        <v>2004</v>
      </c>
      <c r="G193" s="6" t="s">
        <v>2005</v>
      </c>
      <c r="H193" s="6" t="s">
        <v>2005</v>
      </c>
      <c r="I193" s="6" t="str">
        <f t="shared" si="4"/>
        <v>Stone Grapple</v>
      </c>
      <c r="J193" s="6" t="s">
        <v>207</v>
      </c>
      <c r="K193" s="6">
        <v>1</v>
      </c>
      <c r="P193" s="6">
        <f t="shared" si="5"/>
        <v>2300000</v>
      </c>
      <c r="R193" s="6" t="s">
        <v>2003</v>
      </c>
      <c r="T193" s="6" t="s">
        <v>823</v>
      </c>
      <c r="U193" s="6">
        <v>2014</v>
      </c>
      <c r="V193" s="6">
        <v>1</v>
      </c>
      <c r="AD193" s="6" t="s">
        <v>45</v>
      </c>
      <c r="AJ193" s="31" t="s">
        <v>2113</v>
      </c>
      <c r="AK193" s="6">
        <v>1</v>
      </c>
      <c r="AL193" s="26">
        <v>2100000</v>
      </c>
      <c r="AM193" s="26">
        <v>2100000</v>
      </c>
      <c r="AN193" s="26">
        <v>2100000</v>
      </c>
      <c r="AO193" s="6" t="s">
        <v>2003</v>
      </c>
      <c r="AQ193" s="6" t="s">
        <v>49</v>
      </c>
      <c r="AU193" s="6">
        <v>223917</v>
      </c>
    </row>
    <row r="194" spans="1:47" x14ac:dyDescent="0.3">
      <c r="A194" s="28" t="s">
        <v>42</v>
      </c>
      <c r="B194" s="6" t="s">
        <v>2184</v>
      </c>
      <c r="C194" s="19" t="s">
        <v>2206</v>
      </c>
      <c r="D194" s="6" t="s">
        <v>2106</v>
      </c>
      <c r="E194" s="6">
        <v>1</v>
      </c>
      <c r="F194" s="6" t="s">
        <v>2004</v>
      </c>
      <c r="G194" s="6" t="s">
        <v>2005</v>
      </c>
      <c r="H194" s="6" t="s">
        <v>2005</v>
      </c>
      <c r="I194" s="6" t="str">
        <f t="shared" ref="I194:I257" si="6">IF(ISBLANK(C194),B194,C194)</f>
        <v>Etc Grapple</v>
      </c>
      <c r="J194" s="6" t="s">
        <v>717</v>
      </c>
      <c r="K194" s="6">
        <v>1</v>
      </c>
      <c r="P194" s="6">
        <f t="shared" si="5"/>
        <v>2250000</v>
      </c>
      <c r="R194" s="6" t="s">
        <v>2003</v>
      </c>
      <c r="T194" s="6" t="s">
        <v>2007</v>
      </c>
      <c r="U194" s="6">
        <v>2016</v>
      </c>
      <c r="V194" s="6">
        <v>1</v>
      </c>
      <c r="AD194" s="6" t="s">
        <v>45</v>
      </c>
      <c r="AJ194" s="31" t="s">
        <v>2113</v>
      </c>
      <c r="AK194" s="6">
        <v>1</v>
      </c>
      <c r="AL194" s="26">
        <v>2050000</v>
      </c>
      <c r="AM194" s="26">
        <v>2050000</v>
      </c>
      <c r="AN194" s="26">
        <v>2050000</v>
      </c>
      <c r="AO194" s="6" t="s">
        <v>2003</v>
      </c>
      <c r="AQ194" s="6" t="s">
        <v>49</v>
      </c>
      <c r="AU194" s="6">
        <v>223925</v>
      </c>
    </row>
    <row r="195" spans="1:47" x14ac:dyDescent="0.3">
      <c r="A195" s="28" t="s">
        <v>42</v>
      </c>
      <c r="B195" s="6" t="s">
        <v>2187</v>
      </c>
      <c r="C195" s="6" t="s">
        <v>1972</v>
      </c>
      <c r="D195" s="6" t="s">
        <v>2100</v>
      </c>
      <c r="E195" s="6">
        <v>1</v>
      </c>
      <c r="F195" s="6" t="s">
        <v>2004</v>
      </c>
      <c r="G195" s="6" t="s">
        <v>2005</v>
      </c>
      <c r="H195" s="6" t="s">
        <v>2005</v>
      </c>
      <c r="I195" s="6" t="str">
        <f t="shared" si="6"/>
        <v>Stone Grapple</v>
      </c>
      <c r="J195" s="6" t="s">
        <v>386</v>
      </c>
      <c r="K195" s="6">
        <v>1</v>
      </c>
      <c r="P195" s="6">
        <f t="shared" ref="P195:P258" si="7">IF(AM195&lt;500000,AM195+50000,IF(AND(AM195&gt;=500000,AM195&lt;2000000),AM195+100000,IF(AND(AM195&gt;=2000000,AM195&lt;5000000),AM195+200000,IF(AM195&gt;=5000000,AM195+500000,AM195))))</f>
        <v>1650000</v>
      </c>
      <c r="R195" s="6" t="s">
        <v>2003</v>
      </c>
      <c r="T195" s="6" t="s">
        <v>51</v>
      </c>
      <c r="U195" s="6">
        <v>2015</v>
      </c>
      <c r="V195" s="6">
        <v>1</v>
      </c>
      <c r="AD195" s="6" t="s">
        <v>45</v>
      </c>
      <c r="AJ195" s="31" t="s">
        <v>2113</v>
      </c>
      <c r="AK195" s="6">
        <v>1</v>
      </c>
      <c r="AL195" s="26">
        <v>1550000</v>
      </c>
      <c r="AM195" s="26">
        <v>1550000</v>
      </c>
      <c r="AN195" s="26">
        <v>1550000</v>
      </c>
      <c r="AO195" s="6" t="s">
        <v>2003</v>
      </c>
      <c r="AQ195" s="6" t="s">
        <v>49</v>
      </c>
      <c r="AU195" s="6">
        <v>223926</v>
      </c>
    </row>
    <row r="196" spans="1:47" x14ac:dyDescent="0.3">
      <c r="A196" s="28" t="s">
        <v>42</v>
      </c>
      <c r="B196" s="6" t="s">
        <v>2193</v>
      </c>
      <c r="D196" s="6" t="s">
        <v>2104</v>
      </c>
      <c r="E196" s="6">
        <v>1</v>
      </c>
      <c r="F196" s="6" t="s">
        <v>2004</v>
      </c>
      <c r="G196" s="6" t="s">
        <v>2005</v>
      </c>
      <c r="H196" s="6" t="s">
        <v>2005</v>
      </c>
      <c r="I196" s="6" t="str">
        <f t="shared" si="6"/>
        <v>Ripper</v>
      </c>
      <c r="J196" s="6" t="s">
        <v>268</v>
      </c>
      <c r="K196" s="6">
        <v>1</v>
      </c>
      <c r="P196" s="6">
        <f t="shared" si="7"/>
        <v>600000</v>
      </c>
      <c r="R196" s="6" t="s">
        <v>2003</v>
      </c>
      <c r="T196" s="6" t="s">
        <v>801</v>
      </c>
      <c r="U196" s="6">
        <v>2010</v>
      </c>
      <c r="V196" s="6">
        <v>1</v>
      </c>
      <c r="AD196" s="6" t="s">
        <v>45</v>
      </c>
      <c r="AJ196" s="31" t="s">
        <v>2110</v>
      </c>
      <c r="AK196" s="6">
        <v>1</v>
      </c>
      <c r="AL196" s="26">
        <v>500000</v>
      </c>
      <c r="AM196" s="26">
        <v>500000</v>
      </c>
      <c r="AN196" s="26">
        <v>500000</v>
      </c>
      <c r="AO196" s="6" t="s">
        <v>2003</v>
      </c>
      <c r="AQ196" s="6" t="s">
        <v>1225</v>
      </c>
      <c r="AU196" s="6">
        <v>223929</v>
      </c>
    </row>
    <row r="197" spans="1:47" x14ac:dyDescent="0.3">
      <c r="A197" s="28" t="s">
        <v>42</v>
      </c>
      <c r="B197" s="6" t="s">
        <v>2182</v>
      </c>
      <c r="C197" s="19" t="s">
        <v>2205</v>
      </c>
      <c r="D197" s="6" t="s">
        <v>2104</v>
      </c>
      <c r="E197" s="6">
        <v>1</v>
      </c>
      <c r="F197" s="6" t="s">
        <v>2004</v>
      </c>
      <c r="G197" s="6" t="s">
        <v>2005</v>
      </c>
      <c r="H197" s="6" t="s">
        <v>2005</v>
      </c>
      <c r="I197" s="6" t="str">
        <f t="shared" si="6"/>
        <v>Standard Bucket</v>
      </c>
      <c r="J197" s="6" t="s">
        <v>387</v>
      </c>
      <c r="K197" s="6">
        <v>1</v>
      </c>
      <c r="P197" s="6">
        <f t="shared" si="7"/>
        <v>1100000</v>
      </c>
      <c r="R197" s="6" t="s">
        <v>2003</v>
      </c>
      <c r="T197" s="6" t="s">
        <v>843</v>
      </c>
      <c r="U197" s="6">
        <v>2013</v>
      </c>
      <c r="V197" s="6">
        <v>1</v>
      </c>
      <c r="AD197" s="6" t="s">
        <v>45</v>
      </c>
      <c r="AJ197" s="31" t="s">
        <v>2118</v>
      </c>
      <c r="AK197" s="6">
        <v>1</v>
      </c>
      <c r="AL197" s="26">
        <v>1000000</v>
      </c>
      <c r="AM197" s="26">
        <v>1000000</v>
      </c>
      <c r="AN197" s="26">
        <v>1000000</v>
      </c>
      <c r="AO197" s="6" t="s">
        <v>2003</v>
      </c>
      <c r="AQ197" s="6" t="s">
        <v>1158</v>
      </c>
      <c r="AU197" s="6">
        <v>223931</v>
      </c>
    </row>
    <row r="198" spans="1:47" x14ac:dyDescent="0.3">
      <c r="A198" s="28" t="s">
        <v>42</v>
      </c>
      <c r="B198" s="6" t="s">
        <v>2174</v>
      </c>
      <c r="C198" s="6" t="s">
        <v>1975</v>
      </c>
      <c r="D198" s="6" t="s">
        <v>2100</v>
      </c>
      <c r="E198" s="6">
        <v>1</v>
      </c>
      <c r="F198" s="6" t="s">
        <v>2004</v>
      </c>
      <c r="G198" s="6" t="s">
        <v>2005</v>
      </c>
      <c r="H198" s="6" t="s">
        <v>2005</v>
      </c>
      <c r="I198" s="6" t="str">
        <f t="shared" si="6"/>
        <v>Side Breaker</v>
      </c>
      <c r="J198" s="6" t="s">
        <v>212</v>
      </c>
      <c r="K198" s="6">
        <v>1</v>
      </c>
      <c r="P198" s="6">
        <f t="shared" si="7"/>
        <v>1600000</v>
      </c>
      <c r="R198" s="6" t="s">
        <v>2003</v>
      </c>
      <c r="T198" s="6" t="s">
        <v>794</v>
      </c>
      <c r="U198" s="6">
        <v>2015</v>
      </c>
      <c r="V198" s="6">
        <v>1</v>
      </c>
      <c r="AD198" s="6" t="s">
        <v>45</v>
      </c>
      <c r="AJ198" s="31" t="s">
        <v>2122</v>
      </c>
      <c r="AK198" s="6">
        <v>1</v>
      </c>
      <c r="AL198" s="26">
        <v>1500000</v>
      </c>
      <c r="AM198" s="26">
        <v>1500000</v>
      </c>
      <c r="AN198" s="26">
        <v>1500000</v>
      </c>
      <c r="AO198" s="6" t="s">
        <v>2003</v>
      </c>
      <c r="AQ198" s="6" t="s">
        <v>1154</v>
      </c>
      <c r="AU198" s="6">
        <v>223936</v>
      </c>
    </row>
    <row r="199" spans="1:47" x14ac:dyDescent="0.3">
      <c r="A199" s="28" t="s">
        <v>42</v>
      </c>
      <c r="B199" s="6" t="s">
        <v>2184</v>
      </c>
      <c r="C199" s="6" t="s">
        <v>1972</v>
      </c>
      <c r="D199" s="6" t="s">
        <v>2100</v>
      </c>
      <c r="E199" s="6">
        <v>1</v>
      </c>
      <c r="F199" s="6" t="s">
        <v>2004</v>
      </c>
      <c r="G199" s="6" t="s">
        <v>2005</v>
      </c>
      <c r="H199" s="6" t="s">
        <v>2005</v>
      </c>
      <c r="I199" s="6" t="str">
        <f t="shared" si="6"/>
        <v>Stone Grapple</v>
      </c>
      <c r="J199" s="6" t="s">
        <v>109</v>
      </c>
      <c r="K199" s="6">
        <v>1</v>
      </c>
      <c r="P199" s="6">
        <f t="shared" si="7"/>
        <v>2500000</v>
      </c>
      <c r="R199" s="6" t="s">
        <v>2003</v>
      </c>
      <c r="T199" s="6" t="s">
        <v>900</v>
      </c>
      <c r="U199" s="6">
        <v>2011</v>
      </c>
      <c r="V199" s="6">
        <v>10</v>
      </c>
      <c r="AD199" s="6" t="s">
        <v>45</v>
      </c>
      <c r="AJ199" s="31" t="s">
        <v>2122</v>
      </c>
      <c r="AK199" s="6">
        <v>1</v>
      </c>
      <c r="AL199" s="26">
        <v>2300000</v>
      </c>
      <c r="AM199" s="26">
        <v>2300000</v>
      </c>
      <c r="AN199" s="26">
        <v>2300000</v>
      </c>
      <c r="AO199" s="6" t="s">
        <v>2003</v>
      </c>
      <c r="AQ199" s="6" t="s">
        <v>1163</v>
      </c>
      <c r="AU199" s="6">
        <v>223945</v>
      </c>
    </row>
    <row r="200" spans="1:47" x14ac:dyDescent="0.3">
      <c r="A200" s="28" t="s">
        <v>42</v>
      </c>
      <c r="B200" s="6" t="s">
        <v>2182</v>
      </c>
      <c r="C200" s="6" t="s">
        <v>1976</v>
      </c>
      <c r="D200" s="6" t="s">
        <v>2105</v>
      </c>
      <c r="E200" s="6">
        <v>1</v>
      </c>
      <c r="F200" s="6" t="s">
        <v>2004</v>
      </c>
      <c r="G200" s="6" t="s">
        <v>2005</v>
      </c>
      <c r="H200" s="6" t="s">
        <v>2005</v>
      </c>
      <c r="I200" s="6" t="str">
        <f t="shared" si="6"/>
        <v>Skeleton Bucket</v>
      </c>
      <c r="J200" s="6" t="s">
        <v>210</v>
      </c>
      <c r="K200" s="6">
        <v>1</v>
      </c>
      <c r="P200" s="6">
        <f t="shared" si="7"/>
        <v>1700000</v>
      </c>
      <c r="R200" s="6" t="s">
        <v>2003</v>
      </c>
      <c r="T200" s="6" t="s">
        <v>813</v>
      </c>
      <c r="U200" s="6">
        <v>2013</v>
      </c>
      <c r="V200" s="6">
        <v>1</v>
      </c>
      <c r="AD200" s="6" t="s">
        <v>45</v>
      </c>
      <c r="AJ200" s="31" t="s">
        <v>2113</v>
      </c>
      <c r="AK200" s="6">
        <v>1</v>
      </c>
      <c r="AL200" s="26">
        <v>1600000</v>
      </c>
      <c r="AM200" s="26">
        <v>1600000</v>
      </c>
      <c r="AN200" s="26">
        <v>1600000</v>
      </c>
      <c r="AO200" s="6" t="s">
        <v>2003</v>
      </c>
      <c r="AQ200" s="6" t="s">
        <v>79</v>
      </c>
      <c r="AU200" s="6">
        <v>223947</v>
      </c>
    </row>
    <row r="201" spans="1:47" x14ac:dyDescent="0.3">
      <c r="A201" s="28" t="s">
        <v>42</v>
      </c>
      <c r="B201" s="6" t="s">
        <v>2183</v>
      </c>
      <c r="D201" s="6" t="s">
        <v>2101</v>
      </c>
      <c r="E201" s="6">
        <v>1</v>
      </c>
      <c r="F201" s="6" t="s">
        <v>2004</v>
      </c>
      <c r="G201" s="6" t="s">
        <v>2005</v>
      </c>
      <c r="H201" s="6" t="s">
        <v>2005</v>
      </c>
      <c r="I201" s="6" t="str">
        <f t="shared" si="6"/>
        <v>ETC</v>
      </c>
      <c r="J201" s="6" t="s">
        <v>459</v>
      </c>
      <c r="K201" s="6">
        <v>1</v>
      </c>
      <c r="P201" s="6">
        <f t="shared" si="7"/>
        <v>2700000</v>
      </c>
      <c r="R201" s="6" t="s">
        <v>2003</v>
      </c>
      <c r="T201" s="6" t="s">
        <v>2011</v>
      </c>
      <c r="U201" s="6">
        <v>2010</v>
      </c>
      <c r="V201" s="6">
        <v>6</v>
      </c>
      <c r="AD201" s="6" t="s">
        <v>45</v>
      </c>
      <c r="AJ201" s="31" t="s">
        <v>2123</v>
      </c>
      <c r="AK201" s="6">
        <v>1</v>
      </c>
      <c r="AL201" s="26">
        <v>2500000</v>
      </c>
      <c r="AM201" s="26">
        <v>2500000</v>
      </c>
      <c r="AN201" s="26">
        <v>2500000</v>
      </c>
      <c r="AO201" s="6" t="s">
        <v>2003</v>
      </c>
      <c r="AQ201" s="6" t="s">
        <v>1200</v>
      </c>
      <c r="AU201" s="6">
        <v>223960</v>
      </c>
    </row>
    <row r="202" spans="1:47" x14ac:dyDescent="0.3">
      <c r="A202" s="28" t="s">
        <v>42</v>
      </c>
      <c r="B202" s="6" t="s">
        <v>2174</v>
      </c>
      <c r="C202" s="6" t="s">
        <v>1975</v>
      </c>
      <c r="D202" s="6" t="s">
        <v>2105</v>
      </c>
      <c r="E202" s="6">
        <v>1</v>
      </c>
      <c r="F202" s="6" t="s">
        <v>2004</v>
      </c>
      <c r="G202" s="6" t="s">
        <v>2005</v>
      </c>
      <c r="H202" s="6" t="s">
        <v>2005</v>
      </c>
      <c r="I202" s="6" t="str">
        <f t="shared" si="6"/>
        <v>Side Breaker</v>
      </c>
      <c r="J202" s="6" t="s">
        <v>306</v>
      </c>
      <c r="K202" s="6">
        <v>1</v>
      </c>
      <c r="P202" s="6">
        <f t="shared" si="7"/>
        <v>6000000</v>
      </c>
      <c r="R202" s="6" t="s">
        <v>2003</v>
      </c>
      <c r="T202" s="6" t="s">
        <v>2033</v>
      </c>
      <c r="U202" s="6">
        <v>2009</v>
      </c>
      <c r="V202" s="6">
        <v>1</v>
      </c>
      <c r="AD202" s="6" t="s">
        <v>45</v>
      </c>
      <c r="AJ202" s="31" t="s">
        <v>2121</v>
      </c>
      <c r="AK202" s="6">
        <v>1</v>
      </c>
      <c r="AL202" s="26">
        <v>5500000</v>
      </c>
      <c r="AM202" s="26">
        <v>5500000</v>
      </c>
      <c r="AN202" s="26">
        <v>5500000</v>
      </c>
      <c r="AO202" s="6" t="s">
        <v>2003</v>
      </c>
      <c r="AQ202" s="6" t="s">
        <v>1219</v>
      </c>
      <c r="AU202" s="6">
        <v>223981</v>
      </c>
    </row>
    <row r="203" spans="1:47" x14ac:dyDescent="0.3">
      <c r="A203" s="28" t="s">
        <v>42</v>
      </c>
      <c r="B203" s="6" t="s">
        <v>2183</v>
      </c>
      <c r="C203" s="6" t="s">
        <v>1979</v>
      </c>
      <c r="D203" s="6" t="s">
        <v>2100</v>
      </c>
      <c r="E203" s="6">
        <v>1</v>
      </c>
      <c r="F203" s="6" t="s">
        <v>2004</v>
      </c>
      <c r="G203" s="6" t="s">
        <v>2005</v>
      </c>
      <c r="H203" s="6" t="s">
        <v>2005</v>
      </c>
      <c r="I203" s="6" t="str">
        <f t="shared" si="6"/>
        <v>Thumb Grapple</v>
      </c>
      <c r="J203" s="6" t="s">
        <v>394</v>
      </c>
      <c r="K203" s="6">
        <v>1</v>
      </c>
      <c r="P203" s="6">
        <f t="shared" si="7"/>
        <v>1800000</v>
      </c>
      <c r="R203" s="6" t="s">
        <v>2003</v>
      </c>
      <c r="T203" s="6" t="s">
        <v>1847</v>
      </c>
      <c r="U203" s="6">
        <v>2017</v>
      </c>
      <c r="V203" s="6">
        <v>1</v>
      </c>
      <c r="AD203" s="6" t="s">
        <v>45</v>
      </c>
      <c r="AJ203" s="31" t="s">
        <v>2116</v>
      </c>
      <c r="AK203" s="6">
        <v>1</v>
      </c>
      <c r="AL203" s="26">
        <v>1700000</v>
      </c>
      <c r="AM203" s="26">
        <v>1700000</v>
      </c>
      <c r="AN203" s="26">
        <v>1700000</v>
      </c>
      <c r="AO203" s="6" t="s">
        <v>2003</v>
      </c>
      <c r="AQ203" s="6" t="s">
        <v>49</v>
      </c>
      <c r="AU203" s="6">
        <v>223982</v>
      </c>
    </row>
    <row r="204" spans="1:47" x14ac:dyDescent="0.3">
      <c r="A204" s="28" t="s">
        <v>42</v>
      </c>
      <c r="B204" s="6" t="s">
        <v>2184</v>
      </c>
      <c r="C204" s="6" t="s">
        <v>1972</v>
      </c>
      <c r="D204" s="6" t="s">
        <v>2104</v>
      </c>
      <c r="E204" s="6">
        <v>1</v>
      </c>
      <c r="F204" s="6" t="s">
        <v>2004</v>
      </c>
      <c r="G204" s="6" t="s">
        <v>2005</v>
      </c>
      <c r="H204" s="6" t="s">
        <v>2005</v>
      </c>
      <c r="I204" s="6" t="str">
        <f t="shared" si="6"/>
        <v>Stone Grapple</v>
      </c>
      <c r="J204" s="6" t="s">
        <v>50</v>
      </c>
      <c r="K204" s="6">
        <v>1</v>
      </c>
      <c r="P204" s="6">
        <f t="shared" si="7"/>
        <v>2800000</v>
      </c>
      <c r="R204" s="6" t="s">
        <v>2003</v>
      </c>
      <c r="T204" s="6" t="s">
        <v>2007</v>
      </c>
      <c r="U204" s="6">
        <v>2014</v>
      </c>
      <c r="V204" s="6">
        <v>1</v>
      </c>
      <c r="AD204" s="6" t="s">
        <v>45</v>
      </c>
      <c r="AJ204" s="31" t="s">
        <v>2113</v>
      </c>
      <c r="AK204" s="6">
        <v>1</v>
      </c>
      <c r="AL204" s="26">
        <v>2600000</v>
      </c>
      <c r="AM204" s="26">
        <v>2600000</v>
      </c>
      <c r="AN204" s="26">
        <v>2600000</v>
      </c>
      <c r="AO204" s="6" t="s">
        <v>2003</v>
      </c>
      <c r="AQ204" s="6" t="s">
        <v>49</v>
      </c>
      <c r="AU204" s="6">
        <v>223983</v>
      </c>
    </row>
    <row r="205" spans="1:47" x14ac:dyDescent="0.3">
      <c r="A205" s="28" t="s">
        <v>42</v>
      </c>
      <c r="B205" s="6" t="s">
        <v>2175</v>
      </c>
      <c r="C205" s="6" t="s">
        <v>1978</v>
      </c>
      <c r="D205" s="6" t="s">
        <v>2103</v>
      </c>
      <c r="E205" s="6">
        <v>1</v>
      </c>
      <c r="F205" s="6" t="s">
        <v>2004</v>
      </c>
      <c r="G205" s="6" t="s">
        <v>2005</v>
      </c>
      <c r="H205" s="6" t="s">
        <v>2005</v>
      </c>
      <c r="I205" s="6" t="str">
        <f t="shared" si="6"/>
        <v>Hydraulic Pulverizer</v>
      </c>
      <c r="J205" s="6" t="s">
        <v>471</v>
      </c>
      <c r="K205" s="6">
        <v>1</v>
      </c>
      <c r="P205" s="6">
        <f t="shared" si="7"/>
        <v>6500000</v>
      </c>
      <c r="R205" s="6" t="s">
        <v>2003</v>
      </c>
      <c r="T205" s="6" t="s">
        <v>813</v>
      </c>
      <c r="U205" s="6">
        <v>2014</v>
      </c>
      <c r="V205" s="6">
        <v>1</v>
      </c>
      <c r="AD205" s="6" t="s">
        <v>45</v>
      </c>
      <c r="AJ205" s="31" t="s">
        <v>2113</v>
      </c>
      <c r="AK205" s="6">
        <v>1</v>
      </c>
      <c r="AL205" s="26">
        <v>6000000</v>
      </c>
      <c r="AM205" s="26">
        <v>6000000</v>
      </c>
      <c r="AN205" s="26">
        <v>6000000</v>
      </c>
      <c r="AO205" s="6" t="s">
        <v>2003</v>
      </c>
      <c r="AQ205" s="6" t="s">
        <v>80</v>
      </c>
      <c r="AU205" s="6">
        <v>223985</v>
      </c>
    </row>
    <row r="206" spans="1:47" x14ac:dyDescent="0.3">
      <c r="A206" s="28" t="s">
        <v>42</v>
      </c>
      <c r="B206" s="6" t="s">
        <v>2192</v>
      </c>
      <c r="D206" s="6" t="s">
        <v>2100</v>
      </c>
      <c r="E206" s="6">
        <v>1</v>
      </c>
      <c r="F206" s="6" t="s">
        <v>2004</v>
      </c>
      <c r="G206" s="6" t="s">
        <v>2005</v>
      </c>
      <c r="H206" s="6" t="s">
        <v>2005</v>
      </c>
      <c r="I206" s="6" t="str">
        <f t="shared" si="6"/>
        <v>Lift Fork</v>
      </c>
      <c r="J206" s="6" t="s">
        <v>487</v>
      </c>
      <c r="K206" s="6">
        <v>1</v>
      </c>
      <c r="P206" s="6">
        <f t="shared" si="7"/>
        <v>1080000</v>
      </c>
      <c r="R206" s="6" t="s">
        <v>2003</v>
      </c>
      <c r="T206" s="6" t="s">
        <v>901</v>
      </c>
      <c r="U206" s="6">
        <v>2017</v>
      </c>
      <c r="V206" s="6">
        <v>1</v>
      </c>
      <c r="AD206" s="6" t="s">
        <v>45</v>
      </c>
      <c r="AJ206" s="31" t="s">
        <v>2116</v>
      </c>
      <c r="AK206" s="6">
        <v>1</v>
      </c>
      <c r="AL206" s="26">
        <v>980000</v>
      </c>
      <c r="AM206" s="26">
        <v>980000</v>
      </c>
      <c r="AN206" s="26">
        <v>980000</v>
      </c>
      <c r="AO206" s="6" t="s">
        <v>2003</v>
      </c>
      <c r="AQ206" s="6" t="s">
        <v>60</v>
      </c>
      <c r="AU206" s="6">
        <v>223991</v>
      </c>
    </row>
    <row r="207" spans="1:47" x14ac:dyDescent="0.3">
      <c r="A207" s="28" t="s">
        <v>42</v>
      </c>
      <c r="B207" s="6" t="s">
        <v>2192</v>
      </c>
      <c r="D207" s="6" t="s">
        <v>2104</v>
      </c>
      <c r="E207" s="6">
        <v>1</v>
      </c>
      <c r="F207" s="6" t="s">
        <v>2004</v>
      </c>
      <c r="G207" s="6" t="s">
        <v>2005</v>
      </c>
      <c r="H207" s="6" t="s">
        <v>2005</v>
      </c>
      <c r="I207" s="6" t="str">
        <f t="shared" si="6"/>
        <v>Lift Fork</v>
      </c>
      <c r="J207" s="6" t="s">
        <v>102</v>
      </c>
      <c r="K207" s="6">
        <v>1</v>
      </c>
      <c r="P207" s="6">
        <f t="shared" si="7"/>
        <v>1150000</v>
      </c>
      <c r="R207" s="6" t="s">
        <v>2003</v>
      </c>
      <c r="T207" s="6" t="s">
        <v>1112</v>
      </c>
      <c r="U207" s="6">
        <v>2017</v>
      </c>
      <c r="V207" s="6">
        <v>1</v>
      </c>
      <c r="AD207" s="6" t="s">
        <v>45</v>
      </c>
      <c r="AJ207" s="31" t="s">
        <v>2124</v>
      </c>
      <c r="AK207" s="6">
        <v>1</v>
      </c>
      <c r="AL207" s="26">
        <v>1050000</v>
      </c>
      <c r="AM207" s="26">
        <v>1050000</v>
      </c>
      <c r="AN207" s="26">
        <v>1050000</v>
      </c>
      <c r="AO207" s="6" t="s">
        <v>2003</v>
      </c>
      <c r="AQ207" s="6" t="s">
        <v>1144</v>
      </c>
      <c r="AU207" s="6">
        <v>223993</v>
      </c>
    </row>
    <row r="208" spans="1:47" x14ac:dyDescent="0.3">
      <c r="A208" s="28" t="s">
        <v>42</v>
      </c>
      <c r="B208" s="6" t="s">
        <v>2197</v>
      </c>
      <c r="D208" s="6" t="s">
        <v>2100</v>
      </c>
      <c r="E208" s="6">
        <v>1</v>
      </c>
      <c r="F208" s="6" t="s">
        <v>2004</v>
      </c>
      <c r="G208" s="6" t="s">
        <v>2005</v>
      </c>
      <c r="H208" s="6" t="s">
        <v>2005</v>
      </c>
      <c r="I208" s="6" t="str">
        <f t="shared" si="6"/>
        <v>Ripper</v>
      </c>
      <c r="J208" s="6" t="s">
        <v>488</v>
      </c>
      <c r="K208" s="6">
        <v>1</v>
      </c>
      <c r="P208" s="6">
        <f t="shared" si="7"/>
        <v>500000</v>
      </c>
      <c r="R208" s="6" t="s">
        <v>2003</v>
      </c>
      <c r="T208" s="6" t="s">
        <v>2034</v>
      </c>
      <c r="U208" s="6">
        <v>2017</v>
      </c>
      <c r="V208" s="6">
        <v>1</v>
      </c>
      <c r="AD208" s="6" t="s">
        <v>45</v>
      </c>
      <c r="AJ208" s="31" t="s">
        <v>2119</v>
      </c>
      <c r="AK208" s="6">
        <v>1</v>
      </c>
      <c r="AL208" s="26">
        <v>450000</v>
      </c>
      <c r="AM208" s="26">
        <v>450000</v>
      </c>
      <c r="AN208" s="26">
        <v>450000</v>
      </c>
      <c r="AO208" s="6" t="s">
        <v>2003</v>
      </c>
      <c r="AQ208" s="6" t="s">
        <v>60</v>
      </c>
      <c r="AU208" s="6">
        <v>223996</v>
      </c>
    </row>
    <row r="209" spans="1:47" x14ac:dyDescent="0.3">
      <c r="A209" s="28" t="s">
        <v>42</v>
      </c>
      <c r="B209" s="6" t="s">
        <v>2183</v>
      </c>
      <c r="C209" s="6" t="s">
        <v>1979</v>
      </c>
      <c r="D209" s="6" t="s">
        <v>2104</v>
      </c>
      <c r="E209" s="6">
        <v>1</v>
      </c>
      <c r="F209" s="6" t="s">
        <v>2004</v>
      </c>
      <c r="G209" s="6" t="s">
        <v>2005</v>
      </c>
      <c r="H209" s="6" t="s">
        <v>2005</v>
      </c>
      <c r="I209" s="6" t="str">
        <f t="shared" si="6"/>
        <v>Thumb Grapple</v>
      </c>
      <c r="J209" s="6" t="s">
        <v>176</v>
      </c>
      <c r="K209" s="6">
        <v>1</v>
      </c>
      <c r="P209" s="6">
        <f t="shared" si="7"/>
        <v>800000</v>
      </c>
      <c r="R209" s="6" t="s">
        <v>2003</v>
      </c>
      <c r="T209" s="6" t="s">
        <v>813</v>
      </c>
      <c r="U209" s="6">
        <v>2013</v>
      </c>
      <c r="V209" s="6">
        <v>1</v>
      </c>
      <c r="AD209" s="6" t="s">
        <v>45</v>
      </c>
      <c r="AJ209" s="31" t="s">
        <v>2113</v>
      </c>
      <c r="AK209" s="6">
        <v>1</v>
      </c>
      <c r="AL209" s="26">
        <v>700000</v>
      </c>
      <c r="AM209" s="26">
        <v>700000</v>
      </c>
      <c r="AN209" s="26">
        <v>700000</v>
      </c>
      <c r="AO209" s="6" t="s">
        <v>2003</v>
      </c>
      <c r="AQ209" s="6" t="s">
        <v>80</v>
      </c>
      <c r="AU209" s="6">
        <v>224000</v>
      </c>
    </row>
    <row r="210" spans="1:47" x14ac:dyDescent="0.3">
      <c r="A210" s="28" t="s">
        <v>42</v>
      </c>
      <c r="B210" s="6" t="s">
        <v>2175</v>
      </c>
      <c r="C210" s="6" t="s">
        <v>2207</v>
      </c>
      <c r="D210" s="6" t="s">
        <v>2106</v>
      </c>
      <c r="E210" s="6">
        <v>1</v>
      </c>
      <c r="F210" s="6" t="s">
        <v>2004</v>
      </c>
      <c r="G210" s="6" t="s">
        <v>2005</v>
      </c>
      <c r="H210" s="6" t="s">
        <v>2005</v>
      </c>
      <c r="I210" s="6" t="str">
        <f t="shared" si="6"/>
        <v>Hydraulic Crusher</v>
      </c>
      <c r="J210" s="6" t="s">
        <v>76</v>
      </c>
      <c r="K210" s="6">
        <v>1</v>
      </c>
      <c r="P210" s="6">
        <f t="shared" si="7"/>
        <v>4500000</v>
      </c>
      <c r="R210" s="6" t="s">
        <v>2003</v>
      </c>
      <c r="T210" s="6" t="s">
        <v>70</v>
      </c>
      <c r="U210" s="6">
        <v>2014</v>
      </c>
      <c r="V210" s="6">
        <v>3</v>
      </c>
      <c r="AD210" s="6" t="s">
        <v>45</v>
      </c>
      <c r="AJ210" s="31" t="s">
        <v>2113</v>
      </c>
      <c r="AK210" s="6">
        <v>1</v>
      </c>
      <c r="AL210" s="26">
        <v>4300000</v>
      </c>
      <c r="AM210" s="26">
        <v>4300000</v>
      </c>
      <c r="AN210" s="26">
        <v>4300000</v>
      </c>
      <c r="AO210" s="6" t="s">
        <v>2003</v>
      </c>
      <c r="AQ210" s="6" t="s">
        <v>71</v>
      </c>
      <c r="AU210" s="6">
        <v>224001</v>
      </c>
    </row>
    <row r="211" spans="1:47" x14ac:dyDescent="0.3">
      <c r="A211" s="28" t="s">
        <v>42</v>
      </c>
      <c r="B211" s="6" t="s">
        <v>2179</v>
      </c>
      <c r="C211" s="6" t="s">
        <v>1976</v>
      </c>
      <c r="D211" s="6" t="s">
        <v>2104</v>
      </c>
      <c r="E211" s="6">
        <v>1</v>
      </c>
      <c r="F211" s="6" t="s">
        <v>2004</v>
      </c>
      <c r="G211" s="6" t="s">
        <v>2005</v>
      </c>
      <c r="H211" s="6" t="s">
        <v>2005</v>
      </c>
      <c r="I211" s="6" t="str">
        <f t="shared" si="6"/>
        <v>Skeleton Bucket</v>
      </c>
      <c r="J211" s="6" t="s">
        <v>62</v>
      </c>
      <c r="K211" s="6">
        <v>1</v>
      </c>
      <c r="P211" s="6">
        <f t="shared" si="7"/>
        <v>950000</v>
      </c>
      <c r="R211" s="6" t="s">
        <v>2003</v>
      </c>
      <c r="T211" s="6" t="s">
        <v>813</v>
      </c>
      <c r="U211" s="6">
        <v>2013</v>
      </c>
      <c r="V211" s="6">
        <v>1</v>
      </c>
      <c r="AD211" s="6" t="s">
        <v>45</v>
      </c>
      <c r="AJ211" s="31" t="s">
        <v>2113</v>
      </c>
      <c r="AK211" s="6">
        <v>1</v>
      </c>
      <c r="AL211" s="26">
        <v>850000</v>
      </c>
      <c r="AM211" s="26">
        <v>850000</v>
      </c>
      <c r="AN211" s="26">
        <v>850000</v>
      </c>
      <c r="AO211" s="6" t="s">
        <v>2003</v>
      </c>
      <c r="AQ211" s="6" t="s">
        <v>80</v>
      </c>
      <c r="AU211" s="6">
        <v>224002</v>
      </c>
    </row>
    <row r="212" spans="1:47" x14ac:dyDescent="0.3">
      <c r="A212" s="28" t="s">
        <v>42</v>
      </c>
      <c r="B212" s="6" t="s">
        <v>2179</v>
      </c>
      <c r="C212" s="6" t="s">
        <v>1976</v>
      </c>
      <c r="D212" s="6" t="s">
        <v>2104</v>
      </c>
      <c r="E212" s="6">
        <v>1</v>
      </c>
      <c r="F212" s="6" t="s">
        <v>2004</v>
      </c>
      <c r="G212" s="6" t="s">
        <v>2005</v>
      </c>
      <c r="H212" s="6" t="s">
        <v>2005</v>
      </c>
      <c r="I212" s="6" t="str">
        <f t="shared" si="6"/>
        <v>Skeleton Bucket</v>
      </c>
      <c r="J212" s="6" t="s">
        <v>455</v>
      </c>
      <c r="K212" s="6">
        <v>1</v>
      </c>
      <c r="P212" s="6">
        <f t="shared" si="7"/>
        <v>900000</v>
      </c>
      <c r="R212" s="6" t="s">
        <v>2003</v>
      </c>
      <c r="T212" s="6" t="s">
        <v>813</v>
      </c>
      <c r="U212" s="6">
        <v>2013</v>
      </c>
      <c r="V212" s="6">
        <v>1</v>
      </c>
      <c r="AD212" s="6" t="s">
        <v>45</v>
      </c>
      <c r="AJ212" s="31" t="s">
        <v>2113</v>
      </c>
      <c r="AK212" s="6">
        <v>1</v>
      </c>
      <c r="AL212" s="26">
        <v>800000</v>
      </c>
      <c r="AM212" s="26">
        <v>800000</v>
      </c>
      <c r="AN212" s="26">
        <v>800000</v>
      </c>
      <c r="AO212" s="6" t="s">
        <v>2003</v>
      </c>
      <c r="AQ212" s="6" t="s">
        <v>79</v>
      </c>
      <c r="AU212" s="6">
        <v>224003</v>
      </c>
    </row>
    <row r="213" spans="1:47" x14ac:dyDescent="0.3">
      <c r="A213" s="28" t="s">
        <v>42</v>
      </c>
      <c r="B213" s="6" t="s">
        <v>2198</v>
      </c>
      <c r="D213" s="6" t="s">
        <v>2105</v>
      </c>
      <c r="E213" s="6">
        <v>1</v>
      </c>
      <c r="F213" s="6" t="s">
        <v>2004</v>
      </c>
      <c r="G213" s="6" t="s">
        <v>2005</v>
      </c>
      <c r="H213" s="6" t="s">
        <v>2005</v>
      </c>
      <c r="I213" s="6" t="str">
        <f t="shared" si="6"/>
        <v>Ripper</v>
      </c>
      <c r="J213" s="6" t="s">
        <v>170</v>
      </c>
      <c r="K213" s="6">
        <v>1</v>
      </c>
      <c r="P213" s="6">
        <f t="shared" si="7"/>
        <v>1900000</v>
      </c>
      <c r="R213" s="6" t="s">
        <v>2003</v>
      </c>
      <c r="T213" s="6" t="s">
        <v>804</v>
      </c>
      <c r="U213" s="6">
        <v>2017</v>
      </c>
      <c r="V213" s="6">
        <v>1</v>
      </c>
      <c r="AD213" s="6" t="s">
        <v>45</v>
      </c>
      <c r="AJ213" s="31" t="s">
        <v>2124</v>
      </c>
      <c r="AK213" s="6">
        <v>1</v>
      </c>
      <c r="AL213" s="26">
        <v>1800000</v>
      </c>
      <c r="AM213" s="26">
        <v>1800000</v>
      </c>
      <c r="AN213" s="26">
        <v>1800000</v>
      </c>
      <c r="AO213" s="6" t="s">
        <v>2003</v>
      </c>
      <c r="AQ213" s="6" t="s">
        <v>1144</v>
      </c>
      <c r="AU213" s="6">
        <v>224005</v>
      </c>
    </row>
    <row r="214" spans="1:47" x14ac:dyDescent="0.3">
      <c r="A214" s="28" t="s">
        <v>42</v>
      </c>
      <c r="B214" s="6" t="s">
        <v>2199</v>
      </c>
      <c r="D214" s="6" t="s">
        <v>2104</v>
      </c>
      <c r="E214" s="6">
        <v>1</v>
      </c>
      <c r="F214" s="6" t="s">
        <v>2004</v>
      </c>
      <c r="G214" s="6" t="s">
        <v>2005</v>
      </c>
      <c r="H214" s="6" t="s">
        <v>2005</v>
      </c>
      <c r="I214" s="6" t="str">
        <f t="shared" si="6"/>
        <v>Quick Coupler</v>
      </c>
      <c r="J214" s="6" t="s">
        <v>140</v>
      </c>
      <c r="K214" s="6">
        <v>1</v>
      </c>
      <c r="P214" s="6">
        <f t="shared" si="7"/>
        <v>850000</v>
      </c>
      <c r="R214" s="6" t="s">
        <v>2003</v>
      </c>
      <c r="T214" s="6" t="s">
        <v>813</v>
      </c>
      <c r="U214" s="6">
        <v>2014</v>
      </c>
      <c r="V214" s="6">
        <v>1</v>
      </c>
      <c r="AD214" s="6" t="s">
        <v>45</v>
      </c>
      <c r="AJ214" s="31" t="s">
        <v>2113</v>
      </c>
      <c r="AK214" s="6">
        <v>1</v>
      </c>
      <c r="AL214" s="26">
        <v>750000</v>
      </c>
      <c r="AM214" s="26">
        <v>750000</v>
      </c>
      <c r="AN214" s="26">
        <v>750000</v>
      </c>
      <c r="AO214" s="6" t="s">
        <v>2003</v>
      </c>
      <c r="AQ214" s="6" t="s">
        <v>80</v>
      </c>
      <c r="AU214" s="6">
        <v>224008</v>
      </c>
    </row>
    <row r="215" spans="1:47" hidden="1" x14ac:dyDescent="0.3">
      <c r="A215" s="28" t="s">
        <v>42</v>
      </c>
      <c r="B215" s="6" t="s">
        <v>2183</v>
      </c>
      <c r="E215" s="6">
        <v>1</v>
      </c>
      <c r="F215" s="6" t="s">
        <v>2004</v>
      </c>
      <c r="G215" s="6" t="s">
        <v>2005</v>
      </c>
      <c r="H215" s="6" t="s">
        <v>2005</v>
      </c>
      <c r="I215" s="6" t="str">
        <f t="shared" si="6"/>
        <v>ETC</v>
      </c>
      <c r="J215" s="6" t="s">
        <v>489</v>
      </c>
      <c r="K215" s="6">
        <v>1</v>
      </c>
      <c r="P215" s="6">
        <f t="shared" si="7"/>
        <v>3700000</v>
      </c>
      <c r="R215" s="6" t="s">
        <v>2003</v>
      </c>
      <c r="T215" s="6" t="s">
        <v>902</v>
      </c>
      <c r="U215" s="6">
        <v>2014</v>
      </c>
      <c r="V215" s="6">
        <v>1</v>
      </c>
      <c r="AD215" s="6" t="s">
        <v>45</v>
      </c>
      <c r="AJ215" s="31" t="s">
        <v>2112</v>
      </c>
      <c r="AK215" s="6">
        <v>1</v>
      </c>
      <c r="AL215" s="26">
        <v>3500000</v>
      </c>
      <c r="AM215" s="26">
        <v>3500000</v>
      </c>
      <c r="AN215" s="26">
        <v>3500000</v>
      </c>
      <c r="AO215" s="6" t="s">
        <v>2003</v>
      </c>
      <c r="AQ215" s="6" t="s">
        <v>1192</v>
      </c>
      <c r="AU215" s="6">
        <v>224009</v>
      </c>
    </row>
    <row r="216" spans="1:47" x14ac:dyDescent="0.3">
      <c r="A216" s="28" t="s">
        <v>42</v>
      </c>
      <c r="B216" s="6" t="s">
        <v>2184</v>
      </c>
      <c r="C216" s="6" t="s">
        <v>1974</v>
      </c>
      <c r="D216" s="6" t="s">
        <v>2100</v>
      </c>
      <c r="E216" s="6">
        <v>1</v>
      </c>
      <c r="F216" s="6" t="s">
        <v>2004</v>
      </c>
      <c r="G216" s="6" t="s">
        <v>2005</v>
      </c>
      <c r="H216" s="6" t="s">
        <v>2005</v>
      </c>
      <c r="I216" s="6" t="str">
        <f t="shared" si="6"/>
        <v>Etc Grapple</v>
      </c>
      <c r="J216" s="6" t="s">
        <v>136</v>
      </c>
      <c r="K216" s="6">
        <v>1</v>
      </c>
      <c r="P216" s="6">
        <f t="shared" si="7"/>
        <v>2500000</v>
      </c>
      <c r="R216" s="6" t="s">
        <v>2003</v>
      </c>
      <c r="T216" s="6" t="s">
        <v>895</v>
      </c>
      <c r="U216" s="6">
        <v>2015</v>
      </c>
      <c r="V216" s="6">
        <v>1</v>
      </c>
      <c r="AD216" s="6" t="s">
        <v>45</v>
      </c>
      <c r="AJ216" s="31" t="s">
        <v>2122</v>
      </c>
      <c r="AK216" s="6">
        <v>1</v>
      </c>
      <c r="AL216" s="26">
        <v>2300000</v>
      </c>
      <c r="AM216" s="26">
        <v>2300000</v>
      </c>
      <c r="AN216" s="26">
        <v>2300000</v>
      </c>
      <c r="AO216" s="6" t="s">
        <v>2003</v>
      </c>
      <c r="AQ216" s="6" t="s">
        <v>1154</v>
      </c>
      <c r="AU216" s="6">
        <v>224010</v>
      </c>
    </row>
    <row r="217" spans="1:47" x14ac:dyDescent="0.3">
      <c r="A217" s="28" t="s">
        <v>42</v>
      </c>
      <c r="B217" s="6" t="s">
        <v>2192</v>
      </c>
      <c r="D217" s="6" t="s">
        <v>2104</v>
      </c>
      <c r="E217" s="6">
        <v>1</v>
      </c>
      <c r="F217" s="6" t="s">
        <v>2004</v>
      </c>
      <c r="G217" s="6" t="s">
        <v>2005</v>
      </c>
      <c r="H217" s="6" t="s">
        <v>2005</v>
      </c>
      <c r="I217" s="6" t="str">
        <f t="shared" si="6"/>
        <v>Lift Fork</v>
      </c>
      <c r="J217" s="6" t="s">
        <v>320</v>
      </c>
      <c r="K217" s="6">
        <v>1</v>
      </c>
      <c r="P217" s="6">
        <f t="shared" si="7"/>
        <v>400000</v>
      </c>
      <c r="R217" s="6" t="s">
        <v>2003</v>
      </c>
      <c r="T217" s="6" t="s">
        <v>813</v>
      </c>
      <c r="U217" s="6">
        <v>2013</v>
      </c>
      <c r="V217" s="6">
        <v>1</v>
      </c>
      <c r="AD217" s="6" t="s">
        <v>45</v>
      </c>
      <c r="AJ217" s="31" t="s">
        <v>2113</v>
      </c>
      <c r="AK217" s="6">
        <v>1</v>
      </c>
      <c r="AL217" s="26">
        <v>350000</v>
      </c>
      <c r="AM217" s="26">
        <v>350000</v>
      </c>
      <c r="AN217" s="26">
        <v>350000</v>
      </c>
      <c r="AO217" s="6" t="s">
        <v>2003</v>
      </c>
      <c r="AQ217" s="6" t="s">
        <v>80</v>
      </c>
      <c r="AU217" s="6">
        <v>224012</v>
      </c>
    </row>
    <row r="218" spans="1:47" x14ac:dyDescent="0.3">
      <c r="A218" s="28" t="s">
        <v>42</v>
      </c>
      <c r="B218" s="6" t="s">
        <v>2183</v>
      </c>
      <c r="D218" s="6" t="s">
        <v>2103</v>
      </c>
      <c r="E218" s="6">
        <v>1</v>
      </c>
      <c r="F218" s="6" t="s">
        <v>2004</v>
      </c>
      <c r="G218" s="6" t="s">
        <v>2005</v>
      </c>
      <c r="H218" s="6" t="s">
        <v>2005</v>
      </c>
      <c r="I218" s="6" t="str">
        <f t="shared" si="6"/>
        <v>ETC</v>
      </c>
      <c r="J218" s="6" t="s">
        <v>332</v>
      </c>
      <c r="K218" s="6">
        <v>1</v>
      </c>
      <c r="P218" s="6">
        <f t="shared" si="7"/>
        <v>7600000</v>
      </c>
      <c r="R218" s="6" t="s">
        <v>2003</v>
      </c>
      <c r="T218" s="6" t="s">
        <v>2035</v>
      </c>
      <c r="U218" s="6">
        <v>2013</v>
      </c>
      <c r="V218" s="6">
        <v>8</v>
      </c>
      <c r="AD218" s="6" t="s">
        <v>45</v>
      </c>
      <c r="AJ218" s="31" t="s">
        <v>2117</v>
      </c>
      <c r="AK218" s="6">
        <v>1</v>
      </c>
      <c r="AL218" s="26">
        <v>7100000</v>
      </c>
      <c r="AM218" s="26">
        <v>7100000</v>
      </c>
      <c r="AN218" s="26">
        <v>7100000</v>
      </c>
      <c r="AO218" s="6" t="s">
        <v>2003</v>
      </c>
      <c r="AQ218" s="6" t="s">
        <v>1156</v>
      </c>
      <c r="AU218" s="6">
        <v>224013</v>
      </c>
    </row>
    <row r="219" spans="1:47" x14ac:dyDescent="0.3">
      <c r="A219" s="28" t="s">
        <v>42</v>
      </c>
      <c r="B219" s="6" t="s">
        <v>2174</v>
      </c>
      <c r="C219" s="6" t="s">
        <v>1975</v>
      </c>
      <c r="D219" s="6" t="s">
        <v>2104</v>
      </c>
      <c r="E219" s="6">
        <v>1</v>
      </c>
      <c r="F219" s="6" t="s">
        <v>2004</v>
      </c>
      <c r="G219" s="6" t="s">
        <v>2005</v>
      </c>
      <c r="H219" s="6" t="s">
        <v>2005</v>
      </c>
      <c r="I219" s="6" t="str">
        <f t="shared" si="6"/>
        <v>Side Breaker</v>
      </c>
      <c r="J219" s="6" t="s">
        <v>440</v>
      </c>
      <c r="K219" s="6">
        <v>1</v>
      </c>
      <c r="P219" s="6">
        <f t="shared" si="7"/>
        <v>6000000</v>
      </c>
      <c r="R219" s="6" t="s">
        <v>2003</v>
      </c>
      <c r="T219" s="6" t="s">
        <v>813</v>
      </c>
      <c r="U219" s="6">
        <v>2016</v>
      </c>
      <c r="V219" s="6">
        <v>1</v>
      </c>
      <c r="AD219" s="6" t="s">
        <v>45</v>
      </c>
      <c r="AJ219" s="31" t="s">
        <v>2113</v>
      </c>
      <c r="AK219" s="6">
        <v>1</v>
      </c>
      <c r="AL219" s="26">
        <v>5500000</v>
      </c>
      <c r="AM219" s="26">
        <v>5500000</v>
      </c>
      <c r="AN219" s="26">
        <v>5500000</v>
      </c>
      <c r="AO219" s="6" t="s">
        <v>2003</v>
      </c>
      <c r="AQ219" s="6" t="s">
        <v>80</v>
      </c>
      <c r="AU219" s="6">
        <v>224015</v>
      </c>
    </row>
    <row r="220" spans="1:47" hidden="1" x14ac:dyDescent="0.3">
      <c r="A220" s="28" t="s">
        <v>42</v>
      </c>
      <c r="B220" s="6" t="s">
        <v>2184</v>
      </c>
      <c r="E220" s="6">
        <v>1</v>
      </c>
      <c r="F220" s="6" t="s">
        <v>2004</v>
      </c>
      <c r="G220" s="6" t="s">
        <v>2005</v>
      </c>
      <c r="H220" s="6" t="s">
        <v>2005</v>
      </c>
      <c r="I220" s="6" t="str">
        <f t="shared" si="6"/>
        <v>Grapple</v>
      </c>
      <c r="J220" s="6" t="s">
        <v>298</v>
      </c>
      <c r="K220" s="6">
        <v>1</v>
      </c>
      <c r="P220" s="6">
        <f t="shared" si="7"/>
        <v>1300000</v>
      </c>
      <c r="R220" s="6" t="s">
        <v>2003</v>
      </c>
      <c r="T220" s="6" t="s">
        <v>903</v>
      </c>
      <c r="U220" s="6">
        <v>2010</v>
      </c>
      <c r="V220" s="6">
        <v>1</v>
      </c>
      <c r="AD220" s="6" t="s">
        <v>45</v>
      </c>
      <c r="AJ220" s="31" t="s">
        <v>2118</v>
      </c>
      <c r="AK220" s="6">
        <v>1</v>
      </c>
      <c r="AL220" s="26">
        <v>1200000</v>
      </c>
      <c r="AM220" s="26">
        <v>1200000</v>
      </c>
      <c r="AN220" s="26">
        <v>1200000</v>
      </c>
      <c r="AO220" s="6" t="s">
        <v>2003</v>
      </c>
      <c r="AQ220" s="6" t="s">
        <v>1214</v>
      </c>
      <c r="AU220" s="6">
        <v>224017</v>
      </c>
    </row>
    <row r="221" spans="1:47" hidden="1" x14ac:dyDescent="0.3">
      <c r="A221" s="28" t="s">
        <v>42</v>
      </c>
      <c r="B221" s="6" t="s">
        <v>2191</v>
      </c>
      <c r="C221" s="6" t="s">
        <v>1975</v>
      </c>
      <c r="E221" s="6">
        <v>1</v>
      </c>
      <c r="F221" s="6" t="s">
        <v>2004</v>
      </c>
      <c r="G221" s="6" t="s">
        <v>2005</v>
      </c>
      <c r="H221" s="6" t="s">
        <v>2005</v>
      </c>
      <c r="I221" s="6" t="str">
        <f t="shared" si="6"/>
        <v>Side Breaker</v>
      </c>
      <c r="J221" s="6" t="s">
        <v>490</v>
      </c>
      <c r="K221" s="6">
        <v>1</v>
      </c>
      <c r="P221" s="6">
        <f t="shared" si="7"/>
        <v>1900000</v>
      </c>
      <c r="R221" s="6" t="s">
        <v>2003</v>
      </c>
      <c r="T221" s="6" t="s">
        <v>904</v>
      </c>
      <c r="U221" s="6">
        <v>2017</v>
      </c>
      <c r="V221" s="6">
        <v>1</v>
      </c>
      <c r="AD221" s="6" t="s">
        <v>45</v>
      </c>
      <c r="AJ221" s="31" t="s">
        <v>2113</v>
      </c>
      <c r="AK221" s="6">
        <v>1</v>
      </c>
      <c r="AL221" s="26">
        <v>1800000</v>
      </c>
      <c r="AM221" s="26">
        <v>1800000</v>
      </c>
      <c r="AN221" s="26">
        <v>1800000</v>
      </c>
      <c r="AO221" s="6" t="s">
        <v>2003</v>
      </c>
      <c r="AQ221" s="6" t="s">
        <v>49</v>
      </c>
      <c r="AU221" s="6">
        <v>224030</v>
      </c>
    </row>
    <row r="222" spans="1:47" x14ac:dyDescent="0.3">
      <c r="A222" s="28" t="s">
        <v>42</v>
      </c>
      <c r="B222" s="6" t="s">
        <v>2185</v>
      </c>
      <c r="D222" s="6" t="s">
        <v>2101</v>
      </c>
      <c r="E222" s="6">
        <v>1</v>
      </c>
      <c r="F222" s="6" t="s">
        <v>2004</v>
      </c>
      <c r="G222" s="6" t="s">
        <v>2005</v>
      </c>
      <c r="H222" s="6" t="s">
        <v>2005</v>
      </c>
      <c r="I222" s="6" t="str">
        <f t="shared" si="6"/>
        <v>ETC</v>
      </c>
      <c r="J222" s="6" t="s">
        <v>491</v>
      </c>
      <c r="K222" s="6">
        <v>1</v>
      </c>
      <c r="P222" s="6">
        <f t="shared" si="7"/>
        <v>8000000</v>
      </c>
      <c r="R222" s="6" t="s">
        <v>2003</v>
      </c>
      <c r="T222" s="6" t="s">
        <v>905</v>
      </c>
      <c r="U222" s="6">
        <v>2010</v>
      </c>
      <c r="V222" s="6">
        <v>10</v>
      </c>
      <c r="AD222" s="6" t="s">
        <v>45</v>
      </c>
      <c r="AJ222" s="31" t="s">
        <v>2113</v>
      </c>
      <c r="AK222" s="6">
        <v>1</v>
      </c>
      <c r="AL222" s="26">
        <v>7500000</v>
      </c>
      <c r="AM222" s="26">
        <v>7500000</v>
      </c>
      <c r="AN222" s="26">
        <v>7500000</v>
      </c>
      <c r="AO222" s="6" t="s">
        <v>2003</v>
      </c>
      <c r="AQ222" s="6" t="s">
        <v>108</v>
      </c>
      <c r="AU222" s="6">
        <v>224033</v>
      </c>
    </row>
    <row r="223" spans="1:47" x14ac:dyDescent="0.3">
      <c r="A223" s="28" t="s">
        <v>42</v>
      </c>
      <c r="B223" s="6" t="s">
        <v>2191</v>
      </c>
      <c r="C223" s="6" t="s">
        <v>1975</v>
      </c>
      <c r="D223" s="6" t="s">
        <v>2107</v>
      </c>
      <c r="E223" s="6">
        <v>1</v>
      </c>
      <c r="F223" s="6" t="s">
        <v>2004</v>
      </c>
      <c r="G223" s="6" t="s">
        <v>2005</v>
      </c>
      <c r="H223" s="6" t="s">
        <v>2005</v>
      </c>
      <c r="I223" s="6" t="str">
        <f t="shared" si="6"/>
        <v>Side Breaker</v>
      </c>
      <c r="J223" s="6" t="s">
        <v>492</v>
      </c>
      <c r="K223" s="6">
        <v>1</v>
      </c>
      <c r="P223" s="6">
        <f t="shared" si="7"/>
        <v>2900000</v>
      </c>
      <c r="R223" s="6" t="s">
        <v>2003</v>
      </c>
      <c r="T223" s="6" t="s">
        <v>906</v>
      </c>
      <c r="U223" s="6">
        <v>2012</v>
      </c>
      <c r="V223" s="6">
        <v>1</v>
      </c>
      <c r="AD223" s="6" t="s">
        <v>45</v>
      </c>
      <c r="AJ223" s="31" t="s">
        <v>2117</v>
      </c>
      <c r="AK223" s="6">
        <v>1</v>
      </c>
      <c r="AL223" s="26">
        <v>2700000</v>
      </c>
      <c r="AM223" s="26">
        <v>2700000</v>
      </c>
      <c r="AN223" s="26">
        <v>2700000</v>
      </c>
      <c r="AO223" s="6" t="s">
        <v>2003</v>
      </c>
      <c r="AQ223" s="6" t="s">
        <v>1263</v>
      </c>
      <c r="AU223" s="6">
        <v>224037</v>
      </c>
    </row>
    <row r="224" spans="1:47" x14ac:dyDescent="0.3">
      <c r="A224" s="28" t="s">
        <v>42</v>
      </c>
      <c r="B224" s="6" t="s">
        <v>2185</v>
      </c>
      <c r="D224" s="6" t="s">
        <v>2101</v>
      </c>
      <c r="E224" s="6">
        <v>1</v>
      </c>
      <c r="F224" s="6" t="s">
        <v>2004</v>
      </c>
      <c r="G224" s="6" t="s">
        <v>2005</v>
      </c>
      <c r="H224" s="6" t="s">
        <v>2005</v>
      </c>
      <c r="I224" s="6" t="str">
        <f t="shared" si="6"/>
        <v>ETC</v>
      </c>
      <c r="J224" s="6" t="s">
        <v>493</v>
      </c>
      <c r="K224" s="6">
        <v>1</v>
      </c>
      <c r="P224" s="6">
        <f t="shared" si="7"/>
        <v>6000000</v>
      </c>
      <c r="R224" s="6" t="s">
        <v>2003</v>
      </c>
      <c r="T224" s="6" t="s">
        <v>907</v>
      </c>
      <c r="U224" s="6">
        <v>2013</v>
      </c>
      <c r="V224" s="6">
        <v>1</v>
      </c>
      <c r="AD224" s="6" t="s">
        <v>45</v>
      </c>
      <c r="AJ224" s="31" t="s">
        <v>2110</v>
      </c>
      <c r="AK224" s="6">
        <v>1</v>
      </c>
      <c r="AL224" s="26">
        <v>5500000</v>
      </c>
      <c r="AM224" s="26">
        <v>5500000</v>
      </c>
      <c r="AN224" s="26">
        <v>5500000</v>
      </c>
      <c r="AO224" s="6" t="s">
        <v>2003</v>
      </c>
      <c r="AQ224" s="6" t="s">
        <v>1264</v>
      </c>
      <c r="AU224" s="6">
        <v>224042</v>
      </c>
    </row>
    <row r="225" spans="1:47" x14ac:dyDescent="0.3">
      <c r="A225" s="28" t="s">
        <v>42</v>
      </c>
      <c r="B225" s="6" t="s">
        <v>2186</v>
      </c>
      <c r="C225" s="6" t="s">
        <v>1976</v>
      </c>
      <c r="D225" s="6" t="s">
        <v>2104</v>
      </c>
      <c r="E225" s="6">
        <v>1</v>
      </c>
      <c r="F225" s="6" t="s">
        <v>2004</v>
      </c>
      <c r="G225" s="6" t="s">
        <v>2005</v>
      </c>
      <c r="H225" s="6" t="s">
        <v>2005</v>
      </c>
      <c r="I225" s="6" t="str">
        <f t="shared" si="6"/>
        <v>Skeleton Bucket</v>
      </c>
      <c r="J225" s="6" t="s">
        <v>494</v>
      </c>
      <c r="K225" s="6">
        <v>1</v>
      </c>
      <c r="P225" s="6">
        <f t="shared" si="7"/>
        <v>1600000</v>
      </c>
      <c r="R225" s="6" t="s">
        <v>2003</v>
      </c>
      <c r="T225" s="6" t="s">
        <v>908</v>
      </c>
      <c r="U225" s="6">
        <v>2017</v>
      </c>
      <c r="V225" s="6">
        <v>1</v>
      </c>
      <c r="AD225" s="6" t="s">
        <v>45</v>
      </c>
      <c r="AJ225" s="31" t="s">
        <v>2114</v>
      </c>
      <c r="AK225" s="6">
        <v>1</v>
      </c>
      <c r="AL225" s="26">
        <v>1500000</v>
      </c>
      <c r="AM225" s="26">
        <v>1500000</v>
      </c>
      <c r="AN225" s="26">
        <v>1500000</v>
      </c>
      <c r="AO225" s="6" t="s">
        <v>2003</v>
      </c>
      <c r="AQ225" s="6" t="s">
        <v>833</v>
      </c>
      <c r="AU225" s="6">
        <v>224043</v>
      </c>
    </row>
    <row r="226" spans="1:47" x14ac:dyDescent="0.3">
      <c r="A226" s="28" t="s">
        <v>42</v>
      </c>
      <c r="B226" s="6" t="s">
        <v>2186</v>
      </c>
      <c r="C226" s="19" t="s">
        <v>2205</v>
      </c>
      <c r="D226" s="6" t="s">
        <v>2101</v>
      </c>
      <c r="E226" s="6">
        <v>1</v>
      </c>
      <c r="F226" s="6" t="s">
        <v>2004</v>
      </c>
      <c r="G226" s="6" t="s">
        <v>2005</v>
      </c>
      <c r="H226" s="6" t="s">
        <v>2005</v>
      </c>
      <c r="I226" s="6" t="str">
        <f t="shared" si="6"/>
        <v>Standard Bucket</v>
      </c>
      <c r="J226" s="6" t="s">
        <v>75</v>
      </c>
      <c r="K226" s="6">
        <v>1</v>
      </c>
      <c r="P226" s="6">
        <f t="shared" si="7"/>
        <v>6000000</v>
      </c>
      <c r="R226" s="6" t="s">
        <v>2003</v>
      </c>
      <c r="T226" s="6" t="s">
        <v>909</v>
      </c>
      <c r="U226" s="6">
        <v>2016</v>
      </c>
      <c r="V226" s="6">
        <v>1</v>
      </c>
      <c r="AD226" s="6" t="s">
        <v>45</v>
      </c>
      <c r="AJ226" s="31" t="s">
        <v>2120</v>
      </c>
      <c r="AK226" s="6">
        <v>1</v>
      </c>
      <c r="AL226" s="26">
        <v>5500000</v>
      </c>
      <c r="AM226" s="26">
        <v>5500000</v>
      </c>
      <c r="AN226" s="26">
        <v>5500000</v>
      </c>
      <c r="AO226" s="6" t="s">
        <v>2003</v>
      </c>
      <c r="AQ226" s="6" t="s">
        <v>74</v>
      </c>
      <c r="AU226" s="6">
        <v>224045</v>
      </c>
    </row>
    <row r="227" spans="1:47" x14ac:dyDescent="0.3">
      <c r="A227" s="28" t="s">
        <v>42</v>
      </c>
      <c r="B227" s="6" t="s">
        <v>2182</v>
      </c>
      <c r="C227" s="6" t="s">
        <v>1976</v>
      </c>
      <c r="D227" s="6" t="s">
        <v>2100</v>
      </c>
      <c r="E227" s="6">
        <v>1</v>
      </c>
      <c r="F227" s="6" t="s">
        <v>2004</v>
      </c>
      <c r="G227" s="6" t="s">
        <v>2005</v>
      </c>
      <c r="H227" s="6" t="s">
        <v>2005</v>
      </c>
      <c r="I227" s="6" t="str">
        <f t="shared" si="6"/>
        <v>Skeleton Bucket</v>
      </c>
      <c r="J227" s="6" t="s">
        <v>495</v>
      </c>
      <c r="K227" s="6">
        <v>1</v>
      </c>
      <c r="P227" s="6">
        <f t="shared" si="7"/>
        <v>700000</v>
      </c>
      <c r="R227" s="6" t="s">
        <v>2003</v>
      </c>
      <c r="T227" s="6" t="s">
        <v>833</v>
      </c>
      <c r="U227" s="6">
        <v>2017</v>
      </c>
      <c r="V227" s="6">
        <v>1</v>
      </c>
      <c r="AD227" s="6" t="s">
        <v>45</v>
      </c>
      <c r="AJ227" s="31" t="s">
        <v>2114</v>
      </c>
      <c r="AK227" s="6">
        <v>1</v>
      </c>
      <c r="AL227" s="26">
        <v>600000</v>
      </c>
      <c r="AM227" s="26">
        <v>600000</v>
      </c>
      <c r="AN227" s="26">
        <v>600000</v>
      </c>
      <c r="AO227" s="6" t="s">
        <v>2003</v>
      </c>
      <c r="AQ227" s="6" t="s">
        <v>833</v>
      </c>
      <c r="AU227" s="6">
        <v>224046</v>
      </c>
    </row>
    <row r="228" spans="1:47" hidden="1" x14ac:dyDescent="0.3">
      <c r="A228" s="28" t="s">
        <v>42</v>
      </c>
      <c r="B228" s="6" t="s">
        <v>2184</v>
      </c>
      <c r="C228" s="6" t="s">
        <v>1985</v>
      </c>
      <c r="E228" s="6">
        <v>1</v>
      </c>
      <c r="F228" s="6" t="s">
        <v>2004</v>
      </c>
      <c r="G228" s="6" t="s">
        <v>2005</v>
      </c>
      <c r="H228" s="6" t="s">
        <v>2005</v>
      </c>
      <c r="I228" s="6" t="str">
        <f t="shared" si="6"/>
        <v>Multi Grapple</v>
      </c>
      <c r="J228" s="6" t="s">
        <v>496</v>
      </c>
      <c r="K228" s="6">
        <v>1</v>
      </c>
      <c r="P228" s="6">
        <f t="shared" si="7"/>
        <v>1550000</v>
      </c>
      <c r="R228" s="6" t="s">
        <v>2003</v>
      </c>
      <c r="T228" s="6" t="s">
        <v>2036</v>
      </c>
      <c r="U228" s="6">
        <v>2017</v>
      </c>
      <c r="V228" s="6">
        <v>1</v>
      </c>
      <c r="AD228" s="6" t="s">
        <v>45</v>
      </c>
      <c r="AJ228" s="31" t="s">
        <v>2114</v>
      </c>
      <c r="AK228" s="6">
        <v>1</v>
      </c>
      <c r="AL228" s="26">
        <v>1450000</v>
      </c>
      <c r="AM228" s="26">
        <v>1450000</v>
      </c>
      <c r="AN228" s="26">
        <v>1450000</v>
      </c>
      <c r="AO228" s="6" t="s">
        <v>2003</v>
      </c>
      <c r="AQ228" s="6" t="s">
        <v>833</v>
      </c>
      <c r="AU228" s="6">
        <v>224049</v>
      </c>
    </row>
    <row r="229" spans="1:47" x14ac:dyDescent="0.3">
      <c r="A229" s="28" t="s">
        <v>42</v>
      </c>
      <c r="B229" s="6" t="s">
        <v>2182</v>
      </c>
      <c r="C229" s="6" t="s">
        <v>1976</v>
      </c>
      <c r="D229" s="6" t="s">
        <v>2104</v>
      </c>
      <c r="E229" s="6">
        <v>1</v>
      </c>
      <c r="F229" s="6" t="s">
        <v>2004</v>
      </c>
      <c r="G229" s="6" t="s">
        <v>2005</v>
      </c>
      <c r="H229" s="6" t="s">
        <v>2005</v>
      </c>
      <c r="I229" s="6" t="str">
        <f t="shared" si="6"/>
        <v>Skeleton Bucket</v>
      </c>
      <c r="J229" s="6" t="s">
        <v>118</v>
      </c>
      <c r="K229" s="6">
        <v>1</v>
      </c>
      <c r="P229" s="6">
        <f t="shared" si="7"/>
        <v>950000</v>
      </c>
      <c r="R229" s="6" t="s">
        <v>2003</v>
      </c>
      <c r="T229" s="6" t="s">
        <v>910</v>
      </c>
      <c r="U229" s="6">
        <v>2015</v>
      </c>
      <c r="V229" s="6">
        <v>1</v>
      </c>
      <c r="AD229" s="6" t="s">
        <v>45</v>
      </c>
      <c r="AJ229" s="31" t="s">
        <v>2125</v>
      </c>
      <c r="AK229" s="6">
        <v>1</v>
      </c>
      <c r="AL229" s="26">
        <v>850000</v>
      </c>
      <c r="AM229" s="26">
        <v>850000</v>
      </c>
      <c r="AN229" s="26">
        <v>850000</v>
      </c>
      <c r="AO229" s="6" t="s">
        <v>2003</v>
      </c>
      <c r="AQ229" s="6" t="s">
        <v>98</v>
      </c>
      <c r="AU229" s="6">
        <v>224060</v>
      </c>
    </row>
    <row r="230" spans="1:47" x14ac:dyDescent="0.3">
      <c r="A230" s="28" t="s">
        <v>42</v>
      </c>
      <c r="B230" s="6" t="s">
        <v>2174</v>
      </c>
      <c r="C230" s="6" t="s">
        <v>1975</v>
      </c>
      <c r="D230" s="6" t="s">
        <v>2104</v>
      </c>
      <c r="E230" s="6">
        <v>1</v>
      </c>
      <c r="F230" s="6" t="s">
        <v>2004</v>
      </c>
      <c r="G230" s="6" t="s">
        <v>2005</v>
      </c>
      <c r="H230" s="6" t="s">
        <v>2005</v>
      </c>
      <c r="I230" s="6" t="str">
        <f t="shared" si="6"/>
        <v>Side Breaker</v>
      </c>
      <c r="J230" s="6" t="s">
        <v>119</v>
      </c>
      <c r="K230" s="6">
        <v>1</v>
      </c>
      <c r="P230" s="6">
        <f t="shared" si="7"/>
        <v>4500000</v>
      </c>
      <c r="R230" s="6" t="s">
        <v>2003</v>
      </c>
      <c r="T230" s="6" t="s">
        <v>837</v>
      </c>
      <c r="U230" s="6">
        <v>2015</v>
      </c>
      <c r="V230" s="6">
        <v>1</v>
      </c>
      <c r="AD230" s="6" t="s">
        <v>45</v>
      </c>
      <c r="AJ230" s="31" t="s">
        <v>2113</v>
      </c>
      <c r="AK230" s="6">
        <v>1</v>
      </c>
      <c r="AL230" s="26">
        <v>4300000</v>
      </c>
      <c r="AM230" s="26">
        <v>4300000</v>
      </c>
      <c r="AN230" s="26">
        <v>4300000</v>
      </c>
      <c r="AO230" s="6" t="s">
        <v>2003</v>
      </c>
      <c r="AQ230" s="6" t="s">
        <v>71</v>
      </c>
      <c r="AU230" s="6">
        <v>224061</v>
      </c>
    </row>
    <row r="231" spans="1:47" x14ac:dyDescent="0.3">
      <c r="A231" s="28" t="s">
        <v>42</v>
      </c>
      <c r="B231" s="6" t="s">
        <v>2184</v>
      </c>
      <c r="C231" s="6" t="s">
        <v>1972</v>
      </c>
      <c r="D231" s="6" t="s">
        <v>2100</v>
      </c>
      <c r="E231" s="6">
        <v>1</v>
      </c>
      <c r="F231" s="6" t="s">
        <v>2004</v>
      </c>
      <c r="G231" s="6" t="s">
        <v>2005</v>
      </c>
      <c r="H231" s="6" t="s">
        <v>2005</v>
      </c>
      <c r="I231" s="6" t="str">
        <f t="shared" si="6"/>
        <v>Stone Grapple</v>
      </c>
      <c r="J231" s="6" t="s">
        <v>149</v>
      </c>
      <c r="K231" s="6">
        <v>1</v>
      </c>
      <c r="P231" s="6">
        <f t="shared" si="7"/>
        <v>3900000</v>
      </c>
      <c r="R231" s="6" t="s">
        <v>2003</v>
      </c>
      <c r="T231" s="6" t="s">
        <v>911</v>
      </c>
      <c r="U231" s="6">
        <v>2016</v>
      </c>
      <c r="V231" s="6">
        <v>1</v>
      </c>
      <c r="AD231" s="6" t="s">
        <v>45</v>
      </c>
      <c r="AJ231" s="31" t="s">
        <v>2121</v>
      </c>
      <c r="AK231" s="6">
        <v>1</v>
      </c>
      <c r="AL231" s="26">
        <v>3700000</v>
      </c>
      <c r="AM231" s="26">
        <v>3700000</v>
      </c>
      <c r="AN231" s="26">
        <v>3700000</v>
      </c>
      <c r="AO231" s="6" t="s">
        <v>2003</v>
      </c>
      <c r="AQ231" s="6" t="s">
        <v>1265</v>
      </c>
      <c r="AU231" s="6">
        <v>224062</v>
      </c>
    </row>
    <row r="232" spans="1:47" x14ac:dyDescent="0.3">
      <c r="A232" s="28" t="s">
        <v>42</v>
      </c>
      <c r="B232" s="6" t="s">
        <v>2183</v>
      </c>
      <c r="C232" s="6" t="s">
        <v>1979</v>
      </c>
      <c r="D232" s="6" t="s">
        <v>2104</v>
      </c>
      <c r="E232" s="6">
        <v>1</v>
      </c>
      <c r="F232" s="6" t="s">
        <v>2004</v>
      </c>
      <c r="G232" s="6" t="s">
        <v>2005</v>
      </c>
      <c r="H232" s="6" t="s">
        <v>2005</v>
      </c>
      <c r="I232" s="6" t="str">
        <f t="shared" si="6"/>
        <v>Thumb Grapple</v>
      </c>
      <c r="J232" s="6" t="s">
        <v>195</v>
      </c>
      <c r="K232" s="6">
        <v>1</v>
      </c>
      <c r="P232" s="6">
        <f t="shared" si="7"/>
        <v>1100000</v>
      </c>
      <c r="R232" s="6" t="s">
        <v>2003</v>
      </c>
      <c r="T232" s="6" t="s">
        <v>1848</v>
      </c>
      <c r="U232" s="6">
        <v>2012</v>
      </c>
      <c r="V232" s="6">
        <v>6</v>
      </c>
      <c r="AD232" s="6" t="s">
        <v>45</v>
      </c>
      <c r="AJ232" s="31" t="s">
        <v>2116</v>
      </c>
      <c r="AK232" s="6">
        <v>1</v>
      </c>
      <c r="AL232" s="26">
        <v>1000000</v>
      </c>
      <c r="AM232" s="26">
        <v>1000000</v>
      </c>
      <c r="AN232" s="26">
        <v>1000000</v>
      </c>
      <c r="AO232" s="6" t="s">
        <v>2003</v>
      </c>
      <c r="AQ232" s="6" t="s">
        <v>1146</v>
      </c>
      <c r="AU232" s="6">
        <v>224063</v>
      </c>
    </row>
    <row r="233" spans="1:47" x14ac:dyDescent="0.3">
      <c r="A233" s="28" t="s">
        <v>42</v>
      </c>
      <c r="B233" s="6" t="s">
        <v>2184</v>
      </c>
      <c r="C233" s="6" t="s">
        <v>1972</v>
      </c>
      <c r="D233" s="6" t="s">
        <v>2100</v>
      </c>
      <c r="E233" s="6">
        <v>1</v>
      </c>
      <c r="F233" s="6" t="s">
        <v>2004</v>
      </c>
      <c r="G233" s="6" t="s">
        <v>2005</v>
      </c>
      <c r="H233" s="6" t="s">
        <v>2005</v>
      </c>
      <c r="I233" s="6" t="str">
        <f t="shared" si="6"/>
        <v>Stone Grapple</v>
      </c>
      <c r="J233" s="6" t="s">
        <v>426</v>
      </c>
      <c r="K233" s="6">
        <v>1</v>
      </c>
      <c r="P233" s="6">
        <f t="shared" si="7"/>
        <v>1650000</v>
      </c>
      <c r="R233" s="6" t="s">
        <v>2003</v>
      </c>
      <c r="T233" s="6" t="s">
        <v>51</v>
      </c>
      <c r="U233" s="6">
        <v>2016</v>
      </c>
      <c r="V233" s="6">
        <v>1</v>
      </c>
      <c r="AD233" s="6" t="s">
        <v>45</v>
      </c>
      <c r="AJ233" s="31" t="s">
        <v>2113</v>
      </c>
      <c r="AK233" s="6">
        <v>1</v>
      </c>
      <c r="AL233" s="26">
        <v>1550000</v>
      </c>
      <c r="AM233" s="26">
        <v>1550000</v>
      </c>
      <c r="AN233" s="26">
        <v>1550000</v>
      </c>
      <c r="AO233" s="6" t="s">
        <v>2003</v>
      </c>
      <c r="AQ233" s="6" t="s">
        <v>49</v>
      </c>
      <c r="AU233" s="6">
        <v>224068</v>
      </c>
    </row>
    <row r="234" spans="1:47" x14ac:dyDescent="0.3">
      <c r="A234" s="28" t="s">
        <v>42</v>
      </c>
      <c r="B234" s="6" t="s">
        <v>2174</v>
      </c>
      <c r="C234" s="19" t="s">
        <v>2211</v>
      </c>
      <c r="D234" s="6" t="s">
        <v>2104</v>
      </c>
      <c r="E234" s="6">
        <v>1</v>
      </c>
      <c r="F234" s="6" t="s">
        <v>2004</v>
      </c>
      <c r="G234" s="6" t="s">
        <v>2005</v>
      </c>
      <c r="H234" s="6" t="s">
        <v>2005</v>
      </c>
      <c r="I234" s="6" t="str">
        <f t="shared" si="6"/>
        <v>Side Breaker</v>
      </c>
      <c r="J234" s="6" t="s">
        <v>423</v>
      </c>
      <c r="K234" s="6">
        <v>1</v>
      </c>
      <c r="P234" s="6">
        <f t="shared" si="7"/>
        <v>2500000</v>
      </c>
      <c r="R234" s="6" t="s">
        <v>2003</v>
      </c>
      <c r="T234" s="6" t="s">
        <v>912</v>
      </c>
      <c r="U234" s="6">
        <v>2010</v>
      </c>
      <c r="V234" s="6">
        <v>1</v>
      </c>
      <c r="AD234" s="6" t="s">
        <v>45</v>
      </c>
      <c r="AJ234" s="31" t="s">
        <v>2120</v>
      </c>
      <c r="AK234" s="6">
        <v>1</v>
      </c>
      <c r="AL234" s="26">
        <v>2300000</v>
      </c>
      <c r="AM234" s="26">
        <v>2300000</v>
      </c>
      <c r="AN234" s="26">
        <v>2300000</v>
      </c>
      <c r="AO234" s="6" t="s">
        <v>2003</v>
      </c>
      <c r="AQ234" s="6" t="s">
        <v>1162</v>
      </c>
      <c r="AU234" s="6">
        <v>224074</v>
      </c>
    </row>
    <row r="235" spans="1:47" hidden="1" x14ac:dyDescent="0.3">
      <c r="A235" s="28" t="s">
        <v>42</v>
      </c>
      <c r="B235" s="6" t="s">
        <v>2183</v>
      </c>
      <c r="E235" s="6">
        <v>1</v>
      </c>
      <c r="F235" s="6" t="s">
        <v>2004</v>
      </c>
      <c r="G235" s="6" t="s">
        <v>2005</v>
      </c>
      <c r="H235" s="6" t="s">
        <v>2005</v>
      </c>
      <c r="I235" s="6" t="str">
        <f t="shared" si="6"/>
        <v>ETC</v>
      </c>
      <c r="J235" s="6" t="s">
        <v>498</v>
      </c>
      <c r="K235" s="6">
        <v>1</v>
      </c>
      <c r="P235" s="6">
        <f t="shared" si="7"/>
        <v>3200000</v>
      </c>
      <c r="R235" s="6" t="s">
        <v>2003</v>
      </c>
      <c r="T235" s="6" t="s">
        <v>2037</v>
      </c>
      <c r="U235" s="6">
        <v>2007</v>
      </c>
      <c r="V235" s="6">
        <v>1</v>
      </c>
      <c r="AD235" s="6" t="s">
        <v>45</v>
      </c>
      <c r="AJ235" s="31" t="s">
        <v>2117</v>
      </c>
      <c r="AK235" s="6">
        <v>1</v>
      </c>
      <c r="AL235" s="26">
        <v>3000000</v>
      </c>
      <c r="AM235" s="26">
        <v>3000000</v>
      </c>
      <c r="AN235" s="26">
        <v>3000000</v>
      </c>
      <c r="AO235" s="6" t="s">
        <v>2003</v>
      </c>
      <c r="AQ235" s="6" t="s">
        <v>1180</v>
      </c>
      <c r="AU235" s="6">
        <v>224075</v>
      </c>
    </row>
    <row r="236" spans="1:47" x14ac:dyDescent="0.3">
      <c r="A236" s="28" t="s">
        <v>42</v>
      </c>
      <c r="B236" s="6" t="s">
        <v>2184</v>
      </c>
      <c r="C236" s="6" t="s">
        <v>1972</v>
      </c>
      <c r="D236" s="6" t="s">
        <v>2104</v>
      </c>
      <c r="E236" s="6">
        <v>1</v>
      </c>
      <c r="F236" s="6" t="s">
        <v>2004</v>
      </c>
      <c r="G236" s="6" t="s">
        <v>2005</v>
      </c>
      <c r="H236" s="6" t="s">
        <v>2005</v>
      </c>
      <c r="I236" s="6" t="str">
        <f t="shared" si="6"/>
        <v>Stone Grapple</v>
      </c>
      <c r="J236" s="6" t="s">
        <v>44</v>
      </c>
      <c r="K236" s="6">
        <v>1</v>
      </c>
      <c r="P236" s="6">
        <f t="shared" si="7"/>
        <v>2400000</v>
      </c>
      <c r="R236" s="6" t="s">
        <v>2003</v>
      </c>
      <c r="T236" s="6" t="s">
        <v>1849</v>
      </c>
      <c r="U236" s="6">
        <v>2013</v>
      </c>
      <c r="V236" s="6">
        <v>1</v>
      </c>
      <c r="AD236" s="6" t="s">
        <v>45</v>
      </c>
      <c r="AJ236" s="31" t="s">
        <v>2116</v>
      </c>
      <c r="AK236" s="6">
        <v>1</v>
      </c>
      <c r="AL236" s="26">
        <v>2200000</v>
      </c>
      <c r="AM236" s="26">
        <v>2200000</v>
      </c>
      <c r="AN236" s="26">
        <v>2200000</v>
      </c>
      <c r="AO236" s="6" t="s">
        <v>2003</v>
      </c>
      <c r="AQ236" s="6" t="s">
        <v>1236</v>
      </c>
      <c r="AU236" s="6">
        <v>224078</v>
      </c>
    </row>
    <row r="237" spans="1:47" hidden="1" x14ac:dyDescent="0.3">
      <c r="A237" s="28" t="s">
        <v>42</v>
      </c>
      <c r="B237" s="6" t="s">
        <v>2182</v>
      </c>
      <c r="C237" s="6" t="s">
        <v>1976</v>
      </c>
      <c r="E237" s="6">
        <v>1</v>
      </c>
      <c r="F237" s="6" t="s">
        <v>2004</v>
      </c>
      <c r="G237" s="6" t="s">
        <v>2005</v>
      </c>
      <c r="H237" s="6" t="s">
        <v>2005</v>
      </c>
      <c r="I237" s="6" t="str">
        <f t="shared" si="6"/>
        <v>Skeleton Bucket</v>
      </c>
      <c r="J237" s="6" t="s">
        <v>499</v>
      </c>
      <c r="K237" s="6">
        <v>1</v>
      </c>
      <c r="P237" s="6">
        <f t="shared" si="7"/>
        <v>3200000</v>
      </c>
      <c r="R237" s="6" t="s">
        <v>2003</v>
      </c>
      <c r="T237" s="6" t="s">
        <v>2038</v>
      </c>
      <c r="U237" s="6">
        <v>2010</v>
      </c>
      <c r="V237" s="6">
        <v>1</v>
      </c>
      <c r="AD237" s="6" t="s">
        <v>45</v>
      </c>
      <c r="AJ237" s="31" t="s">
        <v>2110</v>
      </c>
      <c r="AK237" s="6">
        <v>1</v>
      </c>
      <c r="AL237" s="26">
        <v>3000000</v>
      </c>
      <c r="AM237" s="26">
        <v>3000000</v>
      </c>
      <c r="AN237" s="26">
        <v>3000000</v>
      </c>
      <c r="AO237" s="6" t="s">
        <v>2003</v>
      </c>
      <c r="AQ237" s="6" t="s">
        <v>1208</v>
      </c>
      <c r="AU237" s="6">
        <v>224085</v>
      </c>
    </row>
    <row r="238" spans="1:47" x14ac:dyDescent="0.3">
      <c r="A238" s="28" t="s">
        <v>42</v>
      </c>
      <c r="B238" s="6" t="s">
        <v>2174</v>
      </c>
      <c r="C238" s="6" t="s">
        <v>1975</v>
      </c>
      <c r="D238" s="6" t="s">
        <v>2104</v>
      </c>
      <c r="E238" s="6">
        <v>1</v>
      </c>
      <c r="F238" s="6" t="s">
        <v>2004</v>
      </c>
      <c r="G238" s="6" t="s">
        <v>2005</v>
      </c>
      <c r="H238" s="6" t="s">
        <v>2005</v>
      </c>
      <c r="I238" s="6" t="str">
        <f t="shared" si="6"/>
        <v>Side Breaker</v>
      </c>
      <c r="J238" s="6" t="s">
        <v>404</v>
      </c>
      <c r="K238" s="6">
        <v>1</v>
      </c>
      <c r="P238" s="6">
        <f t="shared" si="7"/>
        <v>4400000</v>
      </c>
      <c r="R238" s="6" t="s">
        <v>2003</v>
      </c>
      <c r="T238" s="6" t="s">
        <v>862</v>
      </c>
      <c r="U238" s="6">
        <v>2015</v>
      </c>
      <c r="V238" s="6">
        <v>8</v>
      </c>
      <c r="AD238" s="6" t="s">
        <v>45</v>
      </c>
      <c r="AJ238" s="31" t="s">
        <v>2118</v>
      </c>
      <c r="AK238" s="6">
        <v>1</v>
      </c>
      <c r="AL238" s="26">
        <v>4200000</v>
      </c>
      <c r="AM238" s="26">
        <v>4200000</v>
      </c>
      <c r="AN238" s="26">
        <v>4200000</v>
      </c>
      <c r="AO238" s="6" t="s">
        <v>2003</v>
      </c>
      <c r="AQ238" s="6" t="s">
        <v>67</v>
      </c>
      <c r="AU238" s="6">
        <v>224087</v>
      </c>
    </row>
    <row r="239" spans="1:47" hidden="1" x14ac:dyDescent="0.3">
      <c r="A239" s="28" t="s">
        <v>42</v>
      </c>
      <c r="B239" s="6" t="s">
        <v>2183</v>
      </c>
      <c r="E239" s="6">
        <v>1</v>
      </c>
      <c r="F239" s="6" t="s">
        <v>2004</v>
      </c>
      <c r="G239" s="6" t="s">
        <v>2005</v>
      </c>
      <c r="H239" s="6" t="s">
        <v>2005</v>
      </c>
      <c r="I239" s="6" t="str">
        <f t="shared" si="6"/>
        <v>ETC</v>
      </c>
      <c r="J239" s="6" t="s">
        <v>228</v>
      </c>
      <c r="K239" s="6">
        <v>1</v>
      </c>
      <c r="P239" s="6">
        <f t="shared" si="7"/>
        <v>4700000</v>
      </c>
      <c r="R239" s="6" t="s">
        <v>2003</v>
      </c>
      <c r="T239" s="6" t="s">
        <v>66</v>
      </c>
      <c r="U239" s="6">
        <v>2008</v>
      </c>
      <c r="V239" s="6">
        <v>1</v>
      </c>
      <c r="AD239" s="6" t="s">
        <v>45</v>
      </c>
      <c r="AJ239" s="31" t="s">
        <v>2118</v>
      </c>
      <c r="AK239" s="6">
        <v>1</v>
      </c>
      <c r="AL239" s="26">
        <v>4500000</v>
      </c>
      <c r="AM239" s="26">
        <v>4500000</v>
      </c>
      <c r="AN239" s="26">
        <v>4500000</v>
      </c>
      <c r="AO239" s="6" t="s">
        <v>2003</v>
      </c>
      <c r="AQ239" s="6" t="s">
        <v>67</v>
      </c>
      <c r="AU239" s="6">
        <v>224088</v>
      </c>
    </row>
    <row r="240" spans="1:47" x14ac:dyDescent="0.3">
      <c r="A240" s="28" t="s">
        <v>42</v>
      </c>
      <c r="B240" s="6" t="s">
        <v>2183</v>
      </c>
      <c r="D240" s="6" t="s">
        <v>1995</v>
      </c>
      <c r="E240" s="6">
        <v>1</v>
      </c>
      <c r="F240" s="6" t="s">
        <v>2004</v>
      </c>
      <c r="G240" s="6" t="s">
        <v>2005</v>
      </c>
      <c r="H240" s="6" t="s">
        <v>2005</v>
      </c>
      <c r="I240" s="6" t="str">
        <f t="shared" si="6"/>
        <v>ETC</v>
      </c>
      <c r="J240" s="6" t="s">
        <v>285</v>
      </c>
      <c r="K240" s="6">
        <v>1</v>
      </c>
      <c r="P240" s="6">
        <f t="shared" si="7"/>
        <v>1200000</v>
      </c>
      <c r="R240" s="6" t="s">
        <v>2003</v>
      </c>
      <c r="T240" s="6" t="s">
        <v>1850</v>
      </c>
      <c r="U240" s="6">
        <v>2016</v>
      </c>
      <c r="V240" s="6">
        <v>11</v>
      </c>
      <c r="AD240" s="6" t="s">
        <v>45</v>
      </c>
      <c r="AJ240" s="31" t="s">
        <v>2112</v>
      </c>
      <c r="AK240" s="6">
        <v>1</v>
      </c>
      <c r="AL240" s="26">
        <v>1100000</v>
      </c>
      <c r="AM240" s="26">
        <v>1100000</v>
      </c>
      <c r="AN240" s="26">
        <v>1100000</v>
      </c>
      <c r="AO240" s="6" t="s">
        <v>2003</v>
      </c>
      <c r="AQ240" s="6" t="s">
        <v>1184</v>
      </c>
      <c r="AU240" s="6">
        <v>224090</v>
      </c>
    </row>
    <row r="241" spans="1:47" x14ac:dyDescent="0.3">
      <c r="A241" s="28" t="s">
        <v>42</v>
      </c>
      <c r="B241" s="6" t="s">
        <v>2184</v>
      </c>
      <c r="C241" s="6" t="s">
        <v>1972</v>
      </c>
      <c r="D241" s="6" t="s">
        <v>2104</v>
      </c>
      <c r="E241" s="6">
        <v>1</v>
      </c>
      <c r="F241" s="6" t="s">
        <v>2004</v>
      </c>
      <c r="G241" s="6" t="s">
        <v>2005</v>
      </c>
      <c r="H241" s="6" t="s">
        <v>2005</v>
      </c>
      <c r="I241" s="6" t="str">
        <f t="shared" si="6"/>
        <v>Stone Grapple</v>
      </c>
      <c r="J241" s="6" t="s">
        <v>120</v>
      </c>
      <c r="K241" s="6">
        <v>1</v>
      </c>
      <c r="P241" s="6">
        <f t="shared" si="7"/>
        <v>4700000</v>
      </c>
      <c r="R241" s="6" t="s">
        <v>2003</v>
      </c>
      <c r="T241" s="6" t="s">
        <v>899</v>
      </c>
      <c r="U241" s="6">
        <v>2011</v>
      </c>
      <c r="V241" s="6">
        <v>8</v>
      </c>
      <c r="AD241" s="6" t="s">
        <v>45</v>
      </c>
      <c r="AJ241" s="31" t="s">
        <v>2117</v>
      </c>
      <c r="AK241" s="6">
        <v>1</v>
      </c>
      <c r="AL241" s="26">
        <v>4500000</v>
      </c>
      <c r="AM241" s="26">
        <v>4500000</v>
      </c>
      <c r="AN241" s="26">
        <v>4500000</v>
      </c>
      <c r="AO241" s="6" t="s">
        <v>2003</v>
      </c>
      <c r="AQ241" s="6" t="s">
        <v>899</v>
      </c>
      <c r="AU241" s="6">
        <v>224091</v>
      </c>
    </row>
    <row r="242" spans="1:47" x14ac:dyDescent="0.3">
      <c r="A242" s="28" t="s">
        <v>42</v>
      </c>
      <c r="B242" s="6" t="s">
        <v>2183</v>
      </c>
      <c r="D242" s="6" t="s">
        <v>2100</v>
      </c>
      <c r="E242" s="6">
        <v>1</v>
      </c>
      <c r="F242" s="6" t="s">
        <v>2004</v>
      </c>
      <c r="G242" s="6" t="s">
        <v>2005</v>
      </c>
      <c r="H242" s="6" t="s">
        <v>2005</v>
      </c>
      <c r="I242" s="6" t="str">
        <f t="shared" si="6"/>
        <v>ETC</v>
      </c>
      <c r="J242" s="6" t="s">
        <v>500</v>
      </c>
      <c r="K242" s="6">
        <v>1</v>
      </c>
      <c r="P242" s="6">
        <f t="shared" si="7"/>
        <v>1800000</v>
      </c>
      <c r="R242" s="6" t="s">
        <v>2003</v>
      </c>
      <c r="T242" s="6" t="s">
        <v>913</v>
      </c>
      <c r="U242" s="6">
        <v>2016</v>
      </c>
      <c r="V242" s="6">
        <v>9</v>
      </c>
      <c r="AD242" s="6" t="s">
        <v>45</v>
      </c>
      <c r="AJ242" s="31" t="s">
        <v>2118</v>
      </c>
      <c r="AK242" s="6">
        <v>1</v>
      </c>
      <c r="AL242" s="26">
        <v>1700000</v>
      </c>
      <c r="AM242" s="26">
        <v>1700000</v>
      </c>
      <c r="AN242" s="26">
        <v>1700000</v>
      </c>
      <c r="AO242" s="6" t="s">
        <v>2003</v>
      </c>
      <c r="AQ242" s="6" t="s">
        <v>1170</v>
      </c>
      <c r="AU242" s="6">
        <v>224093</v>
      </c>
    </row>
    <row r="243" spans="1:47" hidden="1" x14ac:dyDescent="0.3">
      <c r="A243" s="28" t="s">
        <v>42</v>
      </c>
      <c r="B243" s="6" t="s">
        <v>2183</v>
      </c>
      <c r="E243" s="6">
        <v>1</v>
      </c>
      <c r="F243" s="6" t="s">
        <v>2004</v>
      </c>
      <c r="G243" s="6" t="s">
        <v>2005</v>
      </c>
      <c r="H243" s="6" t="s">
        <v>2005</v>
      </c>
      <c r="I243" s="6" t="str">
        <f t="shared" si="6"/>
        <v>ETC</v>
      </c>
      <c r="J243" s="6" t="s">
        <v>2142</v>
      </c>
      <c r="K243" s="6">
        <v>1</v>
      </c>
      <c r="P243" s="6">
        <f t="shared" si="7"/>
        <v>7500000</v>
      </c>
      <c r="R243" s="6" t="s">
        <v>2003</v>
      </c>
      <c r="T243" s="6" t="s">
        <v>2039</v>
      </c>
      <c r="U243" s="6">
        <v>2010</v>
      </c>
      <c r="V243" s="6">
        <v>10</v>
      </c>
      <c r="AD243" s="6" t="s">
        <v>45</v>
      </c>
      <c r="AJ243" s="31" t="s">
        <v>2110</v>
      </c>
      <c r="AK243" s="6">
        <v>1</v>
      </c>
      <c r="AL243" s="26">
        <v>7000000</v>
      </c>
      <c r="AM243" s="26">
        <v>7000000</v>
      </c>
      <c r="AN243" s="26">
        <v>7000000</v>
      </c>
      <c r="AO243" s="6" t="s">
        <v>2003</v>
      </c>
      <c r="AQ243" s="6" t="s">
        <v>1147</v>
      </c>
      <c r="AU243" s="6">
        <v>224095</v>
      </c>
    </row>
    <row r="244" spans="1:47" x14ac:dyDescent="0.3">
      <c r="A244" s="28" t="s">
        <v>42</v>
      </c>
      <c r="B244" s="6" t="s">
        <v>2174</v>
      </c>
      <c r="C244" s="6" t="s">
        <v>1975</v>
      </c>
      <c r="D244" s="6" t="s">
        <v>2106</v>
      </c>
      <c r="E244" s="6">
        <v>1</v>
      </c>
      <c r="F244" s="6" t="s">
        <v>2004</v>
      </c>
      <c r="G244" s="6" t="s">
        <v>2005</v>
      </c>
      <c r="H244" s="6" t="s">
        <v>2005</v>
      </c>
      <c r="I244" s="6" t="str">
        <f t="shared" si="6"/>
        <v>Side Breaker</v>
      </c>
      <c r="J244" s="6" t="s">
        <v>385</v>
      </c>
      <c r="K244" s="6">
        <v>1</v>
      </c>
      <c r="P244" s="6">
        <f t="shared" si="7"/>
        <v>1700000</v>
      </c>
      <c r="R244" s="6" t="s">
        <v>2003</v>
      </c>
      <c r="T244" s="6" t="s">
        <v>70</v>
      </c>
      <c r="U244" s="6">
        <v>2014</v>
      </c>
      <c r="V244" s="6">
        <v>5</v>
      </c>
      <c r="AD244" s="6" t="s">
        <v>45</v>
      </c>
      <c r="AJ244" s="31" t="s">
        <v>2113</v>
      </c>
      <c r="AK244" s="6">
        <v>1</v>
      </c>
      <c r="AL244" s="26">
        <v>1600000</v>
      </c>
      <c r="AM244" s="26">
        <v>1600000</v>
      </c>
      <c r="AN244" s="26">
        <v>1600000</v>
      </c>
      <c r="AO244" s="6" t="s">
        <v>2003</v>
      </c>
      <c r="AQ244" s="6" t="s">
        <v>71</v>
      </c>
      <c r="AU244" s="6">
        <v>224096</v>
      </c>
    </row>
    <row r="245" spans="1:47" hidden="1" x14ac:dyDescent="0.3">
      <c r="A245" s="28" t="s">
        <v>42</v>
      </c>
      <c r="B245" s="6" t="s">
        <v>2183</v>
      </c>
      <c r="E245" s="6">
        <v>1</v>
      </c>
      <c r="F245" s="6" t="s">
        <v>2004</v>
      </c>
      <c r="G245" s="6" t="s">
        <v>2005</v>
      </c>
      <c r="H245" s="6" t="s">
        <v>2005</v>
      </c>
      <c r="I245" s="6" t="str">
        <f t="shared" si="6"/>
        <v>ETC</v>
      </c>
      <c r="J245" s="6" t="s">
        <v>348</v>
      </c>
      <c r="K245" s="6">
        <v>1</v>
      </c>
      <c r="P245" s="6">
        <f t="shared" si="7"/>
        <v>1500000</v>
      </c>
      <c r="R245" s="6" t="s">
        <v>2003</v>
      </c>
      <c r="T245" s="6" t="s">
        <v>914</v>
      </c>
      <c r="U245" s="6">
        <v>2013</v>
      </c>
      <c r="V245" s="6">
        <v>1</v>
      </c>
      <c r="AD245" s="6" t="s">
        <v>45</v>
      </c>
      <c r="AJ245" s="31" t="s">
        <v>2118</v>
      </c>
      <c r="AK245" s="6">
        <v>1</v>
      </c>
      <c r="AL245" s="26">
        <v>1400000</v>
      </c>
      <c r="AM245" s="26">
        <v>1400000</v>
      </c>
      <c r="AN245" s="26">
        <v>1400000</v>
      </c>
      <c r="AO245" s="6" t="s">
        <v>2003</v>
      </c>
      <c r="AQ245" s="6" t="s">
        <v>67</v>
      </c>
      <c r="AU245" s="6">
        <v>224097</v>
      </c>
    </row>
    <row r="246" spans="1:47" hidden="1" x14ac:dyDescent="0.3">
      <c r="A246" s="28" t="s">
        <v>42</v>
      </c>
      <c r="B246" s="6" t="s">
        <v>2183</v>
      </c>
      <c r="E246" s="6">
        <v>1</v>
      </c>
      <c r="F246" s="6" t="s">
        <v>2004</v>
      </c>
      <c r="G246" s="6" t="s">
        <v>2005</v>
      </c>
      <c r="H246" s="6" t="s">
        <v>2005</v>
      </c>
      <c r="I246" s="6" t="str">
        <f t="shared" si="6"/>
        <v>ETC</v>
      </c>
      <c r="J246" s="6" t="s">
        <v>206</v>
      </c>
      <c r="K246" s="6">
        <v>1</v>
      </c>
      <c r="P246" s="6">
        <f t="shared" si="7"/>
        <v>12500000</v>
      </c>
      <c r="R246" s="6" t="s">
        <v>2003</v>
      </c>
      <c r="T246" s="6" t="s">
        <v>798</v>
      </c>
      <c r="U246" s="6">
        <v>2015</v>
      </c>
      <c r="V246" s="6">
        <v>11</v>
      </c>
      <c r="AD246" s="6" t="s">
        <v>45</v>
      </c>
      <c r="AJ246" s="31" t="s">
        <v>2113</v>
      </c>
      <c r="AK246" s="6">
        <v>1</v>
      </c>
      <c r="AL246" s="26">
        <v>12000000</v>
      </c>
      <c r="AM246" s="26">
        <v>12000000</v>
      </c>
      <c r="AN246" s="26">
        <v>12000000</v>
      </c>
      <c r="AO246" s="6" t="s">
        <v>2003</v>
      </c>
      <c r="AQ246" s="6" t="s">
        <v>71</v>
      </c>
      <c r="AU246" s="6">
        <v>224100</v>
      </c>
    </row>
    <row r="247" spans="1:47" hidden="1" x14ac:dyDescent="0.3">
      <c r="A247" s="28" t="s">
        <v>42</v>
      </c>
      <c r="B247" s="6" t="s">
        <v>2200</v>
      </c>
      <c r="E247" s="6">
        <v>1</v>
      </c>
      <c r="F247" s="6" t="s">
        <v>2004</v>
      </c>
      <c r="G247" s="6" t="s">
        <v>2005</v>
      </c>
      <c r="H247" s="6" t="s">
        <v>2005</v>
      </c>
      <c r="I247" s="6" t="str">
        <f t="shared" si="6"/>
        <v>Core Drill</v>
      </c>
      <c r="J247" s="6" t="s">
        <v>263</v>
      </c>
      <c r="K247" s="6">
        <v>1</v>
      </c>
      <c r="P247" s="6">
        <f t="shared" si="7"/>
        <v>790000</v>
      </c>
      <c r="R247" s="6" t="s">
        <v>2003</v>
      </c>
      <c r="T247" s="6" t="s">
        <v>2040</v>
      </c>
      <c r="U247" s="6">
        <v>2017</v>
      </c>
      <c r="V247" s="6">
        <v>1</v>
      </c>
      <c r="AD247" s="6" t="s">
        <v>45</v>
      </c>
      <c r="AJ247" s="31" t="s">
        <v>2125</v>
      </c>
      <c r="AK247" s="6">
        <v>1</v>
      </c>
      <c r="AL247" s="26">
        <v>690000</v>
      </c>
      <c r="AM247" s="26">
        <v>690000</v>
      </c>
      <c r="AN247" s="26">
        <v>690000</v>
      </c>
      <c r="AO247" s="6" t="s">
        <v>2003</v>
      </c>
      <c r="AQ247" s="6" t="s">
        <v>1206</v>
      </c>
      <c r="AU247" s="6">
        <v>224104</v>
      </c>
    </row>
    <row r="248" spans="1:47" x14ac:dyDescent="0.3">
      <c r="A248" s="28" t="s">
        <v>42</v>
      </c>
      <c r="B248" s="6" t="s">
        <v>2183</v>
      </c>
      <c r="D248" s="6" t="s">
        <v>2104</v>
      </c>
      <c r="E248" s="6">
        <v>1</v>
      </c>
      <c r="F248" s="6" t="s">
        <v>2004</v>
      </c>
      <c r="G248" s="6" t="s">
        <v>2005</v>
      </c>
      <c r="H248" s="6" t="s">
        <v>2005</v>
      </c>
      <c r="I248" s="6" t="str">
        <f t="shared" si="6"/>
        <v>ETC</v>
      </c>
      <c r="J248" s="6" t="s">
        <v>501</v>
      </c>
      <c r="K248" s="6">
        <v>1</v>
      </c>
      <c r="P248" s="6">
        <f t="shared" si="7"/>
        <v>6100000</v>
      </c>
      <c r="R248" s="6" t="s">
        <v>2003</v>
      </c>
      <c r="T248" s="6" t="s">
        <v>915</v>
      </c>
      <c r="U248" s="6">
        <v>2015</v>
      </c>
      <c r="V248" s="6">
        <v>1</v>
      </c>
      <c r="AD248" s="6" t="s">
        <v>45</v>
      </c>
      <c r="AJ248" s="31" t="s">
        <v>2116</v>
      </c>
      <c r="AK248" s="6">
        <v>1</v>
      </c>
      <c r="AL248" s="26">
        <v>5600000</v>
      </c>
      <c r="AM248" s="26">
        <v>5600000</v>
      </c>
      <c r="AN248" s="26">
        <v>5600000</v>
      </c>
      <c r="AO248" s="6" t="s">
        <v>2003</v>
      </c>
      <c r="AQ248" s="6" t="s">
        <v>1175</v>
      </c>
      <c r="AU248" s="6">
        <v>224105</v>
      </c>
    </row>
    <row r="249" spans="1:47" x14ac:dyDescent="0.3">
      <c r="A249" s="28" t="s">
        <v>42</v>
      </c>
      <c r="B249" s="6" t="s">
        <v>2184</v>
      </c>
      <c r="C249" s="6" t="s">
        <v>1972</v>
      </c>
      <c r="D249" s="6" t="s">
        <v>2104</v>
      </c>
      <c r="E249" s="6">
        <v>1</v>
      </c>
      <c r="F249" s="6" t="s">
        <v>2004</v>
      </c>
      <c r="G249" s="6" t="s">
        <v>2005</v>
      </c>
      <c r="H249" s="6" t="s">
        <v>2005</v>
      </c>
      <c r="I249" s="6" t="str">
        <f t="shared" si="6"/>
        <v>Stone Grapple</v>
      </c>
      <c r="J249" s="6" t="s">
        <v>257</v>
      </c>
      <c r="K249" s="6">
        <v>1</v>
      </c>
      <c r="P249" s="6">
        <f t="shared" si="7"/>
        <v>4000000</v>
      </c>
      <c r="R249" s="6" t="s">
        <v>2003</v>
      </c>
      <c r="T249" s="6" t="s">
        <v>1851</v>
      </c>
      <c r="U249" s="6">
        <v>2003</v>
      </c>
      <c r="V249" s="6">
        <v>1</v>
      </c>
      <c r="AD249" s="6" t="s">
        <v>45</v>
      </c>
      <c r="AJ249" s="31" t="s">
        <v>2122</v>
      </c>
      <c r="AK249" s="6">
        <v>1</v>
      </c>
      <c r="AL249" s="26">
        <v>3800000</v>
      </c>
      <c r="AM249" s="26">
        <v>3800000</v>
      </c>
      <c r="AN249" s="26">
        <v>3800000</v>
      </c>
      <c r="AO249" s="6" t="s">
        <v>2003</v>
      </c>
      <c r="AQ249" s="6" t="s">
        <v>1204</v>
      </c>
      <c r="AU249" s="6">
        <v>224115</v>
      </c>
    </row>
    <row r="250" spans="1:47" x14ac:dyDescent="0.3">
      <c r="A250" s="28" t="s">
        <v>42</v>
      </c>
      <c r="B250" s="6" t="s">
        <v>2192</v>
      </c>
      <c r="D250" s="6" t="s">
        <v>2100</v>
      </c>
      <c r="E250" s="6">
        <v>1</v>
      </c>
      <c r="F250" s="6" t="s">
        <v>2004</v>
      </c>
      <c r="G250" s="6" t="s">
        <v>2005</v>
      </c>
      <c r="H250" s="6" t="s">
        <v>2005</v>
      </c>
      <c r="I250" s="6" t="str">
        <f t="shared" si="6"/>
        <v>Lift Fork</v>
      </c>
      <c r="J250" s="6" t="s">
        <v>391</v>
      </c>
      <c r="K250" s="6">
        <v>1</v>
      </c>
      <c r="P250" s="6">
        <f t="shared" si="7"/>
        <v>900000</v>
      </c>
      <c r="R250" s="6" t="s">
        <v>2003</v>
      </c>
      <c r="T250" s="6" t="s">
        <v>791</v>
      </c>
      <c r="U250" s="6">
        <v>2016</v>
      </c>
      <c r="V250" s="6">
        <v>12</v>
      </c>
      <c r="AD250" s="6" t="s">
        <v>45</v>
      </c>
      <c r="AJ250" s="31" t="s">
        <v>2123</v>
      </c>
      <c r="AK250" s="6">
        <v>1</v>
      </c>
      <c r="AL250" s="26">
        <v>800000</v>
      </c>
      <c r="AM250" s="26">
        <v>800000</v>
      </c>
      <c r="AN250" s="26">
        <v>800000</v>
      </c>
      <c r="AO250" s="6" t="s">
        <v>2003</v>
      </c>
      <c r="AQ250" s="6" t="s">
        <v>1143</v>
      </c>
      <c r="AU250" s="6">
        <v>224116</v>
      </c>
    </row>
    <row r="251" spans="1:47" x14ac:dyDescent="0.3">
      <c r="A251" s="28" t="s">
        <v>42</v>
      </c>
      <c r="B251" s="6" t="s">
        <v>2184</v>
      </c>
      <c r="C251" s="6" t="s">
        <v>1979</v>
      </c>
      <c r="D251" s="6" t="s">
        <v>2104</v>
      </c>
      <c r="E251" s="6">
        <v>1</v>
      </c>
      <c r="F251" s="6" t="s">
        <v>2004</v>
      </c>
      <c r="G251" s="6" t="s">
        <v>2005</v>
      </c>
      <c r="H251" s="6" t="s">
        <v>2005</v>
      </c>
      <c r="I251" s="6" t="str">
        <f t="shared" si="6"/>
        <v>Thumb Grapple</v>
      </c>
      <c r="J251" s="6" t="s">
        <v>96</v>
      </c>
      <c r="K251" s="6">
        <v>1</v>
      </c>
      <c r="P251" s="6">
        <f t="shared" si="7"/>
        <v>1450000</v>
      </c>
      <c r="R251" s="6" t="s">
        <v>2003</v>
      </c>
      <c r="T251" s="6" t="s">
        <v>51</v>
      </c>
      <c r="U251" s="6">
        <v>2014</v>
      </c>
      <c r="V251" s="6">
        <v>1</v>
      </c>
      <c r="AD251" s="6" t="s">
        <v>45</v>
      </c>
      <c r="AJ251" s="31" t="s">
        <v>2113</v>
      </c>
      <c r="AK251" s="6">
        <v>1</v>
      </c>
      <c r="AL251" s="26">
        <v>1350000</v>
      </c>
      <c r="AM251" s="26">
        <v>1350000</v>
      </c>
      <c r="AN251" s="26">
        <v>1350000</v>
      </c>
      <c r="AO251" s="6" t="s">
        <v>2003</v>
      </c>
      <c r="AQ251" s="6" t="s">
        <v>49</v>
      </c>
      <c r="AU251" s="6">
        <v>224127</v>
      </c>
    </row>
    <row r="252" spans="1:47" x14ac:dyDescent="0.3">
      <c r="A252" s="28" t="s">
        <v>42</v>
      </c>
      <c r="B252" s="6" t="s">
        <v>2184</v>
      </c>
      <c r="C252" s="6" t="s">
        <v>1972</v>
      </c>
      <c r="D252" s="6" t="s">
        <v>2104</v>
      </c>
      <c r="E252" s="6">
        <v>1</v>
      </c>
      <c r="F252" s="6" t="s">
        <v>2004</v>
      </c>
      <c r="G252" s="6" t="s">
        <v>2005</v>
      </c>
      <c r="H252" s="6" t="s">
        <v>2005</v>
      </c>
      <c r="I252" s="6" t="str">
        <f t="shared" si="6"/>
        <v>Stone Grapple</v>
      </c>
      <c r="J252" s="6" t="s">
        <v>44</v>
      </c>
      <c r="K252" s="6">
        <v>1</v>
      </c>
      <c r="P252" s="6">
        <f t="shared" si="7"/>
        <v>2300000</v>
      </c>
      <c r="R252" s="6" t="s">
        <v>2003</v>
      </c>
      <c r="T252" s="6" t="s">
        <v>51</v>
      </c>
      <c r="U252" s="6">
        <v>2014</v>
      </c>
      <c r="V252" s="6">
        <v>1</v>
      </c>
      <c r="AD252" s="6" t="s">
        <v>45</v>
      </c>
      <c r="AJ252" s="31" t="s">
        <v>2113</v>
      </c>
      <c r="AK252" s="6">
        <v>1</v>
      </c>
      <c r="AL252" s="26">
        <v>2100000</v>
      </c>
      <c r="AM252" s="26">
        <v>2100000</v>
      </c>
      <c r="AN252" s="26">
        <v>2100000</v>
      </c>
      <c r="AO252" s="6" t="s">
        <v>2003</v>
      </c>
      <c r="AQ252" s="6" t="s">
        <v>49</v>
      </c>
      <c r="AU252" s="6">
        <v>224131</v>
      </c>
    </row>
    <row r="253" spans="1:47" x14ac:dyDescent="0.3">
      <c r="A253" s="28" t="s">
        <v>42</v>
      </c>
      <c r="B253" s="6" t="s">
        <v>2175</v>
      </c>
      <c r="C253" s="19" t="s">
        <v>2212</v>
      </c>
      <c r="D253" s="6" t="s">
        <v>2104</v>
      </c>
      <c r="E253" s="6">
        <v>1</v>
      </c>
      <c r="F253" s="6" t="s">
        <v>2004</v>
      </c>
      <c r="G253" s="6" t="s">
        <v>2005</v>
      </c>
      <c r="H253" s="6" t="s">
        <v>2005</v>
      </c>
      <c r="I253" s="6" t="str">
        <f t="shared" si="6"/>
        <v>Hydraulic Multi Processor</v>
      </c>
      <c r="J253" s="6" t="s">
        <v>304</v>
      </c>
      <c r="K253" s="6">
        <v>1</v>
      </c>
      <c r="P253" s="6">
        <f t="shared" si="7"/>
        <v>7500000</v>
      </c>
      <c r="R253" s="6" t="s">
        <v>2003</v>
      </c>
      <c r="T253" s="6" t="s">
        <v>2041</v>
      </c>
      <c r="U253" s="6">
        <v>2013</v>
      </c>
      <c r="V253" s="6">
        <v>1</v>
      </c>
      <c r="AD253" s="6" t="s">
        <v>45</v>
      </c>
      <c r="AJ253" s="31" t="s">
        <v>2113</v>
      </c>
      <c r="AK253" s="6">
        <v>1</v>
      </c>
      <c r="AL253" s="26">
        <v>7000000</v>
      </c>
      <c r="AM253" s="26">
        <v>7000000</v>
      </c>
      <c r="AN253" s="26">
        <v>7000000</v>
      </c>
      <c r="AO253" s="6" t="s">
        <v>2003</v>
      </c>
      <c r="AQ253" s="6" t="s">
        <v>49</v>
      </c>
      <c r="AU253" s="6">
        <v>224134</v>
      </c>
    </row>
    <row r="254" spans="1:47" x14ac:dyDescent="0.3">
      <c r="A254" s="28" t="s">
        <v>42</v>
      </c>
      <c r="B254" s="6" t="s">
        <v>2177</v>
      </c>
      <c r="C254" s="6" t="s">
        <v>1972</v>
      </c>
      <c r="D254" s="6" t="s">
        <v>2104</v>
      </c>
      <c r="E254" s="6">
        <v>1</v>
      </c>
      <c r="F254" s="6" t="s">
        <v>2004</v>
      </c>
      <c r="G254" s="6" t="s">
        <v>2005</v>
      </c>
      <c r="H254" s="6" t="s">
        <v>2005</v>
      </c>
      <c r="I254" s="6" t="str">
        <f t="shared" si="6"/>
        <v>Stone Grapple</v>
      </c>
      <c r="J254" s="6" t="s">
        <v>502</v>
      </c>
      <c r="K254" s="6">
        <v>1</v>
      </c>
      <c r="P254" s="6">
        <f t="shared" si="7"/>
        <v>2600000</v>
      </c>
      <c r="R254" s="6" t="s">
        <v>2003</v>
      </c>
      <c r="T254" s="6" t="s">
        <v>51</v>
      </c>
      <c r="U254" s="6">
        <v>2014</v>
      </c>
      <c r="V254" s="6">
        <v>1</v>
      </c>
      <c r="AD254" s="6" t="s">
        <v>45</v>
      </c>
      <c r="AJ254" s="31" t="s">
        <v>2113</v>
      </c>
      <c r="AK254" s="6">
        <v>1</v>
      </c>
      <c r="AL254" s="26">
        <v>2400000</v>
      </c>
      <c r="AM254" s="26">
        <v>2400000</v>
      </c>
      <c r="AN254" s="26">
        <v>2400000</v>
      </c>
      <c r="AO254" s="6" t="s">
        <v>2003</v>
      </c>
      <c r="AQ254" s="6" t="s">
        <v>49</v>
      </c>
      <c r="AU254" s="6">
        <v>224135</v>
      </c>
    </row>
    <row r="255" spans="1:47" x14ac:dyDescent="0.3">
      <c r="A255" s="28" t="s">
        <v>42</v>
      </c>
      <c r="B255" s="6" t="s">
        <v>2177</v>
      </c>
      <c r="C255" s="6" t="s">
        <v>1973</v>
      </c>
      <c r="D255" s="6" t="s">
        <v>2104</v>
      </c>
      <c r="E255" s="6">
        <v>1</v>
      </c>
      <c r="F255" s="6" t="s">
        <v>2004</v>
      </c>
      <c r="G255" s="6" t="s">
        <v>2005</v>
      </c>
      <c r="H255" s="6" t="s">
        <v>2005</v>
      </c>
      <c r="I255" s="6" t="str">
        <f t="shared" si="6"/>
        <v>Wood Grapple</v>
      </c>
      <c r="J255" s="6" t="s">
        <v>101</v>
      </c>
      <c r="K255" s="6">
        <v>1</v>
      </c>
      <c r="P255" s="6">
        <f t="shared" si="7"/>
        <v>4800000</v>
      </c>
      <c r="R255" s="6" t="s">
        <v>2003</v>
      </c>
      <c r="T255" s="6" t="s">
        <v>51</v>
      </c>
      <c r="U255" s="6">
        <v>2014</v>
      </c>
      <c r="V255" s="6">
        <v>1</v>
      </c>
      <c r="AD255" s="6" t="s">
        <v>45</v>
      </c>
      <c r="AJ255" s="31" t="s">
        <v>2113</v>
      </c>
      <c r="AK255" s="6">
        <v>1</v>
      </c>
      <c r="AL255" s="26">
        <v>4600000</v>
      </c>
      <c r="AM255" s="26">
        <v>4600000</v>
      </c>
      <c r="AN255" s="26">
        <v>4600000</v>
      </c>
      <c r="AO255" s="6" t="s">
        <v>2003</v>
      </c>
      <c r="AQ255" s="6" t="s">
        <v>49</v>
      </c>
      <c r="AU255" s="6">
        <v>224139</v>
      </c>
    </row>
    <row r="256" spans="1:47" x14ac:dyDescent="0.3">
      <c r="A256" s="28" t="s">
        <v>42</v>
      </c>
      <c r="B256" s="6" t="s">
        <v>2181</v>
      </c>
      <c r="D256" s="6" t="s">
        <v>2104</v>
      </c>
      <c r="E256" s="6">
        <v>1</v>
      </c>
      <c r="F256" s="6" t="s">
        <v>2004</v>
      </c>
      <c r="G256" s="6" t="s">
        <v>2005</v>
      </c>
      <c r="H256" s="6" t="s">
        <v>2005</v>
      </c>
      <c r="I256" s="6" t="str">
        <f t="shared" si="6"/>
        <v>ETC</v>
      </c>
      <c r="J256" s="6" t="s">
        <v>503</v>
      </c>
      <c r="K256" s="6">
        <v>1</v>
      </c>
      <c r="P256" s="6">
        <f t="shared" si="7"/>
        <v>3700000</v>
      </c>
      <c r="R256" s="6" t="s">
        <v>2003</v>
      </c>
      <c r="T256" s="6" t="s">
        <v>916</v>
      </c>
      <c r="U256" s="6">
        <v>2010</v>
      </c>
      <c r="V256" s="6">
        <v>5</v>
      </c>
      <c r="AD256" s="6" t="s">
        <v>45</v>
      </c>
      <c r="AJ256" s="31" t="s">
        <v>2117</v>
      </c>
      <c r="AK256" s="6">
        <v>1</v>
      </c>
      <c r="AL256" s="26">
        <v>3500000</v>
      </c>
      <c r="AM256" s="26">
        <v>3500000</v>
      </c>
      <c r="AN256" s="26">
        <v>3500000</v>
      </c>
      <c r="AO256" s="6" t="s">
        <v>2003</v>
      </c>
      <c r="AQ256" s="6" t="s">
        <v>1176</v>
      </c>
      <c r="AU256" s="6">
        <v>224144</v>
      </c>
    </row>
    <row r="257" spans="1:47" x14ac:dyDescent="0.3">
      <c r="A257" s="28" t="s">
        <v>42</v>
      </c>
      <c r="B257" s="6" t="s">
        <v>2178</v>
      </c>
      <c r="C257" s="6" t="s">
        <v>1975</v>
      </c>
      <c r="D257" s="6" t="s">
        <v>2100</v>
      </c>
      <c r="E257" s="6">
        <v>1</v>
      </c>
      <c r="F257" s="6" t="s">
        <v>2004</v>
      </c>
      <c r="G257" s="6" t="s">
        <v>2005</v>
      </c>
      <c r="H257" s="6" t="s">
        <v>2005</v>
      </c>
      <c r="I257" s="6" t="str">
        <f t="shared" si="6"/>
        <v>Side Breaker</v>
      </c>
      <c r="J257" s="6" t="s">
        <v>538</v>
      </c>
      <c r="K257" s="6">
        <v>1</v>
      </c>
      <c r="P257" s="6">
        <f t="shared" si="7"/>
        <v>3200000</v>
      </c>
      <c r="R257" s="6" t="s">
        <v>2003</v>
      </c>
      <c r="T257" s="6" t="s">
        <v>820</v>
      </c>
      <c r="U257" s="6">
        <v>2010</v>
      </c>
      <c r="V257" s="6">
        <v>1</v>
      </c>
      <c r="AD257" s="6" t="s">
        <v>45</v>
      </c>
      <c r="AJ257" s="31" t="s">
        <v>2120</v>
      </c>
      <c r="AK257" s="6">
        <v>1</v>
      </c>
      <c r="AL257" s="26">
        <v>3000000</v>
      </c>
      <c r="AM257" s="26">
        <v>3000000</v>
      </c>
      <c r="AN257" s="26">
        <v>3000000</v>
      </c>
      <c r="AO257" s="6" t="s">
        <v>2003</v>
      </c>
      <c r="AQ257" s="6" t="s">
        <v>1160</v>
      </c>
      <c r="AU257" s="6">
        <v>224153</v>
      </c>
    </row>
    <row r="258" spans="1:47" x14ac:dyDescent="0.3">
      <c r="A258" s="28" t="s">
        <v>42</v>
      </c>
      <c r="B258" s="6" t="s">
        <v>2177</v>
      </c>
      <c r="C258" s="19" t="s">
        <v>2206</v>
      </c>
      <c r="D258" s="6" t="s">
        <v>2106</v>
      </c>
      <c r="E258" s="6">
        <v>1</v>
      </c>
      <c r="F258" s="6" t="s">
        <v>2004</v>
      </c>
      <c r="G258" s="6" t="s">
        <v>2005</v>
      </c>
      <c r="H258" s="6" t="s">
        <v>2005</v>
      </c>
      <c r="I258" s="6" t="str">
        <f t="shared" ref="I258:I321" si="8">IF(ISBLANK(C258),B258,C258)</f>
        <v>Etc Grapple</v>
      </c>
      <c r="J258" s="6" t="s">
        <v>505</v>
      </c>
      <c r="K258" s="6">
        <v>1</v>
      </c>
      <c r="P258" s="6">
        <f t="shared" si="7"/>
        <v>2250000</v>
      </c>
      <c r="R258" s="6" t="s">
        <v>2003</v>
      </c>
      <c r="T258" s="6" t="s">
        <v>2007</v>
      </c>
      <c r="U258" s="6">
        <v>2016</v>
      </c>
      <c r="V258" s="6">
        <v>1</v>
      </c>
      <c r="AD258" s="6" t="s">
        <v>45</v>
      </c>
      <c r="AJ258" s="31" t="s">
        <v>2113</v>
      </c>
      <c r="AK258" s="6">
        <v>1</v>
      </c>
      <c r="AL258" s="26">
        <v>2050000</v>
      </c>
      <c r="AM258" s="26">
        <v>2050000</v>
      </c>
      <c r="AN258" s="26">
        <v>2050000</v>
      </c>
      <c r="AO258" s="6" t="s">
        <v>2003</v>
      </c>
      <c r="AQ258" s="6" t="s">
        <v>49</v>
      </c>
      <c r="AU258" s="6">
        <v>224157</v>
      </c>
    </row>
    <row r="259" spans="1:47" x14ac:dyDescent="0.3">
      <c r="A259" s="28" t="s">
        <v>42</v>
      </c>
      <c r="B259" s="6" t="s">
        <v>2191</v>
      </c>
      <c r="C259" s="6" t="s">
        <v>1975</v>
      </c>
      <c r="D259" s="6" t="s">
        <v>2106</v>
      </c>
      <c r="E259" s="6">
        <v>1</v>
      </c>
      <c r="F259" s="6" t="s">
        <v>2004</v>
      </c>
      <c r="G259" s="6" t="s">
        <v>2005</v>
      </c>
      <c r="H259" s="6" t="s">
        <v>2005</v>
      </c>
      <c r="I259" s="6" t="str">
        <f t="shared" si="8"/>
        <v>Side Breaker</v>
      </c>
      <c r="J259" s="6" t="s">
        <v>172</v>
      </c>
      <c r="K259" s="6">
        <v>1</v>
      </c>
      <c r="P259" s="6">
        <f t="shared" ref="P259:P322" si="9">IF(AM259&lt;500000,AM259+50000,IF(AND(AM259&gt;=500000,AM259&lt;2000000),AM259+100000,IF(AND(AM259&gt;=2000000,AM259&lt;5000000),AM259+200000,IF(AM259&gt;=5000000,AM259+500000,AM259))))</f>
        <v>1700000</v>
      </c>
      <c r="R259" s="6" t="s">
        <v>2003</v>
      </c>
      <c r="T259" s="6" t="s">
        <v>798</v>
      </c>
      <c r="U259" s="6">
        <v>2014</v>
      </c>
      <c r="V259" s="6">
        <v>6</v>
      </c>
      <c r="AD259" s="6" t="s">
        <v>45</v>
      </c>
      <c r="AJ259" s="31" t="s">
        <v>2113</v>
      </c>
      <c r="AK259" s="6">
        <v>1</v>
      </c>
      <c r="AL259" s="26">
        <v>1600000</v>
      </c>
      <c r="AM259" s="26">
        <v>1600000</v>
      </c>
      <c r="AN259" s="26">
        <v>1600000</v>
      </c>
      <c r="AO259" s="6" t="s">
        <v>2003</v>
      </c>
      <c r="AQ259" s="6" t="s">
        <v>71</v>
      </c>
      <c r="AU259" s="6">
        <v>224161</v>
      </c>
    </row>
    <row r="260" spans="1:47" x14ac:dyDescent="0.3">
      <c r="A260" s="28" t="s">
        <v>42</v>
      </c>
      <c r="B260" s="6" t="s">
        <v>2187</v>
      </c>
      <c r="C260" s="6" t="s">
        <v>1984</v>
      </c>
      <c r="D260" s="6" t="s">
        <v>2101</v>
      </c>
      <c r="E260" s="6">
        <v>1</v>
      </c>
      <c r="F260" s="6" t="s">
        <v>2004</v>
      </c>
      <c r="G260" s="6" t="s">
        <v>2005</v>
      </c>
      <c r="H260" s="6" t="s">
        <v>2005</v>
      </c>
      <c r="I260" s="6" t="str">
        <f t="shared" si="8"/>
        <v>Scrap Grapple</v>
      </c>
      <c r="J260" s="6" t="s">
        <v>301</v>
      </c>
      <c r="K260" s="6">
        <v>1</v>
      </c>
      <c r="P260" s="6">
        <f t="shared" si="9"/>
        <v>3700000</v>
      </c>
      <c r="R260" s="6" t="s">
        <v>2003</v>
      </c>
      <c r="T260" s="6" t="s">
        <v>813</v>
      </c>
      <c r="U260" s="6">
        <v>2013</v>
      </c>
      <c r="V260" s="6">
        <v>1</v>
      </c>
      <c r="AD260" s="6" t="s">
        <v>45</v>
      </c>
      <c r="AJ260" s="31" t="s">
        <v>2113</v>
      </c>
      <c r="AK260" s="6">
        <v>1</v>
      </c>
      <c r="AL260" s="26">
        <v>3500000</v>
      </c>
      <c r="AM260" s="26">
        <v>3500000</v>
      </c>
      <c r="AN260" s="26">
        <v>3500000</v>
      </c>
      <c r="AO260" s="6" t="s">
        <v>2003</v>
      </c>
      <c r="AQ260" s="6" t="s">
        <v>79</v>
      </c>
      <c r="AU260" s="6">
        <v>224162</v>
      </c>
    </row>
    <row r="261" spans="1:47" x14ac:dyDescent="0.3">
      <c r="A261" s="28" t="s">
        <v>42</v>
      </c>
      <c r="B261" s="6" t="s">
        <v>2187</v>
      </c>
      <c r="C261" s="19" t="s">
        <v>2206</v>
      </c>
      <c r="D261" s="6" t="s">
        <v>2002</v>
      </c>
      <c r="E261" s="6">
        <v>1</v>
      </c>
      <c r="F261" s="6" t="s">
        <v>2004</v>
      </c>
      <c r="G261" s="6" t="s">
        <v>2005</v>
      </c>
      <c r="H261" s="6" t="s">
        <v>2005</v>
      </c>
      <c r="I261" s="6" t="str">
        <f t="shared" si="8"/>
        <v>Etc Grapple</v>
      </c>
      <c r="J261" s="6" t="s">
        <v>588</v>
      </c>
      <c r="K261" s="6">
        <v>1</v>
      </c>
      <c r="P261" s="6">
        <f t="shared" si="9"/>
        <v>1950000</v>
      </c>
      <c r="R261" s="6" t="s">
        <v>2003</v>
      </c>
      <c r="T261" s="6" t="s">
        <v>2007</v>
      </c>
      <c r="U261" s="6">
        <v>2014</v>
      </c>
      <c r="V261" s="6">
        <v>1</v>
      </c>
      <c r="AD261" s="6" t="s">
        <v>45</v>
      </c>
      <c r="AJ261" s="31" t="s">
        <v>2113</v>
      </c>
      <c r="AK261" s="6">
        <v>1</v>
      </c>
      <c r="AL261" s="26">
        <v>1850000</v>
      </c>
      <c r="AM261" s="26">
        <v>1850000</v>
      </c>
      <c r="AN261" s="26">
        <v>1850000</v>
      </c>
      <c r="AO261" s="6" t="s">
        <v>2003</v>
      </c>
      <c r="AQ261" s="6" t="s">
        <v>49</v>
      </c>
      <c r="AU261" s="6">
        <v>224165</v>
      </c>
    </row>
    <row r="262" spans="1:47" x14ac:dyDescent="0.3">
      <c r="A262" s="28" t="s">
        <v>42</v>
      </c>
      <c r="B262" s="6" t="s">
        <v>2187</v>
      </c>
      <c r="C262" s="6" t="s">
        <v>1974</v>
      </c>
      <c r="D262" s="6" t="s">
        <v>2104</v>
      </c>
      <c r="E262" s="6">
        <v>1</v>
      </c>
      <c r="F262" s="6" t="s">
        <v>2004</v>
      </c>
      <c r="G262" s="6" t="s">
        <v>2005</v>
      </c>
      <c r="H262" s="6" t="s">
        <v>2005</v>
      </c>
      <c r="I262" s="6" t="str">
        <f t="shared" si="8"/>
        <v>Etc Grapple</v>
      </c>
      <c r="J262" s="6" t="s">
        <v>125</v>
      </c>
      <c r="K262" s="6">
        <v>1</v>
      </c>
      <c r="P262" s="6">
        <f t="shared" si="9"/>
        <v>4700000</v>
      </c>
      <c r="R262" s="6" t="s">
        <v>2003</v>
      </c>
      <c r="T262" s="6" t="s">
        <v>809</v>
      </c>
      <c r="U262" s="6">
        <v>2009</v>
      </c>
      <c r="V262" s="6">
        <v>1</v>
      </c>
      <c r="AD262" s="6" t="s">
        <v>45</v>
      </c>
      <c r="AJ262" s="31" t="s">
        <v>2114</v>
      </c>
      <c r="AK262" s="6">
        <v>1</v>
      </c>
      <c r="AL262" s="26">
        <v>4500000</v>
      </c>
      <c r="AM262" s="26">
        <v>4500000</v>
      </c>
      <c r="AN262" s="26">
        <v>4500000</v>
      </c>
      <c r="AO262" s="6" t="s">
        <v>2003</v>
      </c>
      <c r="AQ262" s="6" t="s">
        <v>830</v>
      </c>
      <c r="AU262" s="6">
        <v>224166</v>
      </c>
    </row>
    <row r="263" spans="1:47" hidden="1" x14ac:dyDescent="0.3">
      <c r="A263" s="28" t="s">
        <v>42</v>
      </c>
      <c r="B263" s="6" t="s">
        <v>2185</v>
      </c>
      <c r="E263" s="6">
        <v>1</v>
      </c>
      <c r="F263" s="6" t="s">
        <v>2004</v>
      </c>
      <c r="G263" s="6" t="s">
        <v>2005</v>
      </c>
      <c r="H263" s="6" t="s">
        <v>2005</v>
      </c>
      <c r="I263" s="6" t="str">
        <f t="shared" si="8"/>
        <v>ETC</v>
      </c>
      <c r="J263" s="6" t="s">
        <v>419</v>
      </c>
      <c r="K263" s="6">
        <v>1</v>
      </c>
      <c r="P263" s="6">
        <f t="shared" si="9"/>
        <v>3700000</v>
      </c>
      <c r="R263" s="6" t="s">
        <v>2003</v>
      </c>
      <c r="T263" s="6" t="s">
        <v>793</v>
      </c>
      <c r="U263" s="6">
        <v>2012</v>
      </c>
      <c r="V263" s="6">
        <v>5</v>
      </c>
      <c r="AD263" s="6" t="s">
        <v>45</v>
      </c>
      <c r="AJ263" s="31" t="s">
        <v>2114</v>
      </c>
      <c r="AK263" s="6">
        <v>1</v>
      </c>
      <c r="AL263" s="26">
        <v>3500000</v>
      </c>
      <c r="AM263" s="26">
        <v>3500000</v>
      </c>
      <c r="AN263" s="26">
        <v>3500000</v>
      </c>
      <c r="AO263" s="6" t="s">
        <v>2003</v>
      </c>
      <c r="AQ263" s="6" t="s">
        <v>1266</v>
      </c>
      <c r="AU263" s="6">
        <v>224170</v>
      </c>
    </row>
    <row r="264" spans="1:47" x14ac:dyDescent="0.3">
      <c r="A264" s="28" t="s">
        <v>42</v>
      </c>
      <c r="B264" s="6" t="s">
        <v>2189</v>
      </c>
      <c r="D264" s="6" t="s">
        <v>2101</v>
      </c>
      <c r="E264" s="6">
        <v>1</v>
      </c>
      <c r="F264" s="6" t="s">
        <v>2004</v>
      </c>
      <c r="G264" s="6" t="s">
        <v>2005</v>
      </c>
      <c r="H264" s="6" t="s">
        <v>2005</v>
      </c>
      <c r="I264" s="6" t="str">
        <f t="shared" si="8"/>
        <v>Quick Coupler</v>
      </c>
      <c r="J264" s="6" t="s">
        <v>244</v>
      </c>
      <c r="K264" s="6">
        <v>1</v>
      </c>
      <c r="P264" s="6">
        <f t="shared" si="9"/>
        <v>3700000</v>
      </c>
      <c r="R264" s="6" t="s">
        <v>2003</v>
      </c>
      <c r="T264" s="6" t="s">
        <v>813</v>
      </c>
      <c r="U264" s="6">
        <v>2013</v>
      </c>
      <c r="V264" s="6">
        <v>1</v>
      </c>
      <c r="AD264" s="6" t="s">
        <v>45</v>
      </c>
      <c r="AJ264" s="31" t="s">
        <v>2113</v>
      </c>
      <c r="AK264" s="6">
        <v>1</v>
      </c>
      <c r="AL264" s="26">
        <v>3500000</v>
      </c>
      <c r="AM264" s="26">
        <v>3500000</v>
      </c>
      <c r="AN264" s="26">
        <v>3500000</v>
      </c>
      <c r="AO264" s="6" t="s">
        <v>2003</v>
      </c>
      <c r="AQ264" s="6" t="s">
        <v>80</v>
      </c>
      <c r="AU264" s="6">
        <v>224171</v>
      </c>
    </row>
    <row r="265" spans="1:47" x14ac:dyDescent="0.3">
      <c r="A265" s="28" t="s">
        <v>42</v>
      </c>
      <c r="B265" s="6" t="s">
        <v>2187</v>
      </c>
      <c r="C265" s="6" t="s">
        <v>1972</v>
      </c>
      <c r="D265" s="6" t="s">
        <v>2104</v>
      </c>
      <c r="E265" s="6">
        <v>1</v>
      </c>
      <c r="F265" s="6" t="s">
        <v>2004</v>
      </c>
      <c r="G265" s="6" t="s">
        <v>2005</v>
      </c>
      <c r="H265" s="6" t="s">
        <v>2005</v>
      </c>
      <c r="I265" s="6" t="str">
        <f t="shared" si="8"/>
        <v>Stone Grapple</v>
      </c>
      <c r="J265" s="6" t="s">
        <v>120</v>
      </c>
      <c r="K265" s="6">
        <v>1</v>
      </c>
      <c r="P265" s="6">
        <f t="shared" si="9"/>
        <v>5000000</v>
      </c>
      <c r="R265" s="6" t="s">
        <v>2003</v>
      </c>
      <c r="T265" s="6" t="s">
        <v>2007</v>
      </c>
      <c r="U265" s="6">
        <v>2015</v>
      </c>
      <c r="V265" s="6">
        <v>1</v>
      </c>
      <c r="AD265" s="6" t="s">
        <v>45</v>
      </c>
      <c r="AJ265" s="31" t="s">
        <v>2113</v>
      </c>
      <c r="AK265" s="6">
        <v>1</v>
      </c>
      <c r="AL265" s="26">
        <v>4800000</v>
      </c>
      <c r="AM265" s="26">
        <v>4800000</v>
      </c>
      <c r="AN265" s="26">
        <v>4800000</v>
      </c>
      <c r="AO265" s="6" t="s">
        <v>2003</v>
      </c>
      <c r="AQ265" s="6" t="s">
        <v>49</v>
      </c>
      <c r="AU265" s="6">
        <v>224174</v>
      </c>
    </row>
    <row r="266" spans="1:47" x14ac:dyDescent="0.3">
      <c r="A266" s="28" t="s">
        <v>42</v>
      </c>
      <c r="B266" s="6" t="s">
        <v>2186</v>
      </c>
      <c r="C266" s="19" t="s">
        <v>2205</v>
      </c>
      <c r="D266" s="6" t="s">
        <v>2101</v>
      </c>
      <c r="E266" s="6">
        <v>1</v>
      </c>
      <c r="F266" s="6" t="s">
        <v>2004</v>
      </c>
      <c r="G266" s="6" t="s">
        <v>2005</v>
      </c>
      <c r="H266" s="6" t="s">
        <v>2005</v>
      </c>
      <c r="I266" s="6" t="str">
        <f t="shared" si="8"/>
        <v>Standard Bucket</v>
      </c>
      <c r="J266" s="6" t="s">
        <v>506</v>
      </c>
      <c r="K266" s="6">
        <v>1</v>
      </c>
      <c r="P266" s="6">
        <f t="shared" si="9"/>
        <v>13500000</v>
      </c>
      <c r="R266" s="6" t="s">
        <v>2003</v>
      </c>
      <c r="T266" s="6" t="s">
        <v>831</v>
      </c>
      <c r="U266" s="6">
        <v>2012</v>
      </c>
      <c r="V266" s="6">
        <v>1</v>
      </c>
      <c r="AD266" s="6" t="s">
        <v>45</v>
      </c>
      <c r="AJ266" s="31" t="s">
        <v>2117</v>
      </c>
      <c r="AK266" s="6">
        <v>1</v>
      </c>
      <c r="AL266" s="26">
        <v>13000000</v>
      </c>
      <c r="AM266" s="26">
        <v>13000000</v>
      </c>
      <c r="AN266" s="26">
        <v>13000000</v>
      </c>
      <c r="AO266" s="6" t="s">
        <v>2003</v>
      </c>
      <c r="AQ266" s="6" t="s">
        <v>1179</v>
      </c>
      <c r="AU266" s="6">
        <v>224179</v>
      </c>
    </row>
    <row r="267" spans="1:47" x14ac:dyDescent="0.3">
      <c r="A267" s="28" t="s">
        <v>42</v>
      </c>
      <c r="B267" s="6" t="s">
        <v>2192</v>
      </c>
      <c r="D267" s="6" t="s">
        <v>2100</v>
      </c>
      <c r="E267" s="6">
        <v>1</v>
      </c>
      <c r="F267" s="6" t="s">
        <v>2004</v>
      </c>
      <c r="G267" s="6" t="s">
        <v>2005</v>
      </c>
      <c r="H267" s="6" t="s">
        <v>2005</v>
      </c>
      <c r="I267" s="6" t="str">
        <f t="shared" si="8"/>
        <v>Lift Fork</v>
      </c>
      <c r="J267" s="6" t="s">
        <v>310</v>
      </c>
      <c r="K267" s="6">
        <v>1</v>
      </c>
      <c r="P267" s="6">
        <f t="shared" si="9"/>
        <v>950000</v>
      </c>
      <c r="R267" s="6" t="s">
        <v>2003</v>
      </c>
      <c r="T267" s="6" t="s">
        <v>836</v>
      </c>
      <c r="U267" s="6">
        <v>2017</v>
      </c>
      <c r="V267" s="6">
        <v>1</v>
      </c>
      <c r="AD267" s="6" t="s">
        <v>45</v>
      </c>
      <c r="AJ267" s="31" t="s">
        <v>2124</v>
      </c>
      <c r="AK267" s="6">
        <v>1</v>
      </c>
      <c r="AL267" s="26">
        <v>850000</v>
      </c>
      <c r="AM267" s="26">
        <v>850000</v>
      </c>
      <c r="AN267" s="26">
        <v>850000</v>
      </c>
      <c r="AO267" s="6" t="s">
        <v>2003</v>
      </c>
      <c r="AQ267" s="6" t="s">
        <v>1144</v>
      </c>
      <c r="AU267" s="6">
        <v>224180</v>
      </c>
    </row>
    <row r="268" spans="1:47" x14ac:dyDescent="0.3">
      <c r="A268" s="28" t="s">
        <v>42</v>
      </c>
      <c r="B268" s="6" t="s">
        <v>2174</v>
      </c>
      <c r="C268" s="6" t="s">
        <v>1975</v>
      </c>
      <c r="D268" s="6" t="s">
        <v>2104</v>
      </c>
      <c r="E268" s="6">
        <v>1</v>
      </c>
      <c r="F268" s="6" t="s">
        <v>2004</v>
      </c>
      <c r="G268" s="6" t="s">
        <v>2005</v>
      </c>
      <c r="H268" s="6" t="s">
        <v>2005</v>
      </c>
      <c r="I268" s="6" t="str">
        <f t="shared" si="8"/>
        <v>Side Breaker</v>
      </c>
      <c r="J268" s="6" t="s">
        <v>177</v>
      </c>
      <c r="K268" s="6">
        <v>1</v>
      </c>
      <c r="P268" s="6">
        <f t="shared" si="9"/>
        <v>3200000</v>
      </c>
      <c r="R268" s="6" t="s">
        <v>2003</v>
      </c>
      <c r="T268" s="6" t="s">
        <v>2042</v>
      </c>
      <c r="U268" s="6">
        <v>2010</v>
      </c>
      <c r="V268" s="6">
        <v>8</v>
      </c>
      <c r="AD268" s="6" t="s">
        <v>45</v>
      </c>
      <c r="AJ268" s="31" t="s">
        <v>2123</v>
      </c>
      <c r="AK268" s="6">
        <v>1</v>
      </c>
      <c r="AL268" s="26">
        <v>3000000</v>
      </c>
      <c r="AM268" s="26">
        <v>3000000</v>
      </c>
      <c r="AN268" s="26">
        <v>3000000</v>
      </c>
      <c r="AO268" s="6" t="s">
        <v>2003</v>
      </c>
      <c r="AQ268" s="6" t="s">
        <v>1212</v>
      </c>
      <c r="AU268" s="6">
        <v>224181</v>
      </c>
    </row>
    <row r="269" spans="1:47" x14ac:dyDescent="0.3">
      <c r="A269" s="28" t="s">
        <v>42</v>
      </c>
      <c r="B269" s="6" t="s">
        <v>2183</v>
      </c>
      <c r="C269" s="6" t="s">
        <v>1981</v>
      </c>
      <c r="D269" s="6" t="s">
        <v>2105</v>
      </c>
      <c r="E269" s="6">
        <v>1</v>
      </c>
      <c r="F269" s="6" t="s">
        <v>2004</v>
      </c>
      <c r="G269" s="6" t="s">
        <v>2005</v>
      </c>
      <c r="H269" s="6" t="s">
        <v>2005</v>
      </c>
      <c r="I269" s="6" t="str">
        <f t="shared" si="8"/>
        <v>Orange Grapple</v>
      </c>
      <c r="J269" s="6" t="s">
        <v>508</v>
      </c>
      <c r="K269" s="6">
        <v>1</v>
      </c>
      <c r="P269" s="6">
        <f t="shared" si="9"/>
        <v>4200000</v>
      </c>
      <c r="R269" s="6" t="s">
        <v>2003</v>
      </c>
      <c r="T269" s="6" t="s">
        <v>917</v>
      </c>
      <c r="U269" s="6">
        <v>2004</v>
      </c>
      <c r="V269" s="6">
        <v>6</v>
      </c>
      <c r="AD269" s="6" t="s">
        <v>45</v>
      </c>
      <c r="AJ269" s="31" t="s">
        <v>2112</v>
      </c>
      <c r="AK269" s="6">
        <v>1</v>
      </c>
      <c r="AL269" s="26">
        <v>4000000</v>
      </c>
      <c r="AM269" s="26">
        <v>4000000</v>
      </c>
      <c r="AN269" s="26">
        <v>4000000</v>
      </c>
      <c r="AO269" s="6" t="s">
        <v>2003</v>
      </c>
      <c r="AQ269" s="6" t="s">
        <v>1267</v>
      </c>
      <c r="AU269" s="6">
        <v>224200</v>
      </c>
    </row>
    <row r="270" spans="1:47" x14ac:dyDescent="0.3">
      <c r="A270" s="28" t="s">
        <v>42</v>
      </c>
      <c r="B270" s="6" t="s">
        <v>2184</v>
      </c>
      <c r="C270" s="6" t="s">
        <v>1974</v>
      </c>
      <c r="D270" s="6" t="s">
        <v>2100</v>
      </c>
      <c r="E270" s="6">
        <v>1</v>
      </c>
      <c r="F270" s="6" t="s">
        <v>2004</v>
      </c>
      <c r="G270" s="6" t="s">
        <v>2005</v>
      </c>
      <c r="H270" s="6" t="s">
        <v>2005</v>
      </c>
      <c r="I270" s="6" t="str">
        <f t="shared" si="8"/>
        <v>Etc Grapple</v>
      </c>
      <c r="J270" s="6" t="s">
        <v>136</v>
      </c>
      <c r="K270" s="6">
        <v>1</v>
      </c>
      <c r="P270" s="6">
        <f t="shared" si="9"/>
        <v>2500000</v>
      </c>
      <c r="R270" s="6" t="s">
        <v>2003</v>
      </c>
      <c r="T270" s="6" t="s">
        <v>794</v>
      </c>
      <c r="U270" s="6">
        <v>2015</v>
      </c>
      <c r="V270" s="6">
        <v>1</v>
      </c>
      <c r="AD270" s="6" t="s">
        <v>45</v>
      </c>
      <c r="AJ270" s="31" t="s">
        <v>2122</v>
      </c>
      <c r="AK270" s="6">
        <v>1</v>
      </c>
      <c r="AL270" s="26">
        <v>2300000</v>
      </c>
      <c r="AM270" s="26">
        <v>2300000</v>
      </c>
      <c r="AN270" s="26">
        <v>2300000</v>
      </c>
      <c r="AO270" s="6" t="s">
        <v>2003</v>
      </c>
      <c r="AQ270" s="6" t="s">
        <v>1154</v>
      </c>
      <c r="AU270" s="6">
        <v>224201</v>
      </c>
    </row>
    <row r="271" spans="1:47" x14ac:dyDescent="0.3">
      <c r="A271" s="28" t="s">
        <v>42</v>
      </c>
      <c r="B271" s="6" t="s">
        <v>2182</v>
      </c>
      <c r="C271" s="6" t="s">
        <v>1976</v>
      </c>
      <c r="D271" s="6" t="s">
        <v>2104</v>
      </c>
      <c r="E271" s="6">
        <v>1</v>
      </c>
      <c r="F271" s="6" t="s">
        <v>2004</v>
      </c>
      <c r="G271" s="6" t="s">
        <v>2005</v>
      </c>
      <c r="H271" s="6" t="s">
        <v>2005</v>
      </c>
      <c r="I271" s="6" t="str">
        <f t="shared" si="8"/>
        <v>Skeleton Bucket</v>
      </c>
      <c r="J271" s="6" t="s">
        <v>118</v>
      </c>
      <c r="K271" s="6">
        <v>1</v>
      </c>
      <c r="P271" s="6">
        <f t="shared" si="9"/>
        <v>1200000</v>
      </c>
      <c r="R271" s="6" t="s">
        <v>2003</v>
      </c>
      <c r="T271" s="6" t="s">
        <v>918</v>
      </c>
      <c r="U271" s="6">
        <v>2014</v>
      </c>
      <c r="V271" s="6">
        <v>5</v>
      </c>
      <c r="AD271" s="6" t="s">
        <v>45</v>
      </c>
      <c r="AJ271" s="31" t="s">
        <v>2112</v>
      </c>
      <c r="AK271" s="6">
        <v>1</v>
      </c>
      <c r="AL271" s="26">
        <v>1100000</v>
      </c>
      <c r="AM271" s="26">
        <v>1100000</v>
      </c>
      <c r="AN271" s="26">
        <v>1100000</v>
      </c>
      <c r="AO271" s="6" t="s">
        <v>2003</v>
      </c>
      <c r="AQ271" s="6" t="s">
        <v>1184</v>
      </c>
      <c r="AU271" s="6">
        <v>224204</v>
      </c>
    </row>
    <row r="272" spans="1:47" x14ac:dyDescent="0.3">
      <c r="A272" s="28" t="s">
        <v>42</v>
      </c>
      <c r="B272" s="6" t="s">
        <v>2184</v>
      </c>
      <c r="C272" s="6" t="s">
        <v>1973</v>
      </c>
      <c r="D272" s="6" t="s">
        <v>2100</v>
      </c>
      <c r="E272" s="6">
        <v>1</v>
      </c>
      <c r="F272" s="6" t="s">
        <v>2004</v>
      </c>
      <c r="G272" s="6" t="s">
        <v>2005</v>
      </c>
      <c r="H272" s="6" t="s">
        <v>2005</v>
      </c>
      <c r="I272" s="6" t="str">
        <f t="shared" si="8"/>
        <v>Wood Grapple</v>
      </c>
      <c r="J272" s="6" t="s">
        <v>420</v>
      </c>
      <c r="K272" s="6">
        <v>1</v>
      </c>
      <c r="P272" s="6">
        <f t="shared" si="9"/>
        <v>3300000</v>
      </c>
      <c r="R272" s="6" t="s">
        <v>2003</v>
      </c>
      <c r="T272" s="6" t="s">
        <v>51</v>
      </c>
      <c r="U272" s="6">
        <v>2017</v>
      </c>
      <c r="V272" s="6">
        <v>1</v>
      </c>
      <c r="AD272" s="6" t="s">
        <v>45</v>
      </c>
      <c r="AJ272" s="31" t="s">
        <v>2113</v>
      </c>
      <c r="AK272" s="6">
        <v>1</v>
      </c>
      <c r="AL272" s="26">
        <v>3100000</v>
      </c>
      <c r="AM272" s="26">
        <v>3100000</v>
      </c>
      <c r="AN272" s="26">
        <v>3100000</v>
      </c>
      <c r="AO272" s="6" t="s">
        <v>2003</v>
      </c>
      <c r="AQ272" s="6" t="s">
        <v>49</v>
      </c>
      <c r="AU272" s="6">
        <v>224206</v>
      </c>
    </row>
    <row r="273" spans="1:47" x14ac:dyDescent="0.3">
      <c r="A273" s="28" t="s">
        <v>42</v>
      </c>
      <c r="B273" s="6" t="s">
        <v>2183</v>
      </c>
      <c r="D273" s="6" t="s">
        <v>2100</v>
      </c>
      <c r="E273" s="6">
        <v>1</v>
      </c>
      <c r="F273" s="6" t="s">
        <v>2004</v>
      </c>
      <c r="G273" s="6" t="s">
        <v>2005</v>
      </c>
      <c r="H273" s="6" t="s">
        <v>2005</v>
      </c>
      <c r="I273" s="6" t="str">
        <f t="shared" si="8"/>
        <v>ETC</v>
      </c>
      <c r="J273" s="6" t="s">
        <v>509</v>
      </c>
      <c r="K273" s="6">
        <v>1</v>
      </c>
      <c r="P273" s="6">
        <f t="shared" si="9"/>
        <v>300000</v>
      </c>
      <c r="R273" s="6" t="s">
        <v>2003</v>
      </c>
      <c r="T273" s="6" t="s">
        <v>2011</v>
      </c>
      <c r="U273" s="6">
        <v>2015</v>
      </c>
      <c r="V273" s="6">
        <v>6</v>
      </c>
      <c r="AD273" s="6" t="s">
        <v>45</v>
      </c>
      <c r="AJ273" s="31" t="s">
        <v>2123</v>
      </c>
      <c r="AK273" s="6">
        <v>1</v>
      </c>
      <c r="AL273" s="26">
        <v>250000</v>
      </c>
      <c r="AM273" s="26">
        <v>250000</v>
      </c>
      <c r="AN273" s="26">
        <v>250000</v>
      </c>
      <c r="AO273" s="6" t="s">
        <v>2003</v>
      </c>
      <c r="AQ273" s="6" t="s">
        <v>1200</v>
      </c>
      <c r="AU273" s="6">
        <v>224210</v>
      </c>
    </row>
    <row r="274" spans="1:47" x14ac:dyDescent="0.3">
      <c r="A274" s="28" t="s">
        <v>42</v>
      </c>
      <c r="B274" s="6" t="s">
        <v>2174</v>
      </c>
      <c r="C274" s="6" t="s">
        <v>1975</v>
      </c>
      <c r="D274" s="6" t="s">
        <v>2103</v>
      </c>
      <c r="E274" s="6">
        <v>1</v>
      </c>
      <c r="F274" s="6" t="s">
        <v>2004</v>
      </c>
      <c r="G274" s="6" t="s">
        <v>2005</v>
      </c>
      <c r="H274" s="6" t="s">
        <v>2005</v>
      </c>
      <c r="I274" s="6" t="str">
        <f t="shared" si="8"/>
        <v>Side Breaker</v>
      </c>
      <c r="J274" s="6" t="s">
        <v>443</v>
      </c>
      <c r="K274" s="6">
        <v>1</v>
      </c>
      <c r="P274" s="6">
        <f t="shared" si="9"/>
        <v>4700000</v>
      </c>
      <c r="R274" s="6" t="s">
        <v>2003</v>
      </c>
      <c r="T274" s="6" t="s">
        <v>948</v>
      </c>
      <c r="U274" s="6">
        <v>2008</v>
      </c>
      <c r="V274" s="6">
        <v>1</v>
      </c>
      <c r="AD274" s="6" t="s">
        <v>45</v>
      </c>
      <c r="AJ274" s="31" t="s">
        <v>2123</v>
      </c>
      <c r="AK274" s="6">
        <v>1</v>
      </c>
      <c r="AL274" s="26">
        <v>4500000</v>
      </c>
      <c r="AM274" s="26">
        <v>4500000</v>
      </c>
      <c r="AN274" s="26">
        <v>4500000</v>
      </c>
      <c r="AO274" s="6" t="s">
        <v>2003</v>
      </c>
      <c r="AQ274" s="6" t="s">
        <v>1181</v>
      </c>
      <c r="AU274" s="6">
        <v>224213</v>
      </c>
    </row>
    <row r="275" spans="1:47" x14ac:dyDescent="0.3">
      <c r="A275" s="28" t="s">
        <v>42</v>
      </c>
      <c r="B275" s="6" t="s">
        <v>2184</v>
      </c>
      <c r="C275" s="6" t="s">
        <v>1972</v>
      </c>
      <c r="D275" s="6" t="s">
        <v>2100</v>
      </c>
      <c r="E275" s="6">
        <v>1</v>
      </c>
      <c r="F275" s="6" t="s">
        <v>2004</v>
      </c>
      <c r="G275" s="6" t="s">
        <v>2005</v>
      </c>
      <c r="H275" s="6" t="s">
        <v>2005</v>
      </c>
      <c r="I275" s="6" t="str">
        <f t="shared" si="8"/>
        <v>Stone Grapple</v>
      </c>
      <c r="J275" s="6" t="s">
        <v>168</v>
      </c>
      <c r="K275" s="6">
        <v>1</v>
      </c>
      <c r="P275" s="6">
        <f t="shared" si="9"/>
        <v>1650000</v>
      </c>
      <c r="R275" s="6" t="s">
        <v>2003</v>
      </c>
      <c r="T275" s="6" t="s">
        <v>51</v>
      </c>
      <c r="U275" s="6">
        <v>2016</v>
      </c>
      <c r="V275" s="6">
        <v>1</v>
      </c>
      <c r="AD275" s="6" t="s">
        <v>45</v>
      </c>
      <c r="AJ275" s="31" t="s">
        <v>2113</v>
      </c>
      <c r="AK275" s="6">
        <v>1</v>
      </c>
      <c r="AL275" s="26">
        <v>1550000</v>
      </c>
      <c r="AM275" s="26">
        <v>1550000</v>
      </c>
      <c r="AN275" s="26">
        <v>1550000</v>
      </c>
      <c r="AO275" s="6" t="s">
        <v>2003</v>
      </c>
      <c r="AQ275" s="6" t="s">
        <v>49</v>
      </c>
      <c r="AU275" s="6">
        <v>224221</v>
      </c>
    </row>
    <row r="276" spans="1:47" x14ac:dyDescent="0.3">
      <c r="A276" s="28" t="s">
        <v>42</v>
      </c>
      <c r="B276" s="6" t="s">
        <v>2174</v>
      </c>
      <c r="C276" s="6" t="s">
        <v>1975</v>
      </c>
      <c r="D276" s="6" t="s">
        <v>2104</v>
      </c>
      <c r="E276" s="6">
        <v>1</v>
      </c>
      <c r="F276" s="6" t="s">
        <v>2004</v>
      </c>
      <c r="G276" s="6" t="s">
        <v>2005</v>
      </c>
      <c r="H276" s="6" t="s">
        <v>2005</v>
      </c>
      <c r="I276" s="6" t="str">
        <f t="shared" si="8"/>
        <v>Side Breaker</v>
      </c>
      <c r="J276" s="6" t="s">
        <v>510</v>
      </c>
      <c r="K276" s="6">
        <v>1</v>
      </c>
      <c r="P276" s="6">
        <f t="shared" si="9"/>
        <v>3400000</v>
      </c>
      <c r="R276" s="6" t="s">
        <v>2003</v>
      </c>
      <c r="T276" s="6" t="s">
        <v>803</v>
      </c>
      <c r="U276" s="6">
        <v>2009</v>
      </c>
      <c r="V276" s="6">
        <v>1</v>
      </c>
      <c r="AD276" s="6" t="s">
        <v>45</v>
      </c>
      <c r="AJ276" s="31" t="s">
        <v>2123</v>
      </c>
      <c r="AK276" s="6">
        <v>1</v>
      </c>
      <c r="AL276" s="26">
        <v>3200000</v>
      </c>
      <c r="AM276" s="26">
        <v>3200000</v>
      </c>
      <c r="AN276" s="26">
        <v>3200000</v>
      </c>
      <c r="AO276" s="6" t="s">
        <v>2003</v>
      </c>
      <c r="AQ276" s="6" t="s">
        <v>1181</v>
      </c>
      <c r="AU276" s="6">
        <v>224222</v>
      </c>
    </row>
    <row r="277" spans="1:47" hidden="1" x14ac:dyDescent="0.3">
      <c r="A277" s="28" t="s">
        <v>42</v>
      </c>
      <c r="B277" s="6" t="s">
        <v>2183</v>
      </c>
      <c r="E277" s="6">
        <v>1</v>
      </c>
      <c r="F277" s="6" t="s">
        <v>2004</v>
      </c>
      <c r="G277" s="6" t="s">
        <v>2005</v>
      </c>
      <c r="H277" s="6" t="s">
        <v>2005</v>
      </c>
      <c r="I277" s="6" t="str">
        <f t="shared" si="8"/>
        <v>ETC</v>
      </c>
      <c r="J277" s="6" t="s">
        <v>511</v>
      </c>
      <c r="K277" s="6">
        <v>1</v>
      </c>
      <c r="P277" s="6">
        <f t="shared" si="9"/>
        <v>500000</v>
      </c>
      <c r="R277" s="6" t="s">
        <v>2003</v>
      </c>
      <c r="T277" s="6" t="s">
        <v>919</v>
      </c>
      <c r="U277" s="6">
        <v>2017</v>
      </c>
      <c r="V277" s="6">
        <v>1</v>
      </c>
      <c r="AD277" s="6" t="s">
        <v>45</v>
      </c>
      <c r="AJ277" s="31" t="s">
        <v>2119</v>
      </c>
      <c r="AK277" s="6">
        <v>1</v>
      </c>
      <c r="AL277" s="26">
        <v>450000</v>
      </c>
      <c r="AM277" s="26">
        <v>450000</v>
      </c>
      <c r="AN277" s="26">
        <v>450000</v>
      </c>
      <c r="AO277" s="6" t="s">
        <v>2003</v>
      </c>
      <c r="AQ277" s="6" t="s">
        <v>60</v>
      </c>
      <c r="AU277" s="6">
        <v>224226</v>
      </c>
    </row>
    <row r="278" spans="1:47" x14ac:dyDescent="0.3">
      <c r="A278" s="28" t="s">
        <v>42</v>
      </c>
      <c r="B278" s="6" t="s">
        <v>2174</v>
      </c>
      <c r="C278" s="6" t="s">
        <v>1975</v>
      </c>
      <c r="D278" s="6" t="s">
        <v>2104</v>
      </c>
      <c r="E278" s="6">
        <v>1</v>
      </c>
      <c r="F278" s="6" t="s">
        <v>2004</v>
      </c>
      <c r="G278" s="6" t="s">
        <v>2005</v>
      </c>
      <c r="H278" s="6" t="s">
        <v>2005</v>
      </c>
      <c r="I278" s="6" t="str">
        <f t="shared" si="8"/>
        <v>Side Breaker</v>
      </c>
      <c r="J278" s="6" t="s">
        <v>422</v>
      </c>
      <c r="K278" s="6">
        <v>1</v>
      </c>
      <c r="P278" s="6">
        <f t="shared" si="9"/>
        <v>3600000</v>
      </c>
      <c r="R278" s="6" t="s">
        <v>2003</v>
      </c>
      <c r="T278" s="6" t="s">
        <v>814</v>
      </c>
      <c r="U278" s="6">
        <v>2015</v>
      </c>
      <c r="V278" s="6">
        <v>10</v>
      </c>
      <c r="AD278" s="6" t="s">
        <v>45</v>
      </c>
      <c r="AJ278" s="31" t="s">
        <v>2119</v>
      </c>
      <c r="AK278" s="6">
        <v>1</v>
      </c>
      <c r="AL278" s="26">
        <v>3400000</v>
      </c>
      <c r="AM278" s="26">
        <v>3400000</v>
      </c>
      <c r="AN278" s="26">
        <v>3400000</v>
      </c>
      <c r="AO278" s="6" t="s">
        <v>2003</v>
      </c>
      <c r="AQ278" s="6" t="s">
        <v>1194</v>
      </c>
      <c r="AU278" s="6">
        <v>224230</v>
      </c>
    </row>
    <row r="279" spans="1:47" x14ac:dyDescent="0.3">
      <c r="A279" s="28" t="s">
        <v>42</v>
      </c>
      <c r="B279" s="6" t="s">
        <v>2197</v>
      </c>
      <c r="D279" s="6" t="s">
        <v>2100</v>
      </c>
      <c r="E279" s="6">
        <v>1</v>
      </c>
      <c r="F279" s="6" t="s">
        <v>2004</v>
      </c>
      <c r="G279" s="6" t="s">
        <v>2005</v>
      </c>
      <c r="H279" s="6" t="s">
        <v>2005</v>
      </c>
      <c r="I279" s="6" t="str">
        <f t="shared" si="8"/>
        <v>Ripper</v>
      </c>
      <c r="J279" s="6" t="s">
        <v>291</v>
      </c>
      <c r="K279" s="6">
        <v>1</v>
      </c>
      <c r="P279" s="6">
        <f t="shared" si="9"/>
        <v>300000</v>
      </c>
      <c r="R279" s="6" t="s">
        <v>2003</v>
      </c>
      <c r="T279" s="6" t="s">
        <v>794</v>
      </c>
      <c r="U279" s="6">
        <v>2015</v>
      </c>
      <c r="V279" s="6">
        <v>1</v>
      </c>
      <c r="AD279" s="6" t="s">
        <v>45</v>
      </c>
      <c r="AJ279" s="31" t="s">
        <v>2122</v>
      </c>
      <c r="AK279" s="6">
        <v>1</v>
      </c>
      <c r="AL279" s="26">
        <v>250000</v>
      </c>
      <c r="AM279" s="26">
        <v>250000</v>
      </c>
      <c r="AN279" s="26">
        <v>250000</v>
      </c>
      <c r="AO279" s="6" t="s">
        <v>2003</v>
      </c>
      <c r="AQ279" s="6" t="s">
        <v>1154</v>
      </c>
      <c r="AU279" s="6">
        <v>224233</v>
      </c>
    </row>
    <row r="280" spans="1:47" hidden="1" x14ac:dyDescent="0.3">
      <c r="A280" s="28" t="s">
        <v>42</v>
      </c>
      <c r="B280" s="6" t="s">
        <v>2183</v>
      </c>
      <c r="E280" s="6">
        <v>1</v>
      </c>
      <c r="F280" s="6" t="s">
        <v>2004</v>
      </c>
      <c r="G280" s="6" t="s">
        <v>2005</v>
      </c>
      <c r="H280" s="6" t="s">
        <v>2005</v>
      </c>
      <c r="I280" s="6" t="str">
        <f t="shared" si="8"/>
        <v>ETC</v>
      </c>
      <c r="J280" s="6" t="s">
        <v>134</v>
      </c>
      <c r="K280" s="6">
        <v>1</v>
      </c>
      <c r="P280" s="6">
        <f t="shared" si="9"/>
        <v>1700000</v>
      </c>
      <c r="R280" s="6" t="s">
        <v>2003</v>
      </c>
      <c r="T280" s="6" t="s">
        <v>920</v>
      </c>
      <c r="U280" s="6">
        <v>2014</v>
      </c>
      <c r="V280" s="6">
        <v>8</v>
      </c>
      <c r="AD280" s="6" t="s">
        <v>45</v>
      </c>
      <c r="AJ280" s="31" t="s">
        <v>2119</v>
      </c>
      <c r="AK280" s="6">
        <v>1</v>
      </c>
      <c r="AL280" s="26">
        <v>1600000</v>
      </c>
      <c r="AM280" s="26">
        <v>1600000</v>
      </c>
      <c r="AN280" s="26">
        <v>1600000</v>
      </c>
      <c r="AO280" s="6" t="s">
        <v>2003</v>
      </c>
      <c r="AQ280" s="6" t="s">
        <v>1194</v>
      </c>
      <c r="AU280" s="6">
        <v>224234</v>
      </c>
    </row>
    <row r="281" spans="1:47" hidden="1" x14ac:dyDescent="0.3">
      <c r="A281" s="28" t="s">
        <v>42</v>
      </c>
      <c r="B281" s="6" t="s">
        <v>2183</v>
      </c>
      <c r="E281" s="6">
        <v>1</v>
      </c>
      <c r="F281" s="6" t="s">
        <v>2004</v>
      </c>
      <c r="G281" s="6" t="s">
        <v>2005</v>
      </c>
      <c r="H281" s="6" t="s">
        <v>2005</v>
      </c>
      <c r="I281" s="6" t="str">
        <f t="shared" si="8"/>
        <v>ETC</v>
      </c>
      <c r="J281" s="6" t="s">
        <v>512</v>
      </c>
      <c r="K281" s="6">
        <v>1</v>
      </c>
      <c r="P281" s="6">
        <f t="shared" si="9"/>
        <v>5500000</v>
      </c>
      <c r="R281" s="6" t="s">
        <v>2003</v>
      </c>
      <c r="T281" s="6" t="s">
        <v>2043</v>
      </c>
      <c r="U281" s="6">
        <v>2012</v>
      </c>
      <c r="V281" s="6">
        <v>1</v>
      </c>
      <c r="AD281" s="6" t="s">
        <v>45</v>
      </c>
      <c r="AJ281" s="31" t="s">
        <v>2112</v>
      </c>
      <c r="AK281" s="6">
        <v>1</v>
      </c>
      <c r="AL281" s="26">
        <v>5000000</v>
      </c>
      <c r="AM281" s="26">
        <v>5000000</v>
      </c>
      <c r="AN281" s="26">
        <v>5000000</v>
      </c>
      <c r="AO281" s="6" t="s">
        <v>2003</v>
      </c>
      <c r="AQ281" s="6" t="s">
        <v>1268</v>
      </c>
      <c r="AU281" s="6">
        <v>224237</v>
      </c>
    </row>
    <row r="282" spans="1:47" x14ac:dyDescent="0.3">
      <c r="A282" s="28" t="s">
        <v>42</v>
      </c>
      <c r="B282" s="6" t="s">
        <v>2174</v>
      </c>
      <c r="C282" s="6" t="s">
        <v>1975</v>
      </c>
      <c r="D282" s="6" t="s">
        <v>2100</v>
      </c>
      <c r="E282" s="6">
        <v>1</v>
      </c>
      <c r="F282" s="6" t="s">
        <v>2004</v>
      </c>
      <c r="G282" s="6" t="s">
        <v>2005</v>
      </c>
      <c r="H282" s="6" t="s">
        <v>2005</v>
      </c>
      <c r="I282" s="6" t="str">
        <f t="shared" si="8"/>
        <v>Side Breaker</v>
      </c>
      <c r="J282" s="6" t="s">
        <v>383</v>
      </c>
      <c r="K282" s="6">
        <v>1</v>
      </c>
      <c r="P282" s="6">
        <f t="shared" si="9"/>
        <v>1100000</v>
      </c>
      <c r="R282" s="6" t="s">
        <v>2003</v>
      </c>
      <c r="T282" s="6" t="s">
        <v>805</v>
      </c>
      <c r="U282" s="6">
        <v>2010</v>
      </c>
      <c r="V282" s="6">
        <v>6</v>
      </c>
      <c r="AD282" s="6" t="s">
        <v>45</v>
      </c>
      <c r="AJ282" s="31" t="s">
        <v>2119</v>
      </c>
      <c r="AK282" s="6">
        <v>1</v>
      </c>
      <c r="AL282" s="26">
        <v>1000000</v>
      </c>
      <c r="AM282" s="26">
        <v>1000000</v>
      </c>
      <c r="AN282" s="26">
        <v>1000000</v>
      </c>
      <c r="AO282" s="6" t="s">
        <v>2003</v>
      </c>
      <c r="AQ282" s="6" t="s">
        <v>1165</v>
      </c>
      <c r="AU282" s="6">
        <v>224239</v>
      </c>
    </row>
    <row r="283" spans="1:47" x14ac:dyDescent="0.3">
      <c r="A283" s="28" t="s">
        <v>42</v>
      </c>
      <c r="B283" s="6" t="s">
        <v>2182</v>
      </c>
      <c r="C283" s="6" t="s">
        <v>1976</v>
      </c>
      <c r="D283" s="6" t="s">
        <v>2104</v>
      </c>
      <c r="E283" s="6">
        <v>1</v>
      </c>
      <c r="F283" s="6" t="s">
        <v>2004</v>
      </c>
      <c r="G283" s="6" t="s">
        <v>2005</v>
      </c>
      <c r="H283" s="6" t="s">
        <v>2005</v>
      </c>
      <c r="I283" s="6" t="str">
        <f t="shared" si="8"/>
        <v>Skeleton Bucket</v>
      </c>
      <c r="J283" s="6" t="s">
        <v>190</v>
      </c>
      <c r="K283" s="6">
        <v>1</v>
      </c>
      <c r="P283" s="6">
        <f t="shared" si="9"/>
        <v>1600000</v>
      </c>
      <c r="R283" s="6" t="s">
        <v>2003</v>
      </c>
      <c r="T283" s="6" t="s">
        <v>2044</v>
      </c>
      <c r="U283" s="6">
        <v>2017</v>
      </c>
      <c r="V283" s="6">
        <v>1</v>
      </c>
      <c r="AD283" s="6" t="s">
        <v>45</v>
      </c>
      <c r="AJ283" s="31" t="s">
        <v>2124</v>
      </c>
      <c r="AK283" s="6">
        <v>1</v>
      </c>
      <c r="AL283" s="26">
        <v>1500000</v>
      </c>
      <c r="AM283" s="26">
        <v>1500000</v>
      </c>
      <c r="AN283" s="26">
        <v>1500000</v>
      </c>
      <c r="AO283" s="6" t="s">
        <v>2003</v>
      </c>
      <c r="AQ283" s="6" t="s">
        <v>1144</v>
      </c>
      <c r="AU283" s="6">
        <v>224243</v>
      </c>
    </row>
    <row r="284" spans="1:47" x14ac:dyDescent="0.3">
      <c r="A284" s="28" t="s">
        <v>42</v>
      </c>
      <c r="B284" s="6" t="s">
        <v>2199</v>
      </c>
      <c r="D284" s="6" t="s">
        <v>2001</v>
      </c>
      <c r="E284" s="6">
        <v>1</v>
      </c>
      <c r="F284" s="6" t="s">
        <v>2004</v>
      </c>
      <c r="G284" s="6" t="s">
        <v>2005</v>
      </c>
      <c r="H284" s="6" t="s">
        <v>2005</v>
      </c>
      <c r="I284" s="6" t="str">
        <f t="shared" si="8"/>
        <v>Quick Coupler</v>
      </c>
      <c r="J284" s="6" t="s">
        <v>411</v>
      </c>
      <c r="K284" s="6">
        <v>1</v>
      </c>
      <c r="P284" s="6">
        <f t="shared" si="9"/>
        <v>2700000</v>
      </c>
      <c r="R284" s="6" t="s">
        <v>2003</v>
      </c>
      <c r="T284" s="6" t="s">
        <v>91</v>
      </c>
      <c r="U284" s="6">
        <v>2017</v>
      </c>
      <c r="V284" s="6">
        <v>1</v>
      </c>
      <c r="AD284" s="6" t="s">
        <v>45</v>
      </c>
      <c r="AJ284" s="31" t="s">
        <v>2111</v>
      </c>
      <c r="AK284" s="6">
        <v>1</v>
      </c>
      <c r="AL284" s="26">
        <v>2500000</v>
      </c>
      <c r="AM284" s="26">
        <v>2500000</v>
      </c>
      <c r="AN284" s="26">
        <v>2500000</v>
      </c>
      <c r="AO284" s="6" t="s">
        <v>2003</v>
      </c>
      <c r="AQ284" s="6" t="s">
        <v>84</v>
      </c>
      <c r="AU284" s="6">
        <v>224250</v>
      </c>
    </row>
    <row r="285" spans="1:47" x14ac:dyDescent="0.3">
      <c r="A285" s="28" t="s">
        <v>42</v>
      </c>
      <c r="B285" s="6" t="s">
        <v>2184</v>
      </c>
      <c r="C285" s="6" t="s">
        <v>1974</v>
      </c>
      <c r="D285" s="6" t="s">
        <v>2104</v>
      </c>
      <c r="E285" s="6">
        <v>1</v>
      </c>
      <c r="F285" s="6" t="s">
        <v>2004</v>
      </c>
      <c r="G285" s="6" t="s">
        <v>2005</v>
      </c>
      <c r="H285" s="6" t="s">
        <v>2005</v>
      </c>
      <c r="I285" s="6" t="str">
        <f t="shared" si="8"/>
        <v>Etc Grapple</v>
      </c>
      <c r="J285" s="6" t="s">
        <v>125</v>
      </c>
      <c r="K285" s="6">
        <v>1</v>
      </c>
      <c r="P285" s="6">
        <f t="shared" si="9"/>
        <v>4800000</v>
      </c>
      <c r="R285" s="6" t="s">
        <v>2003</v>
      </c>
      <c r="T285" s="6" t="s">
        <v>54</v>
      </c>
      <c r="U285" s="6">
        <v>2010</v>
      </c>
      <c r="V285" s="6">
        <v>1</v>
      </c>
      <c r="AD285" s="6" t="s">
        <v>45</v>
      </c>
      <c r="AJ285" s="31" t="s">
        <v>2114</v>
      </c>
      <c r="AK285" s="6">
        <v>1</v>
      </c>
      <c r="AL285" s="26">
        <v>4600000</v>
      </c>
      <c r="AM285" s="26">
        <v>4600000</v>
      </c>
      <c r="AN285" s="26">
        <v>4600000</v>
      </c>
      <c r="AO285" s="6" t="s">
        <v>2003</v>
      </c>
      <c r="AQ285" s="6" t="s">
        <v>54</v>
      </c>
      <c r="AU285" s="6">
        <v>224255</v>
      </c>
    </row>
    <row r="286" spans="1:47" x14ac:dyDescent="0.3">
      <c r="A286" s="28" t="s">
        <v>42</v>
      </c>
      <c r="B286" s="6" t="s">
        <v>2182</v>
      </c>
      <c r="C286" s="6" t="s">
        <v>1977</v>
      </c>
      <c r="D286" s="6" t="s">
        <v>2100</v>
      </c>
      <c r="E286" s="6">
        <v>1</v>
      </c>
      <c r="F286" s="6" t="s">
        <v>2004</v>
      </c>
      <c r="G286" s="6" t="s">
        <v>2005</v>
      </c>
      <c r="H286" s="6" t="s">
        <v>2005</v>
      </c>
      <c r="I286" s="6" t="str">
        <f t="shared" si="8"/>
        <v>Wide Bucket</v>
      </c>
      <c r="J286" s="6" t="s">
        <v>514</v>
      </c>
      <c r="K286" s="6">
        <v>1</v>
      </c>
      <c r="P286" s="6">
        <f t="shared" si="9"/>
        <v>650000</v>
      </c>
      <c r="R286" s="6" t="s">
        <v>2003</v>
      </c>
      <c r="T286" s="6" t="s">
        <v>921</v>
      </c>
      <c r="U286" s="6">
        <v>2017</v>
      </c>
      <c r="V286" s="6">
        <v>1</v>
      </c>
      <c r="AD286" s="6" t="s">
        <v>45</v>
      </c>
      <c r="AJ286" s="31" t="s">
        <v>2114</v>
      </c>
      <c r="AK286" s="6">
        <v>1</v>
      </c>
      <c r="AL286" s="26">
        <v>550000</v>
      </c>
      <c r="AM286" s="26">
        <v>550000</v>
      </c>
      <c r="AN286" s="26">
        <v>550000</v>
      </c>
      <c r="AO286" s="6" t="s">
        <v>2003</v>
      </c>
      <c r="AQ286" s="6" t="s">
        <v>833</v>
      </c>
      <c r="AU286" s="6">
        <v>224262</v>
      </c>
    </row>
    <row r="287" spans="1:47" x14ac:dyDescent="0.3">
      <c r="A287" s="28" t="s">
        <v>42</v>
      </c>
      <c r="B287" s="6" t="s">
        <v>2182</v>
      </c>
      <c r="C287" s="6" t="s">
        <v>1976</v>
      </c>
      <c r="D287" s="6" t="s">
        <v>2104</v>
      </c>
      <c r="E287" s="6">
        <v>1</v>
      </c>
      <c r="F287" s="6" t="s">
        <v>2004</v>
      </c>
      <c r="G287" s="6" t="s">
        <v>2005</v>
      </c>
      <c r="H287" s="6" t="s">
        <v>2005</v>
      </c>
      <c r="I287" s="6" t="str">
        <f t="shared" si="8"/>
        <v>Skeleton Bucket</v>
      </c>
      <c r="J287" s="6" t="s">
        <v>190</v>
      </c>
      <c r="K287" s="6">
        <v>1</v>
      </c>
      <c r="P287" s="6">
        <f t="shared" si="9"/>
        <v>1200000</v>
      </c>
      <c r="R287" s="6" t="s">
        <v>2003</v>
      </c>
      <c r="T287" s="6" t="s">
        <v>922</v>
      </c>
      <c r="U287" s="6">
        <v>2016</v>
      </c>
      <c r="V287" s="6">
        <v>6</v>
      </c>
      <c r="AD287" s="6" t="s">
        <v>45</v>
      </c>
      <c r="AJ287" s="31" t="s">
        <v>2123</v>
      </c>
      <c r="AK287" s="6">
        <v>1</v>
      </c>
      <c r="AL287" s="26">
        <v>1100000</v>
      </c>
      <c r="AM287" s="26">
        <v>1100000</v>
      </c>
      <c r="AN287" s="26">
        <v>1100000</v>
      </c>
      <c r="AO287" s="6" t="s">
        <v>2003</v>
      </c>
      <c r="AQ287" s="6" t="s">
        <v>1237</v>
      </c>
      <c r="AU287" s="6">
        <v>224266</v>
      </c>
    </row>
    <row r="288" spans="1:47" x14ac:dyDescent="0.3">
      <c r="A288" s="28" t="s">
        <v>42</v>
      </c>
      <c r="B288" s="6" t="s">
        <v>2183</v>
      </c>
      <c r="D288" s="6" t="s">
        <v>2105</v>
      </c>
      <c r="E288" s="6">
        <v>1</v>
      </c>
      <c r="F288" s="6" t="s">
        <v>2004</v>
      </c>
      <c r="G288" s="6" t="s">
        <v>2005</v>
      </c>
      <c r="H288" s="6" t="s">
        <v>2005</v>
      </c>
      <c r="I288" s="6" t="str">
        <f t="shared" si="8"/>
        <v>ETC</v>
      </c>
      <c r="J288" s="6" t="s">
        <v>515</v>
      </c>
      <c r="K288" s="6">
        <v>1</v>
      </c>
      <c r="P288" s="6">
        <f t="shared" si="9"/>
        <v>9500000</v>
      </c>
      <c r="R288" s="6" t="s">
        <v>2003</v>
      </c>
      <c r="T288" s="6" t="s">
        <v>923</v>
      </c>
      <c r="U288" s="6">
        <v>2014</v>
      </c>
      <c r="V288" s="6">
        <v>1</v>
      </c>
      <c r="AD288" s="6" t="s">
        <v>45</v>
      </c>
      <c r="AJ288" s="31" t="s">
        <v>2121</v>
      </c>
      <c r="AK288" s="6">
        <v>1</v>
      </c>
      <c r="AL288" s="26">
        <v>9000000</v>
      </c>
      <c r="AM288" s="26">
        <v>9000000</v>
      </c>
      <c r="AN288" s="26">
        <v>9000000</v>
      </c>
      <c r="AO288" s="6" t="s">
        <v>2003</v>
      </c>
      <c r="AQ288" s="6" t="s">
        <v>1265</v>
      </c>
      <c r="AU288" s="6">
        <v>224272</v>
      </c>
    </row>
    <row r="289" spans="1:47" x14ac:dyDescent="0.3">
      <c r="A289" s="28" t="s">
        <v>42</v>
      </c>
      <c r="B289" s="6" t="s">
        <v>2184</v>
      </c>
      <c r="C289" s="6" t="s">
        <v>1972</v>
      </c>
      <c r="D289" s="6" t="s">
        <v>2100</v>
      </c>
      <c r="E289" s="6">
        <v>1</v>
      </c>
      <c r="F289" s="6" t="s">
        <v>2004</v>
      </c>
      <c r="G289" s="6" t="s">
        <v>2005</v>
      </c>
      <c r="H289" s="6" t="s">
        <v>2005</v>
      </c>
      <c r="I289" s="6" t="str">
        <f t="shared" si="8"/>
        <v>Stone Grapple</v>
      </c>
      <c r="J289" s="6" t="s">
        <v>109</v>
      </c>
      <c r="K289" s="6">
        <v>1</v>
      </c>
      <c r="P289" s="6">
        <f t="shared" si="9"/>
        <v>3200000</v>
      </c>
      <c r="R289" s="6" t="s">
        <v>2003</v>
      </c>
      <c r="T289" s="6" t="s">
        <v>54</v>
      </c>
      <c r="U289" s="6">
        <v>2011</v>
      </c>
      <c r="V289" s="6">
        <v>1</v>
      </c>
      <c r="AD289" s="6" t="s">
        <v>45</v>
      </c>
      <c r="AJ289" s="31" t="s">
        <v>2114</v>
      </c>
      <c r="AK289" s="6">
        <v>1</v>
      </c>
      <c r="AL289" s="26">
        <v>3000000</v>
      </c>
      <c r="AM289" s="26">
        <v>3000000</v>
      </c>
      <c r="AN289" s="26">
        <v>3000000</v>
      </c>
      <c r="AO289" s="6" t="s">
        <v>2003</v>
      </c>
      <c r="AQ289" s="6" t="s">
        <v>54</v>
      </c>
      <c r="AU289" s="6">
        <v>224275</v>
      </c>
    </row>
    <row r="290" spans="1:47" x14ac:dyDescent="0.3">
      <c r="A290" s="28" t="s">
        <v>42</v>
      </c>
      <c r="B290" s="6" t="s">
        <v>2184</v>
      </c>
      <c r="C290" s="6" t="s">
        <v>1973</v>
      </c>
      <c r="D290" s="6" t="s">
        <v>2100</v>
      </c>
      <c r="E290" s="6">
        <v>1</v>
      </c>
      <c r="F290" s="6" t="s">
        <v>2004</v>
      </c>
      <c r="G290" s="6" t="s">
        <v>2005</v>
      </c>
      <c r="H290" s="6" t="s">
        <v>2005</v>
      </c>
      <c r="I290" s="6" t="str">
        <f t="shared" si="8"/>
        <v>Wood Grapple</v>
      </c>
      <c r="J290" s="6" t="s">
        <v>262</v>
      </c>
      <c r="K290" s="6">
        <v>1</v>
      </c>
      <c r="P290" s="6">
        <f t="shared" si="9"/>
        <v>3300000</v>
      </c>
      <c r="R290" s="6" t="s">
        <v>2003</v>
      </c>
      <c r="T290" s="6" t="s">
        <v>2045</v>
      </c>
      <c r="U290" s="6">
        <v>2016</v>
      </c>
      <c r="V290" s="6">
        <v>1</v>
      </c>
      <c r="AD290" s="6" t="s">
        <v>45</v>
      </c>
      <c r="AJ290" s="31" t="s">
        <v>2116</v>
      </c>
      <c r="AK290" s="6">
        <v>1</v>
      </c>
      <c r="AL290" s="26">
        <v>3100000</v>
      </c>
      <c r="AM290" s="26">
        <v>3100000</v>
      </c>
      <c r="AN290" s="26">
        <v>3100000</v>
      </c>
      <c r="AO290" s="6" t="s">
        <v>2003</v>
      </c>
      <c r="AQ290" s="6" t="s">
        <v>49</v>
      </c>
      <c r="AU290" s="6">
        <v>224281</v>
      </c>
    </row>
    <row r="291" spans="1:47" x14ac:dyDescent="0.3">
      <c r="A291" s="28" t="s">
        <v>42</v>
      </c>
      <c r="B291" s="6" t="s">
        <v>2174</v>
      </c>
      <c r="C291" s="6" t="s">
        <v>1975</v>
      </c>
      <c r="D291" s="6" t="s">
        <v>2002</v>
      </c>
      <c r="E291" s="6">
        <v>1</v>
      </c>
      <c r="F291" s="6" t="s">
        <v>2004</v>
      </c>
      <c r="G291" s="6" t="s">
        <v>2005</v>
      </c>
      <c r="H291" s="6" t="s">
        <v>2005</v>
      </c>
      <c r="I291" s="6" t="str">
        <f t="shared" si="8"/>
        <v>Side Breaker</v>
      </c>
      <c r="J291" s="6" t="s">
        <v>425</v>
      </c>
      <c r="K291" s="6">
        <v>1</v>
      </c>
      <c r="P291" s="6">
        <f t="shared" si="9"/>
        <v>1400000</v>
      </c>
      <c r="R291" s="6" t="s">
        <v>2003</v>
      </c>
      <c r="T291" s="6" t="s">
        <v>2007</v>
      </c>
      <c r="U291" s="6">
        <v>2014</v>
      </c>
      <c r="V291" s="6">
        <v>1</v>
      </c>
      <c r="AD291" s="6" t="s">
        <v>45</v>
      </c>
      <c r="AJ291" s="31" t="s">
        <v>2113</v>
      </c>
      <c r="AK291" s="6">
        <v>1</v>
      </c>
      <c r="AL291" s="26">
        <v>1300000</v>
      </c>
      <c r="AM291" s="26">
        <v>1300000</v>
      </c>
      <c r="AN291" s="26">
        <v>1300000</v>
      </c>
      <c r="AO291" s="6" t="s">
        <v>2003</v>
      </c>
      <c r="AQ291" s="6" t="s">
        <v>49</v>
      </c>
      <c r="AU291" s="6">
        <v>224283</v>
      </c>
    </row>
    <row r="292" spans="1:47" x14ac:dyDescent="0.3">
      <c r="A292" s="28" t="s">
        <v>42</v>
      </c>
      <c r="B292" s="6" t="s">
        <v>2184</v>
      </c>
      <c r="C292" s="6" t="s">
        <v>1973</v>
      </c>
      <c r="D292" s="6" t="s">
        <v>2100</v>
      </c>
      <c r="E292" s="6">
        <v>1</v>
      </c>
      <c r="F292" s="6" t="s">
        <v>2004</v>
      </c>
      <c r="G292" s="6" t="s">
        <v>2005</v>
      </c>
      <c r="H292" s="6" t="s">
        <v>2005</v>
      </c>
      <c r="I292" s="6" t="str">
        <f t="shared" si="8"/>
        <v>Wood Grapple</v>
      </c>
      <c r="J292" s="6" t="s">
        <v>127</v>
      </c>
      <c r="K292" s="6">
        <v>1</v>
      </c>
      <c r="P292" s="6">
        <f t="shared" si="9"/>
        <v>2200000</v>
      </c>
      <c r="R292" s="6" t="s">
        <v>2003</v>
      </c>
      <c r="T292" s="6" t="s">
        <v>924</v>
      </c>
      <c r="U292" s="6">
        <v>2010</v>
      </c>
      <c r="V292" s="6">
        <v>1</v>
      </c>
      <c r="AD292" s="6" t="s">
        <v>45</v>
      </c>
      <c r="AJ292" s="31" t="s">
        <v>2114</v>
      </c>
      <c r="AK292" s="6">
        <v>1</v>
      </c>
      <c r="AL292" s="26">
        <v>2000000</v>
      </c>
      <c r="AM292" s="26">
        <v>2000000</v>
      </c>
      <c r="AN292" s="26">
        <v>2000000</v>
      </c>
      <c r="AO292" s="6" t="s">
        <v>2003</v>
      </c>
      <c r="AQ292" s="6" t="s">
        <v>830</v>
      </c>
      <c r="AU292" s="6">
        <v>224284</v>
      </c>
    </row>
    <row r="293" spans="1:47" hidden="1" x14ac:dyDescent="0.3">
      <c r="A293" s="28" t="s">
        <v>42</v>
      </c>
      <c r="B293" s="6" t="s">
        <v>2174</v>
      </c>
      <c r="C293" s="6" t="s">
        <v>1975</v>
      </c>
      <c r="E293" s="6">
        <v>1</v>
      </c>
      <c r="F293" s="6" t="s">
        <v>2004</v>
      </c>
      <c r="G293" s="6" t="s">
        <v>2005</v>
      </c>
      <c r="H293" s="6" t="s">
        <v>2005</v>
      </c>
      <c r="I293" s="6" t="str">
        <f t="shared" si="8"/>
        <v>Side Breaker</v>
      </c>
      <c r="J293" s="6" t="s">
        <v>516</v>
      </c>
      <c r="K293" s="6">
        <v>1</v>
      </c>
      <c r="P293" s="6">
        <f t="shared" si="9"/>
        <v>3700000</v>
      </c>
      <c r="R293" s="6" t="s">
        <v>2003</v>
      </c>
      <c r="T293" s="6" t="s">
        <v>2007</v>
      </c>
      <c r="U293" s="6">
        <v>2014</v>
      </c>
      <c r="V293" s="6">
        <v>1</v>
      </c>
      <c r="AD293" s="6" t="s">
        <v>45</v>
      </c>
      <c r="AJ293" s="31" t="s">
        <v>2113</v>
      </c>
      <c r="AK293" s="6">
        <v>1</v>
      </c>
      <c r="AL293" s="26">
        <v>3500000</v>
      </c>
      <c r="AM293" s="26">
        <v>3500000</v>
      </c>
      <c r="AN293" s="26">
        <v>3500000</v>
      </c>
      <c r="AO293" s="6" t="s">
        <v>2003</v>
      </c>
      <c r="AQ293" s="6" t="s">
        <v>49</v>
      </c>
      <c r="AU293" s="6">
        <v>224287</v>
      </c>
    </row>
    <row r="294" spans="1:47" x14ac:dyDescent="0.3">
      <c r="A294" s="28" t="s">
        <v>42</v>
      </c>
      <c r="B294" s="6" t="s">
        <v>2184</v>
      </c>
      <c r="C294" s="6" t="s">
        <v>1972</v>
      </c>
      <c r="D294" s="6" t="s">
        <v>2104</v>
      </c>
      <c r="E294" s="6">
        <v>1</v>
      </c>
      <c r="F294" s="6" t="s">
        <v>2004</v>
      </c>
      <c r="G294" s="6" t="s">
        <v>2005</v>
      </c>
      <c r="H294" s="6" t="s">
        <v>2005</v>
      </c>
      <c r="I294" s="6" t="str">
        <f t="shared" si="8"/>
        <v>Stone Grapple</v>
      </c>
      <c r="J294" s="6" t="s">
        <v>250</v>
      </c>
      <c r="K294" s="6">
        <v>1</v>
      </c>
      <c r="P294" s="6">
        <f t="shared" si="9"/>
        <v>1900000</v>
      </c>
      <c r="R294" s="6" t="s">
        <v>2003</v>
      </c>
      <c r="T294" s="6" t="s">
        <v>2007</v>
      </c>
      <c r="U294" s="6">
        <v>2013</v>
      </c>
      <c r="V294" s="6">
        <v>1</v>
      </c>
      <c r="AD294" s="6" t="s">
        <v>45</v>
      </c>
      <c r="AJ294" s="31" t="s">
        <v>2113</v>
      </c>
      <c r="AK294" s="6">
        <v>1</v>
      </c>
      <c r="AL294" s="26">
        <v>1800000</v>
      </c>
      <c r="AM294" s="26">
        <v>1800000</v>
      </c>
      <c r="AN294" s="26">
        <v>1800000</v>
      </c>
      <c r="AO294" s="6" t="s">
        <v>2003</v>
      </c>
      <c r="AQ294" s="6" t="s">
        <v>49</v>
      </c>
      <c r="AU294" s="6">
        <v>224288</v>
      </c>
    </row>
    <row r="295" spans="1:47" x14ac:dyDescent="0.3">
      <c r="A295" s="28" t="s">
        <v>42</v>
      </c>
      <c r="B295" s="6" t="s">
        <v>2192</v>
      </c>
      <c r="D295" s="6" t="s">
        <v>2104</v>
      </c>
      <c r="E295" s="6">
        <v>1</v>
      </c>
      <c r="F295" s="6" t="s">
        <v>2004</v>
      </c>
      <c r="G295" s="6" t="s">
        <v>2005</v>
      </c>
      <c r="H295" s="6" t="s">
        <v>2005</v>
      </c>
      <c r="I295" s="6" t="str">
        <f t="shared" si="8"/>
        <v>Lift Fork</v>
      </c>
      <c r="J295" s="6" t="s">
        <v>102</v>
      </c>
      <c r="K295" s="6">
        <v>1</v>
      </c>
      <c r="P295" s="6">
        <f t="shared" si="9"/>
        <v>800000</v>
      </c>
      <c r="R295" s="6" t="s">
        <v>2003</v>
      </c>
      <c r="T295" s="6" t="s">
        <v>925</v>
      </c>
      <c r="U295" s="6">
        <v>2014</v>
      </c>
      <c r="V295" s="6">
        <v>1</v>
      </c>
      <c r="AD295" s="6" t="s">
        <v>45</v>
      </c>
      <c r="AJ295" s="31" t="s">
        <v>2119</v>
      </c>
      <c r="AK295" s="6">
        <v>1</v>
      </c>
      <c r="AL295" s="26">
        <v>700000</v>
      </c>
      <c r="AM295" s="26">
        <v>700000</v>
      </c>
      <c r="AN295" s="26">
        <v>700000</v>
      </c>
      <c r="AO295" s="6" t="s">
        <v>2003</v>
      </c>
      <c r="AQ295" s="6" t="s">
        <v>60</v>
      </c>
      <c r="AU295" s="6">
        <v>224291</v>
      </c>
    </row>
    <row r="296" spans="1:47" x14ac:dyDescent="0.3">
      <c r="A296" s="28" t="s">
        <v>42</v>
      </c>
      <c r="B296" s="6" t="s">
        <v>2183</v>
      </c>
      <c r="D296" s="6" t="s">
        <v>2101</v>
      </c>
      <c r="E296" s="6">
        <v>1</v>
      </c>
      <c r="F296" s="6" t="s">
        <v>2004</v>
      </c>
      <c r="G296" s="6" t="s">
        <v>2005</v>
      </c>
      <c r="H296" s="6" t="s">
        <v>2005</v>
      </c>
      <c r="I296" s="6" t="str">
        <f t="shared" si="8"/>
        <v>ETC</v>
      </c>
      <c r="J296" s="6" t="s">
        <v>517</v>
      </c>
      <c r="K296" s="6">
        <v>1</v>
      </c>
      <c r="P296" s="6">
        <f t="shared" si="9"/>
        <v>10500000</v>
      </c>
      <c r="R296" s="6" t="s">
        <v>2003</v>
      </c>
      <c r="T296" s="6" t="s">
        <v>926</v>
      </c>
      <c r="U296" s="6">
        <v>2006</v>
      </c>
      <c r="V296" s="6">
        <v>1</v>
      </c>
      <c r="AD296" s="6" t="s">
        <v>45</v>
      </c>
      <c r="AJ296" s="31" t="s">
        <v>2110</v>
      </c>
      <c r="AK296" s="6">
        <v>1</v>
      </c>
      <c r="AL296" s="26">
        <v>10000000</v>
      </c>
      <c r="AM296" s="26">
        <v>10000000</v>
      </c>
      <c r="AN296" s="26">
        <v>10000000</v>
      </c>
      <c r="AO296" s="6" t="s">
        <v>2003</v>
      </c>
      <c r="AQ296" s="6" t="s">
        <v>1208</v>
      </c>
      <c r="AU296" s="6">
        <v>224292</v>
      </c>
    </row>
    <row r="297" spans="1:47" x14ac:dyDescent="0.3">
      <c r="A297" s="28" t="s">
        <v>42</v>
      </c>
      <c r="B297" s="6" t="s">
        <v>2184</v>
      </c>
      <c r="C297" s="6" t="s">
        <v>1972</v>
      </c>
      <c r="D297" s="6" t="s">
        <v>2100</v>
      </c>
      <c r="E297" s="6">
        <v>1</v>
      </c>
      <c r="F297" s="6" t="s">
        <v>2004</v>
      </c>
      <c r="G297" s="6" t="s">
        <v>2005</v>
      </c>
      <c r="H297" s="6" t="s">
        <v>2005</v>
      </c>
      <c r="I297" s="6" t="str">
        <f t="shared" si="8"/>
        <v>Stone Grapple</v>
      </c>
      <c r="J297" s="6" t="s">
        <v>518</v>
      </c>
      <c r="K297" s="6">
        <v>1</v>
      </c>
      <c r="P297" s="6">
        <f t="shared" si="9"/>
        <v>1650000</v>
      </c>
      <c r="R297" s="6" t="s">
        <v>2003</v>
      </c>
      <c r="T297" s="6" t="s">
        <v>2007</v>
      </c>
      <c r="U297" s="6">
        <v>2016</v>
      </c>
      <c r="V297" s="6">
        <v>1</v>
      </c>
      <c r="AD297" s="6" t="s">
        <v>45</v>
      </c>
      <c r="AJ297" s="31" t="s">
        <v>2113</v>
      </c>
      <c r="AK297" s="6">
        <v>1</v>
      </c>
      <c r="AL297" s="26">
        <v>1550000</v>
      </c>
      <c r="AM297" s="26">
        <v>1550000</v>
      </c>
      <c r="AN297" s="26">
        <v>1550000</v>
      </c>
      <c r="AO297" s="6" t="s">
        <v>2003</v>
      </c>
      <c r="AQ297" s="6" t="s">
        <v>49</v>
      </c>
      <c r="AU297" s="6">
        <v>224293</v>
      </c>
    </row>
    <row r="298" spans="1:47" x14ac:dyDescent="0.3">
      <c r="A298" s="28" t="s">
        <v>42</v>
      </c>
      <c r="B298" s="6" t="s">
        <v>2182</v>
      </c>
      <c r="C298" s="6" t="s">
        <v>1976</v>
      </c>
      <c r="D298" s="6" t="s">
        <v>2101</v>
      </c>
      <c r="E298" s="6">
        <v>1</v>
      </c>
      <c r="F298" s="6" t="s">
        <v>2004</v>
      </c>
      <c r="G298" s="6" t="s">
        <v>2005</v>
      </c>
      <c r="H298" s="6" t="s">
        <v>2005</v>
      </c>
      <c r="I298" s="6" t="str">
        <f t="shared" si="8"/>
        <v>Skeleton Bucket</v>
      </c>
      <c r="J298" s="6" t="s">
        <v>1928</v>
      </c>
      <c r="K298" s="6">
        <v>1</v>
      </c>
      <c r="P298" s="6">
        <f t="shared" si="9"/>
        <v>2700000</v>
      </c>
      <c r="R298" s="6" t="s">
        <v>2003</v>
      </c>
      <c r="T298" s="6" t="s">
        <v>927</v>
      </c>
      <c r="U298" s="6">
        <v>2010</v>
      </c>
      <c r="V298" s="6">
        <v>1</v>
      </c>
      <c r="AD298" s="6" t="s">
        <v>45</v>
      </c>
      <c r="AJ298" s="31" t="s">
        <v>2110</v>
      </c>
      <c r="AK298" s="6">
        <v>1</v>
      </c>
      <c r="AL298" s="26">
        <v>2500000</v>
      </c>
      <c r="AM298" s="26">
        <v>2500000</v>
      </c>
      <c r="AN298" s="26">
        <v>2500000</v>
      </c>
      <c r="AO298" s="6" t="s">
        <v>2003</v>
      </c>
      <c r="AQ298" s="6" t="s">
        <v>1208</v>
      </c>
      <c r="AU298" s="6">
        <v>224294</v>
      </c>
    </row>
    <row r="299" spans="1:47" x14ac:dyDescent="0.3">
      <c r="A299" s="28" t="s">
        <v>42</v>
      </c>
      <c r="B299" s="6" t="s">
        <v>2182</v>
      </c>
      <c r="C299" s="6" t="s">
        <v>1976</v>
      </c>
      <c r="D299" s="6" t="s">
        <v>2104</v>
      </c>
      <c r="E299" s="6">
        <v>1</v>
      </c>
      <c r="F299" s="6" t="s">
        <v>2004</v>
      </c>
      <c r="G299" s="6" t="s">
        <v>2005</v>
      </c>
      <c r="H299" s="6" t="s">
        <v>2005</v>
      </c>
      <c r="I299" s="6" t="str">
        <f t="shared" si="8"/>
        <v>Skeleton Bucket</v>
      </c>
      <c r="J299" s="6" t="s">
        <v>62</v>
      </c>
      <c r="K299" s="6">
        <v>1</v>
      </c>
      <c r="P299" s="6">
        <f t="shared" si="9"/>
        <v>1100000</v>
      </c>
      <c r="R299" s="6" t="s">
        <v>2003</v>
      </c>
      <c r="T299" s="6" t="s">
        <v>2007</v>
      </c>
      <c r="U299" s="6">
        <v>2015</v>
      </c>
      <c r="V299" s="6">
        <v>1</v>
      </c>
      <c r="AD299" s="6" t="s">
        <v>45</v>
      </c>
      <c r="AJ299" s="31" t="s">
        <v>2113</v>
      </c>
      <c r="AK299" s="6">
        <v>1</v>
      </c>
      <c r="AL299" s="26">
        <v>1000000</v>
      </c>
      <c r="AM299" s="26">
        <v>1000000</v>
      </c>
      <c r="AN299" s="26">
        <v>1000000</v>
      </c>
      <c r="AO299" s="6" t="s">
        <v>2003</v>
      </c>
      <c r="AQ299" s="6" t="s">
        <v>49</v>
      </c>
      <c r="AU299" s="6">
        <v>224295</v>
      </c>
    </row>
    <row r="300" spans="1:47" x14ac:dyDescent="0.3">
      <c r="A300" s="28" t="s">
        <v>42</v>
      </c>
      <c r="B300" s="6" t="s">
        <v>2174</v>
      </c>
      <c r="C300" s="6" t="s">
        <v>1975</v>
      </c>
      <c r="D300" s="6" t="s">
        <v>2105</v>
      </c>
      <c r="E300" s="6">
        <v>1</v>
      </c>
      <c r="F300" s="6" t="s">
        <v>2004</v>
      </c>
      <c r="G300" s="6" t="s">
        <v>2005</v>
      </c>
      <c r="H300" s="6" t="s">
        <v>2005</v>
      </c>
      <c r="I300" s="6" t="str">
        <f t="shared" si="8"/>
        <v>Side Breaker</v>
      </c>
      <c r="J300" s="6" t="s">
        <v>150</v>
      </c>
      <c r="K300" s="6">
        <v>1</v>
      </c>
      <c r="P300" s="6">
        <f t="shared" si="9"/>
        <v>5500000</v>
      </c>
      <c r="R300" s="6" t="s">
        <v>2003</v>
      </c>
      <c r="T300" s="6" t="s">
        <v>2009</v>
      </c>
      <c r="U300" s="6">
        <v>2009</v>
      </c>
      <c r="V300" s="6">
        <v>1</v>
      </c>
      <c r="AD300" s="6" t="s">
        <v>45</v>
      </c>
      <c r="AJ300" s="31" t="s">
        <v>2110</v>
      </c>
      <c r="AK300" s="6">
        <v>1</v>
      </c>
      <c r="AL300" s="26">
        <v>5000000</v>
      </c>
      <c r="AM300" s="26">
        <v>5000000</v>
      </c>
      <c r="AN300" s="26">
        <v>5000000</v>
      </c>
      <c r="AO300" s="6" t="s">
        <v>2003</v>
      </c>
      <c r="AQ300" s="6" t="s">
        <v>1152</v>
      </c>
      <c r="AU300" s="6">
        <v>224296</v>
      </c>
    </row>
    <row r="301" spans="1:47" x14ac:dyDescent="0.3">
      <c r="A301" s="28" t="s">
        <v>42</v>
      </c>
      <c r="B301" s="6" t="s">
        <v>2182</v>
      </c>
      <c r="C301" s="19" t="s">
        <v>2210</v>
      </c>
      <c r="D301" s="6" t="s">
        <v>2100</v>
      </c>
      <c r="E301" s="6">
        <v>1</v>
      </c>
      <c r="F301" s="6" t="s">
        <v>2004</v>
      </c>
      <c r="G301" s="6" t="s">
        <v>2005</v>
      </c>
      <c r="H301" s="6" t="s">
        <v>2005</v>
      </c>
      <c r="I301" s="6" t="str">
        <f t="shared" si="8"/>
        <v>Etc Bucket</v>
      </c>
      <c r="J301" s="6" t="s">
        <v>706</v>
      </c>
      <c r="K301" s="6">
        <v>1</v>
      </c>
      <c r="P301" s="6">
        <f t="shared" si="9"/>
        <v>250000</v>
      </c>
      <c r="R301" s="6" t="s">
        <v>2003</v>
      </c>
      <c r="T301" s="6" t="s">
        <v>793</v>
      </c>
      <c r="U301" s="6">
        <v>2014</v>
      </c>
      <c r="V301" s="6">
        <v>1</v>
      </c>
      <c r="AD301" s="6" t="s">
        <v>45</v>
      </c>
      <c r="AJ301" s="31" t="s">
        <v>2116</v>
      </c>
      <c r="AK301" s="6">
        <v>1</v>
      </c>
      <c r="AL301" s="26">
        <v>200000</v>
      </c>
      <c r="AM301" s="26">
        <v>200000</v>
      </c>
      <c r="AN301" s="26">
        <v>200000</v>
      </c>
      <c r="AO301" s="6" t="s">
        <v>2003</v>
      </c>
      <c r="AQ301" s="6" t="s">
        <v>90</v>
      </c>
      <c r="AU301" s="6">
        <v>224299</v>
      </c>
    </row>
    <row r="302" spans="1:47" x14ac:dyDescent="0.3">
      <c r="A302" s="28" t="s">
        <v>42</v>
      </c>
      <c r="B302" s="6" t="s">
        <v>2182</v>
      </c>
      <c r="C302" s="6" t="s">
        <v>1977</v>
      </c>
      <c r="D302" s="6" t="s">
        <v>2100</v>
      </c>
      <c r="E302" s="6">
        <v>1</v>
      </c>
      <c r="F302" s="6" t="s">
        <v>2004</v>
      </c>
      <c r="G302" s="6" t="s">
        <v>2005</v>
      </c>
      <c r="H302" s="6" t="s">
        <v>2005</v>
      </c>
      <c r="I302" s="6" t="str">
        <f t="shared" si="8"/>
        <v>Wide Bucket</v>
      </c>
      <c r="J302" s="6" t="s">
        <v>350</v>
      </c>
      <c r="K302" s="6">
        <v>1</v>
      </c>
      <c r="P302" s="6">
        <f t="shared" si="9"/>
        <v>650000</v>
      </c>
      <c r="R302" s="6" t="s">
        <v>2003</v>
      </c>
      <c r="T302" s="6" t="s">
        <v>833</v>
      </c>
      <c r="U302" s="6">
        <v>2017</v>
      </c>
      <c r="V302" s="6">
        <v>1</v>
      </c>
      <c r="AD302" s="6" t="s">
        <v>45</v>
      </c>
      <c r="AJ302" s="31" t="s">
        <v>2114</v>
      </c>
      <c r="AK302" s="6">
        <v>1</v>
      </c>
      <c r="AL302" s="26">
        <v>550000</v>
      </c>
      <c r="AM302" s="26">
        <v>550000</v>
      </c>
      <c r="AN302" s="26">
        <v>550000</v>
      </c>
      <c r="AO302" s="6" t="s">
        <v>2003</v>
      </c>
      <c r="AQ302" s="6" t="s">
        <v>833</v>
      </c>
      <c r="AU302" s="6">
        <v>224303</v>
      </c>
    </row>
    <row r="303" spans="1:47" x14ac:dyDescent="0.3">
      <c r="A303" s="28" t="s">
        <v>42</v>
      </c>
      <c r="B303" s="6" t="s">
        <v>2184</v>
      </c>
      <c r="C303" s="6" t="s">
        <v>1973</v>
      </c>
      <c r="D303" s="6" t="s">
        <v>2100</v>
      </c>
      <c r="E303" s="6">
        <v>1</v>
      </c>
      <c r="F303" s="6" t="s">
        <v>2004</v>
      </c>
      <c r="G303" s="6" t="s">
        <v>2005</v>
      </c>
      <c r="H303" s="6" t="s">
        <v>2005</v>
      </c>
      <c r="I303" s="6" t="str">
        <f t="shared" si="8"/>
        <v>Wood Grapple</v>
      </c>
      <c r="J303" s="6" t="s">
        <v>127</v>
      </c>
      <c r="K303" s="6">
        <v>1</v>
      </c>
      <c r="P303" s="6">
        <f t="shared" si="9"/>
        <v>1900000</v>
      </c>
      <c r="R303" s="6" t="s">
        <v>2003</v>
      </c>
      <c r="T303" s="6" t="s">
        <v>54</v>
      </c>
      <c r="U303" s="6">
        <v>2012</v>
      </c>
      <c r="V303" s="6">
        <v>1</v>
      </c>
      <c r="AD303" s="6" t="s">
        <v>45</v>
      </c>
      <c r="AJ303" s="31" t="s">
        <v>2114</v>
      </c>
      <c r="AK303" s="6">
        <v>1</v>
      </c>
      <c r="AL303" s="26">
        <v>1800000</v>
      </c>
      <c r="AM303" s="26">
        <v>1800000</v>
      </c>
      <c r="AN303" s="26">
        <v>1800000</v>
      </c>
      <c r="AO303" s="6" t="s">
        <v>2003</v>
      </c>
      <c r="AQ303" s="6" t="s">
        <v>54</v>
      </c>
      <c r="AU303" s="6">
        <v>224304</v>
      </c>
    </row>
    <row r="304" spans="1:47" x14ac:dyDescent="0.3">
      <c r="A304" s="28" t="s">
        <v>42</v>
      </c>
      <c r="B304" s="6" t="s">
        <v>2183</v>
      </c>
      <c r="D304" s="6" t="s">
        <v>2104</v>
      </c>
      <c r="E304" s="6">
        <v>1</v>
      </c>
      <c r="F304" s="6" t="s">
        <v>2004</v>
      </c>
      <c r="G304" s="6" t="s">
        <v>2005</v>
      </c>
      <c r="H304" s="6" t="s">
        <v>2005</v>
      </c>
      <c r="I304" s="6" t="str">
        <f t="shared" si="8"/>
        <v>ETC</v>
      </c>
      <c r="J304" s="6" t="s">
        <v>530</v>
      </c>
      <c r="K304" s="6">
        <v>1</v>
      </c>
      <c r="P304" s="6">
        <f t="shared" si="9"/>
        <v>3700000</v>
      </c>
      <c r="R304" s="6" t="s">
        <v>2003</v>
      </c>
      <c r="T304" s="6" t="s">
        <v>813</v>
      </c>
      <c r="U304" s="6">
        <v>2013</v>
      </c>
      <c r="V304" s="6">
        <v>1</v>
      </c>
      <c r="AD304" s="6" t="s">
        <v>45</v>
      </c>
      <c r="AJ304" s="31" t="s">
        <v>2113</v>
      </c>
      <c r="AK304" s="6">
        <v>1</v>
      </c>
      <c r="AL304" s="26">
        <v>3500000</v>
      </c>
      <c r="AM304" s="26">
        <v>3500000</v>
      </c>
      <c r="AN304" s="26">
        <v>3500000</v>
      </c>
      <c r="AO304" s="6" t="s">
        <v>2003</v>
      </c>
      <c r="AQ304" s="6" t="s">
        <v>79</v>
      </c>
      <c r="AU304" s="6">
        <v>224306</v>
      </c>
    </row>
    <row r="305" spans="1:47" x14ac:dyDescent="0.3">
      <c r="A305" s="28" t="s">
        <v>42</v>
      </c>
      <c r="B305" s="6" t="s">
        <v>2184</v>
      </c>
      <c r="C305" s="6" t="s">
        <v>1979</v>
      </c>
      <c r="D305" s="6" t="s">
        <v>2104</v>
      </c>
      <c r="E305" s="6">
        <v>1</v>
      </c>
      <c r="F305" s="6" t="s">
        <v>2004</v>
      </c>
      <c r="G305" s="6" t="s">
        <v>2005</v>
      </c>
      <c r="H305" s="6" t="s">
        <v>2005</v>
      </c>
      <c r="I305" s="6" t="str">
        <f t="shared" si="8"/>
        <v>Thumb Grapple</v>
      </c>
      <c r="J305" s="6" t="s">
        <v>59</v>
      </c>
      <c r="K305" s="6">
        <v>1</v>
      </c>
      <c r="P305" s="6">
        <f t="shared" si="9"/>
        <v>1400000</v>
      </c>
      <c r="R305" s="6" t="s">
        <v>2003</v>
      </c>
      <c r="T305" s="6" t="s">
        <v>823</v>
      </c>
      <c r="U305" s="6">
        <v>2014</v>
      </c>
      <c r="V305" s="6">
        <v>1</v>
      </c>
      <c r="AD305" s="6" t="s">
        <v>45</v>
      </c>
      <c r="AJ305" s="31" t="s">
        <v>2113</v>
      </c>
      <c r="AK305" s="6">
        <v>1</v>
      </c>
      <c r="AL305" s="26">
        <v>1300000</v>
      </c>
      <c r="AM305" s="26">
        <v>1300000</v>
      </c>
      <c r="AN305" s="26">
        <v>1300000</v>
      </c>
      <c r="AO305" s="6" t="s">
        <v>2003</v>
      </c>
      <c r="AQ305" s="6" t="s">
        <v>49</v>
      </c>
      <c r="AU305" s="6">
        <v>224307</v>
      </c>
    </row>
    <row r="306" spans="1:47" x14ac:dyDescent="0.3">
      <c r="A306" s="28" t="s">
        <v>42</v>
      </c>
      <c r="B306" s="6" t="s">
        <v>2192</v>
      </c>
      <c r="C306" s="6" t="s">
        <v>1980</v>
      </c>
      <c r="D306" s="6" t="s">
        <v>2104</v>
      </c>
      <c r="E306" s="6">
        <v>1</v>
      </c>
      <c r="F306" s="6" t="s">
        <v>2004</v>
      </c>
      <c r="G306" s="6" t="s">
        <v>2005</v>
      </c>
      <c r="H306" s="6" t="s">
        <v>2005</v>
      </c>
      <c r="I306" s="6" t="str">
        <f t="shared" si="8"/>
        <v>Small Bucket</v>
      </c>
      <c r="J306" s="6" t="s">
        <v>465</v>
      </c>
      <c r="K306" s="6">
        <v>1</v>
      </c>
      <c r="P306" s="6">
        <f t="shared" si="9"/>
        <v>1200000</v>
      </c>
      <c r="R306" s="6" t="s">
        <v>2003</v>
      </c>
      <c r="T306" s="6" t="s">
        <v>847</v>
      </c>
      <c r="U306" s="6">
        <v>2012</v>
      </c>
      <c r="V306" s="6">
        <v>1</v>
      </c>
      <c r="AD306" s="6" t="s">
        <v>45</v>
      </c>
      <c r="AJ306" s="31" t="s">
        <v>2116</v>
      </c>
      <c r="AK306" s="6">
        <v>1</v>
      </c>
      <c r="AL306" s="26">
        <v>1100000</v>
      </c>
      <c r="AM306" s="26">
        <v>1100000</v>
      </c>
      <c r="AN306" s="26">
        <v>1100000</v>
      </c>
      <c r="AO306" s="6" t="s">
        <v>2003</v>
      </c>
      <c r="AQ306" s="6" t="s">
        <v>1146</v>
      </c>
      <c r="AU306" s="6">
        <v>224310</v>
      </c>
    </row>
    <row r="307" spans="1:47" x14ac:dyDescent="0.3">
      <c r="A307" s="28" t="s">
        <v>42</v>
      </c>
      <c r="B307" s="6" t="s">
        <v>2174</v>
      </c>
      <c r="C307" s="6" t="s">
        <v>1975</v>
      </c>
      <c r="D307" s="6" t="s">
        <v>2100</v>
      </c>
      <c r="E307" s="6">
        <v>1</v>
      </c>
      <c r="F307" s="6" t="s">
        <v>2004</v>
      </c>
      <c r="G307" s="6" t="s">
        <v>2005</v>
      </c>
      <c r="H307" s="6" t="s">
        <v>2005</v>
      </c>
      <c r="I307" s="6" t="str">
        <f t="shared" si="8"/>
        <v>Side Breaker</v>
      </c>
      <c r="J307" s="6" t="s">
        <v>266</v>
      </c>
      <c r="K307" s="6">
        <v>1</v>
      </c>
      <c r="P307" s="6">
        <f t="shared" si="9"/>
        <v>2000000</v>
      </c>
      <c r="R307" s="6" t="s">
        <v>2003</v>
      </c>
      <c r="T307" s="6" t="s">
        <v>1852</v>
      </c>
      <c r="U307" s="6">
        <v>2017</v>
      </c>
      <c r="V307" s="6">
        <v>1</v>
      </c>
      <c r="AD307" s="6" t="s">
        <v>45</v>
      </c>
      <c r="AJ307" s="31" t="s">
        <v>2113</v>
      </c>
      <c r="AK307" s="6">
        <v>1</v>
      </c>
      <c r="AL307" s="26">
        <v>1900000</v>
      </c>
      <c r="AM307" s="26">
        <v>1900000</v>
      </c>
      <c r="AN307" s="26">
        <v>1900000</v>
      </c>
      <c r="AO307" s="6" t="s">
        <v>2003</v>
      </c>
      <c r="AQ307" s="6" t="s">
        <v>49</v>
      </c>
      <c r="AU307" s="6">
        <v>224311</v>
      </c>
    </row>
    <row r="308" spans="1:47" x14ac:dyDescent="0.3">
      <c r="A308" s="28" t="s">
        <v>42</v>
      </c>
      <c r="B308" s="6" t="s">
        <v>2184</v>
      </c>
      <c r="C308" s="6" t="s">
        <v>1972</v>
      </c>
      <c r="D308" s="6" t="s">
        <v>2104</v>
      </c>
      <c r="E308" s="6">
        <v>1</v>
      </c>
      <c r="F308" s="6" t="s">
        <v>2004</v>
      </c>
      <c r="G308" s="6" t="s">
        <v>2005</v>
      </c>
      <c r="H308" s="6" t="s">
        <v>2005</v>
      </c>
      <c r="I308" s="6" t="str">
        <f t="shared" si="8"/>
        <v>Stone Grapple</v>
      </c>
      <c r="J308" s="6" t="s">
        <v>197</v>
      </c>
      <c r="K308" s="6">
        <v>1</v>
      </c>
      <c r="P308" s="6">
        <f t="shared" si="9"/>
        <v>3900000</v>
      </c>
      <c r="R308" s="6" t="s">
        <v>2003</v>
      </c>
      <c r="T308" s="6" t="s">
        <v>2046</v>
      </c>
      <c r="U308" s="6">
        <v>2017</v>
      </c>
      <c r="V308" s="6">
        <v>1</v>
      </c>
      <c r="AD308" s="6" t="s">
        <v>45</v>
      </c>
      <c r="AJ308" s="31" t="s">
        <v>2110</v>
      </c>
      <c r="AK308" s="6">
        <v>1</v>
      </c>
      <c r="AL308" s="26">
        <v>3700000</v>
      </c>
      <c r="AM308" s="26">
        <v>3700000</v>
      </c>
      <c r="AN308" s="26">
        <v>3700000</v>
      </c>
      <c r="AO308" s="6" t="s">
        <v>2003</v>
      </c>
      <c r="AQ308" s="6" t="s">
        <v>1155</v>
      </c>
      <c r="AU308" s="6">
        <v>224313</v>
      </c>
    </row>
    <row r="309" spans="1:47" x14ac:dyDescent="0.3">
      <c r="A309" s="28" t="s">
        <v>42</v>
      </c>
      <c r="B309" s="6" t="s">
        <v>2175</v>
      </c>
      <c r="C309" s="6" t="s">
        <v>1983</v>
      </c>
      <c r="D309" s="6" t="s">
        <v>2001</v>
      </c>
      <c r="E309" s="6">
        <v>1</v>
      </c>
      <c r="F309" s="6" t="s">
        <v>2004</v>
      </c>
      <c r="G309" s="6" t="s">
        <v>2005</v>
      </c>
      <c r="H309" s="6" t="s">
        <v>2005</v>
      </c>
      <c r="I309" s="6" t="str">
        <f t="shared" si="8"/>
        <v>Hydraulic Multi Processor</v>
      </c>
      <c r="J309" s="6" t="s">
        <v>452</v>
      </c>
      <c r="K309" s="6">
        <v>1</v>
      </c>
      <c r="P309" s="6">
        <f t="shared" si="9"/>
        <v>16500000</v>
      </c>
      <c r="R309" s="6" t="s">
        <v>2003</v>
      </c>
      <c r="T309" s="6" t="s">
        <v>1853</v>
      </c>
      <c r="U309" s="6">
        <v>2015</v>
      </c>
      <c r="V309" s="6">
        <v>1</v>
      </c>
      <c r="AD309" s="6" t="s">
        <v>45</v>
      </c>
      <c r="AJ309" s="31" t="s">
        <v>2116</v>
      </c>
      <c r="AK309" s="6">
        <v>1</v>
      </c>
      <c r="AL309" s="26">
        <v>16000000</v>
      </c>
      <c r="AM309" s="26">
        <v>16000000</v>
      </c>
      <c r="AN309" s="26">
        <v>16000000</v>
      </c>
      <c r="AO309" s="6" t="s">
        <v>2003</v>
      </c>
      <c r="AQ309" s="6" t="s">
        <v>1199</v>
      </c>
      <c r="AU309" s="6">
        <v>224317</v>
      </c>
    </row>
    <row r="310" spans="1:47" hidden="1" x14ac:dyDescent="0.3">
      <c r="A310" s="28" t="s">
        <v>42</v>
      </c>
      <c r="B310" s="6" t="s">
        <v>2184</v>
      </c>
      <c r="C310" s="6" t="s">
        <v>1972</v>
      </c>
      <c r="E310" s="6">
        <v>1</v>
      </c>
      <c r="F310" s="6" t="s">
        <v>2004</v>
      </c>
      <c r="G310" s="6" t="s">
        <v>2005</v>
      </c>
      <c r="H310" s="6" t="s">
        <v>2005</v>
      </c>
      <c r="I310" s="6" t="str">
        <f t="shared" si="8"/>
        <v>Stone Grapple</v>
      </c>
      <c r="J310" s="6" t="s">
        <v>519</v>
      </c>
      <c r="K310" s="6">
        <v>1</v>
      </c>
      <c r="P310" s="6">
        <f t="shared" si="9"/>
        <v>2800000</v>
      </c>
      <c r="R310" s="6" t="s">
        <v>2003</v>
      </c>
      <c r="T310" s="6" t="s">
        <v>2007</v>
      </c>
      <c r="U310" s="6">
        <v>2015</v>
      </c>
      <c r="V310" s="6">
        <v>1</v>
      </c>
      <c r="AD310" s="6" t="s">
        <v>45</v>
      </c>
      <c r="AJ310" s="31" t="s">
        <v>2113</v>
      </c>
      <c r="AK310" s="6">
        <v>1</v>
      </c>
      <c r="AL310" s="26">
        <v>2600000</v>
      </c>
      <c r="AM310" s="26">
        <v>2600000</v>
      </c>
      <c r="AN310" s="26">
        <v>2600000</v>
      </c>
      <c r="AO310" s="6" t="s">
        <v>2003</v>
      </c>
      <c r="AQ310" s="6" t="s">
        <v>49</v>
      </c>
      <c r="AU310" s="6">
        <v>224319</v>
      </c>
    </row>
    <row r="311" spans="1:47" x14ac:dyDescent="0.3">
      <c r="A311" s="28" t="s">
        <v>42</v>
      </c>
      <c r="B311" s="6" t="s">
        <v>2174</v>
      </c>
      <c r="C311" s="6" t="s">
        <v>1975</v>
      </c>
      <c r="D311" s="6" t="s">
        <v>2102</v>
      </c>
      <c r="E311" s="6">
        <v>1</v>
      </c>
      <c r="F311" s="6" t="s">
        <v>2004</v>
      </c>
      <c r="G311" s="6" t="s">
        <v>2005</v>
      </c>
      <c r="H311" s="6" t="s">
        <v>2005</v>
      </c>
      <c r="I311" s="6" t="str">
        <f t="shared" si="8"/>
        <v>Side Breaker</v>
      </c>
      <c r="J311" s="6" t="s">
        <v>379</v>
      </c>
      <c r="K311" s="6">
        <v>1</v>
      </c>
      <c r="P311" s="6">
        <f t="shared" si="9"/>
        <v>1900000</v>
      </c>
      <c r="R311" s="6" t="s">
        <v>2003</v>
      </c>
      <c r="T311" s="6" t="s">
        <v>2007</v>
      </c>
      <c r="U311" s="6">
        <v>2017</v>
      </c>
      <c r="V311" s="6">
        <v>1</v>
      </c>
      <c r="AD311" s="6" t="s">
        <v>45</v>
      </c>
      <c r="AJ311" s="31" t="s">
        <v>2113</v>
      </c>
      <c r="AK311" s="6">
        <v>1</v>
      </c>
      <c r="AL311" s="26">
        <v>1800000</v>
      </c>
      <c r="AM311" s="26">
        <v>1800000</v>
      </c>
      <c r="AN311" s="26">
        <v>1800000</v>
      </c>
      <c r="AO311" s="6" t="s">
        <v>2003</v>
      </c>
      <c r="AQ311" s="6" t="s">
        <v>49</v>
      </c>
      <c r="AU311" s="6">
        <v>224320</v>
      </c>
    </row>
    <row r="312" spans="1:47" x14ac:dyDescent="0.3">
      <c r="A312" s="28" t="s">
        <v>42</v>
      </c>
      <c r="B312" s="6" t="s">
        <v>2182</v>
      </c>
      <c r="C312" s="6" t="s">
        <v>1976</v>
      </c>
      <c r="D312" s="6" t="s">
        <v>2104</v>
      </c>
      <c r="E312" s="6">
        <v>1</v>
      </c>
      <c r="F312" s="6" t="s">
        <v>2004</v>
      </c>
      <c r="G312" s="6" t="s">
        <v>2005</v>
      </c>
      <c r="H312" s="6" t="s">
        <v>2005</v>
      </c>
      <c r="I312" s="6" t="str">
        <f t="shared" si="8"/>
        <v>Skeleton Bucket</v>
      </c>
      <c r="J312" s="6" t="s">
        <v>334</v>
      </c>
      <c r="K312" s="6">
        <v>1</v>
      </c>
      <c r="P312" s="6">
        <f t="shared" si="9"/>
        <v>1100000</v>
      </c>
      <c r="R312" s="6" t="s">
        <v>2003</v>
      </c>
      <c r="T312" s="6" t="s">
        <v>823</v>
      </c>
      <c r="U312" s="6">
        <v>2014</v>
      </c>
      <c r="V312" s="6">
        <v>1</v>
      </c>
      <c r="AD312" s="6" t="s">
        <v>45</v>
      </c>
      <c r="AJ312" s="31" t="s">
        <v>2113</v>
      </c>
      <c r="AK312" s="6">
        <v>1</v>
      </c>
      <c r="AL312" s="26">
        <v>1000000</v>
      </c>
      <c r="AM312" s="26">
        <v>1000000</v>
      </c>
      <c r="AN312" s="26">
        <v>1000000</v>
      </c>
      <c r="AO312" s="6" t="s">
        <v>2003</v>
      </c>
      <c r="AQ312" s="6" t="s">
        <v>49</v>
      </c>
      <c r="AU312" s="6">
        <v>224322</v>
      </c>
    </row>
    <row r="313" spans="1:47" x14ac:dyDescent="0.3">
      <c r="A313" s="28" t="s">
        <v>42</v>
      </c>
      <c r="B313" s="6" t="s">
        <v>2182</v>
      </c>
      <c r="C313" s="19" t="s">
        <v>2210</v>
      </c>
      <c r="D313" s="6" t="s">
        <v>2101</v>
      </c>
      <c r="E313" s="6">
        <v>1</v>
      </c>
      <c r="F313" s="6" t="s">
        <v>2004</v>
      </c>
      <c r="G313" s="6" t="s">
        <v>2005</v>
      </c>
      <c r="H313" s="6" t="s">
        <v>2005</v>
      </c>
      <c r="I313" s="6" t="str">
        <f t="shared" si="8"/>
        <v>Etc Bucket</v>
      </c>
      <c r="J313" s="6" t="s">
        <v>366</v>
      </c>
      <c r="K313" s="6">
        <v>1</v>
      </c>
      <c r="P313" s="6">
        <f t="shared" si="9"/>
        <v>4200000</v>
      </c>
      <c r="R313" s="6" t="s">
        <v>2003</v>
      </c>
      <c r="T313" s="6" t="s">
        <v>928</v>
      </c>
      <c r="U313" s="6">
        <v>2016</v>
      </c>
      <c r="V313" s="6">
        <v>1</v>
      </c>
      <c r="AD313" s="6" t="s">
        <v>45</v>
      </c>
      <c r="AJ313" s="31" t="s">
        <v>2120</v>
      </c>
      <c r="AK313" s="6">
        <v>1</v>
      </c>
      <c r="AL313" s="26">
        <v>4000000</v>
      </c>
      <c r="AM313" s="26">
        <v>4000000</v>
      </c>
      <c r="AN313" s="26">
        <v>4000000</v>
      </c>
      <c r="AO313" s="6" t="s">
        <v>2003</v>
      </c>
      <c r="AQ313" s="6" t="s">
        <v>74</v>
      </c>
      <c r="AU313" s="6">
        <v>224326</v>
      </c>
    </row>
    <row r="314" spans="1:47" x14ac:dyDescent="0.3">
      <c r="A314" s="28" t="s">
        <v>42</v>
      </c>
      <c r="B314" s="6" t="s">
        <v>2174</v>
      </c>
      <c r="C314" s="6" t="s">
        <v>1975</v>
      </c>
      <c r="D314" s="6" t="s">
        <v>2106</v>
      </c>
      <c r="E314" s="6">
        <v>1</v>
      </c>
      <c r="F314" s="6" t="s">
        <v>2004</v>
      </c>
      <c r="G314" s="6" t="s">
        <v>2005</v>
      </c>
      <c r="H314" s="6" t="s">
        <v>2005</v>
      </c>
      <c r="I314" s="6" t="str">
        <f t="shared" si="8"/>
        <v>Side Breaker</v>
      </c>
      <c r="J314" s="6" t="s">
        <v>520</v>
      </c>
      <c r="K314" s="6">
        <v>1</v>
      </c>
      <c r="P314" s="6">
        <f t="shared" si="9"/>
        <v>1300000</v>
      </c>
      <c r="R314" s="6" t="s">
        <v>2003</v>
      </c>
      <c r="T314" s="6" t="s">
        <v>929</v>
      </c>
      <c r="U314" s="6">
        <v>2015</v>
      </c>
      <c r="V314" s="6">
        <v>1</v>
      </c>
      <c r="AD314" s="6" t="s">
        <v>45</v>
      </c>
      <c r="AJ314" s="31" t="s">
        <v>2112</v>
      </c>
      <c r="AK314" s="6">
        <v>1</v>
      </c>
      <c r="AL314" s="26">
        <v>1200000</v>
      </c>
      <c r="AM314" s="26">
        <v>1200000</v>
      </c>
      <c r="AN314" s="26">
        <v>1200000</v>
      </c>
      <c r="AO314" s="6" t="s">
        <v>2003</v>
      </c>
      <c r="AQ314" s="6" t="s">
        <v>1142</v>
      </c>
      <c r="AU314" s="6">
        <v>224327</v>
      </c>
    </row>
    <row r="315" spans="1:47" hidden="1" x14ac:dyDescent="0.3">
      <c r="A315" s="28" t="s">
        <v>42</v>
      </c>
      <c r="B315" s="6" t="s">
        <v>2174</v>
      </c>
      <c r="C315" s="6" t="s">
        <v>1975</v>
      </c>
      <c r="E315" s="6">
        <v>1</v>
      </c>
      <c r="F315" s="6" t="s">
        <v>2004</v>
      </c>
      <c r="G315" s="6" t="s">
        <v>2005</v>
      </c>
      <c r="H315" s="6" t="s">
        <v>2005</v>
      </c>
      <c r="I315" s="6" t="str">
        <f t="shared" si="8"/>
        <v>Side Breaker</v>
      </c>
      <c r="J315" s="6" t="s">
        <v>521</v>
      </c>
      <c r="K315" s="6">
        <v>1</v>
      </c>
      <c r="P315" s="6">
        <f t="shared" si="9"/>
        <v>12500000</v>
      </c>
      <c r="R315" s="6" t="s">
        <v>2003</v>
      </c>
      <c r="T315" s="6" t="s">
        <v>798</v>
      </c>
      <c r="U315" s="6">
        <v>2015</v>
      </c>
      <c r="V315" s="6">
        <v>6</v>
      </c>
      <c r="AD315" s="6" t="s">
        <v>45</v>
      </c>
      <c r="AJ315" s="31" t="s">
        <v>2113</v>
      </c>
      <c r="AK315" s="6">
        <v>1</v>
      </c>
      <c r="AL315" s="26">
        <v>12000000</v>
      </c>
      <c r="AM315" s="26">
        <v>12000000</v>
      </c>
      <c r="AN315" s="26">
        <v>12000000</v>
      </c>
      <c r="AO315" s="6" t="s">
        <v>2003</v>
      </c>
      <c r="AQ315" s="6" t="s">
        <v>71</v>
      </c>
      <c r="AU315" s="6">
        <v>224342</v>
      </c>
    </row>
    <row r="316" spans="1:47" x14ac:dyDescent="0.3">
      <c r="A316" s="28" t="s">
        <v>42</v>
      </c>
      <c r="B316" s="6" t="s">
        <v>2182</v>
      </c>
      <c r="C316" s="6" t="s">
        <v>1976</v>
      </c>
      <c r="D316" s="6" t="s">
        <v>2105</v>
      </c>
      <c r="E316" s="6">
        <v>1</v>
      </c>
      <c r="F316" s="6" t="s">
        <v>2004</v>
      </c>
      <c r="G316" s="6" t="s">
        <v>2005</v>
      </c>
      <c r="H316" s="6" t="s">
        <v>2005</v>
      </c>
      <c r="I316" s="6" t="str">
        <f t="shared" si="8"/>
        <v>Skeleton Bucket</v>
      </c>
      <c r="J316" s="6" t="s">
        <v>124</v>
      </c>
      <c r="K316" s="6">
        <v>1</v>
      </c>
      <c r="P316" s="6">
        <f t="shared" si="9"/>
        <v>2400000</v>
      </c>
      <c r="R316" s="6" t="s">
        <v>2003</v>
      </c>
      <c r="T316" s="6" t="s">
        <v>930</v>
      </c>
      <c r="U316" s="6">
        <v>2015</v>
      </c>
      <c r="V316" s="6">
        <v>1</v>
      </c>
      <c r="AD316" s="6" t="s">
        <v>45</v>
      </c>
      <c r="AJ316" s="31" t="s">
        <v>2116</v>
      </c>
      <c r="AK316" s="6">
        <v>1</v>
      </c>
      <c r="AL316" s="26">
        <v>2200000</v>
      </c>
      <c r="AM316" s="26">
        <v>2200000</v>
      </c>
      <c r="AN316" s="26">
        <v>2200000</v>
      </c>
      <c r="AO316" s="6" t="s">
        <v>2003</v>
      </c>
      <c r="AQ316" s="6" t="s">
        <v>1216</v>
      </c>
      <c r="AU316" s="6">
        <v>224344</v>
      </c>
    </row>
    <row r="317" spans="1:47" x14ac:dyDescent="0.3">
      <c r="A317" s="28" t="s">
        <v>42</v>
      </c>
      <c r="B317" s="6" t="s">
        <v>2184</v>
      </c>
      <c r="C317" s="6" t="s">
        <v>1972</v>
      </c>
      <c r="D317" s="6" t="s">
        <v>2104</v>
      </c>
      <c r="E317" s="6">
        <v>1</v>
      </c>
      <c r="F317" s="6" t="s">
        <v>2004</v>
      </c>
      <c r="G317" s="6" t="s">
        <v>2005</v>
      </c>
      <c r="H317" s="6" t="s">
        <v>2005</v>
      </c>
      <c r="I317" s="6" t="str">
        <f t="shared" si="8"/>
        <v>Stone Grapple</v>
      </c>
      <c r="J317" s="6" t="s">
        <v>341</v>
      </c>
      <c r="K317" s="6">
        <v>1</v>
      </c>
      <c r="P317" s="6">
        <f t="shared" si="9"/>
        <v>1900000</v>
      </c>
      <c r="R317" s="6" t="s">
        <v>2003</v>
      </c>
      <c r="T317" s="6" t="s">
        <v>823</v>
      </c>
      <c r="U317" s="6">
        <v>2014</v>
      </c>
      <c r="V317" s="6">
        <v>1</v>
      </c>
      <c r="AD317" s="6" t="s">
        <v>45</v>
      </c>
      <c r="AJ317" s="31" t="s">
        <v>2113</v>
      </c>
      <c r="AK317" s="6">
        <v>1</v>
      </c>
      <c r="AL317" s="26">
        <v>1800000</v>
      </c>
      <c r="AM317" s="26">
        <v>1800000</v>
      </c>
      <c r="AN317" s="26">
        <v>1800000</v>
      </c>
      <c r="AO317" s="6" t="s">
        <v>2003</v>
      </c>
      <c r="AQ317" s="6" t="s">
        <v>49</v>
      </c>
      <c r="AU317" s="6">
        <v>224345</v>
      </c>
    </row>
    <row r="318" spans="1:47" x14ac:dyDescent="0.3">
      <c r="A318" s="28" t="s">
        <v>42</v>
      </c>
      <c r="B318" s="6" t="s">
        <v>2174</v>
      </c>
      <c r="C318" s="6" t="s">
        <v>1975</v>
      </c>
      <c r="D318" s="6" t="s">
        <v>2104</v>
      </c>
      <c r="E318" s="6">
        <v>1</v>
      </c>
      <c r="F318" s="6" t="s">
        <v>2004</v>
      </c>
      <c r="G318" s="6" t="s">
        <v>2005</v>
      </c>
      <c r="H318" s="6" t="s">
        <v>2005</v>
      </c>
      <c r="I318" s="6" t="str">
        <f t="shared" si="8"/>
        <v>Side Breaker</v>
      </c>
      <c r="J318" s="6" t="s">
        <v>119</v>
      </c>
      <c r="K318" s="6">
        <v>1</v>
      </c>
      <c r="P318" s="6">
        <f t="shared" si="9"/>
        <v>4700000</v>
      </c>
      <c r="R318" s="6" t="s">
        <v>2003</v>
      </c>
      <c r="T318" s="6" t="s">
        <v>798</v>
      </c>
      <c r="U318" s="6">
        <v>2015</v>
      </c>
      <c r="V318" s="6">
        <v>1</v>
      </c>
      <c r="AD318" s="6" t="s">
        <v>45</v>
      </c>
      <c r="AJ318" s="31" t="s">
        <v>2113</v>
      </c>
      <c r="AK318" s="6">
        <v>1</v>
      </c>
      <c r="AL318" s="26">
        <v>4500000</v>
      </c>
      <c r="AM318" s="26">
        <v>4500000</v>
      </c>
      <c r="AN318" s="26">
        <v>4500000</v>
      </c>
      <c r="AO318" s="6" t="s">
        <v>2003</v>
      </c>
      <c r="AQ318" s="6" t="s">
        <v>71</v>
      </c>
      <c r="AU318" s="6">
        <v>224353</v>
      </c>
    </row>
    <row r="319" spans="1:47" x14ac:dyDescent="0.3">
      <c r="A319" s="28" t="s">
        <v>42</v>
      </c>
      <c r="B319" s="6" t="s">
        <v>2182</v>
      </c>
      <c r="C319" s="19" t="s">
        <v>2205</v>
      </c>
      <c r="D319" s="6" t="s">
        <v>2101</v>
      </c>
      <c r="E319" s="6">
        <v>1</v>
      </c>
      <c r="F319" s="6" t="s">
        <v>2004</v>
      </c>
      <c r="G319" s="6" t="s">
        <v>2005</v>
      </c>
      <c r="H319" s="6" t="s">
        <v>2005</v>
      </c>
      <c r="I319" s="6" t="str">
        <f t="shared" si="8"/>
        <v>Standard Bucket</v>
      </c>
      <c r="J319" s="6" t="s">
        <v>187</v>
      </c>
      <c r="K319" s="6">
        <v>1</v>
      </c>
      <c r="P319" s="6">
        <f t="shared" si="9"/>
        <v>3700000</v>
      </c>
      <c r="R319" s="6" t="s">
        <v>2003</v>
      </c>
      <c r="T319" s="6" t="s">
        <v>1854</v>
      </c>
      <c r="U319" s="6">
        <v>2016</v>
      </c>
      <c r="V319" s="6">
        <v>1</v>
      </c>
      <c r="AD319" s="6" t="s">
        <v>45</v>
      </c>
      <c r="AJ319" s="31" t="s">
        <v>2120</v>
      </c>
      <c r="AK319" s="6">
        <v>1</v>
      </c>
      <c r="AL319" s="26">
        <v>3500000</v>
      </c>
      <c r="AM319" s="26">
        <v>3500000</v>
      </c>
      <c r="AN319" s="26">
        <v>3500000</v>
      </c>
      <c r="AO319" s="6" t="s">
        <v>2003</v>
      </c>
      <c r="AQ319" s="6" t="s">
        <v>74</v>
      </c>
      <c r="AU319" s="6">
        <v>224365</v>
      </c>
    </row>
    <row r="320" spans="1:47" x14ac:dyDescent="0.3">
      <c r="A320" s="28" t="s">
        <v>42</v>
      </c>
      <c r="B320" s="6" t="s">
        <v>2182</v>
      </c>
      <c r="C320" s="6" t="s">
        <v>1976</v>
      </c>
      <c r="D320" s="6" t="s">
        <v>2104</v>
      </c>
      <c r="E320" s="6">
        <v>1</v>
      </c>
      <c r="F320" s="6" t="s">
        <v>2004</v>
      </c>
      <c r="G320" s="6" t="s">
        <v>2005</v>
      </c>
      <c r="H320" s="6" t="s">
        <v>2005</v>
      </c>
      <c r="I320" s="6" t="str">
        <f t="shared" si="8"/>
        <v>Skeleton Bucket</v>
      </c>
      <c r="J320" s="6" t="s">
        <v>110</v>
      </c>
      <c r="K320" s="6">
        <v>1</v>
      </c>
      <c r="P320" s="6">
        <f t="shared" si="9"/>
        <v>1100000</v>
      </c>
      <c r="R320" s="6" t="s">
        <v>2003</v>
      </c>
      <c r="T320" s="6" t="s">
        <v>2012</v>
      </c>
      <c r="U320" s="6">
        <v>2014</v>
      </c>
      <c r="V320" s="6">
        <v>1</v>
      </c>
      <c r="AD320" s="6" t="s">
        <v>45</v>
      </c>
      <c r="AJ320" s="31" t="s">
        <v>2113</v>
      </c>
      <c r="AK320" s="6">
        <v>1</v>
      </c>
      <c r="AL320" s="26">
        <v>1000000</v>
      </c>
      <c r="AM320" s="26">
        <v>1000000</v>
      </c>
      <c r="AN320" s="26">
        <v>1000000</v>
      </c>
      <c r="AO320" s="6" t="s">
        <v>2003</v>
      </c>
      <c r="AQ320" s="6" t="s">
        <v>49</v>
      </c>
      <c r="AU320" s="6">
        <v>224366</v>
      </c>
    </row>
    <row r="321" spans="1:47" x14ac:dyDescent="0.3">
      <c r="A321" s="28" t="s">
        <v>42</v>
      </c>
      <c r="B321" s="6" t="s">
        <v>2183</v>
      </c>
      <c r="D321" s="6" t="s">
        <v>2100</v>
      </c>
      <c r="E321" s="6">
        <v>1</v>
      </c>
      <c r="F321" s="6" t="s">
        <v>2004</v>
      </c>
      <c r="G321" s="6" t="s">
        <v>2005</v>
      </c>
      <c r="H321" s="6" t="s">
        <v>2005</v>
      </c>
      <c r="I321" s="6" t="str">
        <f t="shared" si="8"/>
        <v>ETC</v>
      </c>
      <c r="J321" s="6" t="s">
        <v>522</v>
      </c>
      <c r="K321" s="6">
        <v>1</v>
      </c>
      <c r="P321" s="6">
        <f t="shared" si="9"/>
        <v>1600000</v>
      </c>
      <c r="R321" s="6" t="s">
        <v>2003</v>
      </c>
      <c r="T321" s="6" t="s">
        <v>794</v>
      </c>
      <c r="U321" s="6">
        <v>2015</v>
      </c>
      <c r="V321" s="6">
        <v>1</v>
      </c>
      <c r="AD321" s="6" t="s">
        <v>45</v>
      </c>
      <c r="AJ321" s="31" t="s">
        <v>2122</v>
      </c>
      <c r="AK321" s="6">
        <v>1</v>
      </c>
      <c r="AL321" s="26">
        <v>1500000</v>
      </c>
      <c r="AM321" s="26">
        <v>1500000</v>
      </c>
      <c r="AN321" s="26">
        <v>1500000</v>
      </c>
      <c r="AO321" s="6" t="s">
        <v>2003</v>
      </c>
      <c r="AQ321" s="6" t="s">
        <v>1154</v>
      </c>
      <c r="AU321" s="6">
        <v>224369</v>
      </c>
    </row>
    <row r="322" spans="1:47" x14ac:dyDescent="0.3">
      <c r="A322" s="28" t="s">
        <v>42</v>
      </c>
      <c r="B322" s="6" t="s">
        <v>2182</v>
      </c>
      <c r="C322" s="6" t="s">
        <v>1976</v>
      </c>
      <c r="D322" s="6" t="s">
        <v>2101</v>
      </c>
      <c r="E322" s="6">
        <v>1</v>
      </c>
      <c r="F322" s="6" t="s">
        <v>2004</v>
      </c>
      <c r="G322" s="6" t="s">
        <v>2005</v>
      </c>
      <c r="H322" s="6" t="s">
        <v>2005</v>
      </c>
      <c r="I322" s="6" t="str">
        <f t="shared" ref="I322:I385" si="10">IF(ISBLANK(C322),B322,C322)</f>
        <v>Skeleton Bucket</v>
      </c>
      <c r="J322" s="6" t="s">
        <v>188</v>
      </c>
      <c r="K322" s="6">
        <v>1</v>
      </c>
      <c r="P322" s="6">
        <f t="shared" si="9"/>
        <v>3500000</v>
      </c>
      <c r="R322" s="6" t="s">
        <v>2003</v>
      </c>
      <c r="T322" s="6" t="s">
        <v>1855</v>
      </c>
      <c r="U322" s="6">
        <v>2016</v>
      </c>
      <c r="V322" s="6">
        <v>1</v>
      </c>
      <c r="AD322" s="6" t="s">
        <v>45</v>
      </c>
      <c r="AJ322" s="31" t="s">
        <v>2120</v>
      </c>
      <c r="AK322" s="6">
        <v>1</v>
      </c>
      <c r="AL322" s="26">
        <v>3300000</v>
      </c>
      <c r="AM322" s="26">
        <v>3300000</v>
      </c>
      <c r="AN322" s="26">
        <v>3300000</v>
      </c>
      <c r="AO322" s="6" t="s">
        <v>2003</v>
      </c>
      <c r="AQ322" s="6" t="s">
        <v>74</v>
      </c>
      <c r="AU322" s="6">
        <v>224370</v>
      </c>
    </row>
    <row r="323" spans="1:47" x14ac:dyDescent="0.3">
      <c r="A323" s="28" t="s">
        <v>42</v>
      </c>
      <c r="B323" s="6" t="s">
        <v>2174</v>
      </c>
      <c r="C323" s="6" t="s">
        <v>1975</v>
      </c>
      <c r="D323" s="6" t="s">
        <v>2103</v>
      </c>
      <c r="E323" s="6">
        <v>1</v>
      </c>
      <c r="F323" s="6" t="s">
        <v>2004</v>
      </c>
      <c r="G323" s="6" t="s">
        <v>2005</v>
      </c>
      <c r="H323" s="6" t="s">
        <v>2005</v>
      </c>
      <c r="I323" s="6" t="str">
        <f t="shared" si="10"/>
        <v>Side Breaker</v>
      </c>
      <c r="J323" s="6" t="s">
        <v>523</v>
      </c>
      <c r="K323" s="6">
        <v>1</v>
      </c>
      <c r="P323" s="6">
        <f t="shared" ref="P323:P386" si="11">IF(AM323&lt;500000,AM323+50000,IF(AND(AM323&gt;=500000,AM323&lt;2000000),AM323+100000,IF(AND(AM323&gt;=2000000,AM323&lt;5000000),AM323+200000,IF(AM323&gt;=5000000,AM323+500000,AM323))))</f>
        <v>8500000</v>
      </c>
      <c r="R323" s="6" t="s">
        <v>2003</v>
      </c>
      <c r="T323" s="6" t="s">
        <v>931</v>
      </c>
      <c r="U323" s="6">
        <v>2013</v>
      </c>
      <c r="V323" s="6">
        <v>1</v>
      </c>
      <c r="AD323" s="6" t="s">
        <v>45</v>
      </c>
      <c r="AJ323" s="31" t="s">
        <v>2114</v>
      </c>
      <c r="AK323" s="6">
        <v>1</v>
      </c>
      <c r="AL323" s="26">
        <v>8000000</v>
      </c>
      <c r="AM323" s="26">
        <v>8000000</v>
      </c>
      <c r="AN323" s="26">
        <v>8000000</v>
      </c>
      <c r="AO323" s="6" t="s">
        <v>2003</v>
      </c>
      <c r="AQ323" s="6" t="s">
        <v>1230</v>
      </c>
      <c r="AU323" s="6">
        <v>224373</v>
      </c>
    </row>
    <row r="324" spans="1:47" x14ac:dyDescent="0.3">
      <c r="A324" s="28" t="s">
        <v>42</v>
      </c>
      <c r="B324" s="6" t="s">
        <v>2183</v>
      </c>
      <c r="D324" s="6" t="s">
        <v>2101</v>
      </c>
      <c r="E324" s="6">
        <v>1</v>
      </c>
      <c r="F324" s="6" t="s">
        <v>2004</v>
      </c>
      <c r="G324" s="6" t="s">
        <v>2005</v>
      </c>
      <c r="H324" s="6" t="s">
        <v>2005</v>
      </c>
      <c r="I324" s="6" t="str">
        <f t="shared" si="10"/>
        <v>ETC</v>
      </c>
      <c r="J324" s="6" t="s">
        <v>287</v>
      </c>
      <c r="K324" s="6">
        <v>1</v>
      </c>
      <c r="P324" s="6">
        <f t="shared" si="11"/>
        <v>2700000</v>
      </c>
      <c r="R324" s="6" t="s">
        <v>2003</v>
      </c>
      <c r="T324" s="6" t="s">
        <v>826</v>
      </c>
      <c r="U324" s="6">
        <v>2007</v>
      </c>
      <c r="V324" s="6">
        <v>1</v>
      </c>
      <c r="AD324" s="6" t="s">
        <v>45</v>
      </c>
      <c r="AJ324" s="31" t="s">
        <v>2117</v>
      </c>
      <c r="AK324" s="6">
        <v>1</v>
      </c>
      <c r="AL324" s="26">
        <v>2500000</v>
      </c>
      <c r="AM324" s="26">
        <v>2500000</v>
      </c>
      <c r="AN324" s="26">
        <v>2500000</v>
      </c>
      <c r="AO324" s="6" t="s">
        <v>2003</v>
      </c>
      <c r="AQ324" s="6" t="s">
        <v>1269</v>
      </c>
      <c r="AU324" s="6">
        <v>224378</v>
      </c>
    </row>
    <row r="325" spans="1:47" x14ac:dyDescent="0.3">
      <c r="A325" s="28" t="s">
        <v>42</v>
      </c>
      <c r="B325" s="6" t="s">
        <v>2174</v>
      </c>
      <c r="C325" s="6" t="s">
        <v>1975</v>
      </c>
      <c r="D325" s="6" t="s">
        <v>2104</v>
      </c>
      <c r="E325" s="6">
        <v>1</v>
      </c>
      <c r="F325" s="6" t="s">
        <v>2004</v>
      </c>
      <c r="G325" s="6" t="s">
        <v>2005</v>
      </c>
      <c r="H325" s="6" t="s">
        <v>2005</v>
      </c>
      <c r="I325" s="6" t="str">
        <f t="shared" si="10"/>
        <v>Side Breaker</v>
      </c>
      <c r="J325" s="6" t="s">
        <v>524</v>
      </c>
      <c r="K325" s="6">
        <v>1</v>
      </c>
      <c r="P325" s="6">
        <f t="shared" si="11"/>
        <v>2200000</v>
      </c>
      <c r="R325" s="6" t="s">
        <v>2003</v>
      </c>
      <c r="T325" s="6" t="s">
        <v>54</v>
      </c>
      <c r="U325" s="6">
        <v>2009</v>
      </c>
      <c r="V325" s="6">
        <v>1</v>
      </c>
      <c r="AD325" s="6" t="s">
        <v>45</v>
      </c>
      <c r="AJ325" s="31" t="s">
        <v>2114</v>
      </c>
      <c r="AK325" s="6">
        <v>1</v>
      </c>
      <c r="AL325" s="26">
        <v>2000000</v>
      </c>
      <c r="AM325" s="26">
        <v>2000000</v>
      </c>
      <c r="AN325" s="26">
        <v>2000000</v>
      </c>
      <c r="AO325" s="6" t="s">
        <v>2003</v>
      </c>
      <c r="AQ325" s="6" t="s">
        <v>54</v>
      </c>
      <c r="AU325" s="6">
        <v>224379</v>
      </c>
    </row>
    <row r="326" spans="1:47" x14ac:dyDescent="0.3">
      <c r="A326" s="28" t="s">
        <v>42</v>
      </c>
      <c r="B326" s="6" t="s">
        <v>2182</v>
      </c>
      <c r="C326" s="6" t="s">
        <v>1971</v>
      </c>
      <c r="D326" s="6" t="s">
        <v>2101</v>
      </c>
      <c r="E326" s="6">
        <v>1</v>
      </c>
      <c r="F326" s="6" t="s">
        <v>2004</v>
      </c>
      <c r="G326" s="6" t="s">
        <v>2005</v>
      </c>
      <c r="H326" s="6" t="s">
        <v>2005</v>
      </c>
      <c r="I326" s="6" t="str">
        <f t="shared" si="10"/>
        <v>Special Bucket</v>
      </c>
      <c r="J326" s="6" t="s">
        <v>359</v>
      </c>
      <c r="K326" s="6">
        <v>1</v>
      </c>
      <c r="P326" s="6">
        <f t="shared" si="11"/>
        <v>3500000</v>
      </c>
      <c r="R326" s="6" t="s">
        <v>2003</v>
      </c>
      <c r="T326" s="6" t="s">
        <v>1856</v>
      </c>
      <c r="U326" s="6">
        <v>2015</v>
      </c>
      <c r="V326" s="6">
        <v>1</v>
      </c>
      <c r="AD326" s="6" t="s">
        <v>45</v>
      </c>
      <c r="AJ326" s="31" t="s">
        <v>2122</v>
      </c>
      <c r="AK326" s="6">
        <v>1</v>
      </c>
      <c r="AL326" s="26">
        <v>3300000</v>
      </c>
      <c r="AM326" s="26">
        <v>3300000</v>
      </c>
      <c r="AN326" s="26">
        <v>3300000</v>
      </c>
      <c r="AO326" s="6" t="s">
        <v>2003</v>
      </c>
      <c r="AQ326" s="6" t="s">
        <v>1231</v>
      </c>
      <c r="AU326" s="6">
        <v>224393</v>
      </c>
    </row>
    <row r="327" spans="1:47" x14ac:dyDescent="0.3">
      <c r="A327" s="28" t="s">
        <v>42</v>
      </c>
      <c r="B327" s="6" t="s">
        <v>2174</v>
      </c>
      <c r="C327" s="6" t="s">
        <v>1975</v>
      </c>
      <c r="D327" s="6" t="s">
        <v>2104</v>
      </c>
      <c r="E327" s="6">
        <v>1</v>
      </c>
      <c r="F327" s="6" t="s">
        <v>2004</v>
      </c>
      <c r="G327" s="6" t="s">
        <v>2005</v>
      </c>
      <c r="H327" s="6" t="s">
        <v>2005</v>
      </c>
      <c r="I327" s="6" t="str">
        <f t="shared" si="10"/>
        <v>Side Breaker</v>
      </c>
      <c r="J327" s="6" t="s">
        <v>159</v>
      </c>
      <c r="K327" s="6">
        <v>1</v>
      </c>
      <c r="P327" s="6">
        <f t="shared" si="11"/>
        <v>3700000</v>
      </c>
      <c r="R327" s="6" t="s">
        <v>2003</v>
      </c>
      <c r="T327" s="6" t="s">
        <v>51</v>
      </c>
      <c r="U327" s="6">
        <v>2014</v>
      </c>
      <c r="V327" s="6">
        <v>1</v>
      </c>
      <c r="AD327" s="6" t="s">
        <v>45</v>
      </c>
      <c r="AJ327" s="31" t="s">
        <v>2113</v>
      </c>
      <c r="AK327" s="6">
        <v>1</v>
      </c>
      <c r="AL327" s="26">
        <v>3500000</v>
      </c>
      <c r="AM327" s="26">
        <v>3500000</v>
      </c>
      <c r="AN327" s="26">
        <v>3500000</v>
      </c>
      <c r="AO327" s="6" t="s">
        <v>2003</v>
      </c>
      <c r="AQ327" s="6" t="s">
        <v>49</v>
      </c>
      <c r="AU327" s="6">
        <v>224399</v>
      </c>
    </row>
    <row r="328" spans="1:47" x14ac:dyDescent="0.3">
      <c r="A328" s="28" t="s">
        <v>42</v>
      </c>
      <c r="B328" s="6" t="s">
        <v>2184</v>
      </c>
      <c r="C328" s="6" t="s">
        <v>1972</v>
      </c>
      <c r="D328" s="6" t="s">
        <v>2103</v>
      </c>
      <c r="E328" s="6">
        <v>1</v>
      </c>
      <c r="F328" s="6" t="s">
        <v>2004</v>
      </c>
      <c r="G328" s="6" t="s">
        <v>2005</v>
      </c>
      <c r="H328" s="6" t="s">
        <v>2005</v>
      </c>
      <c r="I328" s="6" t="str">
        <f t="shared" si="10"/>
        <v>Stone Grapple</v>
      </c>
      <c r="J328" s="6" t="s">
        <v>94</v>
      </c>
      <c r="K328" s="6">
        <v>1</v>
      </c>
      <c r="P328" s="6">
        <f t="shared" si="11"/>
        <v>2700000</v>
      </c>
      <c r="R328" s="6" t="s">
        <v>2003</v>
      </c>
      <c r="T328" s="6" t="s">
        <v>2011</v>
      </c>
      <c r="U328" s="6">
        <v>2010</v>
      </c>
      <c r="V328" s="6">
        <v>6</v>
      </c>
      <c r="AD328" s="6" t="s">
        <v>45</v>
      </c>
      <c r="AJ328" s="31" t="s">
        <v>2123</v>
      </c>
      <c r="AK328" s="6">
        <v>1</v>
      </c>
      <c r="AL328" s="26">
        <v>2500000</v>
      </c>
      <c r="AM328" s="26">
        <v>2500000</v>
      </c>
      <c r="AN328" s="26">
        <v>2500000</v>
      </c>
      <c r="AO328" s="6" t="s">
        <v>2003</v>
      </c>
      <c r="AQ328" s="6" t="s">
        <v>1200</v>
      </c>
      <c r="AU328" s="6">
        <v>224400</v>
      </c>
    </row>
    <row r="329" spans="1:47" x14ac:dyDescent="0.3">
      <c r="A329" s="28" t="s">
        <v>42</v>
      </c>
      <c r="B329" s="6" t="s">
        <v>2184</v>
      </c>
      <c r="C329" s="6" t="s">
        <v>1972</v>
      </c>
      <c r="D329" s="6" t="s">
        <v>2104</v>
      </c>
      <c r="E329" s="6">
        <v>1</v>
      </c>
      <c r="F329" s="6" t="s">
        <v>2004</v>
      </c>
      <c r="G329" s="6" t="s">
        <v>2005</v>
      </c>
      <c r="H329" s="6" t="s">
        <v>2005</v>
      </c>
      <c r="I329" s="6" t="str">
        <f t="shared" si="10"/>
        <v>Stone Grapple</v>
      </c>
      <c r="J329" s="6" t="s">
        <v>44</v>
      </c>
      <c r="K329" s="6">
        <v>1</v>
      </c>
      <c r="P329" s="6">
        <f t="shared" si="11"/>
        <v>2200000</v>
      </c>
      <c r="R329" s="6" t="s">
        <v>2003</v>
      </c>
      <c r="T329" s="6" t="s">
        <v>819</v>
      </c>
      <c r="U329" s="6">
        <v>2015</v>
      </c>
      <c r="V329" s="6">
        <v>1</v>
      </c>
      <c r="AD329" s="6" t="s">
        <v>45</v>
      </c>
      <c r="AJ329" s="31" t="s">
        <v>2114</v>
      </c>
      <c r="AK329" s="6">
        <v>1</v>
      </c>
      <c r="AL329" s="26">
        <v>2000000</v>
      </c>
      <c r="AM329" s="26">
        <v>2000000</v>
      </c>
      <c r="AN329" s="26">
        <v>2000000</v>
      </c>
      <c r="AO329" s="6" t="s">
        <v>2003</v>
      </c>
      <c r="AQ329" s="6" t="s">
        <v>1141</v>
      </c>
      <c r="AU329" s="6">
        <v>224405</v>
      </c>
    </row>
    <row r="330" spans="1:47" x14ac:dyDescent="0.3">
      <c r="A330" s="28" t="s">
        <v>42</v>
      </c>
      <c r="B330" s="6" t="s">
        <v>2174</v>
      </c>
      <c r="C330" s="6" t="s">
        <v>1975</v>
      </c>
      <c r="D330" s="6" t="s">
        <v>2105</v>
      </c>
      <c r="E330" s="6">
        <v>1</v>
      </c>
      <c r="F330" s="6" t="s">
        <v>2004</v>
      </c>
      <c r="G330" s="6" t="s">
        <v>2005</v>
      </c>
      <c r="H330" s="6" t="s">
        <v>2005</v>
      </c>
      <c r="I330" s="6" t="str">
        <f t="shared" si="10"/>
        <v>Side Breaker</v>
      </c>
      <c r="J330" s="6" t="s">
        <v>397</v>
      </c>
      <c r="K330" s="6">
        <v>1</v>
      </c>
      <c r="P330" s="6">
        <f t="shared" si="11"/>
        <v>11500000</v>
      </c>
      <c r="R330" s="6" t="s">
        <v>2003</v>
      </c>
      <c r="T330" s="6" t="s">
        <v>814</v>
      </c>
      <c r="U330" s="6">
        <v>2015</v>
      </c>
      <c r="V330" s="6">
        <v>7</v>
      </c>
      <c r="AD330" s="6" t="s">
        <v>45</v>
      </c>
      <c r="AJ330" s="31" t="s">
        <v>2119</v>
      </c>
      <c r="AK330" s="6">
        <v>1</v>
      </c>
      <c r="AL330" s="26">
        <v>11000000</v>
      </c>
      <c r="AM330" s="26">
        <v>11000000</v>
      </c>
      <c r="AN330" s="26">
        <v>11000000</v>
      </c>
      <c r="AO330" s="6" t="s">
        <v>2003</v>
      </c>
      <c r="AQ330" s="6" t="s">
        <v>1194</v>
      </c>
      <c r="AU330" s="6">
        <v>224410</v>
      </c>
    </row>
    <row r="331" spans="1:47" x14ac:dyDescent="0.3">
      <c r="A331" s="28" t="s">
        <v>42</v>
      </c>
      <c r="B331" s="6" t="s">
        <v>2183</v>
      </c>
      <c r="D331" s="6" t="s">
        <v>2104</v>
      </c>
      <c r="E331" s="6">
        <v>1</v>
      </c>
      <c r="F331" s="6" t="s">
        <v>2004</v>
      </c>
      <c r="G331" s="6" t="s">
        <v>2005</v>
      </c>
      <c r="H331" s="6" t="s">
        <v>2005</v>
      </c>
      <c r="I331" s="6" t="str">
        <f t="shared" si="10"/>
        <v>ETC</v>
      </c>
      <c r="J331" s="6" t="s">
        <v>526</v>
      </c>
      <c r="K331" s="6">
        <v>1</v>
      </c>
      <c r="P331" s="6">
        <f t="shared" si="11"/>
        <v>800000</v>
      </c>
      <c r="R331" s="6" t="s">
        <v>2003</v>
      </c>
      <c r="T331" s="6" t="s">
        <v>813</v>
      </c>
      <c r="U331" s="6">
        <v>2013</v>
      </c>
      <c r="V331" s="6">
        <v>1</v>
      </c>
      <c r="AD331" s="6" t="s">
        <v>45</v>
      </c>
      <c r="AJ331" s="31" t="s">
        <v>2113</v>
      </c>
      <c r="AK331" s="6">
        <v>1</v>
      </c>
      <c r="AL331" s="26">
        <v>700000</v>
      </c>
      <c r="AM331" s="26">
        <v>700000</v>
      </c>
      <c r="AN331" s="26">
        <v>700000</v>
      </c>
      <c r="AO331" s="6" t="s">
        <v>2003</v>
      </c>
      <c r="AQ331" s="6" t="s">
        <v>79</v>
      </c>
      <c r="AU331" s="6">
        <v>224412</v>
      </c>
    </row>
    <row r="332" spans="1:47" x14ac:dyDescent="0.3">
      <c r="A332" s="28" t="s">
        <v>42</v>
      </c>
      <c r="B332" s="6" t="s">
        <v>2183</v>
      </c>
      <c r="C332" s="6" t="s">
        <v>1979</v>
      </c>
      <c r="D332" s="6" t="s">
        <v>2104</v>
      </c>
      <c r="E332" s="6">
        <v>1</v>
      </c>
      <c r="F332" s="6" t="s">
        <v>2004</v>
      </c>
      <c r="G332" s="6" t="s">
        <v>2005</v>
      </c>
      <c r="H332" s="6" t="s">
        <v>2005</v>
      </c>
      <c r="I332" s="6" t="str">
        <f t="shared" si="10"/>
        <v>Thumb Grapple</v>
      </c>
      <c r="J332" s="6" t="s">
        <v>93</v>
      </c>
      <c r="K332" s="6">
        <v>1</v>
      </c>
      <c r="P332" s="6">
        <f t="shared" si="11"/>
        <v>800000</v>
      </c>
      <c r="R332" s="6" t="s">
        <v>2003</v>
      </c>
      <c r="T332" s="6" t="s">
        <v>813</v>
      </c>
      <c r="U332" s="6">
        <v>2013</v>
      </c>
      <c r="V332" s="6">
        <v>1</v>
      </c>
      <c r="AD332" s="6" t="s">
        <v>45</v>
      </c>
      <c r="AJ332" s="31" t="s">
        <v>2113</v>
      </c>
      <c r="AK332" s="6">
        <v>1</v>
      </c>
      <c r="AL332" s="26">
        <v>700000</v>
      </c>
      <c r="AM332" s="26">
        <v>700000</v>
      </c>
      <c r="AN332" s="26">
        <v>700000</v>
      </c>
      <c r="AO332" s="6" t="s">
        <v>2003</v>
      </c>
      <c r="AQ332" s="6" t="s">
        <v>79</v>
      </c>
      <c r="AU332" s="6">
        <v>224414</v>
      </c>
    </row>
    <row r="333" spans="1:47" x14ac:dyDescent="0.3">
      <c r="A333" s="28" t="s">
        <v>42</v>
      </c>
      <c r="B333" s="6" t="s">
        <v>2182</v>
      </c>
      <c r="C333" s="6" t="s">
        <v>1976</v>
      </c>
      <c r="D333" s="6" t="s">
        <v>2104</v>
      </c>
      <c r="E333" s="6">
        <v>1</v>
      </c>
      <c r="F333" s="6" t="s">
        <v>2004</v>
      </c>
      <c r="G333" s="6" t="s">
        <v>2005</v>
      </c>
      <c r="H333" s="6" t="s">
        <v>2005</v>
      </c>
      <c r="I333" s="6" t="str">
        <f t="shared" si="10"/>
        <v>Skeleton Bucket</v>
      </c>
      <c r="J333" s="6" t="s">
        <v>162</v>
      </c>
      <c r="K333" s="6">
        <v>1</v>
      </c>
      <c r="P333" s="6">
        <f t="shared" si="11"/>
        <v>1100000</v>
      </c>
      <c r="R333" s="6" t="s">
        <v>2003</v>
      </c>
      <c r="T333" s="6" t="s">
        <v>51</v>
      </c>
      <c r="U333" s="6">
        <v>2014</v>
      </c>
      <c r="V333" s="6">
        <v>1</v>
      </c>
      <c r="AD333" s="6" t="s">
        <v>45</v>
      </c>
      <c r="AJ333" s="31" t="s">
        <v>2113</v>
      </c>
      <c r="AK333" s="6">
        <v>1</v>
      </c>
      <c r="AL333" s="26">
        <v>1000000</v>
      </c>
      <c r="AM333" s="26">
        <v>1000000</v>
      </c>
      <c r="AN333" s="26">
        <v>1000000</v>
      </c>
      <c r="AO333" s="6" t="s">
        <v>2003</v>
      </c>
      <c r="AQ333" s="6" t="s">
        <v>49</v>
      </c>
      <c r="AU333" s="6">
        <v>224416</v>
      </c>
    </row>
    <row r="334" spans="1:47" hidden="1" x14ac:dyDescent="0.3">
      <c r="A334" s="28" t="s">
        <v>42</v>
      </c>
      <c r="B334" s="6" t="s">
        <v>2184</v>
      </c>
      <c r="C334" s="6" t="s">
        <v>1972</v>
      </c>
      <c r="E334" s="6">
        <v>1</v>
      </c>
      <c r="F334" s="6" t="s">
        <v>2004</v>
      </c>
      <c r="G334" s="6" t="s">
        <v>2005</v>
      </c>
      <c r="H334" s="6" t="s">
        <v>2005</v>
      </c>
      <c r="I334" s="6" t="str">
        <f t="shared" si="10"/>
        <v>Stone Grapple</v>
      </c>
      <c r="J334" s="6" t="s">
        <v>307</v>
      </c>
      <c r="K334" s="6">
        <v>1</v>
      </c>
      <c r="P334" s="6">
        <f t="shared" si="11"/>
        <v>3900000</v>
      </c>
      <c r="R334" s="6" t="s">
        <v>2003</v>
      </c>
      <c r="T334" s="6" t="s">
        <v>932</v>
      </c>
      <c r="U334" s="6">
        <v>2016</v>
      </c>
      <c r="V334" s="6">
        <v>1</v>
      </c>
      <c r="AD334" s="6" t="s">
        <v>45</v>
      </c>
      <c r="AJ334" s="31" t="s">
        <v>2121</v>
      </c>
      <c r="AK334" s="6">
        <v>1</v>
      </c>
      <c r="AL334" s="26">
        <v>3700000</v>
      </c>
      <c r="AM334" s="26">
        <v>3700000</v>
      </c>
      <c r="AN334" s="26">
        <v>3700000</v>
      </c>
      <c r="AO334" s="6" t="s">
        <v>2003</v>
      </c>
      <c r="AQ334" s="6" t="s">
        <v>1265</v>
      </c>
      <c r="AU334" s="6">
        <v>224420</v>
      </c>
    </row>
    <row r="335" spans="1:47" x14ac:dyDescent="0.3">
      <c r="A335" s="28" t="s">
        <v>42</v>
      </c>
      <c r="B335" s="6" t="s">
        <v>2182</v>
      </c>
      <c r="C335" s="6" t="s">
        <v>1976</v>
      </c>
      <c r="D335" s="6" t="s">
        <v>2104</v>
      </c>
      <c r="E335" s="6">
        <v>1</v>
      </c>
      <c r="F335" s="6" t="s">
        <v>2004</v>
      </c>
      <c r="G335" s="6" t="s">
        <v>2005</v>
      </c>
      <c r="H335" s="6" t="s">
        <v>2005</v>
      </c>
      <c r="I335" s="6" t="str">
        <f t="shared" si="10"/>
        <v>Skeleton Bucket</v>
      </c>
      <c r="J335" s="6" t="s">
        <v>110</v>
      </c>
      <c r="K335" s="6">
        <v>1</v>
      </c>
      <c r="P335" s="6">
        <f t="shared" si="11"/>
        <v>1100000</v>
      </c>
      <c r="R335" s="6" t="s">
        <v>2003</v>
      </c>
      <c r="T335" s="6" t="s">
        <v>813</v>
      </c>
      <c r="U335" s="6">
        <v>2013</v>
      </c>
      <c r="V335" s="6">
        <v>1</v>
      </c>
      <c r="AD335" s="6" t="s">
        <v>45</v>
      </c>
      <c r="AJ335" s="31" t="s">
        <v>2113</v>
      </c>
      <c r="AK335" s="6">
        <v>1</v>
      </c>
      <c r="AL335" s="26">
        <v>1000000</v>
      </c>
      <c r="AM335" s="26">
        <v>1000000</v>
      </c>
      <c r="AN335" s="26">
        <v>1000000</v>
      </c>
      <c r="AO335" s="6" t="s">
        <v>2003</v>
      </c>
      <c r="AQ335" s="6" t="s">
        <v>79</v>
      </c>
      <c r="AU335" s="6">
        <v>224421</v>
      </c>
    </row>
    <row r="336" spans="1:47" hidden="1" x14ac:dyDescent="0.3">
      <c r="A336" s="28" t="s">
        <v>42</v>
      </c>
      <c r="B336" s="6" t="s">
        <v>2199</v>
      </c>
      <c r="E336" s="6">
        <v>1</v>
      </c>
      <c r="F336" s="6" t="s">
        <v>2004</v>
      </c>
      <c r="G336" s="6" t="s">
        <v>2005</v>
      </c>
      <c r="H336" s="6" t="s">
        <v>2005</v>
      </c>
      <c r="I336" s="6" t="str">
        <f t="shared" si="10"/>
        <v>Quick Coupler</v>
      </c>
      <c r="J336" s="6" t="s">
        <v>527</v>
      </c>
      <c r="K336" s="6">
        <v>1</v>
      </c>
      <c r="P336" s="6">
        <f t="shared" si="11"/>
        <v>1400000</v>
      </c>
      <c r="R336" s="6" t="s">
        <v>2003</v>
      </c>
      <c r="T336" s="6" t="s">
        <v>933</v>
      </c>
      <c r="U336" s="6">
        <v>2014</v>
      </c>
      <c r="V336" s="6">
        <v>1</v>
      </c>
      <c r="AD336" s="6" t="s">
        <v>45</v>
      </c>
      <c r="AJ336" s="31" t="s">
        <v>2121</v>
      </c>
      <c r="AK336" s="6">
        <v>1</v>
      </c>
      <c r="AL336" s="26">
        <v>1300000</v>
      </c>
      <c r="AM336" s="26">
        <v>1300000</v>
      </c>
      <c r="AN336" s="26">
        <v>1300000</v>
      </c>
      <c r="AO336" s="6" t="s">
        <v>2003</v>
      </c>
      <c r="AQ336" s="6" t="s">
        <v>1265</v>
      </c>
      <c r="AU336" s="6">
        <v>224428</v>
      </c>
    </row>
    <row r="337" spans="1:47" x14ac:dyDescent="0.3">
      <c r="A337" s="28" t="s">
        <v>42</v>
      </c>
      <c r="B337" s="6" t="s">
        <v>2174</v>
      </c>
      <c r="C337" s="6" t="s">
        <v>1975</v>
      </c>
      <c r="D337" s="6" t="s">
        <v>2104</v>
      </c>
      <c r="E337" s="6">
        <v>1</v>
      </c>
      <c r="F337" s="6" t="s">
        <v>2004</v>
      </c>
      <c r="G337" s="6" t="s">
        <v>2005</v>
      </c>
      <c r="H337" s="6" t="s">
        <v>2005</v>
      </c>
      <c r="I337" s="6" t="str">
        <f t="shared" si="10"/>
        <v>Side Breaker</v>
      </c>
      <c r="J337" s="6" t="s">
        <v>119</v>
      </c>
      <c r="K337" s="6">
        <v>1</v>
      </c>
      <c r="P337" s="6">
        <f t="shared" si="11"/>
        <v>2700000</v>
      </c>
      <c r="R337" s="6" t="s">
        <v>2003</v>
      </c>
      <c r="T337" s="6" t="s">
        <v>934</v>
      </c>
      <c r="U337" s="6">
        <v>2008</v>
      </c>
      <c r="V337" s="6">
        <v>1</v>
      </c>
      <c r="AD337" s="6" t="s">
        <v>45</v>
      </c>
      <c r="AJ337" s="31" t="s">
        <v>2118</v>
      </c>
      <c r="AK337" s="6">
        <v>1</v>
      </c>
      <c r="AL337" s="26">
        <v>2500000</v>
      </c>
      <c r="AM337" s="26">
        <v>2500000</v>
      </c>
      <c r="AN337" s="26">
        <v>2500000</v>
      </c>
      <c r="AO337" s="6" t="s">
        <v>2003</v>
      </c>
      <c r="AQ337" s="6" t="s">
        <v>67</v>
      </c>
      <c r="AU337" s="6">
        <v>224430</v>
      </c>
    </row>
    <row r="338" spans="1:47" x14ac:dyDescent="0.3">
      <c r="A338" s="28" t="s">
        <v>42</v>
      </c>
      <c r="B338" s="6" t="s">
        <v>2183</v>
      </c>
      <c r="D338" s="6" t="s">
        <v>2104</v>
      </c>
      <c r="E338" s="6">
        <v>1</v>
      </c>
      <c r="F338" s="6" t="s">
        <v>2004</v>
      </c>
      <c r="G338" s="6" t="s">
        <v>2005</v>
      </c>
      <c r="H338" s="6" t="s">
        <v>2005</v>
      </c>
      <c r="I338" s="6" t="str">
        <f t="shared" si="10"/>
        <v>ETC</v>
      </c>
      <c r="J338" s="6" t="s">
        <v>660</v>
      </c>
      <c r="K338" s="6">
        <v>1</v>
      </c>
      <c r="P338" s="6">
        <f t="shared" si="11"/>
        <v>3200000</v>
      </c>
      <c r="R338" s="6" t="s">
        <v>2003</v>
      </c>
      <c r="T338" s="6" t="s">
        <v>1857</v>
      </c>
      <c r="U338" s="6">
        <v>2014</v>
      </c>
      <c r="V338" s="6">
        <v>1</v>
      </c>
      <c r="AD338" s="6" t="s">
        <v>45</v>
      </c>
      <c r="AJ338" s="31" t="s">
        <v>2121</v>
      </c>
      <c r="AK338" s="6">
        <v>1</v>
      </c>
      <c r="AL338" s="26">
        <v>3000000</v>
      </c>
      <c r="AM338" s="26">
        <v>3000000</v>
      </c>
      <c r="AN338" s="26">
        <v>3000000</v>
      </c>
      <c r="AO338" s="6" t="s">
        <v>2003</v>
      </c>
      <c r="AQ338" s="6" t="s">
        <v>1265</v>
      </c>
      <c r="AU338" s="6">
        <v>224435</v>
      </c>
    </row>
    <row r="339" spans="1:47" hidden="1" x14ac:dyDescent="0.3">
      <c r="A339" s="28" t="s">
        <v>42</v>
      </c>
      <c r="B339" s="6" t="s">
        <v>2197</v>
      </c>
      <c r="E339" s="6">
        <v>1</v>
      </c>
      <c r="F339" s="6" t="s">
        <v>2004</v>
      </c>
      <c r="G339" s="6" t="s">
        <v>2005</v>
      </c>
      <c r="H339" s="6" t="s">
        <v>2005</v>
      </c>
      <c r="I339" s="6" t="str">
        <f t="shared" si="10"/>
        <v>Ripper</v>
      </c>
      <c r="J339" s="6" t="s">
        <v>552</v>
      </c>
      <c r="K339" s="6">
        <v>1</v>
      </c>
      <c r="P339" s="6">
        <f t="shared" si="11"/>
        <v>850000</v>
      </c>
      <c r="R339" s="6" t="s">
        <v>2003</v>
      </c>
      <c r="T339" s="6" t="s">
        <v>2047</v>
      </c>
      <c r="U339" s="6">
        <v>2017</v>
      </c>
      <c r="V339" s="6">
        <v>1</v>
      </c>
      <c r="AD339" s="6" t="s">
        <v>45</v>
      </c>
      <c r="AJ339" s="31" t="s">
        <v>2110</v>
      </c>
      <c r="AK339" s="6">
        <v>1</v>
      </c>
      <c r="AL339" s="26">
        <v>750000</v>
      </c>
      <c r="AM339" s="26">
        <v>750000</v>
      </c>
      <c r="AN339" s="26">
        <v>750000</v>
      </c>
      <c r="AO339" s="6" t="s">
        <v>2003</v>
      </c>
      <c r="AQ339" s="6" t="s">
        <v>1155</v>
      </c>
      <c r="AU339" s="6">
        <v>224439</v>
      </c>
    </row>
    <row r="340" spans="1:47" x14ac:dyDescent="0.3">
      <c r="A340" s="28" t="s">
        <v>42</v>
      </c>
      <c r="B340" s="6" t="s">
        <v>2175</v>
      </c>
      <c r="C340" s="6" t="s">
        <v>2207</v>
      </c>
      <c r="D340" s="6" t="s">
        <v>2104</v>
      </c>
      <c r="E340" s="6">
        <v>1</v>
      </c>
      <c r="F340" s="6" t="s">
        <v>2004</v>
      </c>
      <c r="G340" s="6" t="s">
        <v>2005</v>
      </c>
      <c r="H340" s="6" t="s">
        <v>2005</v>
      </c>
      <c r="I340" s="6" t="str">
        <f t="shared" si="10"/>
        <v>Hydraulic Crusher</v>
      </c>
      <c r="J340" s="6" t="s">
        <v>311</v>
      </c>
      <c r="K340" s="6">
        <v>1</v>
      </c>
      <c r="P340" s="6">
        <f t="shared" si="11"/>
        <v>11500000</v>
      </c>
      <c r="R340" s="6" t="s">
        <v>2003</v>
      </c>
      <c r="T340" s="6" t="s">
        <v>51</v>
      </c>
      <c r="U340" s="6">
        <v>2015</v>
      </c>
      <c r="V340" s="6">
        <v>1</v>
      </c>
      <c r="AD340" s="6" t="s">
        <v>45</v>
      </c>
      <c r="AJ340" s="31" t="s">
        <v>2113</v>
      </c>
      <c r="AK340" s="6">
        <v>1</v>
      </c>
      <c r="AL340" s="26">
        <v>11000000</v>
      </c>
      <c r="AM340" s="26">
        <v>11000000</v>
      </c>
      <c r="AN340" s="26">
        <v>11000000</v>
      </c>
      <c r="AO340" s="6" t="s">
        <v>2003</v>
      </c>
      <c r="AQ340" s="6" t="s">
        <v>49</v>
      </c>
      <c r="AU340" s="6">
        <v>224440</v>
      </c>
    </row>
    <row r="341" spans="1:47" hidden="1" x14ac:dyDescent="0.3">
      <c r="A341" s="28" t="s">
        <v>42</v>
      </c>
      <c r="B341" s="6" t="s">
        <v>2178</v>
      </c>
      <c r="C341" s="6" t="s">
        <v>1975</v>
      </c>
      <c r="E341" s="6">
        <v>1</v>
      </c>
      <c r="F341" s="6" t="s">
        <v>2004</v>
      </c>
      <c r="G341" s="6" t="s">
        <v>2005</v>
      </c>
      <c r="H341" s="6" t="s">
        <v>2005</v>
      </c>
      <c r="I341" s="6" t="str">
        <f t="shared" si="10"/>
        <v>Side Breaker</v>
      </c>
      <c r="J341" s="6" t="s">
        <v>528</v>
      </c>
      <c r="K341" s="6">
        <v>1</v>
      </c>
      <c r="P341" s="6">
        <f t="shared" si="11"/>
        <v>4700000</v>
      </c>
      <c r="R341" s="6" t="s">
        <v>2003</v>
      </c>
      <c r="T341" s="6" t="s">
        <v>935</v>
      </c>
      <c r="U341" s="6">
        <v>2014</v>
      </c>
      <c r="V341" s="6">
        <v>1</v>
      </c>
      <c r="AD341" s="6" t="s">
        <v>45</v>
      </c>
      <c r="AJ341" s="31" t="s">
        <v>2121</v>
      </c>
      <c r="AK341" s="6">
        <v>1</v>
      </c>
      <c r="AL341" s="26">
        <v>4500000</v>
      </c>
      <c r="AM341" s="26">
        <v>4500000</v>
      </c>
      <c r="AN341" s="26">
        <v>4500000</v>
      </c>
      <c r="AO341" s="6" t="s">
        <v>2003</v>
      </c>
      <c r="AQ341" s="6" t="s">
        <v>1265</v>
      </c>
      <c r="AU341" s="6">
        <v>224441</v>
      </c>
    </row>
    <row r="342" spans="1:47" x14ac:dyDescent="0.3">
      <c r="A342" s="28" t="s">
        <v>42</v>
      </c>
      <c r="B342" s="6" t="s">
        <v>2177</v>
      </c>
      <c r="C342" s="6" t="s">
        <v>1972</v>
      </c>
      <c r="D342" s="6" t="s">
        <v>2100</v>
      </c>
      <c r="E342" s="6">
        <v>1</v>
      </c>
      <c r="F342" s="6" t="s">
        <v>2004</v>
      </c>
      <c r="G342" s="6" t="s">
        <v>2005</v>
      </c>
      <c r="H342" s="6" t="s">
        <v>2005</v>
      </c>
      <c r="I342" s="6" t="str">
        <f t="shared" si="10"/>
        <v>Stone Grapple</v>
      </c>
      <c r="J342" s="6" t="s">
        <v>375</v>
      </c>
      <c r="K342" s="6">
        <v>1</v>
      </c>
      <c r="P342" s="6">
        <f t="shared" si="11"/>
        <v>20500000</v>
      </c>
      <c r="R342" s="6" t="s">
        <v>2003</v>
      </c>
      <c r="T342" s="6" t="s">
        <v>802</v>
      </c>
      <c r="U342" s="6">
        <v>2016</v>
      </c>
      <c r="V342" s="6">
        <v>12</v>
      </c>
      <c r="AD342" s="6" t="s">
        <v>45</v>
      </c>
      <c r="AJ342" s="31" t="s">
        <v>2122</v>
      </c>
      <c r="AK342" s="6">
        <v>1</v>
      </c>
      <c r="AL342" s="26">
        <v>20000000</v>
      </c>
      <c r="AM342" s="26">
        <v>20000000</v>
      </c>
      <c r="AN342" s="26">
        <v>20000000</v>
      </c>
      <c r="AO342" s="6" t="s">
        <v>2003</v>
      </c>
      <c r="AQ342" s="6" t="s">
        <v>1172</v>
      </c>
      <c r="AU342" s="6">
        <v>224442</v>
      </c>
    </row>
    <row r="343" spans="1:47" x14ac:dyDescent="0.3">
      <c r="A343" s="28" t="s">
        <v>42</v>
      </c>
      <c r="B343" s="6" t="s">
        <v>2177</v>
      </c>
      <c r="C343" s="6" t="s">
        <v>1974</v>
      </c>
      <c r="D343" s="6" t="s">
        <v>2103</v>
      </c>
      <c r="E343" s="6">
        <v>1</v>
      </c>
      <c r="F343" s="6" t="s">
        <v>2004</v>
      </c>
      <c r="G343" s="6" t="s">
        <v>2005</v>
      </c>
      <c r="H343" s="6" t="s">
        <v>2005</v>
      </c>
      <c r="I343" s="6" t="str">
        <f t="shared" si="10"/>
        <v>Etc Grapple</v>
      </c>
      <c r="J343" s="6" t="s">
        <v>432</v>
      </c>
      <c r="K343" s="6">
        <v>1</v>
      </c>
      <c r="P343" s="6">
        <f t="shared" si="11"/>
        <v>5500000</v>
      </c>
      <c r="R343" s="6" t="s">
        <v>2003</v>
      </c>
      <c r="T343" s="6" t="s">
        <v>1858</v>
      </c>
      <c r="U343" s="6">
        <v>2012</v>
      </c>
      <c r="V343" s="6">
        <v>4</v>
      </c>
      <c r="AD343" s="6" t="s">
        <v>45</v>
      </c>
      <c r="AJ343" s="31" t="s">
        <v>2116</v>
      </c>
      <c r="AK343" s="6">
        <v>1</v>
      </c>
      <c r="AL343" s="26">
        <v>5000000</v>
      </c>
      <c r="AM343" s="26">
        <v>5000000</v>
      </c>
      <c r="AN343" s="26">
        <v>5000000</v>
      </c>
      <c r="AO343" s="6" t="s">
        <v>2003</v>
      </c>
      <c r="AQ343" s="6" t="s">
        <v>1250</v>
      </c>
      <c r="AU343" s="6">
        <v>224446</v>
      </c>
    </row>
    <row r="344" spans="1:47" x14ac:dyDescent="0.3">
      <c r="A344" s="28" t="s">
        <v>42</v>
      </c>
      <c r="B344" s="6" t="s">
        <v>2179</v>
      </c>
      <c r="C344" s="6" t="s">
        <v>1980</v>
      </c>
      <c r="D344" s="6" t="s">
        <v>2104</v>
      </c>
      <c r="E344" s="6">
        <v>1</v>
      </c>
      <c r="F344" s="6" t="s">
        <v>2004</v>
      </c>
      <c r="G344" s="6" t="s">
        <v>2005</v>
      </c>
      <c r="H344" s="6" t="s">
        <v>2005</v>
      </c>
      <c r="I344" s="6" t="str">
        <f t="shared" si="10"/>
        <v>Small Bucket</v>
      </c>
      <c r="J344" s="6" t="s">
        <v>97</v>
      </c>
      <c r="K344" s="6">
        <v>1</v>
      </c>
      <c r="P344" s="6">
        <f t="shared" si="11"/>
        <v>700000</v>
      </c>
      <c r="R344" s="6" t="s">
        <v>2003</v>
      </c>
      <c r="T344" s="6" t="s">
        <v>936</v>
      </c>
      <c r="U344" s="6">
        <v>2013</v>
      </c>
      <c r="V344" s="6">
        <v>1</v>
      </c>
      <c r="AD344" s="6" t="s">
        <v>45</v>
      </c>
      <c r="AJ344" s="31" t="s">
        <v>2112</v>
      </c>
      <c r="AK344" s="6">
        <v>1</v>
      </c>
      <c r="AL344" s="26">
        <v>600000</v>
      </c>
      <c r="AM344" s="26">
        <v>600000</v>
      </c>
      <c r="AN344" s="26">
        <v>600000</v>
      </c>
      <c r="AO344" s="6" t="s">
        <v>2003</v>
      </c>
      <c r="AQ344" s="6" t="s">
        <v>1270</v>
      </c>
      <c r="AU344" s="6">
        <v>224451</v>
      </c>
    </row>
    <row r="345" spans="1:47" x14ac:dyDescent="0.3">
      <c r="A345" s="28" t="s">
        <v>42</v>
      </c>
      <c r="B345" s="6" t="s">
        <v>2190</v>
      </c>
      <c r="D345" s="6" t="s">
        <v>2104</v>
      </c>
      <c r="E345" s="6">
        <v>1</v>
      </c>
      <c r="F345" s="6" t="s">
        <v>2004</v>
      </c>
      <c r="G345" s="6" t="s">
        <v>2005</v>
      </c>
      <c r="H345" s="6" t="s">
        <v>2005</v>
      </c>
      <c r="I345" s="6" t="str">
        <f t="shared" si="10"/>
        <v>Lift Fork</v>
      </c>
      <c r="J345" s="6" t="s">
        <v>102</v>
      </c>
      <c r="K345" s="6">
        <v>1</v>
      </c>
      <c r="P345" s="6">
        <f t="shared" si="11"/>
        <v>750000</v>
      </c>
      <c r="R345" s="6" t="s">
        <v>2003</v>
      </c>
      <c r="T345" s="6" t="s">
        <v>813</v>
      </c>
      <c r="U345" s="6">
        <v>2013</v>
      </c>
      <c r="V345" s="6">
        <v>1</v>
      </c>
      <c r="AD345" s="6" t="s">
        <v>45</v>
      </c>
      <c r="AJ345" s="31" t="s">
        <v>2113</v>
      </c>
      <c r="AK345" s="6">
        <v>1</v>
      </c>
      <c r="AL345" s="26">
        <v>650000</v>
      </c>
      <c r="AM345" s="26">
        <v>650000</v>
      </c>
      <c r="AN345" s="26">
        <v>650000</v>
      </c>
      <c r="AO345" s="6" t="s">
        <v>2003</v>
      </c>
      <c r="AQ345" s="6" t="s">
        <v>79</v>
      </c>
      <c r="AU345" s="6">
        <v>224457</v>
      </c>
    </row>
    <row r="346" spans="1:47" x14ac:dyDescent="0.3">
      <c r="A346" s="28" t="s">
        <v>42</v>
      </c>
      <c r="B346" s="6" t="s">
        <v>2178</v>
      </c>
      <c r="C346" s="6" t="s">
        <v>1975</v>
      </c>
      <c r="D346" s="6" t="s">
        <v>2104</v>
      </c>
      <c r="E346" s="6">
        <v>1</v>
      </c>
      <c r="F346" s="6" t="s">
        <v>2004</v>
      </c>
      <c r="G346" s="6" t="s">
        <v>2005</v>
      </c>
      <c r="H346" s="6" t="s">
        <v>2005</v>
      </c>
      <c r="I346" s="6" t="str">
        <f t="shared" si="10"/>
        <v>Side Breaker</v>
      </c>
      <c r="J346" s="6" t="s">
        <v>531</v>
      </c>
      <c r="K346" s="6">
        <v>1</v>
      </c>
      <c r="P346" s="6">
        <f t="shared" si="11"/>
        <v>4700000</v>
      </c>
      <c r="R346" s="6" t="s">
        <v>2003</v>
      </c>
      <c r="T346" s="6" t="s">
        <v>937</v>
      </c>
      <c r="U346" s="6">
        <v>2016</v>
      </c>
      <c r="V346" s="6">
        <v>6</v>
      </c>
      <c r="AD346" s="6" t="s">
        <v>45</v>
      </c>
      <c r="AJ346" s="31" t="s">
        <v>2123</v>
      </c>
      <c r="AK346" s="6">
        <v>1</v>
      </c>
      <c r="AL346" s="26">
        <v>4500000</v>
      </c>
      <c r="AM346" s="26">
        <v>4500000</v>
      </c>
      <c r="AN346" s="26">
        <v>4500000</v>
      </c>
      <c r="AO346" s="6" t="s">
        <v>2003</v>
      </c>
      <c r="AQ346" s="6" t="s">
        <v>1237</v>
      </c>
      <c r="AU346" s="6">
        <v>224459</v>
      </c>
    </row>
    <row r="347" spans="1:47" x14ac:dyDescent="0.3">
      <c r="A347" s="28" t="s">
        <v>42</v>
      </c>
      <c r="B347" s="6" t="s">
        <v>2181</v>
      </c>
      <c r="D347" s="6" t="s">
        <v>2104</v>
      </c>
      <c r="E347" s="6">
        <v>1</v>
      </c>
      <c r="F347" s="6" t="s">
        <v>2004</v>
      </c>
      <c r="G347" s="6" t="s">
        <v>2005</v>
      </c>
      <c r="H347" s="6" t="s">
        <v>2005</v>
      </c>
      <c r="I347" s="6" t="str">
        <f t="shared" si="10"/>
        <v>ETC</v>
      </c>
      <c r="J347" s="6" t="s">
        <v>178</v>
      </c>
      <c r="K347" s="6">
        <v>1</v>
      </c>
      <c r="P347" s="6">
        <f t="shared" si="11"/>
        <v>900000</v>
      </c>
      <c r="R347" s="6" t="s">
        <v>2003</v>
      </c>
      <c r="T347" s="6" t="s">
        <v>938</v>
      </c>
      <c r="U347" s="6">
        <v>2016</v>
      </c>
      <c r="V347" s="6">
        <v>6</v>
      </c>
      <c r="AD347" s="6" t="s">
        <v>45</v>
      </c>
      <c r="AJ347" s="31" t="s">
        <v>2123</v>
      </c>
      <c r="AK347" s="6">
        <v>1</v>
      </c>
      <c r="AL347" s="26">
        <v>800000</v>
      </c>
      <c r="AM347" s="26">
        <v>800000</v>
      </c>
      <c r="AN347" s="26">
        <v>800000</v>
      </c>
      <c r="AO347" s="6" t="s">
        <v>2003</v>
      </c>
      <c r="AQ347" s="6" t="s">
        <v>1237</v>
      </c>
      <c r="AU347" s="6">
        <v>224460</v>
      </c>
    </row>
    <row r="348" spans="1:47" x14ac:dyDescent="0.3">
      <c r="A348" s="28" t="s">
        <v>42</v>
      </c>
      <c r="B348" s="6" t="s">
        <v>2177</v>
      </c>
      <c r="C348" s="6" t="s">
        <v>1972</v>
      </c>
      <c r="D348" s="6" t="s">
        <v>2100</v>
      </c>
      <c r="E348" s="6">
        <v>1</v>
      </c>
      <c r="F348" s="6" t="s">
        <v>2004</v>
      </c>
      <c r="G348" s="6" t="s">
        <v>2005</v>
      </c>
      <c r="H348" s="6" t="s">
        <v>2005</v>
      </c>
      <c r="I348" s="6" t="str">
        <f t="shared" si="10"/>
        <v>Stone Grapple</v>
      </c>
      <c r="J348" s="6" t="s">
        <v>109</v>
      </c>
      <c r="K348" s="6">
        <v>1</v>
      </c>
      <c r="P348" s="6">
        <f t="shared" si="11"/>
        <v>3200000</v>
      </c>
      <c r="R348" s="6" t="s">
        <v>2003</v>
      </c>
      <c r="T348" s="6" t="s">
        <v>939</v>
      </c>
      <c r="U348" s="6">
        <v>2015</v>
      </c>
      <c r="V348" s="6">
        <v>2</v>
      </c>
      <c r="AD348" s="6" t="s">
        <v>45</v>
      </c>
      <c r="AJ348" s="31" t="s">
        <v>2120</v>
      </c>
      <c r="AK348" s="6">
        <v>1</v>
      </c>
      <c r="AL348" s="26">
        <v>3000000</v>
      </c>
      <c r="AM348" s="26">
        <v>3000000</v>
      </c>
      <c r="AN348" s="26">
        <v>3000000</v>
      </c>
      <c r="AO348" s="6" t="s">
        <v>2003</v>
      </c>
      <c r="AQ348" s="6" t="s">
        <v>1271</v>
      </c>
      <c r="AU348" s="6">
        <v>224461</v>
      </c>
    </row>
    <row r="349" spans="1:47" hidden="1" x14ac:dyDescent="0.3">
      <c r="A349" s="28" t="s">
        <v>42</v>
      </c>
      <c r="B349" s="6" t="s">
        <v>2181</v>
      </c>
      <c r="E349" s="6">
        <v>1</v>
      </c>
      <c r="F349" s="6" t="s">
        <v>2004</v>
      </c>
      <c r="G349" s="6" t="s">
        <v>2005</v>
      </c>
      <c r="H349" s="6" t="s">
        <v>2005</v>
      </c>
      <c r="I349" s="6" t="str">
        <f t="shared" si="10"/>
        <v>ETC</v>
      </c>
      <c r="J349" s="6" t="s">
        <v>158</v>
      </c>
      <c r="K349" s="6">
        <v>1</v>
      </c>
      <c r="P349" s="6">
        <f t="shared" si="11"/>
        <v>3700000</v>
      </c>
      <c r="R349" s="6" t="s">
        <v>2003</v>
      </c>
      <c r="T349" s="6" t="s">
        <v>51</v>
      </c>
      <c r="U349" s="6">
        <v>2015</v>
      </c>
      <c r="V349" s="6">
        <v>1</v>
      </c>
      <c r="AD349" s="6" t="s">
        <v>45</v>
      </c>
      <c r="AJ349" s="31" t="s">
        <v>2113</v>
      </c>
      <c r="AK349" s="6">
        <v>1</v>
      </c>
      <c r="AL349" s="26">
        <v>3500000</v>
      </c>
      <c r="AM349" s="26">
        <v>3500000</v>
      </c>
      <c r="AN349" s="26">
        <v>3500000</v>
      </c>
      <c r="AO349" s="6" t="s">
        <v>2003</v>
      </c>
      <c r="AQ349" s="6" t="s">
        <v>49</v>
      </c>
      <c r="AU349" s="6">
        <v>224464</v>
      </c>
    </row>
    <row r="350" spans="1:47" hidden="1" x14ac:dyDescent="0.3">
      <c r="A350" s="28" t="s">
        <v>42</v>
      </c>
      <c r="B350" s="6" t="s">
        <v>2181</v>
      </c>
      <c r="E350" s="6">
        <v>1</v>
      </c>
      <c r="F350" s="6" t="s">
        <v>2004</v>
      </c>
      <c r="G350" s="6" t="s">
        <v>2005</v>
      </c>
      <c r="H350" s="6" t="s">
        <v>2005</v>
      </c>
      <c r="I350" s="6" t="str">
        <f t="shared" si="10"/>
        <v>ETC</v>
      </c>
      <c r="J350" s="6" t="s">
        <v>532</v>
      </c>
      <c r="K350" s="6">
        <v>1</v>
      </c>
      <c r="P350" s="6">
        <f t="shared" si="11"/>
        <v>2200000</v>
      </c>
      <c r="R350" s="6" t="s">
        <v>2003</v>
      </c>
      <c r="T350" s="6" t="s">
        <v>940</v>
      </c>
      <c r="U350" s="6">
        <v>2017</v>
      </c>
      <c r="V350" s="6">
        <v>1</v>
      </c>
      <c r="AD350" s="6" t="s">
        <v>45</v>
      </c>
      <c r="AJ350" s="31" t="s">
        <v>2121</v>
      </c>
      <c r="AK350" s="6">
        <v>1</v>
      </c>
      <c r="AL350" s="26">
        <v>2000000</v>
      </c>
      <c r="AM350" s="26">
        <v>2000000</v>
      </c>
      <c r="AN350" s="26">
        <v>2000000</v>
      </c>
      <c r="AO350" s="6" t="s">
        <v>2003</v>
      </c>
      <c r="AQ350" s="6" t="s">
        <v>1148</v>
      </c>
      <c r="AU350" s="6">
        <v>224467</v>
      </c>
    </row>
    <row r="351" spans="1:47" hidden="1" x14ac:dyDescent="0.3">
      <c r="A351" s="28" t="s">
        <v>42</v>
      </c>
      <c r="B351" s="6" t="s">
        <v>2201</v>
      </c>
      <c r="E351" s="6">
        <v>1</v>
      </c>
      <c r="F351" s="6" t="s">
        <v>2004</v>
      </c>
      <c r="G351" s="6" t="s">
        <v>2005</v>
      </c>
      <c r="H351" s="6" t="s">
        <v>2005</v>
      </c>
      <c r="I351" s="6" t="str">
        <f t="shared" si="10"/>
        <v>Crusher</v>
      </c>
      <c r="J351" s="6" t="s">
        <v>182</v>
      </c>
      <c r="K351" s="6">
        <v>1</v>
      </c>
      <c r="P351" s="6">
        <f t="shared" si="11"/>
        <v>2700000</v>
      </c>
      <c r="R351" s="6" t="s">
        <v>2003</v>
      </c>
      <c r="T351" s="6" t="s">
        <v>794</v>
      </c>
      <c r="U351" s="6">
        <v>2015</v>
      </c>
      <c r="V351" s="6">
        <v>1</v>
      </c>
      <c r="AD351" s="6" t="s">
        <v>45</v>
      </c>
      <c r="AJ351" s="31" t="s">
        <v>2122</v>
      </c>
      <c r="AK351" s="6">
        <v>1</v>
      </c>
      <c r="AL351" s="26">
        <v>2500000</v>
      </c>
      <c r="AM351" s="26">
        <v>2500000</v>
      </c>
      <c r="AN351" s="26">
        <v>2500000</v>
      </c>
      <c r="AO351" s="6" t="s">
        <v>2003</v>
      </c>
      <c r="AQ351" s="6" t="s">
        <v>1154</v>
      </c>
      <c r="AU351" s="6">
        <v>224468</v>
      </c>
    </row>
    <row r="352" spans="1:47" x14ac:dyDescent="0.3">
      <c r="A352" s="28" t="s">
        <v>42</v>
      </c>
      <c r="B352" s="6" t="s">
        <v>2198</v>
      </c>
      <c r="D352" s="6" t="s">
        <v>2104</v>
      </c>
      <c r="E352" s="6">
        <v>1</v>
      </c>
      <c r="F352" s="6" t="s">
        <v>2004</v>
      </c>
      <c r="G352" s="6" t="s">
        <v>2005</v>
      </c>
      <c r="H352" s="6" t="s">
        <v>2005</v>
      </c>
      <c r="I352" s="6" t="str">
        <f t="shared" si="10"/>
        <v>Ripper</v>
      </c>
      <c r="J352" s="6" t="s">
        <v>167</v>
      </c>
      <c r="K352" s="6">
        <v>1</v>
      </c>
      <c r="P352" s="6">
        <f t="shared" si="11"/>
        <v>900000</v>
      </c>
      <c r="R352" s="6" t="s">
        <v>2003</v>
      </c>
      <c r="T352" s="6" t="s">
        <v>2007</v>
      </c>
      <c r="U352" s="6">
        <v>2017</v>
      </c>
      <c r="V352" s="6">
        <v>1</v>
      </c>
      <c r="AD352" s="6" t="s">
        <v>45</v>
      </c>
      <c r="AJ352" s="31" t="s">
        <v>2113</v>
      </c>
      <c r="AK352" s="6">
        <v>1</v>
      </c>
      <c r="AL352" s="26">
        <v>800000</v>
      </c>
      <c r="AM352" s="26">
        <v>800000</v>
      </c>
      <c r="AN352" s="26">
        <v>800000</v>
      </c>
      <c r="AO352" s="6" t="s">
        <v>2003</v>
      </c>
      <c r="AQ352" s="6" t="s">
        <v>49</v>
      </c>
      <c r="AU352" s="6">
        <v>224470</v>
      </c>
    </row>
    <row r="353" spans="1:47" x14ac:dyDescent="0.3">
      <c r="A353" s="28" t="s">
        <v>42</v>
      </c>
      <c r="B353" s="6" t="s">
        <v>2182</v>
      </c>
      <c r="C353" s="6" t="s">
        <v>2205</v>
      </c>
      <c r="D353" s="6" t="s">
        <v>2105</v>
      </c>
      <c r="E353" s="6">
        <v>1</v>
      </c>
      <c r="F353" s="6" t="s">
        <v>2004</v>
      </c>
      <c r="G353" s="6" t="s">
        <v>2005</v>
      </c>
      <c r="H353" s="6" t="s">
        <v>2005</v>
      </c>
      <c r="I353" s="6" t="str">
        <f t="shared" si="10"/>
        <v>Standard Bucket</v>
      </c>
      <c r="J353" s="6" t="s">
        <v>260</v>
      </c>
      <c r="K353" s="6">
        <v>1</v>
      </c>
      <c r="P353" s="6">
        <f t="shared" si="11"/>
        <v>1900000</v>
      </c>
      <c r="R353" s="6" t="s">
        <v>2003</v>
      </c>
      <c r="T353" s="6">
        <v>1</v>
      </c>
      <c r="U353" s="6">
        <v>2015</v>
      </c>
      <c r="V353" s="6">
        <v>1</v>
      </c>
      <c r="AD353" s="6" t="s">
        <v>45</v>
      </c>
      <c r="AJ353" s="31" t="s">
        <v>2116</v>
      </c>
      <c r="AK353" s="6">
        <v>1</v>
      </c>
      <c r="AL353" s="26">
        <v>1800000</v>
      </c>
      <c r="AM353" s="26">
        <v>1800000</v>
      </c>
      <c r="AN353" s="26">
        <v>1800000</v>
      </c>
      <c r="AO353" s="6" t="s">
        <v>2003</v>
      </c>
      <c r="AQ353" s="6" t="s">
        <v>1185</v>
      </c>
      <c r="AU353" s="6">
        <v>224471</v>
      </c>
    </row>
    <row r="354" spans="1:47" hidden="1" x14ac:dyDescent="0.3">
      <c r="A354" s="28" t="s">
        <v>42</v>
      </c>
      <c r="B354" s="6" t="s">
        <v>2184</v>
      </c>
      <c r="E354" s="6">
        <v>1</v>
      </c>
      <c r="F354" s="6" t="s">
        <v>2004</v>
      </c>
      <c r="G354" s="6" t="s">
        <v>2005</v>
      </c>
      <c r="H354" s="6" t="s">
        <v>2005</v>
      </c>
      <c r="I354" s="6" t="str">
        <f t="shared" si="10"/>
        <v>Grapple</v>
      </c>
      <c r="J354" s="6" t="s">
        <v>687</v>
      </c>
      <c r="K354" s="6">
        <v>1</v>
      </c>
      <c r="P354" s="6">
        <f t="shared" si="11"/>
        <v>1550000</v>
      </c>
      <c r="R354" s="6" t="s">
        <v>2003</v>
      </c>
      <c r="T354" s="6" t="s">
        <v>2007</v>
      </c>
      <c r="U354" s="6">
        <v>2017</v>
      </c>
      <c r="V354" s="6">
        <v>1</v>
      </c>
      <c r="AD354" s="6" t="s">
        <v>45</v>
      </c>
      <c r="AJ354" s="31" t="s">
        <v>2113</v>
      </c>
      <c r="AK354" s="6">
        <v>1</v>
      </c>
      <c r="AL354" s="26">
        <v>1450000</v>
      </c>
      <c r="AM354" s="26">
        <v>1450000</v>
      </c>
      <c r="AN354" s="26">
        <v>1450000</v>
      </c>
      <c r="AO354" s="6" t="s">
        <v>2003</v>
      </c>
      <c r="AQ354" s="6" t="s">
        <v>49</v>
      </c>
      <c r="AU354" s="6">
        <v>224472</v>
      </c>
    </row>
    <row r="355" spans="1:47" x14ac:dyDescent="0.3">
      <c r="A355" s="28" t="s">
        <v>42</v>
      </c>
      <c r="B355" s="6" t="s">
        <v>2186</v>
      </c>
      <c r="C355" s="6" t="s">
        <v>2205</v>
      </c>
      <c r="D355" s="6" t="s">
        <v>2105</v>
      </c>
      <c r="E355" s="6">
        <v>1</v>
      </c>
      <c r="F355" s="6" t="s">
        <v>2004</v>
      </c>
      <c r="G355" s="6" t="s">
        <v>2005</v>
      </c>
      <c r="H355" s="6" t="s">
        <v>2005</v>
      </c>
      <c r="I355" s="6" t="str">
        <f t="shared" si="10"/>
        <v>Standard Bucket</v>
      </c>
      <c r="J355" s="6" t="s">
        <v>260</v>
      </c>
      <c r="K355" s="6">
        <v>1</v>
      </c>
      <c r="P355" s="6">
        <f t="shared" si="11"/>
        <v>2900000</v>
      </c>
      <c r="R355" s="6" t="s">
        <v>2003</v>
      </c>
      <c r="T355" s="6">
        <v>1</v>
      </c>
      <c r="U355" s="6">
        <v>2015</v>
      </c>
      <c r="V355" s="6">
        <v>1</v>
      </c>
      <c r="AD355" s="6" t="s">
        <v>45</v>
      </c>
      <c r="AJ355" s="31" t="s">
        <v>2116</v>
      </c>
      <c r="AK355" s="6">
        <v>1</v>
      </c>
      <c r="AL355" s="26">
        <v>2700000</v>
      </c>
      <c r="AM355" s="26">
        <v>2700000</v>
      </c>
      <c r="AN355" s="26">
        <v>2700000</v>
      </c>
      <c r="AO355" s="6" t="s">
        <v>2003</v>
      </c>
      <c r="AQ355" s="6" t="s">
        <v>1185</v>
      </c>
      <c r="AU355" s="6">
        <v>224474</v>
      </c>
    </row>
    <row r="356" spans="1:47" x14ac:dyDescent="0.3">
      <c r="A356" s="28" t="s">
        <v>42</v>
      </c>
      <c r="B356" s="6" t="s">
        <v>2184</v>
      </c>
      <c r="C356" s="6" t="s">
        <v>1984</v>
      </c>
      <c r="D356" s="6" t="s">
        <v>2104</v>
      </c>
      <c r="E356" s="6">
        <v>1</v>
      </c>
      <c r="F356" s="6" t="s">
        <v>2004</v>
      </c>
      <c r="G356" s="6" t="s">
        <v>2005</v>
      </c>
      <c r="H356" s="6" t="s">
        <v>2005</v>
      </c>
      <c r="I356" s="6" t="str">
        <f t="shared" si="10"/>
        <v>Scrap Grapple</v>
      </c>
      <c r="J356" s="6" t="s">
        <v>337</v>
      </c>
      <c r="K356" s="6">
        <v>1</v>
      </c>
      <c r="P356" s="6">
        <f t="shared" si="11"/>
        <v>1900000</v>
      </c>
      <c r="R356" s="6" t="s">
        <v>2003</v>
      </c>
      <c r="T356" s="6">
        <v>1</v>
      </c>
      <c r="U356" s="6">
        <v>2015</v>
      </c>
      <c r="V356" s="6">
        <v>1</v>
      </c>
      <c r="AD356" s="6" t="s">
        <v>45</v>
      </c>
      <c r="AJ356" s="31" t="s">
        <v>2116</v>
      </c>
      <c r="AK356" s="6">
        <v>1</v>
      </c>
      <c r="AL356" s="26">
        <v>1800000</v>
      </c>
      <c r="AM356" s="26">
        <v>1800000</v>
      </c>
      <c r="AN356" s="26">
        <v>1800000</v>
      </c>
      <c r="AO356" s="6" t="s">
        <v>2003</v>
      </c>
      <c r="AQ356" s="6" t="s">
        <v>1185</v>
      </c>
      <c r="AU356" s="6">
        <v>224476</v>
      </c>
    </row>
    <row r="357" spans="1:47" x14ac:dyDescent="0.3">
      <c r="A357" s="28" t="s">
        <v>42</v>
      </c>
      <c r="B357" s="6" t="s">
        <v>2183</v>
      </c>
      <c r="D357" s="6" t="s">
        <v>2105</v>
      </c>
      <c r="E357" s="6">
        <v>1</v>
      </c>
      <c r="F357" s="6" t="s">
        <v>2004</v>
      </c>
      <c r="G357" s="6" t="s">
        <v>2005</v>
      </c>
      <c r="H357" s="6" t="s">
        <v>2005</v>
      </c>
      <c r="I357" s="6" t="str">
        <f t="shared" si="10"/>
        <v>ETC</v>
      </c>
      <c r="J357" s="6" t="s">
        <v>208</v>
      </c>
      <c r="K357" s="6">
        <v>1</v>
      </c>
      <c r="P357" s="6">
        <f t="shared" si="11"/>
        <v>1100000</v>
      </c>
      <c r="R357" s="6" t="s">
        <v>2003</v>
      </c>
      <c r="T357" s="6">
        <v>300</v>
      </c>
      <c r="U357" s="6">
        <v>2015</v>
      </c>
      <c r="V357" s="6">
        <v>1</v>
      </c>
      <c r="AD357" s="6" t="s">
        <v>45</v>
      </c>
      <c r="AJ357" s="31" t="s">
        <v>2116</v>
      </c>
      <c r="AK357" s="6">
        <v>1</v>
      </c>
      <c r="AL357" s="26">
        <v>1000000</v>
      </c>
      <c r="AM357" s="26">
        <v>1000000</v>
      </c>
      <c r="AN357" s="26">
        <v>1000000</v>
      </c>
      <c r="AO357" s="6" t="s">
        <v>2003</v>
      </c>
      <c r="AQ357" s="6" t="s">
        <v>1185</v>
      </c>
      <c r="AU357" s="6">
        <v>224478</v>
      </c>
    </row>
    <row r="358" spans="1:47" x14ac:dyDescent="0.3">
      <c r="A358" s="28" t="s">
        <v>42</v>
      </c>
      <c r="B358" s="6" t="s">
        <v>2182</v>
      </c>
      <c r="C358" s="6" t="s">
        <v>1976</v>
      </c>
      <c r="D358" s="6" t="s">
        <v>2105</v>
      </c>
      <c r="E358" s="6">
        <v>1</v>
      </c>
      <c r="F358" s="6" t="s">
        <v>2004</v>
      </c>
      <c r="G358" s="6" t="s">
        <v>2005</v>
      </c>
      <c r="H358" s="6" t="s">
        <v>2005</v>
      </c>
      <c r="I358" s="6" t="str">
        <f t="shared" si="10"/>
        <v>Skeleton Bucket</v>
      </c>
      <c r="J358" s="6" t="s">
        <v>377</v>
      </c>
      <c r="K358" s="6">
        <v>1</v>
      </c>
      <c r="P358" s="6">
        <f t="shared" si="11"/>
        <v>2000000</v>
      </c>
      <c r="R358" s="6" t="s">
        <v>2003</v>
      </c>
      <c r="T358" s="6" t="s">
        <v>941</v>
      </c>
      <c r="U358" s="6">
        <v>2013</v>
      </c>
      <c r="V358" s="6">
        <v>1</v>
      </c>
      <c r="AD358" s="6" t="s">
        <v>45</v>
      </c>
      <c r="AJ358" s="31" t="s">
        <v>2116</v>
      </c>
      <c r="AK358" s="6">
        <v>1</v>
      </c>
      <c r="AL358" s="26">
        <v>1900000</v>
      </c>
      <c r="AM358" s="26">
        <v>1900000</v>
      </c>
      <c r="AN358" s="26">
        <v>1900000</v>
      </c>
      <c r="AO358" s="6" t="s">
        <v>2003</v>
      </c>
      <c r="AQ358" s="6" t="s">
        <v>1185</v>
      </c>
      <c r="AU358" s="6">
        <v>224481</v>
      </c>
    </row>
    <row r="359" spans="1:47" hidden="1" x14ac:dyDescent="0.3">
      <c r="A359" s="28" t="s">
        <v>42</v>
      </c>
      <c r="B359" s="6" t="s">
        <v>2183</v>
      </c>
      <c r="E359" s="6">
        <v>1</v>
      </c>
      <c r="F359" s="6" t="s">
        <v>2004</v>
      </c>
      <c r="G359" s="6" t="s">
        <v>2005</v>
      </c>
      <c r="H359" s="6" t="s">
        <v>2005</v>
      </c>
      <c r="I359" s="6" t="str">
        <f t="shared" si="10"/>
        <v>ETC</v>
      </c>
      <c r="J359" s="6" t="s">
        <v>274</v>
      </c>
      <c r="K359" s="6">
        <v>1</v>
      </c>
      <c r="P359" s="6">
        <f t="shared" si="11"/>
        <v>3000000</v>
      </c>
      <c r="R359" s="6" t="s">
        <v>2003</v>
      </c>
      <c r="T359" s="6" t="s">
        <v>803</v>
      </c>
      <c r="U359" s="6">
        <v>2001</v>
      </c>
      <c r="V359" s="6">
        <v>1</v>
      </c>
      <c r="AD359" s="6" t="s">
        <v>45</v>
      </c>
      <c r="AJ359" s="31" t="s">
        <v>2123</v>
      </c>
      <c r="AK359" s="6">
        <v>1</v>
      </c>
      <c r="AL359" s="26">
        <v>2800000</v>
      </c>
      <c r="AM359" s="26">
        <v>2800000</v>
      </c>
      <c r="AN359" s="26">
        <v>2800000</v>
      </c>
      <c r="AO359" s="6" t="s">
        <v>2003</v>
      </c>
      <c r="AQ359" s="6" t="s">
        <v>1181</v>
      </c>
      <c r="AU359" s="6">
        <v>224482</v>
      </c>
    </row>
    <row r="360" spans="1:47" x14ac:dyDescent="0.3">
      <c r="A360" s="28" t="s">
        <v>42</v>
      </c>
      <c r="B360" s="6" t="s">
        <v>2175</v>
      </c>
      <c r="C360" s="6" t="s">
        <v>1983</v>
      </c>
      <c r="D360" s="6" t="s">
        <v>2001</v>
      </c>
      <c r="E360" s="6">
        <v>1</v>
      </c>
      <c r="F360" s="6" t="s">
        <v>2004</v>
      </c>
      <c r="G360" s="6" t="s">
        <v>2005</v>
      </c>
      <c r="H360" s="6" t="s">
        <v>2005</v>
      </c>
      <c r="I360" s="6" t="str">
        <f t="shared" si="10"/>
        <v>Hydraulic Multi Processor</v>
      </c>
      <c r="J360" s="6" t="s">
        <v>485</v>
      </c>
      <c r="K360" s="6">
        <v>1</v>
      </c>
      <c r="P360" s="6">
        <f t="shared" si="11"/>
        <v>16500000</v>
      </c>
      <c r="R360" s="6" t="s">
        <v>2003</v>
      </c>
      <c r="T360" s="6" t="s">
        <v>1859</v>
      </c>
      <c r="U360" s="6">
        <v>2015</v>
      </c>
      <c r="V360" s="6">
        <v>1</v>
      </c>
      <c r="AD360" s="6" t="s">
        <v>45</v>
      </c>
      <c r="AJ360" s="31" t="s">
        <v>2116</v>
      </c>
      <c r="AK360" s="6">
        <v>1</v>
      </c>
      <c r="AL360" s="26">
        <v>16000000</v>
      </c>
      <c r="AM360" s="26">
        <v>16000000</v>
      </c>
      <c r="AN360" s="26">
        <v>16000000</v>
      </c>
      <c r="AO360" s="6" t="s">
        <v>2003</v>
      </c>
      <c r="AQ360" s="6" t="s">
        <v>1199</v>
      </c>
      <c r="AU360" s="6">
        <v>224483</v>
      </c>
    </row>
    <row r="361" spans="1:47" x14ac:dyDescent="0.3">
      <c r="A361" s="28" t="s">
        <v>42</v>
      </c>
      <c r="B361" s="6" t="s">
        <v>2184</v>
      </c>
      <c r="C361" s="19" t="s">
        <v>2206</v>
      </c>
      <c r="D361" s="6" t="s">
        <v>2100</v>
      </c>
      <c r="E361" s="6">
        <v>1</v>
      </c>
      <c r="F361" s="6" t="s">
        <v>2004</v>
      </c>
      <c r="G361" s="6" t="s">
        <v>2005</v>
      </c>
      <c r="H361" s="6" t="s">
        <v>2005</v>
      </c>
      <c r="I361" s="6" t="str">
        <f t="shared" si="10"/>
        <v>Etc Grapple</v>
      </c>
      <c r="J361" s="6" t="s">
        <v>365</v>
      </c>
      <c r="K361" s="6">
        <v>1</v>
      </c>
      <c r="P361" s="6">
        <f t="shared" si="11"/>
        <v>3300000</v>
      </c>
      <c r="R361" s="6" t="s">
        <v>2003</v>
      </c>
      <c r="T361" s="6" t="s">
        <v>942</v>
      </c>
      <c r="U361" s="6">
        <v>2015</v>
      </c>
      <c r="V361" s="6">
        <v>6</v>
      </c>
      <c r="AD361" s="6" t="s">
        <v>45</v>
      </c>
      <c r="AJ361" s="31" t="s">
        <v>2111</v>
      </c>
      <c r="AK361" s="6">
        <v>1</v>
      </c>
      <c r="AL361" s="26">
        <v>3100000</v>
      </c>
      <c r="AM361" s="26">
        <v>3100000</v>
      </c>
      <c r="AN361" s="26">
        <v>3100000</v>
      </c>
      <c r="AO361" s="6" t="s">
        <v>2003</v>
      </c>
      <c r="AQ361" s="6" t="s">
        <v>1235</v>
      </c>
      <c r="AU361" s="6">
        <v>224485</v>
      </c>
    </row>
    <row r="362" spans="1:47" x14ac:dyDescent="0.3">
      <c r="A362" s="28" t="s">
        <v>42</v>
      </c>
      <c r="B362" s="6" t="s">
        <v>2191</v>
      </c>
      <c r="C362" s="6" t="s">
        <v>1975</v>
      </c>
      <c r="D362" s="6" t="s">
        <v>2106</v>
      </c>
      <c r="E362" s="6">
        <v>1</v>
      </c>
      <c r="F362" s="6" t="s">
        <v>2004</v>
      </c>
      <c r="G362" s="6" t="s">
        <v>2005</v>
      </c>
      <c r="H362" s="6" t="s">
        <v>2005</v>
      </c>
      <c r="I362" s="6" t="str">
        <f t="shared" si="10"/>
        <v>Side Breaker</v>
      </c>
      <c r="J362" s="6" t="s">
        <v>520</v>
      </c>
      <c r="K362" s="6">
        <v>1</v>
      </c>
      <c r="P362" s="6">
        <f t="shared" si="11"/>
        <v>1400000</v>
      </c>
      <c r="R362" s="6" t="s">
        <v>2003</v>
      </c>
      <c r="T362" s="6" t="s">
        <v>943</v>
      </c>
      <c r="U362" s="6">
        <v>2015</v>
      </c>
      <c r="V362" s="6">
        <v>1</v>
      </c>
      <c r="AD362" s="6" t="s">
        <v>45</v>
      </c>
      <c r="AJ362" s="31" t="s">
        <v>2112</v>
      </c>
      <c r="AK362" s="6">
        <v>1</v>
      </c>
      <c r="AL362" s="26">
        <v>1300000</v>
      </c>
      <c r="AM362" s="26">
        <v>1300000</v>
      </c>
      <c r="AN362" s="26">
        <v>1300000</v>
      </c>
      <c r="AO362" s="6" t="s">
        <v>2003</v>
      </c>
      <c r="AQ362" s="6" t="s">
        <v>1142</v>
      </c>
      <c r="AU362" s="6">
        <v>224487</v>
      </c>
    </row>
    <row r="363" spans="1:47" hidden="1" x14ac:dyDescent="0.3">
      <c r="A363" s="28" t="s">
        <v>42</v>
      </c>
      <c r="B363" s="6" t="s">
        <v>2185</v>
      </c>
      <c r="E363" s="6">
        <v>1</v>
      </c>
      <c r="F363" s="6" t="s">
        <v>2004</v>
      </c>
      <c r="G363" s="6" t="s">
        <v>2005</v>
      </c>
      <c r="H363" s="6" t="s">
        <v>2005</v>
      </c>
      <c r="I363" s="6" t="str">
        <f t="shared" si="10"/>
        <v>ETC</v>
      </c>
      <c r="J363" s="6" t="s">
        <v>533</v>
      </c>
      <c r="K363" s="6">
        <v>1</v>
      </c>
      <c r="P363" s="6">
        <f t="shared" si="11"/>
        <v>12500000</v>
      </c>
      <c r="R363" s="6" t="s">
        <v>2003</v>
      </c>
      <c r="T363" s="6" t="s">
        <v>837</v>
      </c>
      <c r="U363" s="6">
        <v>2016</v>
      </c>
      <c r="V363" s="6">
        <v>1</v>
      </c>
      <c r="AD363" s="6" t="s">
        <v>45</v>
      </c>
      <c r="AJ363" s="31" t="s">
        <v>2113</v>
      </c>
      <c r="AK363" s="6">
        <v>1</v>
      </c>
      <c r="AL363" s="26">
        <v>12000000</v>
      </c>
      <c r="AM363" s="26">
        <v>12000000</v>
      </c>
      <c r="AN363" s="26">
        <v>12000000</v>
      </c>
      <c r="AO363" s="6" t="s">
        <v>2003</v>
      </c>
      <c r="AQ363" s="6" t="s">
        <v>71</v>
      </c>
      <c r="AU363" s="6">
        <v>224489</v>
      </c>
    </row>
    <row r="364" spans="1:47" hidden="1" x14ac:dyDescent="0.3">
      <c r="A364" s="28" t="s">
        <v>42</v>
      </c>
      <c r="B364" s="6" t="s">
        <v>2188</v>
      </c>
      <c r="E364" s="6">
        <v>1</v>
      </c>
      <c r="F364" s="6" t="s">
        <v>2004</v>
      </c>
      <c r="G364" s="6" t="s">
        <v>2005</v>
      </c>
      <c r="H364" s="6" t="s">
        <v>2005</v>
      </c>
      <c r="I364" s="6" t="str">
        <f t="shared" si="10"/>
        <v>Compactor</v>
      </c>
      <c r="J364" s="6" t="s">
        <v>534</v>
      </c>
      <c r="K364" s="6">
        <v>1</v>
      </c>
      <c r="P364" s="6">
        <f t="shared" si="11"/>
        <v>2700000</v>
      </c>
      <c r="R364" s="6" t="s">
        <v>2003</v>
      </c>
      <c r="T364" s="6" t="s">
        <v>944</v>
      </c>
      <c r="U364" s="6">
        <v>2005</v>
      </c>
      <c r="V364" s="6">
        <v>1</v>
      </c>
      <c r="AD364" s="6" t="s">
        <v>45</v>
      </c>
      <c r="AJ364" s="31" t="s">
        <v>2123</v>
      </c>
      <c r="AK364" s="6">
        <v>1</v>
      </c>
      <c r="AL364" s="26">
        <v>2500000</v>
      </c>
      <c r="AM364" s="26">
        <v>2500000</v>
      </c>
      <c r="AN364" s="26">
        <v>2500000</v>
      </c>
      <c r="AO364" s="6" t="s">
        <v>2003</v>
      </c>
      <c r="AQ364" s="6" t="s">
        <v>1272</v>
      </c>
      <c r="AU364" s="6">
        <v>224490</v>
      </c>
    </row>
    <row r="365" spans="1:47" x14ac:dyDescent="0.3">
      <c r="A365" s="28" t="s">
        <v>42</v>
      </c>
      <c r="B365" s="6" t="s">
        <v>2187</v>
      </c>
      <c r="C365" s="6" t="s">
        <v>1972</v>
      </c>
      <c r="D365" s="6" t="s">
        <v>2105</v>
      </c>
      <c r="E365" s="6">
        <v>1</v>
      </c>
      <c r="F365" s="6" t="s">
        <v>2004</v>
      </c>
      <c r="G365" s="6" t="s">
        <v>2005</v>
      </c>
      <c r="H365" s="6" t="s">
        <v>2005</v>
      </c>
      <c r="I365" s="6" t="str">
        <f t="shared" si="10"/>
        <v>Stone Grapple</v>
      </c>
      <c r="J365" s="6" t="s">
        <v>203</v>
      </c>
      <c r="K365" s="6">
        <v>1</v>
      </c>
      <c r="P365" s="6">
        <f t="shared" si="11"/>
        <v>5800000</v>
      </c>
      <c r="R365" s="6" t="s">
        <v>2003</v>
      </c>
      <c r="T365" s="6" t="s">
        <v>945</v>
      </c>
      <c r="U365" s="6">
        <v>2014</v>
      </c>
      <c r="V365" s="6">
        <v>1</v>
      </c>
      <c r="AD365" s="6" t="s">
        <v>45</v>
      </c>
      <c r="AJ365" s="31" t="s">
        <v>2117</v>
      </c>
      <c r="AK365" s="6">
        <v>1</v>
      </c>
      <c r="AL365" s="26">
        <v>5300000</v>
      </c>
      <c r="AM365" s="26">
        <v>5300000</v>
      </c>
      <c r="AN365" s="26">
        <v>5300000</v>
      </c>
      <c r="AO365" s="6" t="s">
        <v>2003</v>
      </c>
      <c r="AQ365" s="6" t="s">
        <v>1240</v>
      </c>
      <c r="AU365" s="6">
        <v>224491</v>
      </c>
    </row>
    <row r="366" spans="1:47" x14ac:dyDescent="0.3">
      <c r="A366" s="28" t="s">
        <v>42</v>
      </c>
      <c r="B366" s="6" t="s">
        <v>2187</v>
      </c>
      <c r="C366" s="6" t="s">
        <v>1974</v>
      </c>
      <c r="D366" s="6" t="s">
        <v>2104</v>
      </c>
      <c r="E366" s="6">
        <v>1</v>
      </c>
      <c r="F366" s="6" t="s">
        <v>2004</v>
      </c>
      <c r="G366" s="6" t="s">
        <v>2005</v>
      </c>
      <c r="H366" s="6" t="s">
        <v>2005</v>
      </c>
      <c r="I366" s="6" t="str">
        <f t="shared" si="10"/>
        <v>Etc Grapple</v>
      </c>
      <c r="J366" s="6" t="s">
        <v>590</v>
      </c>
      <c r="K366" s="6">
        <v>1</v>
      </c>
      <c r="P366" s="6">
        <f t="shared" si="11"/>
        <v>6000000</v>
      </c>
      <c r="R366" s="6" t="s">
        <v>2003</v>
      </c>
      <c r="T366" s="6" t="s">
        <v>789</v>
      </c>
      <c r="U366" s="6">
        <v>2014</v>
      </c>
      <c r="V366" s="6">
        <v>1</v>
      </c>
      <c r="AD366" s="6" t="s">
        <v>45</v>
      </c>
      <c r="AJ366" s="31" t="s">
        <v>2122</v>
      </c>
      <c r="AK366" s="6">
        <v>1</v>
      </c>
      <c r="AL366" s="26">
        <v>5500000</v>
      </c>
      <c r="AM366" s="26">
        <v>5500000</v>
      </c>
      <c r="AN366" s="26">
        <v>5500000</v>
      </c>
      <c r="AO366" s="6" t="s">
        <v>2003</v>
      </c>
      <c r="AQ366" s="6" t="s">
        <v>65</v>
      </c>
      <c r="AU366" s="6">
        <v>224492</v>
      </c>
    </row>
    <row r="367" spans="1:47" x14ac:dyDescent="0.3">
      <c r="A367" s="28" t="s">
        <v>42</v>
      </c>
      <c r="B367" s="6" t="s">
        <v>2186</v>
      </c>
      <c r="C367" s="6" t="s">
        <v>1980</v>
      </c>
      <c r="D367" s="6" t="s">
        <v>2100</v>
      </c>
      <c r="E367" s="6">
        <v>1</v>
      </c>
      <c r="F367" s="6" t="s">
        <v>2004</v>
      </c>
      <c r="G367" s="6" t="s">
        <v>2005</v>
      </c>
      <c r="H367" s="6" t="s">
        <v>2005</v>
      </c>
      <c r="I367" s="6" t="str">
        <f t="shared" si="10"/>
        <v>Small Bucket</v>
      </c>
      <c r="J367" s="6" t="s">
        <v>328</v>
      </c>
      <c r="K367" s="6">
        <v>1</v>
      </c>
      <c r="P367" s="6">
        <f t="shared" si="11"/>
        <v>270000</v>
      </c>
      <c r="R367" s="6" t="s">
        <v>2003</v>
      </c>
      <c r="T367" s="6" t="s">
        <v>790</v>
      </c>
      <c r="U367" s="6">
        <v>2016</v>
      </c>
      <c r="V367" s="6">
        <v>1</v>
      </c>
      <c r="AD367" s="6" t="s">
        <v>45</v>
      </c>
      <c r="AJ367" s="31" t="s">
        <v>2112</v>
      </c>
      <c r="AK367" s="6">
        <v>1</v>
      </c>
      <c r="AL367" s="26">
        <v>220000</v>
      </c>
      <c r="AM367" s="26">
        <v>220000</v>
      </c>
      <c r="AN367" s="26">
        <v>220000</v>
      </c>
      <c r="AO367" s="6" t="s">
        <v>2003</v>
      </c>
      <c r="AQ367" s="6" t="s">
        <v>1142</v>
      </c>
      <c r="AU367" s="6">
        <v>224496</v>
      </c>
    </row>
    <row r="368" spans="1:47" x14ac:dyDescent="0.3">
      <c r="A368" s="28" t="s">
        <v>42</v>
      </c>
      <c r="B368" s="6" t="s">
        <v>2191</v>
      </c>
      <c r="C368" s="6" t="s">
        <v>1975</v>
      </c>
      <c r="D368" s="6" t="s">
        <v>2104</v>
      </c>
      <c r="E368" s="6">
        <v>1</v>
      </c>
      <c r="F368" s="6" t="s">
        <v>2004</v>
      </c>
      <c r="G368" s="6" t="s">
        <v>2005</v>
      </c>
      <c r="H368" s="6" t="s">
        <v>2005</v>
      </c>
      <c r="I368" s="6" t="str">
        <f t="shared" si="10"/>
        <v>Side Breaker</v>
      </c>
      <c r="J368" s="6" t="s">
        <v>119</v>
      </c>
      <c r="K368" s="6">
        <v>1</v>
      </c>
      <c r="P368" s="6">
        <f t="shared" si="11"/>
        <v>4700000</v>
      </c>
      <c r="R368" s="6" t="s">
        <v>2003</v>
      </c>
      <c r="T368" s="6" t="s">
        <v>70</v>
      </c>
      <c r="U368" s="6">
        <v>2015</v>
      </c>
      <c r="V368" s="6">
        <v>1</v>
      </c>
      <c r="AD368" s="6" t="s">
        <v>45</v>
      </c>
      <c r="AJ368" s="31" t="s">
        <v>2113</v>
      </c>
      <c r="AK368" s="6">
        <v>1</v>
      </c>
      <c r="AL368" s="26">
        <v>4500000</v>
      </c>
      <c r="AM368" s="26">
        <v>4500000</v>
      </c>
      <c r="AN368" s="26">
        <v>4500000</v>
      </c>
      <c r="AO368" s="6" t="s">
        <v>2003</v>
      </c>
      <c r="AQ368" s="6" t="s">
        <v>71</v>
      </c>
      <c r="AU368" s="6">
        <v>224517</v>
      </c>
    </row>
    <row r="369" spans="1:47" x14ac:dyDescent="0.3">
      <c r="A369" s="28" t="s">
        <v>42</v>
      </c>
      <c r="B369" s="6" t="s">
        <v>2186</v>
      </c>
      <c r="C369" s="6" t="s">
        <v>1976</v>
      </c>
      <c r="D369" s="6" t="s">
        <v>2103</v>
      </c>
      <c r="E369" s="6">
        <v>1</v>
      </c>
      <c r="F369" s="6" t="s">
        <v>2004</v>
      </c>
      <c r="G369" s="6" t="s">
        <v>2005</v>
      </c>
      <c r="H369" s="6" t="s">
        <v>2005</v>
      </c>
      <c r="I369" s="6" t="str">
        <f t="shared" si="10"/>
        <v>Skeleton Bucket</v>
      </c>
      <c r="J369" s="6" t="s">
        <v>537</v>
      </c>
      <c r="K369" s="6">
        <v>1</v>
      </c>
      <c r="P369" s="6">
        <f t="shared" si="11"/>
        <v>900000</v>
      </c>
      <c r="R369" s="6" t="s">
        <v>2003</v>
      </c>
      <c r="T369" s="6" t="s">
        <v>823</v>
      </c>
      <c r="U369" s="6">
        <v>2013</v>
      </c>
      <c r="V369" s="6">
        <v>1</v>
      </c>
      <c r="AD369" s="6" t="s">
        <v>45</v>
      </c>
      <c r="AJ369" s="31" t="s">
        <v>2113</v>
      </c>
      <c r="AK369" s="6">
        <v>1</v>
      </c>
      <c r="AL369" s="26">
        <v>800000</v>
      </c>
      <c r="AM369" s="26">
        <v>800000</v>
      </c>
      <c r="AN369" s="26">
        <v>800000</v>
      </c>
      <c r="AO369" s="6" t="s">
        <v>2003</v>
      </c>
      <c r="AQ369" s="6" t="s">
        <v>49</v>
      </c>
      <c r="AU369" s="6">
        <v>224520</v>
      </c>
    </row>
    <row r="370" spans="1:47" x14ac:dyDescent="0.3">
      <c r="A370" s="28" t="s">
        <v>42</v>
      </c>
      <c r="B370" s="6" t="s">
        <v>2185</v>
      </c>
      <c r="D370" s="6" t="s">
        <v>2101</v>
      </c>
      <c r="E370" s="6">
        <v>1</v>
      </c>
      <c r="F370" s="6" t="s">
        <v>2004</v>
      </c>
      <c r="G370" s="6" t="s">
        <v>2005</v>
      </c>
      <c r="H370" s="6" t="s">
        <v>2005</v>
      </c>
      <c r="I370" s="6" t="str">
        <f t="shared" si="10"/>
        <v>ETC</v>
      </c>
      <c r="J370" s="6" t="s">
        <v>363</v>
      </c>
      <c r="K370" s="6">
        <v>1</v>
      </c>
      <c r="P370" s="6">
        <f t="shared" si="11"/>
        <v>13500000</v>
      </c>
      <c r="R370" s="6" t="s">
        <v>2003</v>
      </c>
      <c r="T370" s="6" t="s">
        <v>840</v>
      </c>
      <c r="U370" s="6">
        <v>2010</v>
      </c>
      <c r="V370" s="6">
        <v>1</v>
      </c>
      <c r="AD370" s="6" t="s">
        <v>45</v>
      </c>
      <c r="AJ370" s="31" t="s">
        <v>2117</v>
      </c>
      <c r="AK370" s="6">
        <v>1</v>
      </c>
      <c r="AL370" s="26">
        <v>13000000</v>
      </c>
      <c r="AM370" s="26">
        <v>13000000</v>
      </c>
      <c r="AN370" s="26">
        <v>13000000</v>
      </c>
      <c r="AO370" s="6" t="s">
        <v>2003</v>
      </c>
      <c r="AQ370" s="6" t="s">
        <v>1145</v>
      </c>
      <c r="AU370" s="6">
        <v>224528</v>
      </c>
    </row>
    <row r="371" spans="1:47" x14ac:dyDescent="0.3">
      <c r="A371" s="28" t="s">
        <v>42</v>
      </c>
      <c r="B371" s="6" t="s">
        <v>2187</v>
      </c>
      <c r="C371" s="19" t="s">
        <v>2206</v>
      </c>
      <c r="D371" s="6" t="s">
        <v>2002</v>
      </c>
      <c r="E371" s="6">
        <v>1</v>
      </c>
      <c r="F371" s="6" t="s">
        <v>2004</v>
      </c>
      <c r="G371" s="6" t="s">
        <v>2005</v>
      </c>
      <c r="H371" s="6" t="s">
        <v>2005</v>
      </c>
      <c r="I371" s="6" t="str">
        <f t="shared" si="10"/>
        <v>Etc Grapple</v>
      </c>
      <c r="J371" s="6" t="s">
        <v>241</v>
      </c>
      <c r="K371" s="6">
        <v>1</v>
      </c>
      <c r="P371" s="6">
        <f t="shared" si="11"/>
        <v>1950000</v>
      </c>
      <c r="R371" s="6" t="s">
        <v>2003</v>
      </c>
      <c r="T371" s="6" t="s">
        <v>51</v>
      </c>
      <c r="U371" s="6">
        <v>2014</v>
      </c>
      <c r="V371" s="6">
        <v>1</v>
      </c>
      <c r="AD371" s="6" t="s">
        <v>45</v>
      </c>
      <c r="AJ371" s="31" t="s">
        <v>2113</v>
      </c>
      <c r="AK371" s="6">
        <v>1</v>
      </c>
      <c r="AL371" s="26">
        <v>1850000</v>
      </c>
      <c r="AM371" s="26">
        <v>1850000</v>
      </c>
      <c r="AN371" s="26">
        <v>1850000</v>
      </c>
      <c r="AO371" s="6" t="s">
        <v>2003</v>
      </c>
      <c r="AQ371" s="6" t="s">
        <v>49</v>
      </c>
      <c r="AU371" s="6">
        <v>224534</v>
      </c>
    </row>
    <row r="372" spans="1:47" hidden="1" x14ac:dyDescent="0.3">
      <c r="A372" s="28" t="s">
        <v>42</v>
      </c>
      <c r="B372" s="6" t="s">
        <v>2185</v>
      </c>
      <c r="E372" s="6">
        <v>1</v>
      </c>
      <c r="F372" s="6" t="s">
        <v>2004</v>
      </c>
      <c r="G372" s="6" t="s">
        <v>2005</v>
      </c>
      <c r="H372" s="6" t="s">
        <v>2005</v>
      </c>
      <c r="I372" s="6" t="str">
        <f t="shared" si="10"/>
        <v>ETC</v>
      </c>
      <c r="J372" s="6" t="s">
        <v>111</v>
      </c>
      <c r="K372" s="6">
        <v>1</v>
      </c>
      <c r="P372" s="6">
        <f t="shared" si="11"/>
        <v>8500000</v>
      </c>
      <c r="R372" s="6" t="s">
        <v>2003</v>
      </c>
      <c r="T372" s="6" t="s">
        <v>947</v>
      </c>
      <c r="U372" s="6">
        <v>2014</v>
      </c>
      <c r="V372" s="6">
        <v>9</v>
      </c>
      <c r="AD372" s="6" t="s">
        <v>45</v>
      </c>
      <c r="AJ372" s="31" t="s">
        <v>2114</v>
      </c>
      <c r="AK372" s="6">
        <v>1</v>
      </c>
      <c r="AL372" s="26">
        <v>8000000</v>
      </c>
      <c r="AM372" s="26">
        <v>8000000</v>
      </c>
      <c r="AN372" s="26">
        <v>8000000</v>
      </c>
      <c r="AO372" s="6" t="s">
        <v>2003</v>
      </c>
      <c r="AQ372" s="6" t="s">
        <v>57</v>
      </c>
      <c r="AU372" s="6">
        <v>224538</v>
      </c>
    </row>
    <row r="373" spans="1:47" hidden="1" x14ac:dyDescent="0.3">
      <c r="A373" s="28" t="s">
        <v>42</v>
      </c>
      <c r="B373" s="6" t="s">
        <v>2191</v>
      </c>
      <c r="C373" s="6" t="s">
        <v>1975</v>
      </c>
      <c r="E373" s="6">
        <v>1</v>
      </c>
      <c r="F373" s="6" t="s">
        <v>2004</v>
      </c>
      <c r="G373" s="6" t="s">
        <v>2005</v>
      </c>
      <c r="H373" s="6" t="s">
        <v>2005</v>
      </c>
      <c r="I373" s="6" t="str">
        <f t="shared" si="10"/>
        <v>Side Breaker</v>
      </c>
      <c r="J373" s="6" t="s">
        <v>567</v>
      </c>
      <c r="K373" s="6">
        <v>1</v>
      </c>
      <c r="P373" s="6">
        <f t="shared" si="11"/>
        <v>12500000</v>
      </c>
      <c r="R373" s="6" t="s">
        <v>2003</v>
      </c>
      <c r="T373" s="6" t="s">
        <v>798</v>
      </c>
      <c r="U373" s="6">
        <v>2016</v>
      </c>
      <c r="V373" s="6">
        <v>1</v>
      </c>
      <c r="AD373" s="6" t="s">
        <v>45</v>
      </c>
      <c r="AJ373" s="31" t="s">
        <v>2113</v>
      </c>
      <c r="AK373" s="6">
        <v>1</v>
      </c>
      <c r="AL373" s="26">
        <v>12000000</v>
      </c>
      <c r="AM373" s="26">
        <v>12000000</v>
      </c>
      <c r="AN373" s="26">
        <v>12000000</v>
      </c>
      <c r="AO373" s="6" t="s">
        <v>2003</v>
      </c>
      <c r="AQ373" s="6" t="s">
        <v>71</v>
      </c>
      <c r="AU373" s="6">
        <v>224544</v>
      </c>
    </row>
    <row r="374" spans="1:47" x14ac:dyDescent="0.3">
      <c r="A374" s="28" t="s">
        <v>42</v>
      </c>
      <c r="B374" s="6" t="s">
        <v>2187</v>
      </c>
      <c r="C374" s="19" t="s">
        <v>2206</v>
      </c>
      <c r="D374" s="6" t="s">
        <v>2106</v>
      </c>
      <c r="E374" s="6">
        <v>1</v>
      </c>
      <c r="F374" s="6" t="s">
        <v>2004</v>
      </c>
      <c r="G374" s="6" t="s">
        <v>2005</v>
      </c>
      <c r="H374" s="6" t="s">
        <v>2005</v>
      </c>
      <c r="I374" s="6" t="str">
        <f t="shared" si="10"/>
        <v>Etc Grapple</v>
      </c>
      <c r="J374" s="6" t="s">
        <v>335</v>
      </c>
      <c r="K374" s="6">
        <v>1</v>
      </c>
      <c r="P374" s="6">
        <f t="shared" si="11"/>
        <v>2250000</v>
      </c>
      <c r="R374" s="6" t="s">
        <v>2003</v>
      </c>
      <c r="T374" s="6" t="s">
        <v>2007</v>
      </c>
      <c r="U374" s="6">
        <v>2016</v>
      </c>
      <c r="V374" s="6">
        <v>1</v>
      </c>
      <c r="AD374" s="6" t="s">
        <v>45</v>
      </c>
      <c r="AJ374" s="31" t="s">
        <v>2113</v>
      </c>
      <c r="AK374" s="6">
        <v>1</v>
      </c>
      <c r="AL374" s="26">
        <v>2050000</v>
      </c>
      <c r="AM374" s="26">
        <v>2050000</v>
      </c>
      <c r="AN374" s="26">
        <v>2050000</v>
      </c>
      <c r="AO374" s="6" t="s">
        <v>2003</v>
      </c>
      <c r="AQ374" s="6" t="s">
        <v>49</v>
      </c>
      <c r="AU374" s="6">
        <v>224545</v>
      </c>
    </row>
    <row r="375" spans="1:47" x14ac:dyDescent="0.3">
      <c r="A375" s="28" t="s">
        <v>42</v>
      </c>
      <c r="B375" s="6" t="s">
        <v>2185</v>
      </c>
      <c r="D375" s="6" t="s">
        <v>2105</v>
      </c>
      <c r="E375" s="6">
        <v>1</v>
      </c>
      <c r="F375" s="6" t="s">
        <v>2004</v>
      </c>
      <c r="G375" s="6" t="s">
        <v>2005</v>
      </c>
      <c r="H375" s="6" t="s">
        <v>2005</v>
      </c>
      <c r="I375" s="6" t="str">
        <f t="shared" si="10"/>
        <v>ETC</v>
      </c>
      <c r="J375" s="6" t="s">
        <v>497</v>
      </c>
      <c r="K375" s="6">
        <v>1</v>
      </c>
      <c r="P375" s="6">
        <f t="shared" si="11"/>
        <v>8500000</v>
      </c>
      <c r="R375" s="6" t="s">
        <v>2003</v>
      </c>
      <c r="T375" s="6" t="s">
        <v>1860</v>
      </c>
      <c r="U375" s="6">
        <v>2014</v>
      </c>
      <c r="V375" s="6">
        <v>1</v>
      </c>
      <c r="AD375" s="6" t="s">
        <v>45</v>
      </c>
      <c r="AJ375" s="31" t="s">
        <v>2121</v>
      </c>
      <c r="AK375" s="6">
        <v>1</v>
      </c>
      <c r="AL375" s="26">
        <v>8000000</v>
      </c>
      <c r="AM375" s="26">
        <v>8000000</v>
      </c>
      <c r="AN375" s="26">
        <v>8000000</v>
      </c>
      <c r="AO375" s="6" t="s">
        <v>2003</v>
      </c>
      <c r="AQ375" s="6" t="s">
        <v>1265</v>
      </c>
      <c r="AU375" s="6">
        <v>224547</v>
      </c>
    </row>
    <row r="376" spans="1:47" x14ac:dyDescent="0.3">
      <c r="A376" s="28" t="s">
        <v>42</v>
      </c>
      <c r="B376" s="6" t="s">
        <v>2187</v>
      </c>
      <c r="C376" s="19" t="s">
        <v>2206</v>
      </c>
      <c r="D376" s="6" t="s">
        <v>2104</v>
      </c>
      <c r="E376" s="6">
        <v>1</v>
      </c>
      <c r="F376" s="6" t="s">
        <v>2004</v>
      </c>
      <c r="G376" s="6" t="s">
        <v>2005</v>
      </c>
      <c r="H376" s="6" t="s">
        <v>2005</v>
      </c>
      <c r="I376" s="6" t="str">
        <f t="shared" si="10"/>
        <v>Etc Grapple</v>
      </c>
      <c r="J376" s="6" t="s">
        <v>297</v>
      </c>
      <c r="K376" s="6">
        <v>1</v>
      </c>
      <c r="P376" s="6">
        <f t="shared" si="11"/>
        <v>2600000</v>
      </c>
      <c r="R376" s="6" t="s">
        <v>2003</v>
      </c>
      <c r="T376" s="6" t="s">
        <v>902</v>
      </c>
      <c r="U376" s="6">
        <v>2014</v>
      </c>
      <c r="V376" s="6">
        <v>1</v>
      </c>
      <c r="AD376" s="6" t="s">
        <v>45</v>
      </c>
      <c r="AJ376" s="31" t="s">
        <v>2112</v>
      </c>
      <c r="AK376" s="6">
        <v>1</v>
      </c>
      <c r="AL376" s="26">
        <v>2400000</v>
      </c>
      <c r="AM376" s="26">
        <v>2400000</v>
      </c>
      <c r="AN376" s="26">
        <v>2400000</v>
      </c>
      <c r="AO376" s="6" t="s">
        <v>2003</v>
      </c>
      <c r="AQ376" s="6" t="s">
        <v>1192</v>
      </c>
      <c r="AU376" s="6">
        <v>224551</v>
      </c>
    </row>
    <row r="377" spans="1:47" x14ac:dyDescent="0.3">
      <c r="A377" s="28" t="s">
        <v>42</v>
      </c>
      <c r="B377" s="6" t="s">
        <v>2189</v>
      </c>
      <c r="D377" s="6" t="s">
        <v>2103</v>
      </c>
      <c r="E377" s="6">
        <v>1</v>
      </c>
      <c r="F377" s="6" t="s">
        <v>2004</v>
      </c>
      <c r="G377" s="6" t="s">
        <v>2005</v>
      </c>
      <c r="H377" s="6" t="s">
        <v>2005</v>
      </c>
      <c r="I377" s="6" t="str">
        <f t="shared" si="10"/>
        <v>Quick Coupler</v>
      </c>
      <c r="J377" s="6" t="s">
        <v>734</v>
      </c>
      <c r="K377" s="6">
        <v>1</v>
      </c>
      <c r="P377" s="6">
        <f t="shared" si="11"/>
        <v>900000</v>
      </c>
      <c r="R377" s="6" t="s">
        <v>2003</v>
      </c>
      <c r="T377" s="6" t="s">
        <v>1861</v>
      </c>
      <c r="U377" s="6">
        <v>2007</v>
      </c>
      <c r="V377" s="6">
        <v>1</v>
      </c>
      <c r="AD377" s="6" t="s">
        <v>45</v>
      </c>
      <c r="AJ377" s="31" t="s">
        <v>2123</v>
      </c>
      <c r="AK377" s="6">
        <v>1</v>
      </c>
      <c r="AL377" s="26">
        <v>800000</v>
      </c>
      <c r="AM377" s="26">
        <v>800000</v>
      </c>
      <c r="AN377" s="26">
        <v>800000</v>
      </c>
      <c r="AO377" s="6" t="s">
        <v>2003</v>
      </c>
      <c r="AQ377" s="6" t="s">
        <v>1157</v>
      </c>
      <c r="AU377" s="6">
        <v>224552</v>
      </c>
    </row>
    <row r="378" spans="1:47" x14ac:dyDescent="0.3">
      <c r="A378" s="28" t="s">
        <v>42</v>
      </c>
      <c r="B378" s="6" t="s">
        <v>2185</v>
      </c>
      <c r="D378" s="6" t="s">
        <v>2101</v>
      </c>
      <c r="E378" s="6">
        <v>1</v>
      </c>
      <c r="F378" s="6" t="s">
        <v>2004</v>
      </c>
      <c r="G378" s="6" t="s">
        <v>2005</v>
      </c>
      <c r="H378" s="6" t="s">
        <v>2005</v>
      </c>
      <c r="I378" s="6" t="str">
        <f t="shared" si="10"/>
        <v>ETC</v>
      </c>
      <c r="J378" s="6" t="s">
        <v>173</v>
      </c>
      <c r="K378" s="6">
        <v>1</v>
      </c>
      <c r="P378" s="6">
        <f t="shared" si="11"/>
        <v>8500000</v>
      </c>
      <c r="R378" s="6" t="s">
        <v>2003</v>
      </c>
      <c r="T378" s="6" t="s">
        <v>792</v>
      </c>
      <c r="U378" s="6">
        <v>2007</v>
      </c>
      <c r="V378" s="6">
        <v>1</v>
      </c>
      <c r="AD378" s="6" t="s">
        <v>45</v>
      </c>
      <c r="AJ378" s="31" t="s">
        <v>2117</v>
      </c>
      <c r="AK378" s="6">
        <v>1</v>
      </c>
      <c r="AL378" s="26">
        <v>8000000</v>
      </c>
      <c r="AM378" s="26">
        <v>8000000</v>
      </c>
      <c r="AN378" s="26">
        <v>8000000</v>
      </c>
      <c r="AO378" s="6" t="s">
        <v>2003</v>
      </c>
      <c r="AQ378" s="6" t="s">
        <v>1179</v>
      </c>
      <c r="AU378" s="6">
        <v>224558</v>
      </c>
    </row>
    <row r="379" spans="1:47" x14ac:dyDescent="0.3">
      <c r="A379" s="28" t="s">
        <v>42</v>
      </c>
      <c r="B379" s="6" t="s">
        <v>2185</v>
      </c>
      <c r="D379" s="6" t="s">
        <v>2101</v>
      </c>
      <c r="E379" s="6">
        <v>1</v>
      </c>
      <c r="F379" s="6" t="s">
        <v>2004</v>
      </c>
      <c r="G379" s="6" t="s">
        <v>2005</v>
      </c>
      <c r="H379" s="6" t="s">
        <v>2005</v>
      </c>
      <c r="I379" s="6" t="str">
        <f t="shared" si="10"/>
        <v>ETC</v>
      </c>
      <c r="J379" s="6" t="s">
        <v>539</v>
      </c>
      <c r="K379" s="6">
        <v>1</v>
      </c>
      <c r="P379" s="6">
        <f t="shared" si="11"/>
        <v>10500000</v>
      </c>
      <c r="R379" s="6" t="s">
        <v>2003</v>
      </c>
      <c r="T379" s="6" t="s">
        <v>949</v>
      </c>
      <c r="U379" s="6">
        <v>2012</v>
      </c>
      <c r="V379" s="6">
        <v>8</v>
      </c>
      <c r="AD379" s="6" t="s">
        <v>45</v>
      </c>
      <c r="AJ379" s="31" t="s">
        <v>2110</v>
      </c>
      <c r="AK379" s="6">
        <v>1</v>
      </c>
      <c r="AL379" s="26">
        <v>10000000</v>
      </c>
      <c r="AM379" s="26">
        <v>10000000</v>
      </c>
      <c r="AN379" s="26">
        <v>10000000</v>
      </c>
      <c r="AO379" s="6" t="s">
        <v>2003</v>
      </c>
      <c r="AQ379" s="6" t="s">
        <v>1274</v>
      </c>
      <c r="AU379" s="6">
        <v>224559</v>
      </c>
    </row>
    <row r="380" spans="1:47" x14ac:dyDescent="0.3">
      <c r="A380" s="28" t="s">
        <v>42</v>
      </c>
      <c r="B380" s="6" t="s">
        <v>2193</v>
      </c>
      <c r="D380" s="6" t="s">
        <v>2105</v>
      </c>
      <c r="E380" s="6">
        <v>1</v>
      </c>
      <c r="F380" s="6" t="s">
        <v>2004</v>
      </c>
      <c r="G380" s="6" t="s">
        <v>2005</v>
      </c>
      <c r="H380" s="6" t="s">
        <v>2005</v>
      </c>
      <c r="I380" s="6" t="str">
        <f t="shared" si="10"/>
        <v>Ripper</v>
      </c>
      <c r="J380" s="6" t="s">
        <v>540</v>
      </c>
      <c r="K380" s="6">
        <v>1</v>
      </c>
      <c r="P380" s="6">
        <f t="shared" si="11"/>
        <v>1700000</v>
      </c>
      <c r="R380" s="6" t="s">
        <v>2003</v>
      </c>
      <c r="T380" s="6" t="s">
        <v>950</v>
      </c>
      <c r="U380" s="6">
        <v>2016</v>
      </c>
      <c r="V380" s="6">
        <v>1</v>
      </c>
      <c r="AD380" s="6" t="s">
        <v>45</v>
      </c>
      <c r="AJ380" s="31" t="s">
        <v>2121</v>
      </c>
      <c r="AK380" s="6">
        <v>1</v>
      </c>
      <c r="AL380" s="26">
        <v>1600000</v>
      </c>
      <c r="AM380" s="26">
        <v>1600000</v>
      </c>
      <c r="AN380" s="26">
        <v>1600000</v>
      </c>
      <c r="AO380" s="6" t="s">
        <v>2003</v>
      </c>
      <c r="AQ380" s="6" t="s">
        <v>1265</v>
      </c>
      <c r="AU380" s="6">
        <v>224562</v>
      </c>
    </row>
    <row r="381" spans="1:47" x14ac:dyDescent="0.3">
      <c r="A381" s="28" t="s">
        <v>42</v>
      </c>
      <c r="B381" s="6" t="s">
        <v>2183</v>
      </c>
      <c r="D381" s="6" t="s">
        <v>2101</v>
      </c>
      <c r="E381" s="6">
        <v>1</v>
      </c>
      <c r="F381" s="6" t="s">
        <v>2004</v>
      </c>
      <c r="G381" s="6" t="s">
        <v>2005</v>
      </c>
      <c r="H381" s="6" t="s">
        <v>2005</v>
      </c>
      <c r="I381" s="6" t="str">
        <f t="shared" si="10"/>
        <v>ETC</v>
      </c>
      <c r="J381" s="6" t="s">
        <v>126</v>
      </c>
      <c r="K381" s="6">
        <v>1</v>
      </c>
      <c r="P381" s="6">
        <f t="shared" si="11"/>
        <v>11500000</v>
      </c>
      <c r="R381" s="6" t="s">
        <v>2003</v>
      </c>
      <c r="T381" s="6" t="s">
        <v>951</v>
      </c>
      <c r="U381" s="6">
        <v>2012</v>
      </c>
      <c r="V381" s="6">
        <v>4</v>
      </c>
      <c r="AD381" s="6" t="s">
        <v>45</v>
      </c>
      <c r="AJ381" s="31" t="s">
        <v>2111</v>
      </c>
      <c r="AK381" s="6">
        <v>1</v>
      </c>
      <c r="AL381" s="26">
        <v>11000000</v>
      </c>
      <c r="AM381" s="26">
        <v>11000000</v>
      </c>
      <c r="AN381" s="26">
        <v>11000000</v>
      </c>
      <c r="AO381" s="6" t="s">
        <v>2003</v>
      </c>
      <c r="AQ381" s="6" t="s">
        <v>55</v>
      </c>
      <c r="AU381" s="6">
        <v>224568</v>
      </c>
    </row>
    <row r="382" spans="1:47" x14ac:dyDescent="0.3">
      <c r="A382" s="28" t="s">
        <v>42</v>
      </c>
      <c r="B382" s="6" t="s">
        <v>2184</v>
      </c>
      <c r="C382" s="6" t="s">
        <v>1972</v>
      </c>
      <c r="D382" s="6" t="s">
        <v>2104</v>
      </c>
      <c r="E382" s="6">
        <v>1</v>
      </c>
      <c r="F382" s="6" t="s">
        <v>2004</v>
      </c>
      <c r="G382" s="6" t="s">
        <v>2005</v>
      </c>
      <c r="H382" s="6" t="s">
        <v>2005</v>
      </c>
      <c r="I382" s="6" t="str">
        <f t="shared" si="10"/>
        <v>Stone Grapple</v>
      </c>
      <c r="J382" s="6" t="s">
        <v>120</v>
      </c>
      <c r="K382" s="6">
        <v>1</v>
      </c>
      <c r="P382" s="6">
        <f t="shared" si="11"/>
        <v>5600000</v>
      </c>
      <c r="R382" s="6" t="s">
        <v>2003</v>
      </c>
      <c r="T382" s="6" t="s">
        <v>2007</v>
      </c>
      <c r="U382" s="6">
        <v>2014</v>
      </c>
      <c r="V382" s="6">
        <v>1</v>
      </c>
      <c r="AD382" s="6" t="s">
        <v>45</v>
      </c>
      <c r="AJ382" s="31" t="s">
        <v>2113</v>
      </c>
      <c r="AK382" s="6">
        <v>1</v>
      </c>
      <c r="AL382" s="26">
        <v>5100000</v>
      </c>
      <c r="AM382" s="26">
        <v>5100000</v>
      </c>
      <c r="AN382" s="26">
        <v>5100000</v>
      </c>
      <c r="AO382" s="6" t="s">
        <v>2003</v>
      </c>
      <c r="AQ382" s="6" t="s">
        <v>49</v>
      </c>
      <c r="AU382" s="6">
        <v>224569</v>
      </c>
    </row>
    <row r="383" spans="1:47" x14ac:dyDescent="0.3">
      <c r="A383" s="28" t="s">
        <v>42</v>
      </c>
      <c r="B383" s="6" t="s">
        <v>2184</v>
      </c>
      <c r="C383" s="6" t="s">
        <v>1972</v>
      </c>
      <c r="D383" s="6" t="s">
        <v>2104</v>
      </c>
      <c r="E383" s="6">
        <v>1</v>
      </c>
      <c r="F383" s="6" t="s">
        <v>2004</v>
      </c>
      <c r="G383" s="6" t="s">
        <v>2005</v>
      </c>
      <c r="H383" s="6" t="s">
        <v>2005</v>
      </c>
      <c r="I383" s="6" t="str">
        <f t="shared" si="10"/>
        <v>Stone Grapple</v>
      </c>
      <c r="J383" s="6" t="s">
        <v>86</v>
      </c>
      <c r="K383" s="6">
        <v>1</v>
      </c>
      <c r="P383" s="6">
        <f t="shared" si="11"/>
        <v>1800000</v>
      </c>
      <c r="R383" s="6" t="s">
        <v>2003</v>
      </c>
      <c r="T383" s="6" t="s">
        <v>800</v>
      </c>
      <c r="U383" s="6">
        <v>2012</v>
      </c>
      <c r="V383" s="6">
        <v>11</v>
      </c>
      <c r="AD383" s="6" t="s">
        <v>45</v>
      </c>
      <c r="AJ383" s="31" t="s">
        <v>2121</v>
      </c>
      <c r="AK383" s="6">
        <v>1</v>
      </c>
      <c r="AL383" s="26">
        <v>1700000</v>
      </c>
      <c r="AM383" s="26">
        <v>1700000</v>
      </c>
      <c r="AN383" s="26">
        <v>1700000</v>
      </c>
      <c r="AO383" s="6" t="s">
        <v>2003</v>
      </c>
      <c r="AQ383" s="6" t="s">
        <v>87</v>
      </c>
      <c r="AU383" s="6">
        <v>224570</v>
      </c>
    </row>
    <row r="384" spans="1:47" x14ac:dyDescent="0.3">
      <c r="A384" s="28" t="s">
        <v>42</v>
      </c>
      <c r="B384" s="6" t="s">
        <v>2174</v>
      </c>
      <c r="C384" s="6" t="s">
        <v>1975</v>
      </c>
      <c r="D384" s="6" t="s">
        <v>2104</v>
      </c>
      <c r="E384" s="6">
        <v>1</v>
      </c>
      <c r="F384" s="6" t="s">
        <v>2004</v>
      </c>
      <c r="G384" s="6" t="s">
        <v>2005</v>
      </c>
      <c r="H384" s="6" t="s">
        <v>2005</v>
      </c>
      <c r="I384" s="6" t="str">
        <f t="shared" si="10"/>
        <v>Side Breaker</v>
      </c>
      <c r="J384" s="6" t="s">
        <v>541</v>
      </c>
      <c r="K384" s="6">
        <v>1</v>
      </c>
      <c r="P384" s="6">
        <f t="shared" si="11"/>
        <v>3700000</v>
      </c>
      <c r="R384" s="6" t="s">
        <v>2003</v>
      </c>
      <c r="T384" s="6" t="s">
        <v>952</v>
      </c>
      <c r="U384" s="6">
        <v>2013</v>
      </c>
      <c r="V384" s="6">
        <v>1</v>
      </c>
      <c r="AD384" s="6" t="s">
        <v>45</v>
      </c>
      <c r="AJ384" s="31" t="s">
        <v>2118</v>
      </c>
      <c r="AK384" s="6">
        <v>1</v>
      </c>
      <c r="AL384" s="26">
        <v>3500000</v>
      </c>
      <c r="AM384" s="26">
        <v>3500000</v>
      </c>
      <c r="AN384" s="26">
        <v>3500000</v>
      </c>
      <c r="AO384" s="6" t="s">
        <v>2003</v>
      </c>
      <c r="AQ384" s="6" t="s">
        <v>67</v>
      </c>
      <c r="AU384" s="6">
        <v>224575</v>
      </c>
    </row>
    <row r="385" spans="1:47" hidden="1" x14ac:dyDescent="0.3">
      <c r="A385" s="28" t="s">
        <v>42</v>
      </c>
      <c r="B385" s="6" t="s">
        <v>2197</v>
      </c>
      <c r="E385" s="6">
        <v>1</v>
      </c>
      <c r="F385" s="6" t="s">
        <v>2004</v>
      </c>
      <c r="G385" s="6" t="s">
        <v>2005</v>
      </c>
      <c r="H385" s="6" t="s">
        <v>2005</v>
      </c>
      <c r="I385" s="6" t="str">
        <f t="shared" si="10"/>
        <v>Ripper</v>
      </c>
      <c r="J385" s="6" t="s">
        <v>542</v>
      </c>
      <c r="K385" s="6">
        <v>1</v>
      </c>
      <c r="P385" s="6">
        <f t="shared" si="11"/>
        <v>1300000</v>
      </c>
      <c r="R385" s="6" t="s">
        <v>2003</v>
      </c>
      <c r="T385" s="6" t="s">
        <v>953</v>
      </c>
      <c r="U385" s="6">
        <v>2016</v>
      </c>
      <c r="V385" s="6">
        <v>1</v>
      </c>
      <c r="AD385" s="6" t="s">
        <v>45</v>
      </c>
      <c r="AJ385" s="31" t="s">
        <v>2121</v>
      </c>
      <c r="AK385" s="6">
        <v>1</v>
      </c>
      <c r="AL385" s="26">
        <v>1200000</v>
      </c>
      <c r="AM385" s="26">
        <v>1200000</v>
      </c>
      <c r="AN385" s="26">
        <v>1200000</v>
      </c>
      <c r="AO385" s="6" t="s">
        <v>2003</v>
      </c>
      <c r="AQ385" s="6" t="s">
        <v>1265</v>
      </c>
      <c r="AU385" s="6">
        <v>224576</v>
      </c>
    </row>
    <row r="386" spans="1:47" x14ac:dyDescent="0.3">
      <c r="A386" s="28" t="s">
        <v>42</v>
      </c>
      <c r="B386" s="6" t="s">
        <v>2174</v>
      </c>
      <c r="C386" s="6" t="s">
        <v>1975</v>
      </c>
      <c r="D386" s="6" t="s">
        <v>2001</v>
      </c>
      <c r="E386" s="6">
        <v>1</v>
      </c>
      <c r="F386" s="6" t="s">
        <v>2004</v>
      </c>
      <c r="G386" s="6" t="s">
        <v>2005</v>
      </c>
      <c r="H386" s="6" t="s">
        <v>2005</v>
      </c>
      <c r="I386" s="6" t="str">
        <f t="shared" ref="I386:I449" si="12">IF(ISBLANK(C386),B386,C386)</f>
        <v>Side Breaker</v>
      </c>
      <c r="J386" s="6" t="s">
        <v>163</v>
      </c>
      <c r="K386" s="6">
        <v>1</v>
      </c>
      <c r="P386" s="6">
        <f t="shared" si="11"/>
        <v>10000000</v>
      </c>
      <c r="R386" s="6" t="s">
        <v>2003</v>
      </c>
      <c r="T386" s="6" t="s">
        <v>954</v>
      </c>
      <c r="U386" s="6">
        <v>2013</v>
      </c>
      <c r="V386" s="6">
        <v>7</v>
      </c>
      <c r="AD386" s="6" t="s">
        <v>45</v>
      </c>
      <c r="AJ386" s="31" t="s">
        <v>2118</v>
      </c>
      <c r="AK386" s="6">
        <v>1</v>
      </c>
      <c r="AL386" s="26">
        <v>9500000</v>
      </c>
      <c r="AM386" s="26">
        <v>9500000</v>
      </c>
      <c r="AN386" s="26">
        <v>9500000</v>
      </c>
      <c r="AO386" s="6" t="s">
        <v>2003</v>
      </c>
      <c r="AQ386" s="6" t="s">
        <v>67</v>
      </c>
      <c r="AU386" s="6">
        <v>224578</v>
      </c>
    </row>
    <row r="387" spans="1:47" x14ac:dyDescent="0.3">
      <c r="A387" s="28" t="s">
        <v>42</v>
      </c>
      <c r="B387" s="6" t="s">
        <v>2192</v>
      </c>
      <c r="D387" s="6" t="s">
        <v>2105</v>
      </c>
      <c r="E387" s="6">
        <v>1</v>
      </c>
      <c r="F387" s="6" t="s">
        <v>2004</v>
      </c>
      <c r="G387" s="6" t="s">
        <v>2005</v>
      </c>
      <c r="H387" s="6" t="s">
        <v>2005</v>
      </c>
      <c r="I387" s="6" t="str">
        <f t="shared" si="12"/>
        <v>Lift Fork</v>
      </c>
      <c r="J387" s="6" t="s">
        <v>277</v>
      </c>
      <c r="K387" s="6">
        <v>1</v>
      </c>
      <c r="P387" s="6">
        <f t="shared" ref="P387:P450" si="13">IF(AM387&lt;500000,AM387+50000,IF(AND(AM387&gt;=500000,AM387&lt;2000000),AM387+100000,IF(AND(AM387&gt;=2000000,AM387&lt;5000000),AM387+200000,IF(AM387&gt;=5000000,AM387+500000,AM387))))</f>
        <v>2500000</v>
      </c>
      <c r="R387" s="6" t="s">
        <v>2003</v>
      </c>
      <c r="T387" s="6" t="s">
        <v>2048</v>
      </c>
      <c r="U387" s="6">
        <v>2017</v>
      </c>
      <c r="V387" s="6">
        <v>1</v>
      </c>
      <c r="AD387" s="6" t="s">
        <v>45</v>
      </c>
      <c r="AJ387" s="31" t="s">
        <v>2110</v>
      </c>
      <c r="AK387" s="6">
        <v>1</v>
      </c>
      <c r="AL387" s="26">
        <v>2300000</v>
      </c>
      <c r="AM387" s="26">
        <v>2300000</v>
      </c>
      <c r="AN387" s="26">
        <v>2300000</v>
      </c>
      <c r="AO387" s="6" t="s">
        <v>2003</v>
      </c>
      <c r="AQ387" s="6" t="s">
        <v>1155</v>
      </c>
      <c r="AU387" s="6">
        <v>224579</v>
      </c>
    </row>
    <row r="388" spans="1:47" x14ac:dyDescent="0.3">
      <c r="A388" s="28" t="s">
        <v>42</v>
      </c>
      <c r="B388" s="6" t="s">
        <v>2174</v>
      </c>
      <c r="C388" s="6" t="s">
        <v>1975</v>
      </c>
      <c r="D388" s="6" t="s">
        <v>2104</v>
      </c>
      <c r="E388" s="6">
        <v>1</v>
      </c>
      <c r="F388" s="6" t="s">
        <v>2004</v>
      </c>
      <c r="G388" s="6" t="s">
        <v>2005</v>
      </c>
      <c r="H388" s="6" t="s">
        <v>2005</v>
      </c>
      <c r="I388" s="6" t="str">
        <f t="shared" si="12"/>
        <v>Side Breaker</v>
      </c>
      <c r="J388" s="6" t="s">
        <v>119</v>
      </c>
      <c r="K388" s="6">
        <v>1</v>
      </c>
      <c r="P388" s="6">
        <f t="shared" si="13"/>
        <v>3000000</v>
      </c>
      <c r="R388" s="6" t="s">
        <v>2003</v>
      </c>
      <c r="T388" s="6" t="s">
        <v>2007</v>
      </c>
      <c r="U388" s="6">
        <v>2012</v>
      </c>
      <c r="V388" s="6">
        <v>1</v>
      </c>
      <c r="AD388" s="6" t="s">
        <v>45</v>
      </c>
      <c r="AJ388" s="31" t="s">
        <v>2113</v>
      </c>
      <c r="AK388" s="6">
        <v>1</v>
      </c>
      <c r="AL388" s="26">
        <v>2800000</v>
      </c>
      <c r="AM388" s="26">
        <v>2800000</v>
      </c>
      <c r="AN388" s="26">
        <v>2800000</v>
      </c>
      <c r="AO388" s="6" t="s">
        <v>2003</v>
      </c>
      <c r="AQ388" s="6" t="s">
        <v>49</v>
      </c>
      <c r="AU388" s="6">
        <v>224581</v>
      </c>
    </row>
    <row r="389" spans="1:47" x14ac:dyDescent="0.3">
      <c r="A389" s="28" t="s">
        <v>42</v>
      </c>
      <c r="B389" s="6" t="s">
        <v>2174</v>
      </c>
      <c r="C389" s="6" t="s">
        <v>1975</v>
      </c>
      <c r="D389" s="6" t="s">
        <v>2100</v>
      </c>
      <c r="E389" s="6">
        <v>1</v>
      </c>
      <c r="F389" s="6" t="s">
        <v>2004</v>
      </c>
      <c r="G389" s="6" t="s">
        <v>2005</v>
      </c>
      <c r="H389" s="6" t="s">
        <v>2005</v>
      </c>
      <c r="I389" s="6" t="str">
        <f t="shared" si="12"/>
        <v>Side Breaker</v>
      </c>
      <c r="J389" s="6" t="s">
        <v>543</v>
      </c>
      <c r="K389" s="6">
        <v>1</v>
      </c>
      <c r="P389" s="6">
        <f t="shared" si="13"/>
        <v>2000000</v>
      </c>
      <c r="R389" s="6" t="s">
        <v>2003</v>
      </c>
      <c r="T389" s="6" t="s">
        <v>2007</v>
      </c>
      <c r="U389" s="6">
        <v>2017</v>
      </c>
      <c r="V389" s="6">
        <v>1</v>
      </c>
      <c r="AD389" s="6" t="s">
        <v>45</v>
      </c>
      <c r="AJ389" s="31" t="s">
        <v>2113</v>
      </c>
      <c r="AK389" s="6">
        <v>1</v>
      </c>
      <c r="AL389" s="26">
        <v>1900000</v>
      </c>
      <c r="AM389" s="26">
        <v>1900000</v>
      </c>
      <c r="AN389" s="26">
        <v>1900000</v>
      </c>
      <c r="AO389" s="6" t="s">
        <v>2003</v>
      </c>
      <c r="AQ389" s="6" t="s">
        <v>49</v>
      </c>
      <c r="AU389" s="6">
        <v>224586</v>
      </c>
    </row>
    <row r="390" spans="1:47" x14ac:dyDescent="0.3">
      <c r="A390" s="28" t="s">
        <v>42</v>
      </c>
      <c r="B390" s="6" t="s">
        <v>2197</v>
      </c>
      <c r="D390" s="6" t="s">
        <v>2104</v>
      </c>
      <c r="E390" s="6">
        <v>1</v>
      </c>
      <c r="F390" s="6" t="s">
        <v>2004</v>
      </c>
      <c r="G390" s="6" t="s">
        <v>2005</v>
      </c>
      <c r="H390" s="6" t="s">
        <v>2005</v>
      </c>
      <c r="I390" s="6" t="str">
        <f t="shared" si="12"/>
        <v>Ripper</v>
      </c>
      <c r="J390" s="6" t="s">
        <v>313</v>
      </c>
      <c r="K390" s="6">
        <v>1</v>
      </c>
      <c r="P390" s="6">
        <f t="shared" si="13"/>
        <v>800000</v>
      </c>
      <c r="R390" s="6" t="s">
        <v>2003</v>
      </c>
      <c r="T390" s="6" t="s">
        <v>955</v>
      </c>
      <c r="U390" s="6">
        <v>2014</v>
      </c>
      <c r="V390" s="6">
        <v>1</v>
      </c>
      <c r="AD390" s="6" t="s">
        <v>45</v>
      </c>
      <c r="AJ390" s="31" t="s">
        <v>2121</v>
      </c>
      <c r="AK390" s="6">
        <v>1</v>
      </c>
      <c r="AL390" s="26">
        <v>700000</v>
      </c>
      <c r="AM390" s="26">
        <v>700000</v>
      </c>
      <c r="AN390" s="26">
        <v>700000</v>
      </c>
      <c r="AO390" s="6" t="s">
        <v>2003</v>
      </c>
      <c r="AQ390" s="6" t="s">
        <v>1265</v>
      </c>
      <c r="AU390" s="6">
        <v>224589</v>
      </c>
    </row>
    <row r="391" spans="1:47" x14ac:dyDescent="0.3">
      <c r="A391" s="28" t="s">
        <v>42</v>
      </c>
      <c r="B391" s="6" t="s">
        <v>2175</v>
      </c>
      <c r="C391" s="19" t="s">
        <v>2207</v>
      </c>
      <c r="D391" s="6" t="s">
        <v>2105</v>
      </c>
      <c r="E391" s="6">
        <v>1</v>
      </c>
      <c r="F391" s="6" t="s">
        <v>2004</v>
      </c>
      <c r="G391" s="6" t="s">
        <v>2005</v>
      </c>
      <c r="H391" s="6" t="s">
        <v>2005</v>
      </c>
      <c r="I391" s="6" t="str">
        <f t="shared" si="12"/>
        <v>Hydraulic Crusher</v>
      </c>
      <c r="J391" s="6" t="s">
        <v>53</v>
      </c>
      <c r="K391" s="6">
        <v>1</v>
      </c>
      <c r="P391" s="6">
        <f t="shared" si="13"/>
        <v>12500000</v>
      </c>
      <c r="R391" s="6" t="s">
        <v>2003</v>
      </c>
      <c r="T391" s="6" t="s">
        <v>956</v>
      </c>
      <c r="U391" s="6">
        <v>2014</v>
      </c>
      <c r="V391" s="6">
        <v>1</v>
      </c>
      <c r="AD391" s="6" t="s">
        <v>45</v>
      </c>
      <c r="AJ391" s="31" t="s">
        <v>2121</v>
      </c>
      <c r="AK391" s="6">
        <v>1</v>
      </c>
      <c r="AL391" s="26">
        <v>12000000</v>
      </c>
      <c r="AM391" s="26">
        <v>12000000</v>
      </c>
      <c r="AN391" s="26">
        <v>12000000</v>
      </c>
      <c r="AO391" s="6" t="s">
        <v>2003</v>
      </c>
      <c r="AQ391" s="6" t="s">
        <v>1265</v>
      </c>
      <c r="AU391" s="6">
        <v>224596</v>
      </c>
    </row>
    <row r="392" spans="1:47" hidden="1" x14ac:dyDescent="0.3">
      <c r="A392" s="28" t="s">
        <v>42</v>
      </c>
      <c r="B392" s="6" t="s">
        <v>2181</v>
      </c>
      <c r="E392" s="6">
        <v>1</v>
      </c>
      <c r="F392" s="6" t="s">
        <v>2004</v>
      </c>
      <c r="G392" s="6" t="s">
        <v>2005</v>
      </c>
      <c r="H392" s="6" t="s">
        <v>2005</v>
      </c>
      <c r="I392" s="6" t="str">
        <f t="shared" si="12"/>
        <v>ETC</v>
      </c>
      <c r="J392" s="6" t="s">
        <v>388</v>
      </c>
      <c r="K392" s="6">
        <v>1</v>
      </c>
      <c r="P392" s="6">
        <f t="shared" si="13"/>
        <v>1650000</v>
      </c>
      <c r="R392" s="6" t="s">
        <v>2003</v>
      </c>
      <c r="T392" s="6" t="s">
        <v>2049</v>
      </c>
      <c r="U392" s="6">
        <v>2016</v>
      </c>
      <c r="V392" s="6">
        <v>2</v>
      </c>
      <c r="AD392" s="6" t="s">
        <v>45</v>
      </c>
      <c r="AJ392" s="31" t="s">
        <v>2123</v>
      </c>
      <c r="AK392" s="6">
        <v>1</v>
      </c>
      <c r="AL392" s="26">
        <v>1550000</v>
      </c>
      <c r="AM392" s="26">
        <v>1550000</v>
      </c>
      <c r="AN392" s="26">
        <v>1550000</v>
      </c>
      <c r="AO392" s="6" t="s">
        <v>2003</v>
      </c>
      <c r="AQ392" s="6" t="s">
        <v>1275</v>
      </c>
      <c r="AU392" s="6">
        <v>224600</v>
      </c>
    </row>
    <row r="393" spans="1:47" hidden="1" x14ac:dyDescent="0.3">
      <c r="A393" s="28" t="s">
        <v>42</v>
      </c>
      <c r="B393" s="6" t="s">
        <v>2201</v>
      </c>
      <c r="E393" s="6">
        <v>1</v>
      </c>
      <c r="F393" s="6" t="s">
        <v>2004</v>
      </c>
      <c r="G393" s="6" t="s">
        <v>2005</v>
      </c>
      <c r="H393" s="6" t="s">
        <v>2005</v>
      </c>
      <c r="I393" s="6" t="str">
        <f t="shared" si="12"/>
        <v>Crusher</v>
      </c>
      <c r="J393" s="6" t="s">
        <v>546</v>
      </c>
      <c r="K393" s="6">
        <v>1</v>
      </c>
      <c r="P393" s="6">
        <f t="shared" si="13"/>
        <v>7500000</v>
      </c>
      <c r="R393" s="6" t="s">
        <v>2003</v>
      </c>
      <c r="T393" s="6" t="s">
        <v>957</v>
      </c>
      <c r="U393" s="6">
        <v>2014</v>
      </c>
      <c r="V393" s="6">
        <v>1</v>
      </c>
      <c r="AD393" s="6" t="s">
        <v>45</v>
      </c>
      <c r="AJ393" s="31" t="s">
        <v>2121</v>
      </c>
      <c r="AK393" s="6">
        <v>1</v>
      </c>
      <c r="AL393" s="26">
        <v>7000000</v>
      </c>
      <c r="AM393" s="26">
        <v>7000000</v>
      </c>
      <c r="AN393" s="26">
        <v>7000000</v>
      </c>
      <c r="AO393" s="6" t="s">
        <v>2003</v>
      </c>
      <c r="AQ393" s="6" t="s">
        <v>1265</v>
      </c>
      <c r="AU393" s="6">
        <v>224601</v>
      </c>
    </row>
    <row r="394" spans="1:47" x14ac:dyDescent="0.3">
      <c r="A394" s="28" t="s">
        <v>42</v>
      </c>
      <c r="B394" s="6" t="s">
        <v>2177</v>
      </c>
      <c r="C394" s="6" t="s">
        <v>1973</v>
      </c>
      <c r="D394" s="6" t="s">
        <v>2100</v>
      </c>
      <c r="E394" s="6">
        <v>1</v>
      </c>
      <c r="F394" s="6" t="s">
        <v>2004</v>
      </c>
      <c r="G394" s="6" t="s">
        <v>2005</v>
      </c>
      <c r="H394" s="6" t="s">
        <v>2005</v>
      </c>
      <c r="I394" s="6" t="str">
        <f t="shared" si="12"/>
        <v>Wood Grapple</v>
      </c>
      <c r="J394" s="6" t="s">
        <v>127</v>
      </c>
      <c r="K394" s="6">
        <v>1</v>
      </c>
      <c r="P394" s="6">
        <f t="shared" si="13"/>
        <v>3000000</v>
      </c>
      <c r="R394" s="6" t="s">
        <v>2003</v>
      </c>
      <c r="T394" s="6" t="s">
        <v>51</v>
      </c>
      <c r="U394" s="6">
        <v>2014</v>
      </c>
      <c r="V394" s="6">
        <v>1</v>
      </c>
      <c r="AD394" s="6" t="s">
        <v>45</v>
      </c>
      <c r="AJ394" s="31" t="s">
        <v>2113</v>
      </c>
      <c r="AK394" s="6">
        <v>1</v>
      </c>
      <c r="AL394" s="26">
        <v>2800000</v>
      </c>
      <c r="AM394" s="26">
        <v>2800000</v>
      </c>
      <c r="AN394" s="26">
        <v>2800000</v>
      </c>
      <c r="AO394" s="6" t="s">
        <v>2003</v>
      </c>
      <c r="AQ394" s="6" t="s">
        <v>49</v>
      </c>
      <c r="AU394" s="6">
        <v>224602</v>
      </c>
    </row>
    <row r="395" spans="1:47" x14ac:dyDescent="0.3">
      <c r="A395" s="28" t="s">
        <v>42</v>
      </c>
      <c r="B395" s="6" t="s">
        <v>2179</v>
      </c>
      <c r="C395" s="6" t="s">
        <v>1976</v>
      </c>
      <c r="D395" s="6" t="s">
        <v>2101</v>
      </c>
      <c r="E395" s="6">
        <v>1</v>
      </c>
      <c r="F395" s="6" t="s">
        <v>2004</v>
      </c>
      <c r="G395" s="6" t="s">
        <v>2005</v>
      </c>
      <c r="H395" s="6" t="s">
        <v>2005</v>
      </c>
      <c r="I395" s="6" t="str">
        <f t="shared" si="12"/>
        <v>Skeleton Bucket</v>
      </c>
      <c r="J395" s="6" t="s">
        <v>547</v>
      </c>
      <c r="K395" s="6">
        <v>1</v>
      </c>
      <c r="P395" s="6">
        <f t="shared" si="13"/>
        <v>2900000</v>
      </c>
      <c r="R395" s="6" t="s">
        <v>2003</v>
      </c>
      <c r="T395" s="6">
        <v>1</v>
      </c>
      <c r="U395" s="6">
        <v>2014</v>
      </c>
      <c r="V395" s="6">
        <v>1</v>
      </c>
      <c r="AD395" s="6" t="s">
        <v>45</v>
      </c>
      <c r="AJ395" s="31" t="s">
        <v>2116</v>
      </c>
      <c r="AK395" s="6">
        <v>1</v>
      </c>
      <c r="AL395" s="26">
        <v>2700000</v>
      </c>
      <c r="AM395" s="26">
        <v>2700000</v>
      </c>
      <c r="AN395" s="26">
        <v>2700000</v>
      </c>
      <c r="AO395" s="6" t="s">
        <v>2003</v>
      </c>
      <c r="AQ395" s="6" t="s">
        <v>1185</v>
      </c>
      <c r="AU395" s="6">
        <v>224604</v>
      </c>
    </row>
    <row r="396" spans="1:47" x14ac:dyDescent="0.3">
      <c r="A396" s="28" t="s">
        <v>42</v>
      </c>
      <c r="B396" s="6" t="s">
        <v>2181</v>
      </c>
      <c r="D396" s="6" t="s">
        <v>2101</v>
      </c>
      <c r="E396" s="6">
        <v>1</v>
      </c>
      <c r="F396" s="6" t="s">
        <v>2004</v>
      </c>
      <c r="G396" s="6" t="s">
        <v>2005</v>
      </c>
      <c r="H396" s="6" t="s">
        <v>2005</v>
      </c>
      <c r="I396" s="6" t="str">
        <f t="shared" si="12"/>
        <v>ETC</v>
      </c>
      <c r="J396" s="6" t="s">
        <v>548</v>
      </c>
      <c r="K396" s="6">
        <v>1</v>
      </c>
      <c r="P396" s="6">
        <f t="shared" si="13"/>
        <v>2200000</v>
      </c>
      <c r="R396" s="6" t="s">
        <v>2003</v>
      </c>
      <c r="T396" s="6">
        <v>1</v>
      </c>
      <c r="U396" s="6">
        <v>2013</v>
      </c>
      <c r="V396" s="6">
        <v>1</v>
      </c>
      <c r="AD396" s="6" t="s">
        <v>45</v>
      </c>
      <c r="AJ396" s="31" t="s">
        <v>2116</v>
      </c>
      <c r="AK396" s="6">
        <v>1</v>
      </c>
      <c r="AL396" s="26">
        <v>2000000</v>
      </c>
      <c r="AM396" s="26">
        <v>2000000</v>
      </c>
      <c r="AN396" s="26">
        <v>2000000</v>
      </c>
      <c r="AO396" s="6" t="s">
        <v>2003</v>
      </c>
      <c r="AQ396" s="6" t="s">
        <v>1185</v>
      </c>
      <c r="AU396" s="6">
        <v>224606</v>
      </c>
    </row>
    <row r="397" spans="1:47" x14ac:dyDescent="0.3">
      <c r="A397" s="28" t="s">
        <v>42</v>
      </c>
      <c r="B397" s="6" t="s">
        <v>2181</v>
      </c>
      <c r="C397" s="6" t="s">
        <v>1979</v>
      </c>
      <c r="D397" s="6" t="s">
        <v>2104</v>
      </c>
      <c r="E397" s="6">
        <v>1</v>
      </c>
      <c r="F397" s="6" t="s">
        <v>2004</v>
      </c>
      <c r="G397" s="6" t="s">
        <v>2005</v>
      </c>
      <c r="H397" s="6" t="s">
        <v>2005</v>
      </c>
      <c r="I397" s="6" t="str">
        <f t="shared" si="12"/>
        <v>Thumb Grapple</v>
      </c>
      <c r="J397" s="6" t="s">
        <v>186</v>
      </c>
      <c r="K397" s="6">
        <v>1</v>
      </c>
      <c r="P397" s="6">
        <f t="shared" si="13"/>
        <v>800000</v>
      </c>
      <c r="R397" s="6" t="s">
        <v>2003</v>
      </c>
      <c r="T397" s="6" t="s">
        <v>813</v>
      </c>
      <c r="U397" s="6">
        <v>2013</v>
      </c>
      <c r="V397" s="6">
        <v>1</v>
      </c>
      <c r="AD397" s="6" t="s">
        <v>45</v>
      </c>
      <c r="AJ397" s="31" t="s">
        <v>2113</v>
      </c>
      <c r="AK397" s="6">
        <v>1</v>
      </c>
      <c r="AL397" s="26">
        <v>700000</v>
      </c>
      <c r="AM397" s="26">
        <v>700000</v>
      </c>
      <c r="AN397" s="26">
        <v>700000</v>
      </c>
      <c r="AO397" s="6" t="s">
        <v>2003</v>
      </c>
      <c r="AQ397" s="6" t="s">
        <v>80</v>
      </c>
      <c r="AU397" s="6">
        <v>224608</v>
      </c>
    </row>
    <row r="398" spans="1:47" x14ac:dyDescent="0.3">
      <c r="A398" s="28" t="s">
        <v>42</v>
      </c>
      <c r="B398" s="6" t="s">
        <v>2179</v>
      </c>
      <c r="C398" s="6" t="s">
        <v>1976</v>
      </c>
      <c r="D398" s="6" t="s">
        <v>2104</v>
      </c>
      <c r="E398" s="6">
        <v>1</v>
      </c>
      <c r="F398" s="6" t="s">
        <v>2004</v>
      </c>
      <c r="G398" s="6" t="s">
        <v>2005</v>
      </c>
      <c r="H398" s="6" t="s">
        <v>2005</v>
      </c>
      <c r="I398" s="6" t="str">
        <f t="shared" si="12"/>
        <v>Skeleton Bucket</v>
      </c>
      <c r="J398" s="6" t="s">
        <v>62</v>
      </c>
      <c r="K398" s="6">
        <v>1</v>
      </c>
      <c r="P398" s="6">
        <f t="shared" si="13"/>
        <v>950000</v>
      </c>
      <c r="R398" s="6" t="s">
        <v>2003</v>
      </c>
      <c r="T398" s="6" t="s">
        <v>813</v>
      </c>
      <c r="U398" s="6">
        <v>2013</v>
      </c>
      <c r="V398" s="6">
        <v>1</v>
      </c>
      <c r="AD398" s="6" t="s">
        <v>45</v>
      </c>
      <c r="AJ398" s="31" t="s">
        <v>2113</v>
      </c>
      <c r="AK398" s="6">
        <v>1</v>
      </c>
      <c r="AL398" s="26">
        <v>850000</v>
      </c>
      <c r="AM398" s="26">
        <v>850000</v>
      </c>
      <c r="AN398" s="26">
        <v>850000</v>
      </c>
      <c r="AO398" s="6" t="s">
        <v>2003</v>
      </c>
      <c r="AQ398" s="6" t="s">
        <v>79</v>
      </c>
      <c r="AU398" s="6">
        <v>224612</v>
      </c>
    </row>
    <row r="399" spans="1:47" x14ac:dyDescent="0.3">
      <c r="A399" s="28" t="s">
        <v>42</v>
      </c>
      <c r="B399" s="6" t="s">
        <v>2177</v>
      </c>
      <c r="C399" s="19" t="s">
        <v>2206</v>
      </c>
      <c r="D399" s="6" t="s">
        <v>2001</v>
      </c>
      <c r="E399" s="6">
        <v>1</v>
      </c>
      <c r="F399" s="6" t="s">
        <v>2004</v>
      </c>
      <c r="G399" s="6" t="s">
        <v>2005</v>
      </c>
      <c r="H399" s="6" t="s">
        <v>2005</v>
      </c>
      <c r="I399" s="6" t="str">
        <f t="shared" si="12"/>
        <v>Etc Grapple</v>
      </c>
      <c r="J399" s="6" t="s">
        <v>550</v>
      </c>
      <c r="K399" s="6">
        <v>1</v>
      </c>
      <c r="P399" s="6">
        <f t="shared" si="13"/>
        <v>7000000</v>
      </c>
      <c r="R399" s="6" t="s">
        <v>2003</v>
      </c>
      <c r="T399" s="6" t="s">
        <v>835</v>
      </c>
      <c r="U399" s="6">
        <v>2012</v>
      </c>
      <c r="V399" s="6">
        <v>7</v>
      </c>
      <c r="AD399" s="6" t="s">
        <v>45</v>
      </c>
      <c r="AJ399" s="31" t="s">
        <v>2116</v>
      </c>
      <c r="AK399" s="6">
        <v>1</v>
      </c>
      <c r="AL399" s="26">
        <v>6500000</v>
      </c>
      <c r="AM399" s="26">
        <v>6500000</v>
      </c>
      <c r="AN399" s="26">
        <v>6500000</v>
      </c>
      <c r="AO399" s="6" t="s">
        <v>2003</v>
      </c>
      <c r="AQ399" s="6" t="s">
        <v>1173</v>
      </c>
      <c r="AU399" s="6">
        <v>224615</v>
      </c>
    </row>
    <row r="400" spans="1:47" x14ac:dyDescent="0.3">
      <c r="A400" s="28" t="s">
        <v>42</v>
      </c>
      <c r="B400" s="6" t="s">
        <v>2187</v>
      </c>
      <c r="C400" s="6" t="s">
        <v>1972</v>
      </c>
      <c r="D400" s="6" t="s">
        <v>2103</v>
      </c>
      <c r="E400" s="6">
        <v>1</v>
      </c>
      <c r="F400" s="6" t="s">
        <v>2004</v>
      </c>
      <c r="G400" s="6" t="s">
        <v>2005</v>
      </c>
      <c r="H400" s="6" t="s">
        <v>2005</v>
      </c>
      <c r="I400" s="6" t="str">
        <f t="shared" si="12"/>
        <v>Stone Grapple</v>
      </c>
      <c r="J400" s="6" t="s">
        <v>94</v>
      </c>
      <c r="K400" s="6">
        <v>1</v>
      </c>
      <c r="P400" s="6">
        <f t="shared" si="13"/>
        <v>2700000</v>
      </c>
      <c r="R400" s="6" t="s">
        <v>2003</v>
      </c>
      <c r="T400" s="6" t="s">
        <v>958</v>
      </c>
      <c r="U400" s="6">
        <v>2010</v>
      </c>
      <c r="V400" s="6">
        <v>6</v>
      </c>
      <c r="AD400" s="6" t="s">
        <v>45</v>
      </c>
      <c r="AJ400" s="31" t="s">
        <v>2116</v>
      </c>
      <c r="AK400" s="6">
        <v>1</v>
      </c>
      <c r="AL400" s="26">
        <v>2500000</v>
      </c>
      <c r="AM400" s="26">
        <v>2500000</v>
      </c>
      <c r="AN400" s="26">
        <v>2500000</v>
      </c>
      <c r="AO400" s="6" t="s">
        <v>2003</v>
      </c>
      <c r="AQ400" s="6" t="s">
        <v>1276</v>
      </c>
      <c r="AU400" s="6">
        <v>224616</v>
      </c>
    </row>
    <row r="401" spans="1:47" x14ac:dyDescent="0.3">
      <c r="A401" s="28" t="s">
        <v>42</v>
      </c>
      <c r="B401" s="6" t="s">
        <v>2189</v>
      </c>
      <c r="D401" s="6" t="s">
        <v>2104</v>
      </c>
      <c r="E401" s="6">
        <v>1</v>
      </c>
      <c r="F401" s="6" t="s">
        <v>2004</v>
      </c>
      <c r="G401" s="6" t="s">
        <v>2005</v>
      </c>
      <c r="H401" s="6" t="s">
        <v>2005</v>
      </c>
      <c r="I401" s="6" t="str">
        <f t="shared" si="12"/>
        <v>Quick Coupler</v>
      </c>
      <c r="J401" s="6" t="s">
        <v>140</v>
      </c>
      <c r="K401" s="6">
        <v>1</v>
      </c>
      <c r="P401" s="6">
        <f t="shared" si="13"/>
        <v>800000</v>
      </c>
      <c r="R401" s="6" t="s">
        <v>2003</v>
      </c>
      <c r="T401" s="6" t="s">
        <v>813</v>
      </c>
      <c r="U401" s="6">
        <v>2013</v>
      </c>
      <c r="V401" s="6">
        <v>1</v>
      </c>
      <c r="AD401" s="6" t="s">
        <v>45</v>
      </c>
      <c r="AJ401" s="31" t="s">
        <v>2113</v>
      </c>
      <c r="AK401" s="6">
        <v>1</v>
      </c>
      <c r="AL401" s="26">
        <v>700000</v>
      </c>
      <c r="AM401" s="26">
        <v>700000</v>
      </c>
      <c r="AN401" s="26">
        <v>700000</v>
      </c>
      <c r="AO401" s="6" t="s">
        <v>2003</v>
      </c>
      <c r="AQ401" s="6" t="s">
        <v>80</v>
      </c>
      <c r="AU401" s="6">
        <v>224618</v>
      </c>
    </row>
    <row r="402" spans="1:47" x14ac:dyDescent="0.3">
      <c r="A402" s="28" t="s">
        <v>42</v>
      </c>
      <c r="B402" s="6" t="s">
        <v>2187</v>
      </c>
      <c r="C402" s="19" t="s">
        <v>2206</v>
      </c>
      <c r="D402" s="6" t="s">
        <v>2002</v>
      </c>
      <c r="E402" s="6">
        <v>1</v>
      </c>
      <c r="F402" s="6" t="s">
        <v>2004</v>
      </c>
      <c r="G402" s="6" t="s">
        <v>2005</v>
      </c>
      <c r="H402" s="6" t="s">
        <v>2005</v>
      </c>
      <c r="I402" s="6" t="str">
        <f t="shared" si="12"/>
        <v>Etc Grapple</v>
      </c>
      <c r="J402" s="6" t="s">
        <v>551</v>
      </c>
      <c r="K402" s="6">
        <v>1</v>
      </c>
      <c r="P402" s="6">
        <f t="shared" si="13"/>
        <v>2200000</v>
      </c>
      <c r="R402" s="6" t="s">
        <v>2003</v>
      </c>
      <c r="T402" s="6" t="s">
        <v>959</v>
      </c>
      <c r="U402" s="6">
        <v>2015</v>
      </c>
      <c r="V402" s="6">
        <v>1</v>
      </c>
      <c r="AD402" s="6" t="s">
        <v>45</v>
      </c>
      <c r="AJ402" s="31" t="s">
        <v>2113</v>
      </c>
      <c r="AK402" s="6">
        <v>1</v>
      </c>
      <c r="AL402" s="26">
        <v>2000000</v>
      </c>
      <c r="AM402" s="26">
        <v>2000000</v>
      </c>
      <c r="AN402" s="26">
        <v>2000000</v>
      </c>
      <c r="AO402" s="6" t="s">
        <v>2003</v>
      </c>
      <c r="AQ402" s="6" t="s">
        <v>49</v>
      </c>
      <c r="AU402" s="6">
        <v>224620</v>
      </c>
    </row>
    <row r="403" spans="1:47" x14ac:dyDescent="0.3">
      <c r="A403" s="28" t="s">
        <v>42</v>
      </c>
      <c r="B403" s="6" t="s">
        <v>2189</v>
      </c>
      <c r="D403" s="6" t="s">
        <v>2104</v>
      </c>
      <c r="E403" s="6">
        <v>1</v>
      </c>
      <c r="F403" s="6" t="s">
        <v>2004</v>
      </c>
      <c r="G403" s="6" t="s">
        <v>2005</v>
      </c>
      <c r="H403" s="6" t="s">
        <v>2005</v>
      </c>
      <c r="I403" s="6" t="str">
        <f t="shared" si="12"/>
        <v>Quick Coupler</v>
      </c>
      <c r="J403" s="6" t="s">
        <v>147</v>
      </c>
      <c r="K403" s="6">
        <v>1</v>
      </c>
      <c r="P403" s="6">
        <f t="shared" si="13"/>
        <v>800000</v>
      </c>
      <c r="R403" s="6" t="s">
        <v>2003</v>
      </c>
      <c r="T403" s="6" t="s">
        <v>813</v>
      </c>
      <c r="U403" s="6">
        <v>2013</v>
      </c>
      <c r="V403" s="6">
        <v>1</v>
      </c>
      <c r="AD403" s="6" t="s">
        <v>45</v>
      </c>
      <c r="AJ403" s="31" t="s">
        <v>2113</v>
      </c>
      <c r="AK403" s="6">
        <v>1</v>
      </c>
      <c r="AL403" s="26">
        <v>700000</v>
      </c>
      <c r="AM403" s="26">
        <v>700000</v>
      </c>
      <c r="AN403" s="26">
        <v>700000</v>
      </c>
      <c r="AO403" s="6" t="s">
        <v>2003</v>
      </c>
      <c r="AQ403" s="6" t="s">
        <v>79</v>
      </c>
      <c r="AU403" s="6">
        <v>224624</v>
      </c>
    </row>
    <row r="404" spans="1:47" hidden="1" x14ac:dyDescent="0.3">
      <c r="A404" s="28" t="s">
        <v>42</v>
      </c>
      <c r="B404" s="6" t="s">
        <v>2193</v>
      </c>
      <c r="E404" s="6">
        <v>1</v>
      </c>
      <c r="F404" s="6" t="s">
        <v>2004</v>
      </c>
      <c r="G404" s="6" t="s">
        <v>2005</v>
      </c>
      <c r="H404" s="6" t="s">
        <v>2005</v>
      </c>
      <c r="I404" s="6" t="str">
        <f t="shared" si="12"/>
        <v>Ripper</v>
      </c>
      <c r="J404" s="6" t="s">
        <v>553</v>
      </c>
      <c r="K404" s="6">
        <v>1</v>
      </c>
      <c r="P404" s="6">
        <f t="shared" si="13"/>
        <v>29500000</v>
      </c>
      <c r="R404" s="6" t="s">
        <v>2003</v>
      </c>
      <c r="T404" s="6" t="s">
        <v>960</v>
      </c>
      <c r="U404" s="6">
        <v>2014</v>
      </c>
      <c r="V404" s="6">
        <v>1</v>
      </c>
      <c r="AD404" s="6" t="s">
        <v>45</v>
      </c>
      <c r="AJ404" s="31" t="s">
        <v>2121</v>
      </c>
      <c r="AK404" s="6">
        <v>1</v>
      </c>
      <c r="AL404" s="26">
        <v>29000000</v>
      </c>
      <c r="AM404" s="26">
        <v>29000000</v>
      </c>
      <c r="AN404" s="26">
        <v>29000000</v>
      </c>
      <c r="AO404" s="6" t="s">
        <v>2003</v>
      </c>
      <c r="AQ404" s="6" t="s">
        <v>1265</v>
      </c>
      <c r="AU404" s="6">
        <v>224626</v>
      </c>
    </row>
    <row r="405" spans="1:47" x14ac:dyDescent="0.3">
      <c r="A405" s="28" t="s">
        <v>42</v>
      </c>
      <c r="B405" s="6" t="s">
        <v>2175</v>
      </c>
      <c r="C405" s="6" t="s">
        <v>2207</v>
      </c>
      <c r="D405" s="6" t="s">
        <v>2104</v>
      </c>
      <c r="E405" s="6">
        <v>1</v>
      </c>
      <c r="F405" s="6" t="s">
        <v>2004</v>
      </c>
      <c r="G405" s="6" t="s">
        <v>2005</v>
      </c>
      <c r="H405" s="6" t="s">
        <v>2005</v>
      </c>
      <c r="I405" s="6" t="str">
        <f t="shared" si="12"/>
        <v>Hydraulic Crusher</v>
      </c>
      <c r="J405" s="6" t="s">
        <v>104</v>
      </c>
      <c r="K405" s="6">
        <v>1</v>
      </c>
      <c r="P405" s="6">
        <f t="shared" si="13"/>
        <v>11500000</v>
      </c>
      <c r="R405" s="6" t="s">
        <v>2003</v>
      </c>
      <c r="T405" s="6" t="s">
        <v>2007</v>
      </c>
      <c r="U405" s="6">
        <v>2015</v>
      </c>
      <c r="V405" s="6">
        <v>1</v>
      </c>
      <c r="AD405" s="6" t="s">
        <v>45</v>
      </c>
      <c r="AJ405" s="31" t="s">
        <v>2113</v>
      </c>
      <c r="AK405" s="6">
        <v>1</v>
      </c>
      <c r="AL405" s="26">
        <v>11000000</v>
      </c>
      <c r="AM405" s="26">
        <v>11000000</v>
      </c>
      <c r="AN405" s="26">
        <v>11000000</v>
      </c>
      <c r="AO405" s="6" t="s">
        <v>2003</v>
      </c>
      <c r="AQ405" s="6" t="s">
        <v>49</v>
      </c>
      <c r="AU405" s="6">
        <v>224633</v>
      </c>
    </row>
    <row r="406" spans="1:47" x14ac:dyDescent="0.3">
      <c r="A406" s="28" t="s">
        <v>42</v>
      </c>
      <c r="B406" s="6" t="s">
        <v>2198</v>
      </c>
      <c r="D406" s="6" t="s">
        <v>2103</v>
      </c>
      <c r="E406" s="6">
        <v>1</v>
      </c>
      <c r="F406" s="6" t="s">
        <v>2004</v>
      </c>
      <c r="G406" s="6" t="s">
        <v>2005</v>
      </c>
      <c r="H406" s="6" t="s">
        <v>2005</v>
      </c>
      <c r="I406" s="6" t="str">
        <f t="shared" si="12"/>
        <v>Ripper</v>
      </c>
      <c r="J406" s="6" t="s">
        <v>576</v>
      </c>
      <c r="K406" s="6">
        <v>1</v>
      </c>
      <c r="P406" s="6">
        <f t="shared" si="13"/>
        <v>1100000</v>
      </c>
      <c r="R406" s="6" t="s">
        <v>2003</v>
      </c>
      <c r="T406" s="6" t="s">
        <v>2008</v>
      </c>
      <c r="U406" s="6">
        <v>2017</v>
      </c>
      <c r="V406" s="6">
        <v>1</v>
      </c>
      <c r="AD406" s="6" t="s">
        <v>45</v>
      </c>
      <c r="AJ406" s="31" t="s">
        <v>2110</v>
      </c>
      <c r="AK406" s="6">
        <v>1</v>
      </c>
      <c r="AL406" s="26">
        <v>1000000</v>
      </c>
      <c r="AM406" s="26">
        <v>1000000</v>
      </c>
      <c r="AN406" s="26">
        <v>1000000</v>
      </c>
      <c r="AO406" s="6" t="s">
        <v>2003</v>
      </c>
      <c r="AQ406" s="6" t="s">
        <v>1155</v>
      </c>
      <c r="AU406" s="6">
        <v>224635</v>
      </c>
    </row>
    <row r="407" spans="1:47" x14ac:dyDescent="0.3">
      <c r="A407" s="28" t="s">
        <v>42</v>
      </c>
      <c r="B407" s="6" t="s">
        <v>2192</v>
      </c>
      <c r="D407" s="6" t="s">
        <v>2104</v>
      </c>
      <c r="E407" s="6">
        <v>1</v>
      </c>
      <c r="F407" s="6" t="s">
        <v>2004</v>
      </c>
      <c r="G407" s="6" t="s">
        <v>2005</v>
      </c>
      <c r="H407" s="6" t="s">
        <v>2005</v>
      </c>
      <c r="I407" s="6" t="str">
        <f t="shared" si="12"/>
        <v>Lift Fork</v>
      </c>
      <c r="J407" s="6" t="s">
        <v>555</v>
      </c>
      <c r="K407" s="6">
        <v>1</v>
      </c>
      <c r="P407" s="6">
        <f t="shared" si="13"/>
        <v>800000</v>
      </c>
      <c r="R407" s="6" t="s">
        <v>2003</v>
      </c>
      <c r="T407" s="6" t="s">
        <v>961</v>
      </c>
      <c r="U407" s="6">
        <v>2013</v>
      </c>
      <c r="V407" s="6">
        <v>1</v>
      </c>
      <c r="AD407" s="6" t="s">
        <v>45</v>
      </c>
      <c r="AJ407" s="31" t="s">
        <v>2119</v>
      </c>
      <c r="AK407" s="6">
        <v>1</v>
      </c>
      <c r="AL407" s="26">
        <v>700000</v>
      </c>
      <c r="AM407" s="26">
        <v>700000</v>
      </c>
      <c r="AN407" s="26">
        <v>700000</v>
      </c>
      <c r="AO407" s="6" t="s">
        <v>2003</v>
      </c>
      <c r="AQ407" s="6" t="s">
        <v>1277</v>
      </c>
      <c r="AU407" s="6">
        <v>224636</v>
      </c>
    </row>
    <row r="408" spans="1:47" x14ac:dyDescent="0.3">
      <c r="A408" s="28" t="s">
        <v>42</v>
      </c>
      <c r="B408" s="6" t="s">
        <v>2184</v>
      </c>
      <c r="C408" s="6" t="s">
        <v>1979</v>
      </c>
      <c r="D408" s="6" t="s">
        <v>2104</v>
      </c>
      <c r="E408" s="6">
        <v>1</v>
      </c>
      <c r="F408" s="6" t="s">
        <v>2004</v>
      </c>
      <c r="G408" s="6" t="s">
        <v>2005</v>
      </c>
      <c r="H408" s="6" t="s">
        <v>2005</v>
      </c>
      <c r="I408" s="6" t="str">
        <f t="shared" si="12"/>
        <v>Thumb Grapple</v>
      </c>
      <c r="J408" s="6" t="s">
        <v>96</v>
      </c>
      <c r="K408" s="6">
        <v>1</v>
      </c>
      <c r="P408" s="6">
        <f t="shared" si="13"/>
        <v>800000</v>
      </c>
      <c r="R408" s="6" t="s">
        <v>2003</v>
      </c>
      <c r="T408" s="6" t="s">
        <v>2007</v>
      </c>
      <c r="U408" s="6">
        <v>2014</v>
      </c>
      <c r="V408" s="6">
        <v>1</v>
      </c>
      <c r="AD408" s="6" t="s">
        <v>45</v>
      </c>
      <c r="AJ408" s="31" t="s">
        <v>2113</v>
      </c>
      <c r="AK408" s="6">
        <v>1</v>
      </c>
      <c r="AL408" s="26">
        <v>700000</v>
      </c>
      <c r="AM408" s="26">
        <v>700000</v>
      </c>
      <c r="AN408" s="26">
        <v>700000</v>
      </c>
      <c r="AO408" s="6" t="s">
        <v>2003</v>
      </c>
      <c r="AQ408" s="6" t="s">
        <v>49</v>
      </c>
      <c r="AU408" s="6">
        <v>224639</v>
      </c>
    </row>
    <row r="409" spans="1:47" x14ac:dyDescent="0.3">
      <c r="A409" s="28" t="s">
        <v>42</v>
      </c>
      <c r="B409" s="6" t="s">
        <v>2184</v>
      </c>
      <c r="C409" s="6" t="s">
        <v>1985</v>
      </c>
      <c r="D409" s="6" t="s">
        <v>2104</v>
      </c>
      <c r="E409" s="6">
        <v>1</v>
      </c>
      <c r="F409" s="6" t="s">
        <v>2004</v>
      </c>
      <c r="G409" s="6" t="s">
        <v>2005</v>
      </c>
      <c r="H409" s="6" t="s">
        <v>2005</v>
      </c>
      <c r="I409" s="6" t="str">
        <f t="shared" si="12"/>
        <v>Multi Grapple</v>
      </c>
      <c r="J409" s="6" t="s">
        <v>296</v>
      </c>
      <c r="K409" s="6">
        <v>1</v>
      </c>
      <c r="P409" s="6">
        <f t="shared" si="13"/>
        <v>2900000</v>
      </c>
      <c r="R409" s="6" t="s">
        <v>2003</v>
      </c>
      <c r="T409" s="6" t="s">
        <v>962</v>
      </c>
      <c r="U409" s="6">
        <v>2014</v>
      </c>
      <c r="V409" s="6">
        <v>1</v>
      </c>
      <c r="AD409" s="6" t="s">
        <v>45</v>
      </c>
      <c r="AJ409" s="31" t="s">
        <v>2113</v>
      </c>
      <c r="AK409" s="6">
        <v>1</v>
      </c>
      <c r="AL409" s="26">
        <v>2700000</v>
      </c>
      <c r="AM409" s="26">
        <v>2700000</v>
      </c>
      <c r="AN409" s="26">
        <v>2700000</v>
      </c>
      <c r="AO409" s="6" t="s">
        <v>2003</v>
      </c>
      <c r="AQ409" s="6" t="s">
        <v>49</v>
      </c>
      <c r="AU409" s="6">
        <v>224640</v>
      </c>
    </row>
    <row r="410" spans="1:47" hidden="1" x14ac:dyDescent="0.3">
      <c r="A410" s="28" t="s">
        <v>42</v>
      </c>
      <c r="B410" s="6" t="s">
        <v>2183</v>
      </c>
      <c r="E410" s="6">
        <v>1</v>
      </c>
      <c r="F410" s="6" t="s">
        <v>2004</v>
      </c>
      <c r="G410" s="6" t="s">
        <v>2005</v>
      </c>
      <c r="H410" s="6" t="s">
        <v>2005</v>
      </c>
      <c r="I410" s="6" t="str">
        <f t="shared" si="12"/>
        <v>ETC</v>
      </c>
      <c r="J410" s="6" t="s">
        <v>388</v>
      </c>
      <c r="K410" s="6">
        <v>1</v>
      </c>
      <c r="P410" s="6">
        <f t="shared" si="13"/>
        <v>1200000</v>
      </c>
      <c r="R410" s="6" t="s">
        <v>2003</v>
      </c>
      <c r="T410" s="6" t="s">
        <v>2007</v>
      </c>
      <c r="U410" s="6">
        <v>2014</v>
      </c>
      <c r="V410" s="6">
        <v>1</v>
      </c>
      <c r="AD410" s="6" t="s">
        <v>45</v>
      </c>
      <c r="AJ410" s="31" t="s">
        <v>2113</v>
      </c>
      <c r="AK410" s="6">
        <v>1</v>
      </c>
      <c r="AL410" s="26">
        <v>1100000</v>
      </c>
      <c r="AM410" s="26">
        <v>1100000</v>
      </c>
      <c r="AN410" s="26">
        <v>1100000</v>
      </c>
      <c r="AO410" s="6" t="s">
        <v>2003</v>
      </c>
      <c r="AQ410" s="6" t="s">
        <v>49</v>
      </c>
      <c r="AU410" s="6">
        <v>224642</v>
      </c>
    </row>
    <row r="411" spans="1:47" x14ac:dyDescent="0.3">
      <c r="A411" s="28" t="s">
        <v>42</v>
      </c>
      <c r="B411" s="6" t="s">
        <v>2183</v>
      </c>
      <c r="D411" s="6" t="s">
        <v>2104</v>
      </c>
      <c r="E411" s="6">
        <v>1</v>
      </c>
      <c r="F411" s="6" t="s">
        <v>2004</v>
      </c>
      <c r="G411" s="6" t="s">
        <v>2005</v>
      </c>
      <c r="H411" s="6" t="s">
        <v>2005</v>
      </c>
      <c r="I411" s="6" t="str">
        <f t="shared" si="12"/>
        <v>ETC</v>
      </c>
      <c r="J411" s="6" t="s">
        <v>405</v>
      </c>
      <c r="K411" s="6">
        <v>1</v>
      </c>
      <c r="P411" s="6">
        <f t="shared" si="13"/>
        <v>12500000</v>
      </c>
      <c r="R411" s="6" t="s">
        <v>2003</v>
      </c>
      <c r="T411" s="6" t="s">
        <v>813</v>
      </c>
      <c r="U411" s="6">
        <v>2014</v>
      </c>
      <c r="V411" s="6">
        <v>1</v>
      </c>
      <c r="AD411" s="6" t="s">
        <v>45</v>
      </c>
      <c r="AJ411" s="31" t="s">
        <v>2113</v>
      </c>
      <c r="AK411" s="6">
        <v>1</v>
      </c>
      <c r="AL411" s="26">
        <v>12000000</v>
      </c>
      <c r="AM411" s="26">
        <v>12000000</v>
      </c>
      <c r="AN411" s="26">
        <v>12000000</v>
      </c>
      <c r="AO411" s="6" t="s">
        <v>2003</v>
      </c>
      <c r="AQ411" s="6" t="s">
        <v>79</v>
      </c>
      <c r="AU411" s="6">
        <v>224645</v>
      </c>
    </row>
    <row r="412" spans="1:47" x14ac:dyDescent="0.3">
      <c r="A412" s="28" t="s">
        <v>42</v>
      </c>
      <c r="B412" s="6" t="s">
        <v>2175</v>
      </c>
      <c r="D412" s="6" t="s">
        <v>2104</v>
      </c>
      <c r="E412" s="6">
        <v>1</v>
      </c>
      <c r="F412" s="6" t="s">
        <v>2004</v>
      </c>
      <c r="G412" s="6" t="s">
        <v>2005</v>
      </c>
      <c r="H412" s="6" t="s">
        <v>2005</v>
      </c>
      <c r="I412" s="6" t="str">
        <f t="shared" si="12"/>
        <v>Crusher</v>
      </c>
      <c r="J412" s="6" t="s">
        <v>103</v>
      </c>
      <c r="K412" s="6">
        <v>1</v>
      </c>
      <c r="P412" s="6">
        <f t="shared" si="13"/>
        <v>11500000</v>
      </c>
      <c r="R412" s="6" t="s">
        <v>2003</v>
      </c>
      <c r="T412" s="6" t="s">
        <v>813</v>
      </c>
      <c r="U412" s="6">
        <v>2015</v>
      </c>
      <c r="V412" s="6">
        <v>1</v>
      </c>
      <c r="AD412" s="6" t="s">
        <v>45</v>
      </c>
      <c r="AJ412" s="31" t="s">
        <v>2113</v>
      </c>
      <c r="AK412" s="6">
        <v>1</v>
      </c>
      <c r="AL412" s="26">
        <v>11000000</v>
      </c>
      <c r="AM412" s="26">
        <v>11000000</v>
      </c>
      <c r="AN412" s="26">
        <v>11000000</v>
      </c>
      <c r="AO412" s="6" t="s">
        <v>2003</v>
      </c>
      <c r="AQ412" s="6" t="s">
        <v>80</v>
      </c>
      <c r="AU412" s="6">
        <v>224646</v>
      </c>
    </row>
    <row r="413" spans="1:47" x14ac:dyDescent="0.3">
      <c r="A413" s="28" t="s">
        <v>42</v>
      </c>
      <c r="B413" s="6" t="s">
        <v>2181</v>
      </c>
      <c r="C413" s="6" t="s">
        <v>1979</v>
      </c>
      <c r="D413" s="6" t="s">
        <v>2104</v>
      </c>
      <c r="E413" s="6">
        <v>1</v>
      </c>
      <c r="F413" s="6" t="s">
        <v>2004</v>
      </c>
      <c r="G413" s="6" t="s">
        <v>2005</v>
      </c>
      <c r="H413" s="6" t="s">
        <v>2005</v>
      </c>
      <c r="I413" s="6" t="str">
        <f t="shared" si="12"/>
        <v>Thumb Grapple</v>
      </c>
      <c r="J413" s="6" t="s">
        <v>224</v>
      </c>
      <c r="K413" s="6">
        <v>1</v>
      </c>
      <c r="P413" s="6">
        <f t="shared" si="13"/>
        <v>800000</v>
      </c>
      <c r="R413" s="6" t="s">
        <v>2003</v>
      </c>
      <c r="T413" s="6" t="s">
        <v>2007</v>
      </c>
      <c r="U413" s="6">
        <v>2014</v>
      </c>
      <c r="V413" s="6">
        <v>1</v>
      </c>
      <c r="AD413" s="6" t="s">
        <v>45</v>
      </c>
      <c r="AJ413" s="31" t="s">
        <v>2113</v>
      </c>
      <c r="AK413" s="6">
        <v>1</v>
      </c>
      <c r="AL413" s="26">
        <v>700000</v>
      </c>
      <c r="AM413" s="26">
        <v>700000</v>
      </c>
      <c r="AN413" s="26">
        <v>700000</v>
      </c>
      <c r="AO413" s="6" t="s">
        <v>2003</v>
      </c>
      <c r="AQ413" s="6" t="s">
        <v>49</v>
      </c>
      <c r="AU413" s="6">
        <v>224647</v>
      </c>
    </row>
    <row r="414" spans="1:47" x14ac:dyDescent="0.3">
      <c r="A414" s="28" t="s">
        <v>42</v>
      </c>
      <c r="B414" s="6" t="s">
        <v>2179</v>
      </c>
      <c r="C414" s="6" t="s">
        <v>1976</v>
      </c>
      <c r="D414" s="6" t="s">
        <v>2104</v>
      </c>
      <c r="E414" s="6">
        <v>1</v>
      </c>
      <c r="F414" s="6" t="s">
        <v>2004</v>
      </c>
      <c r="G414" s="6" t="s">
        <v>2005</v>
      </c>
      <c r="H414" s="6" t="s">
        <v>2005</v>
      </c>
      <c r="I414" s="6" t="str">
        <f t="shared" si="12"/>
        <v>Skeleton Bucket</v>
      </c>
      <c r="J414" s="6" t="s">
        <v>556</v>
      </c>
      <c r="K414" s="6">
        <v>1</v>
      </c>
      <c r="P414" s="6">
        <f t="shared" si="13"/>
        <v>900000</v>
      </c>
      <c r="R414" s="6" t="s">
        <v>2003</v>
      </c>
      <c r="T414" s="6" t="s">
        <v>2007</v>
      </c>
      <c r="U414" s="6">
        <v>2014</v>
      </c>
      <c r="V414" s="6">
        <v>1</v>
      </c>
      <c r="AD414" s="6" t="s">
        <v>45</v>
      </c>
      <c r="AJ414" s="31" t="s">
        <v>2113</v>
      </c>
      <c r="AK414" s="6">
        <v>1</v>
      </c>
      <c r="AL414" s="26">
        <v>800000</v>
      </c>
      <c r="AM414" s="26">
        <v>800000</v>
      </c>
      <c r="AN414" s="26">
        <v>800000</v>
      </c>
      <c r="AO414" s="6" t="s">
        <v>2003</v>
      </c>
      <c r="AQ414" s="6" t="s">
        <v>49</v>
      </c>
      <c r="AU414" s="6">
        <v>224648</v>
      </c>
    </row>
    <row r="415" spans="1:47" x14ac:dyDescent="0.3">
      <c r="A415" s="28" t="s">
        <v>42</v>
      </c>
      <c r="B415" s="6" t="s">
        <v>2190</v>
      </c>
      <c r="D415" s="6" t="s">
        <v>2100</v>
      </c>
      <c r="E415" s="6">
        <v>1</v>
      </c>
      <c r="F415" s="6" t="s">
        <v>2004</v>
      </c>
      <c r="G415" s="6" t="s">
        <v>2005</v>
      </c>
      <c r="H415" s="6" t="s">
        <v>2005</v>
      </c>
      <c r="I415" s="6" t="str">
        <f t="shared" si="12"/>
        <v>Lift Fork</v>
      </c>
      <c r="J415" s="6" t="s">
        <v>132</v>
      </c>
      <c r="K415" s="6">
        <v>1</v>
      </c>
      <c r="P415" s="6">
        <f t="shared" si="13"/>
        <v>980000</v>
      </c>
      <c r="R415" s="6" t="s">
        <v>2003</v>
      </c>
      <c r="T415" s="6" t="s">
        <v>2020</v>
      </c>
      <c r="U415" s="6">
        <v>2017</v>
      </c>
      <c r="V415" s="6">
        <v>1</v>
      </c>
      <c r="AD415" s="6" t="s">
        <v>45</v>
      </c>
      <c r="AJ415" s="31" t="s">
        <v>2110</v>
      </c>
      <c r="AK415" s="6">
        <v>1</v>
      </c>
      <c r="AL415" s="26">
        <v>880000</v>
      </c>
      <c r="AM415" s="26">
        <v>880000</v>
      </c>
      <c r="AN415" s="26">
        <v>880000</v>
      </c>
      <c r="AO415" s="6" t="s">
        <v>2003</v>
      </c>
      <c r="AQ415" s="6" t="s">
        <v>1155</v>
      </c>
      <c r="AU415" s="6">
        <v>224650</v>
      </c>
    </row>
    <row r="416" spans="1:47" x14ac:dyDescent="0.3">
      <c r="A416" s="28" t="s">
        <v>42</v>
      </c>
      <c r="B416" s="6" t="s">
        <v>2178</v>
      </c>
      <c r="C416" s="6" t="s">
        <v>1975</v>
      </c>
      <c r="D416" s="6" t="s">
        <v>2001</v>
      </c>
      <c r="E416" s="6">
        <v>1</v>
      </c>
      <c r="F416" s="6" t="s">
        <v>2004</v>
      </c>
      <c r="G416" s="6" t="s">
        <v>2005</v>
      </c>
      <c r="H416" s="6" t="s">
        <v>2005</v>
      </c>
      <c r="I416" s="6" t="str">
        <f t="shared" si="12"/>
        <v>Side Breaker</v>
      </c>
      <c r="J416" s="6" t="s">
        <v>558</v>
      </c>
      <c r="K416" s="6">
        <v>1</v>
      </c>
      <c r="P416" s="6">
        <f t="shared" si="13"/>
        <v>15500000</v>
      </c>
      <c r="R416" s="6" t="s">
        <v>2003</v>
      </c>
      <c r="T416" s="6" t="s">
        <v>963</v>
      </c>
      <c r="U416" s="6">
        <v>2015</v>
      </c>
      <c r="V416" s="6">
        <v>1</v>
      </c>
      <c r="AD416" s="6" t="s">
        <v>45</v>
      </c>
      <c r="AJ416" s="31" t="s">
        <v>2110</v>
      </c>
      <c r="AK416" s="6">
        <v>1</v>
      </c>
      <c r="AL416" s="26">
        <v>15000000</v>
      </c>
      <c r="AM416" s="26">
        <v>15000000</v>
      </c>
      <c r="AN416" s="26">
        <v>15000000</v>
      </c>
      <c r="AO416" s="6" t="s">
        <v>2003</v>
      </c>
      <c r="AQ416" s="6" t="s">
        <v>1278</v>
      </c>
      <c r="AU416" s="6">
        <v>224653</v>
      </c>
    </row>
    <row r="417" spans="1:47" x14ac:dyDescent="0.3">
      <c r="A417" s="28" t="s">
        <v>42</v>
      </c>
      <c r="B417" s="6" t="s">
        <v>2179</v>
      </c>
      <c r="C417" s="6" t="s">
        <v>1976</v>
      </c>
      <c r="D417" s="6" t="s">
        <v>2104</v>
      </c>
      <c r="E417" s="6">
        <v>1</v>
      </c>
      <c r="F417" s="6" t="s">
        <v>2004</v>
      </c>
      <c r="G417" s="6" t="s">
        <v>2005</v>
      </c>
      <c r="H417" s="6" t="s">
        <v>2005</v>
      </c>
      <c r="I417" s="6" t="str">
        <f t="shared" si="12"/>
        <v>Skeleton Bucket</v>
      </c>
      <c r="J417" s="6" t="s">
        <v>559</v>
      </c>
      <c r="K417" s="6">
        <v>1</v>
      </c>
      <c r="P417" s="6">
        <f t="shared" si="13"/>
        <v>950000</v>
      </c>
      <c r="R417" s="6" t="s">
        <v>2003</v>
      </c>
      <c r="T417" s="6" t="s">
        <v>2007</v>
      </c>
      <c r="U417" s="6">
        <v>2014</v>
      </c>
      <c r="V417" s="6">
        <v>1</v>
      </c>
      <c r="AD417" s="6" t="s">
        <v>45</v>
      </c>
      <c r="AJ417" s="31" t="s">
        <v>2113</v>
      </c>
      <c r="AK417" s="6">
        <v>1</v>
      </c>
      <c r="AL417" s="26">
        <v>850000</v>
      </c>
      <c r="AM417" s="26">
        <v>850000</v>
      </c>
      <c r="AN417" s="26">
        <v>850000</v>
      </c>
      <c r="AO417" s="6" t="s">
        <v>2003</v>
      </c>
      <c r="AQ417" s="6" t="s">
        <v>49</v>
      </c>
      <c r="AU417" s="6">
        <v>224655</v>
      </c>
    </row>
    <row r="418" spans="1:47" x14ac:dyDescent="0.3">
      <c r="A418" s="28" t="s">
        <v>42</v>
      </c>
      <c r="B418" s="6" t="s">
        <v>2180</v>
      </c>
      <c r="D418" s="6" t="s">
        <v>2104</v>
      </c>
      <c r="E418" s="6">
        <v>1</v>
      </c>
      <c r="F418" s="6" t="s">
        <v>2004</v>
      </c>
      <c r="G418" s="6" t="s">
        <v>2005</v>
      </c>
      <c r="H418" s="6" t="s">
        <v>2005</v>
      </c>
      <c r="I418" s="6" t="str">
        <f t="shared" si="12"/>
        <v>Quick Coupler</v>
      </c>
      <c r="J418" s="6" t="s">
        <v>89</v>
      </c>
      <c r="K418" s="6">
        <v>1</v>
      </c>
      <c r="P418" s="6">
        <f t="shared" si="13"/>
        <v>850000</v>
      </c>
      <c r="R418" s="6" t="s">
        <v>2003</v>
      </c>
      <c r="T418" s="6" t="s">
        <v>2007</v>
      </c>
      <c r="U418" s="6">
        <v>2014</v>
      </c>
      <c r="V418" s="6">
        <v>1</v>
      </c>
      <c r="AD418" s="6" t="s">
        <v>45</v>
      </c>
      <c r="AJ418" s="31" t="s">
        <v>2113</v>
      </c>
      <c r="AK418" s="6">
        <v>1</v>
      </c>
      <c r="AL418" s="26">
        <v>750000</v>
      </c>
      <c r="AM418" s="26">
        <v>750000</v>
      </c>
      <c r="AN418" s="26">
        <v>750000</v>
      </c>
      <c r="AO418" s="6" t="s">
        <v>2003</v>
      </c>
      <c r="AQ418" s="6" t="s">
        <v>49</v>
      </c>
      <c r="AU418" s="6">
        <v>224662</v>
      </c>
    </row>
    <row r="419" spans="1:47" hidden="1" x14ac:dyDescent="0.3">
      <c r="A419" s="28" t="s">
        <v>42</v>
      </c>
      <c r="B419" s="6" t="s">
        <v>2179</v>
      </c>
      <c r="E419" s="6">
        <v>1</v>
      </c>
      <c r="F419" s="6" t="s">
        <v>2004</v>
      </c>
      <c r="G419" s="6" t="s">
        <v>2005</v>
      </c>
      <c r="H419" s="6" t="s">
        <v>2005</v>
      </c>
      <c r="I419" s="6" t="str">
        <f t="shared" si="12"/>
        <v>Bucket</v>
      </c>
      <c r="J419" s="6" t="s">
        <v>560</v>
      </c>
      <c r="K419" s="6">
        <v>1</v>
      </c>
      <c r="P419" s="6">
        <f t="shared" si="13"/>
        <v>1600000</v>
      </c>
      <c r="R419" s="6" t="s">
        <v>2003</v>
      </c>
      <c r="T419" s="6" t="s">
        <v>964</v>
      </c>
      <c r="U419" s="6">
        <v>2015</v>
      </c>
      <c r="V419" s="6">
        <v>10</v>
      </c>
      <c r="AD419" s="6" t="s">
        <v>45</v>
      </c>
      <c r="AJ419" s="31" t="s">
        <v>2122</v>
      </c>
      <c r="AK419" s="6">
        <v>1</v>
      </c>
      <c r="AL419" s="26">
        <v>1500000</v>
      </c>
      <c r="AM419" s="26">
        <v>1500000</v>
      </c>
      <c r="AN419" s="26">
        <v>1500000</v>
      </c>
      <c r="AO419" s="6" t="s">
        <v>2003</v>
      </c>
      <c r="AQ419" s="6" t="s">
        <v>1238</v>
      </c>
      <c r="AU419" s="6">
        <v>224663</v>
      </c>
    </row>
    <row r="420" spans="1:47" x14ac:dyDescent="0.3">
      <c r="A420" s="28" t="s">
        <v>42</v>
      </c>
      <c r="B420" s="6" t="s">
        <v>2184</v>
      </c>
      <c r="C420" s="6" t="s">
        <v>1985</v>
      </c>
      <c r="D420" s="6" t="s">
        <v>2104</v>
      </c>
      <c r="E420" s="6">
        <v>1</v>
      </c>
      <c r="F420" s="6" t="s">
        <v>2004</v>
      </c>
      <c r="G420" s="6" t="s">
        <v>2005</v>
      </c>
      <c r="H420" s="6" t="s">
        <v>2005</v>
      </c>
      <c r="I420" s="6" t="str">
        <f t="shared" si="12"/>
        <v>Multi Grapple</v>
      </c>
      <c r="J420" s="6" t="s">
        <v>561</v>
      </c>
      <c r="K420" s="6">
        <v>1</v>
      </c>
      <c r="P420" s="6">
        <f t="shared" si="13"/>
        <v>2900000</v>
      </c>
      <c r="R420" s="6" t="s">
        <v>2003</v>
      </c>
      <c r="T420" s="6" t="s">
        <v>823</v>
      </c>
      <c r="U420" s="6">
        <v>2014</v>
      </c>
      <c r="V420" s="6">
        <v>1</v>
      </c>
      <c r="AD420" s="6" t="s">
        <v>45</v>
      </c>
      <c r="AJ420" s="31" t="s">
        <v>2113</v>
      </c>
      <c r="AK420" s="6">
        <v>1</v>
      </c>
      <c r="AL420" s="26">
        <v>2700000</v>
      </c>
      <c r="AM420" s="26">
        <v>2700000</v>
      </c>
      <c r="AN420" s="26">
        <v>2700000</v>
      </c>
      <c r="AO420" s="6" t="s">
        <v>2003</v>
      </c>
      <c r="AQ420" s="6" t="s">
        <v>49</v>
      </c>
      <c r="AU420" s="6">
        <v>224665</v>
      </c>
    </row>
    <row r="421" spans="1:47" hidden="1" x14ac:dyDescent="0.3">
      <c r="A421" s="28" t="s">
        <v>42</v>
      </c>
      <c r="B421" s="6" t="s">
        <v>2183</v>
      </c>
      <c r="E421" s="6">
        <v>1</v>
      </c>
      <c r="F421" s="6" t="s">
        <v>2004</v>
      </c>
      <c r="G421" s="6" t="s">
        <v>2005</v>
      </c>
      <c r="H421" s="6" t="s">
        <v>2005</v>
      </c>
      <c r="I421" s="6" t="str">
        <f t="shared" si="12"/>
        <v>ETC</v>
      </c>
      <c r="J421" s="6" t="s">
        <v>562</v>
      </c>
      <c r="K421" s="6">
        <v>1</v>
      </c>
      <c r="P421" s="6">
        <f t="shared" si="13"/>
        <v>108500000</v>
      </c>
      <c r="R421" s="6" t="s">
        <v>2003</v>
      </c>
      <c r="T421" s="6" t="s">
        <v>2050</v>
      </c>
      <c r="U421" s="6">
        <v>2017</v>
      </c>
      <c r="V421" s="6">
        <v>1</v>
      </c>
      <c r="AD421" s="6" t="s">
        <v>45</v>
      </c>
      <c r="AJ421" s="31" t="s">
        <v>2111</v>
      </c>
      <c r="AK421" s="6">
        <v>1</v>
      </c>
      <c r="AL421" s="26">
        <v>108000000</v>
      </c>
      <c r="AM421" s="26">
        <v>108000000</v>
      </c>
      <c r="AN421" s="26">
        <v>108000000</v>
      </c>
      <c r="AO421" s="6" t="s">
        <v>2003</v>
      </c>
      <c r="AQ421" s="6" t="s">
        <v>1226</v>
      </c>
      <c r="AU421" s="6">
        <v>224667</v>
      </c>
    </row>
    <row r="422" spans="1:47" x14ac:dyDescent="0.3">
      <c r="A422" s="28" t="s">
        <v>42</v>
      </c>
      <c r="B422" s="6" t="s">
        <v>2174</v>
      </c>
      <c r="C422" s="6" t="s">
        <v>1975</v>
      </c>
      <c r="D422" s="6" t="s">
        <v>2103</v>
      </c>
      <c r="E422" s="6">
        <v>1</v>
      </c>
      <c r="F422" s="6" t="s">
        <v>2004</v>
      </c>
      <c r="G422" s="6" t="s">
        <v>2005</v>
      </c>
      <c r="H422" s="6" t="s">
        <v>2005</v>
      </c>
      <c r="I422" s="6" t="str">
        <f t="shared" si="12"/>
        <v>Side Breaker</v>
      </c>
      <c r="J422" s="6" t="s">
        <v>593</v>
      </c>
      <c r="K422" s="6">
        <v>1</v>
      </c>
      <c r="P422" s="6">
        <f t="shared" si="13"/>
        <v>8000000</v>
      </c>
      <c r="R422" s="6" t="s">
        <v>2003</v>
      </c>
      <c r="T422" s="6" t="s">
        <v>810</v>
      </c>
      <c r="U422" s="6">
        <v>2015</v>
      </c>
      <c r="V422" s="6">
        <v>5</v>
      </c>
      <c r="AD422" s="6" t="s">
        <v>45</v>
      </c>
      <c r="AJ422" s="31" t="s">
        <v>2123</v>
      </c>
      <c r="AK422" s="6">
        <v>1</v>
      </c>
      <c r="AL422" s="26">
        <v>7500000</v>
      </c>
      <c r="AM422" s="26">
        <v>7500000</v>
      </c>
      <c r="AN422" s="26">
        <v>7500000</v>
      </c>
      <c r="AO422" s="6" t="s">
        <v>2003</v>
      </c>
      <c r="AQ422" s="6" t="s">
        <v>1189</v>
      </c>
      <c r="AU422" s="6">
        <v>224668</v>
      </c>
    </row>
    <row r="423" spans="1:47" x14ac:dyDescent="0.3">
      <c r="A423" s="28" t="s">
        <v>42</v>
      </c>
      <c r="B423" s="6" t="s">
        <v>2184</v>
      </c>
      <c r="C423" s="6" t="s">
        <v>1979</v>
      </c>
      <c r="D423" s="6" t="s">
        <v>2104</v>
      </c>
      <c r="E423" s="6">
        <v>1</v>
      </c>
      <c r="F423" s="6" t="s">
        <v>2004</v>
      </c>
      <c r="G423" s="6" t="s">
        <v>2005</v>
      </c>
      <c r="H423" s="6" t="s">
        <v>2005</v>
      </c>
      <c r="I423" s="6" t="str">
        <f t="shared" si="12"/>
        <v>Thumb Grapple</v>
      </c>
      <c r="J423" s="6" t="s">
        <v>61</v>
      </c>
      <c r="K423" s="6">
        <v>1</v>
      </c>
      <c r="P423" s="6">
        <f t="shared" si="13"/>
        <v>1200000</v>
      </c>
      <c r="R423" s="6" t="s">
        <v>2003</v>
      </c>
      <c r="T423" s="6" t="s">
        <v>2012</v>
      </c>
      <c r="U423" s="6">
        <v>2013</v>
      </c>
      <c r="V423" s="6">
        <v>1</v>
      </c>
      <c r="AD423" s="6" t="s">
        <v>45</v>
      </c>
      <c r="AJ423" s="31" t="s">
        <v>2113</v>
      </c>
      <c r="AK423" s="6">
        <v>1</v>
      </c>
      <c r="AL423" s="26">
        <v>1100000</v>
      </c>
      <c r="AM423" s="26">
        <v>1100000</v>
      </c>
      <c r="AN423" s="26">
        <v>1100000</v>
      </c>
      <c r="AO423" s="6" t="s">
        <v>2003</v>
      </c>
      <c r="AQ423" s="6" t="s">
        <v>49</v>
      </c>
      <c r="AU423" s="6">
        <v>224670</v>
      </c>
    </row>
    <row r="424" spans="1:47" x14ac:dyDescent="0.3">
      <c r="A424" s="28" t="s">
        <v>42</v>
      </c>
      <c r="B424" s="6" t="s">
        <v>2183</v>
      </c>
      <c r="D424" s="6" t="s">
        <v>2101</v>
      </c>
      <c r="E424" s="6">
        <v>1</v>
      </c>
      <c r="F424" s="6" t="s">
        <v>2004</v>
      </c>
      <c r="G424" s="6" t="s">
        <v>2005</v>
      </c>
      <c r="H424" s="6" t="s">
        <v>2005</v>
      </c>
      <c r="I424" s="6" t="str">
        <f t="shared" si="12"/>
        <v>ETC</v>
      </c>
      <c r="J424" s="6" t="s">
        <v>623</v>
      </c>
      <c r="K424" s="6">
        <v>1</v>
      </c>
      <c r="P424" s="6">
        <f t="shared" si="13"/>
        <v>4700000</v>
      </c>
      <c r="R424" s="6" t="s">
        <v>2003</v>
      </c>
      <c r="T424" s="6" t="s">
        <v>1862</v>
      </c>
      <c r="U424" s="6">
        <v>2001</v>
      </c>
      <c r="V424" s="6">
        <v>1</v>
      </c>
      <c r="AD424" s="6" t="s">
        <v>45</v>
      </c>
      <c r="AJ424" s="31" t="s">
        <v>2118</v>
      </c>
      <c r="AK424" s="6">
        <v>1</v>
      </c>
      <c r="AL424" s="26">
        <v>4500000</v>
      </c>
      <c r="AM424" s="26">
        <v>4500000</v>
      </c>
      <c r="AN424" s="26">
        <v>4500000</v>
      </c>
      <c r="AO424" s="6" t="s">
        <v>2003</v>
      </c>
      <c r="AQ424" s="6" t="s">
        <v>1290</v>
      </c>
      <c r="AU424" s="6">
        <v>224673</v>
      </c>
    </row>
    <row r="425" spans="1:47" x14ac:dyDescent="0.3">
      <c r="A425" s="28" t="s">
        <v>42</v>
      </c>
      <c r="B425" s="6" t="s">
        <v>2182</v>
      </c>
      <c r="C425" s="6" t="s">
        <v>1982</v>
      </c>
      <c r="D425" s="6" t="s">
        <v>2104</v>
      </c>
      <c r="E425" s="6">
        <v>1</v>
      </c>
      <c r="F425" s="6" t="s">
        <v>2004</v>
      </c>
      <c r="G425" s="6" t="s">
        <v>2005</v>
      </c>
      <c r="H425" s="6" t="s">
        <v>2005</v>
      </c>
      <c r="I425" s="6" t="str">
        <f t="shared" si="12"/>
        <v>Standard Bucket</v>
      </c>
      <c r="J425" s="6" t="s">
        <v>563</v>
      </c>
      <c r="K425" s="6">
        <v>1</v>
      </c>
      <c r="P425" s="6">
        <f t="shared" si="13"/>
        <v>1350000</v>
      </c>
      <c r="R425" s="6" t="s">
        <v>2003</v>
      </c>
      <c r="T425" s="6" t="s">
        <v>965</v>
      </c>
      <c r="U425" s="6">
        <v>2017</v>
      </c>
      <c r="V425" s="6">
        <v>1</v>
      </c>
      <c r="AD425" s="6" t="s">
        <v>45</v>
      </c>
      <c r="AJ425" s="31" t="s">
        <v>2122</v>
      </c>
      <c r="AK425" s="6">
        <v>1</v>
      </c>
      <c r="AL425" s="26">
        <v>1250000</v>
      </c>
      <c r="AM425" s="26">
        <v>1250000</v>
      </c>
      <c r="AN425" s="26">
        <v>1250000</v>
      </c>
      <c r="AO425" s="6" t="s">
        <v>2003</v>
      </c>
      <c r="AQ425" s="6" t="s">
        <v>1279</v>
      </c>
      <c r="AU425" s="6">
        <v>224676</v>
      </c>
    </row>
    <row r="426" spans="1:47" hidden="1" x14ac:dyDescent="0.3">
      <c r="A426" s="28" t="s">
        <v>42</v>
      </c>
      <c r="B426" s="6" t="s">
        <v>2183</v>
      </c>
      <c r="E426" s="6">
        <v>1</v>
      </c>
      <c r="F426" s="6" t="s">
        <v>2004</v>
      </c>
      <c r="G426" s="6" t="s">
        <v>2005</v>
      </c>
      <c r="H426" s="6" t="s">
        <v>2005</v>
      </c>
      <c r="I426" s="6" t="str">
        <f t="shared" si="12"/>
        <v>ETC</v>
      </c>
      <c r="J426" s="6" t="s">
        <v>586</v>
      </c>
      <c r="K426" s="6">
        <v>1</v>
      </c>
      <c r="P426" s="6">
        <f t="shared" si="13"/>
        <v>11000000</v>
      </c>
      <c r="R426" s="6" t="s">
        <v>2003</v>
      </c>
      <c r="T426" s="6" t="s">
        <v>1863</v>
      </c>
      <c r="U426" s="6">
        <v>2016</v>
      </c>
      <c r="V426" s="6">
        <v>1</v>
      </c>
      <c r="AD426" s="6" t="s">
        <v>45</v>
      </c>
      <c r="AJ426" s="31" t="s">
        <v>2116</v>
      </c>
      <c r="AK426" s="6">
        <v>1</v>
      </c>
      <c r="AL426" s="26">
        <v>10500000</v>
      </c>
      <c r="AM426" s="26">
        <v>10500000</v>
      </c>
      <c r="AN426" s="26">
        <v>10500000</v>
      </c>
      <c r="AO426" s="6" t="s">
        <v>2003</v>
      </c>
      <c r="AQ426" s="6" t="s">
        <v>1165</v>
      </c>
      <c r="AU426" s="6">
        <v>224678</v>
      </c>
    </row>
    <row r="427" spans="1:47" x14ac:dyDescent="0.3">
      <c r="A427" s="28" t="s">
        <v>42</v>
      </c>
      <c r="B427" s="6" t="s">
        <v>2183</v>
      </c>
      <c r="D427" s="6" t="s">
        <v>2101</v>
      </c>
      <c r="E427" s="6">
        <v>1</v>
      </c>
      <c r="F427" s="6" t="s">
        <v>2004</v>
      </c>
      <c r="G427" s="6" t="s">
        <v>2005</v>
      </c>
      <c r="H427" s="6" t="s">
        <v>2005</v>
      </c>
      <c r="I427" s="6" t="str">
        <f t="shared" si="12"/>
        <v>ETC</v>
      </c>
      <c r="J427" s="6" t="s">
        <v>88</v>
      </c>
      <c r="K427" s="6">
        <v>1</v>
      </c>
      <c r="P427" s="6">
        <f t="shared" si="13"/>
        <v>9500000</v>
      </c>
      <c r="R427" s="6" t="s">
        <v>2003</v>
      </c>
      <c r="T427" s="6" t="s">
        <v>966</v>
      </c>
      <c r="U427" s="6">
        <v>2011</v>
      </c>
      <c r="V427" s="6">
        <v>6</v>
      </c>
      <c r="AD427" s="6" t="s">
        <v>45</v>
      </c>
      <c r="AJ427" s="31" t="s">
        <v>2118</v>
      </c>
      <c r="AK427" s="6">
        <v>1</v>
      </c>
      <c r="AL427" s="26">
        <v>9000000</v>
      </c>
      <c r="AM427" s="26">
        <v>9000000</v>
      </c>
      <c r="AN427" s="26">
        <v>9000000</v>
      </c>
      <c r="AO427" s="6" t="s">
        <v>2003</v>
      </c>
      <c r="AQ427" s="6" t="s">
        <v>1280</v>
      </c>
      <c r="AU427" s="6">
        <v>224680</v>
      </c>
    </row>
    <row r="428" spans="1:47" hidden="1" x14ac:dyDescent="0.3">
      <c r="A428" s="28" t="s">
        <v>42</v>
      </c>
      <c r="B428" s="6" t="s">
        <v>2174</v>
      </c>
      <c r="C428" s="6" t="s">
        <v>1975</v>
      </c>
      <c r="E428" s="6">
        <v>1</v>
      </c>
      <c r="F428" s="6" t="s">
        <v>2004</v>
      </c>
      <c r="G428" s="6" t="s">
        <v>2005</v>
      </c>
      <c r="H428" s="6" t="s">
        <v>2005</v>
      </c>
      <c r="I428" s="6" t="str">
        <f t="shared" si="12"/>
        <v>Side Breaker</v>
      </c>
      <c r="J428" s="6" t="s">
        <v>2143</v>
      </c>
      <c r="K428" s="6">
        <v>1</v>
      </c>
      <c r="P428" s="6">
        <f t="shared" si="13"/>
        <v>8500000</v>
      </c>
      <c r="R428" s="6" t="s">
        <v>2003</v>
      </c>
      <c r="T428" s="6" t="s">
        <v>967</v>
      </c>
      <c r="U428" s="6">
        <v>2013</v>
      </c>
      <c r="V428" s="6">
        <v>1</v>
      </c>
      <c r="AD428" s="6" t="s">
        <v>45</v>
      </c>
      <c r="AJ428" s="31" t="s">
        <v>2114</v>
      </c>
      <c r="AK428" s="6">
        <v>1</v>
      </c>
      <c r="AL428" s="26">
        <v>8000000</v>
      </c>
      <c r="AM428" s="26">
        <v>8000000</v>
      </c>
      <c r="AN428" s="26">
        <v>8000000</v>
      </c>
      <c r="AO428" s="6" t="s">
        <v>2003</v>
      </c>
      <c r="AQ428" s="6" t="s">
        <v>1230</v>
      </c>
      <c r="AU428" s="6">
        <v>224683</v>
      </c>
    </row>
    <row r="429" spans="1:47" x14ac:dyDescent="0.3">
      <c r="A429" s="28" t="s">
        <v>42</v>
      </c>
      <c r="B429" s="6" t="s">
        <v>2199</v>
      </c>
      <c r="D429" s="6" t="s">
        <v>2104</v>
      </c>
      <c r="E429" s="6">
        <v>1</v>
      </c>
      <c r="F429" s="6" t="s">
        <v>2004</v>
      </c>
      <c r="G429" s="6" t="s">
        <v>2005</v>
      </c>
      <c r="H429" s="6" t="s">
        <v>2005</v>
      </c>
      <c r="I429" s="6" t="str">
        <f t="shared" si="12"/>
        <v>Quick Coupler</v>
      </c>
      <c r="J429" s="6" t="s">
        <v>564</v>
      </c>
      <c r="K429" s="6">
        <v>1</v>
      </c>
      <c r="P429" s="6">
        <f t="shared" si="13"/>
        <v>800000</v>
      </c>
      <c r="R429" s="6" t="s">
        <v>2003</v>
      </c>
      <c r="T429" s="6" t="s">
        <v>823</v>
      </c>
      <c r="U429" s="6">
        <v>2014</v>
      </c>
      <c r="V429" s="6">
        <v>1</v>
      </c>
      <c r="AD429" s="6" t="s">
        <v>45</v>
      </c>
      <c r="AJ429" s="31" t="s">
        <v>2113</v>
      </c>
      <c r="AK429" s="6">
        <v>1</v>
      </c>
      <c r="AL429" s="26">
        <v>700000</v>
      </c>
      <c r="AM429" s="26">
        <v>700000</v>
      </c>
      <c r="AN429" s="26">
        <v>700000</v>
      </c>
      <c r="AO429" s="6" t="s">
        <v>2003</v>
      </c>
      <c r="AQ429" s="6" t="s">
        <v>49</v>
      </c>
      <c r="AU429" s="6">
        <v>224684</v>
      </c>
    </row>
    <row r="430" spans="1:47" x14ac:dyDescent="0.3">
      <c r="A430" s="28" t="s">
        <v>42</v>
      </c>
      <c r="B430" s="6" t="s">
        <v>2184</v>
      </c>
      <c r="C430" s="6" t="s">
        <v>1974</v>
      </c>
      <c r="D430" s="6" t="s">
        <v>2104</v>
      </c>
      <c r="E430" s="6">
        <v>1</v>
      </c>
      <c r="F430" s="6" t="s">
        <v>2004</v>
      </c>
      <c r="G430" s="6" t="s">
        <v>2005</v>
      </c>
      <c r="H430" s="6" t="s">
        <v>2005</v>
      </c>
      <c r="I430" s="6" t="str">
        <f t="shared" si="12"/>
        <v>Etc Grapple</v>
      </c>
      <c r="J430" s="6" t="s">
        <v>125</v>
      </c>
      <c r="K430" s="6">
        <v>1</v>
      </c>
      <c r="P430" s="6">
        <f t="shared" si="13"/>
        <v>5500000</v>
      </c>
      <c r="R430" s="6" t="s">
        <v>2003</v>
      </c>
      <c r="T430" s="6" t="s">
        <v>968</v>
      </c>
      <c r="U430" s="6">
        <v>2016</v>
      </c>
      <c r="V430" s="6">
        <v>2</v>
      </c>
      <c r="AD430" s="6" t="s">
        <v>45</v>
      </c>
      <c r="AJ430" s="31" t="s">
        <v>2122</v>
      </c>
      <c r="AK430" s="6">
        <v>1</v>
      </c>
      <c r="AL430" s="26">
        <v>5000000</v>
      </c>
      <c r="AM430" s="26">
        <v>5000000</v>
      </c>
      <c r="AN430" s="26">
        <v>5000000</v>
      </c>
      <c r="AO430" s="6" t="s">
        <v>2003</v>
      </c>
      <c r="AQ430" s="6" t="s">
        <v>1281</v>
      </c>
      <c r="AU430" s="6">
        <v>224690</v>
      </c>
    </row>
    <row r="431" spans="1:47" x14ac:dyDescent="0.3">
      <c r="A431" s="28" t="s">
        <v>42</v>
      </c>
      <c r="B431" s="6" t="s">
        <v>2182</v>
      </c>
      <c r="C431" s="6" t="s">
        <v>2205</v>
      </c>
      <c r="D431" s="6" t="s">
        <v>2104</v>
      </c>
      <c r="E431" s="6">
        <v>1</v>
      </c>
      <c r="F431" s="6" t="s">
        <v>2004</v>
      </c>
      <c r="G431" s="6" t="s">
        <v>2005</v>
      </c>
      <c r="H431" s="6" t="s">
        <v>2005</v>
      </c>
      <c r="I431" s="6" t="str">
        <f t="shared" si="12"/>
        <v>Standard Bucket</v>
      </c>
      <c r="J431" s="6" t="s">
        <v>565</v>
      </c>
      <c r="K431" s="6">
        <v>1</v>
      </c>
      <c r="P431" s="6">
        <f t="shared" si="13"/>
        <v>1100000</v>
      </c>
      <c r="R431" s="6" t="s">
        <v>2003</v>
      </c>
      <c r="T431" s="6" t="s">
        <v>801</v>
      </c>
      <c r="U431" s="6">
        <v>2013</v>
      </c>
      <c r="V431" s="6">
        <v>1</v>
      </c>
      <c r="AD431" s="6" t="s">
        <v>45</v>
      </c>
      <c r="AJ431" s="31" t="s">
        <v>2110</v>
      </c>
      <c r="AK431" s="6">
        <v>1</v>
      </c>
      <c r="AL431" s="26">
        <v>1000000</v>
      </c>
      <c r="AM431" s="26">
        <v>1000000</v>
      </c>
      <c r="AN431" s="26">
        <v>1000000</v>
      </c>
      <c r="AO431" s="6" t="s">
        <v>2003</v>
      </c>
      <c r="AQ431" s="6" t="s">
        <v>1182</v>
      </c>
      <c r="AU431" s="6">
        <v>224694</v>
      </c>
    </row>
    <row r="432" spans="1:47" x14ac:dyDescent="0.3">
      <c r="A432" s="28" t="s">
        <v>42</v>
      </c>
      <c r="B432" s="6" t="s">
        <v>2184</v>
      </c>
      <c r="C432" s="6" t="s">
        <v>1974</v>
      </c>
      <c r="D432" s="6" t="s">
        <v>2100</v>
      </c>
      <c r="E432" s="6">
        <v>1</v>
      </c>
      <c r="F432" s="6" t="s">
        <v>2004</v>
      </c>
      <c r="G432" s="6" t="s">
        <v>2005</v>
      </c>
      <c r="H432" s="6" t="s">
        <v>2005</v>
      </c>
      <c r="I432" s="6" t="str">
        <f t="shared" si="12"/>
        <v>Etc Grapple</v>
      </c>
      <c r="J432" s="6" t="s">
        <v>136</v>
      </c>
      <c r="K432" s="6">
        <v>1</v>
      </c>
      <c r="P432" s="6">
        <f t="shared" si="13"/>
        <v>3200000</v>
      </c>
      <c r="R432" s="6" t="s">
        <v>2003</v>
      </c>
      <c r="T432" s="6" t="s">
        <v>54</v>
      </c>
      <c r="U432" s="6">
        <v>2011</v>
      </c>
      <c r="V432" s="6">
        <v>1</v>
      </c>
      <c r="AD432" s="6" t="s">
        <v>45</v>
      </c>
      <c r="AJ432" s="31" t="s">
        <v>2114</v>
      </c>
      <c r="AK432" s="6">
        <v>1</v>
      </c>
      <c r="AL432" s="26">
        <v>3000000</v>
      </c>
      <c r="AM432" s="26">
        <v>3000000</v>
      </c>
      <c r="AN432" s="26">
        <v>3000000</v>
      </c>
      <c r="AO432" s="6" t="s">
        <v>2003</v>
      </c>
      <c r="AQ432" s="6" t="s">
        <v>54</v>
      </c>
      <c r="AU432" s="6">
        <v>224696</v>
      </c>
    </row>
    <row r="433" spans="1:47" hidden="1" x14ac:dyDescent="0.3">
      <c r="A433" s="28" t="s">
        <v>42</v>
      </c>
      <c r="B433" s="6" t="s">
        <v>2182</v>
      </c>
      <c r="E433" s="6">
        <v>1</v>
      </c>
      <c r="F433" s="6" t="s">
        <v>2004</v>
      </c>
      <c r="G433" s="6" t="s">
        <v>2005</v>
      </c>
      <c r="H433" s="6" t="s">
        <v>2005</v>
      </c>
      <c r="I433" s="6" t="str">
        <f t="shared" si="12"/>
        <v>Bucket</v>
      </c>
      <c r="J433" s="6" t="s">
        <v>214</v>
      </c>
      <c r="K433" s="6">
        <v>1</v>
      </c>
      <c r="P433" s="6">
        <f t="shared" si="13"/>
        <v>500000</v>
      </c>
      <c r="R433" s="6" t="s">
        <v>2003</v>
      </c>
      <c r="T433" s="6" t="s">
        <v>789</v>
      </c>
      <c r="U433" s="6">
        <v>2016</v>
      </c>
      <c r="V433" s="6">
        <v>1</v>
      </c>
      <c r="AD433" s="6" t="s">
        <v>45</v>
      </c>
      <c r="AJ433" s="31" t="s">
        <v>2122</v>
      </c>
      <c r="AK433" s="6">
        <v>1</v>
      </c>
      <c r="AL433" s="26">
        <v>450000</v>
      </c>
      <c r="AM433" s="26">
        <v>450000</v>
      </c>
      <c r="AN433" s="26">
        <v>450000</v>
      </c>
      <c r="AO433" s="6" t="s">
        <v>2003</v>
      </c>
      <c r="AQ433" s="6" t="s">
        <v>65</v>
      </c>
      <c r="AU433" s="6">
        <v>224702</v>
      </c>
    </row>
    <row r="434" spans="1:47" hidden="1" x14ac:dyDescent="0.3">
      <c r="A434" s="28" t="s">
        <v>42</v>
      </c>
      <c r="B434" s="6" t="s">
        <v>2183</v>
      </c>
      <c r="E434" s="6">
        <v>1</v>
      </c>
      <c r="F434" s="6" t="s">
        <v>2004</v>
      </c>
      <c r="G434" s="6" t="s">
        <v>2005</v>
      </c>
      <c r="H434" s="6" t="s">
        <v>2005</v>
      </c>
      <c r="I434" s="6" t="str">
        <f t="shared" si="12"/>
        <v>ETC</v>
      </c>
      <c r="J434" s="6" t="s">
        <v>209</v>
      </c>
      <c r="K434" s="6">
        <v>1</v>
      </c>
      <c r="P434" s="6">
        <f t="shared" si="13"/>
        <v>1300000</v>
      </c>
      <c r="R434" s="6" t="s">
        <v>2003</v>
      </c>
      <c r="T434" s="6" t="s">
        <v>789</v>
      </c>
      <c r="U434" s="6">
        <v>2010</v>
      </c>
      <c r="V434" s="6">
        <v>1</v>
      </c>
      <c r="AD434" s="6" t="s">
        <v>45</v>
      </c>
      <c r="AJ434" s="31" t="s">
        <v>2122</v>
      </c>
      <c r="AK434" s="6">
        <v>1</v>
      </c>
      <c r="AL434" s="26">
        <v>1200000</v>
      </c>
      <c r="AM434" s="26">
        <v>1200000</v>
      </c>
      <c r="AN434" s="26">
        <v>1200000</v>
      </c>
      <c r="AO434" s="6" t="s">
        <v>2003</v>
      </c>
      <c r="AQ434" s="6" t="s">
        <v>65</v>
      </c>
      <c r="AU434" s="6">
        <v>224703</v>
      </c>
    </row>
    <row r="435" spans="1:47" x14ac:dyDescent="0.3">
      <c r="A435" s="28" t="s">
        <v>42</v>
      </c>
      <c r="B435" s="6" t="s">
        <v>2184</v>
      </c>
      <c r="C435" s="6" t="s">
        <v>1973</v>
      </c>
      <c r="D435" s="6" t="s">
        <v>2100</v>
      </c>
      <c r="E435" s="6">
        <v>1</v>
      </c>
      <c r="F435" s="6" t="s">
        <v>2004</v>
      </c>
      <c r="G435" s="6" t="s">
        <v>2005</v>
      </c>
      <c r="H435" s="6" t="s">
        <v>2005</v>
      </c>
      <c r="I435" s="6" t="str">
        <f t="shared" si="12"/>
        <v>Wood Grapple</v>
      </c>
      <c r="J435" s="6" t="s">
        <v>127</v>
      </c>
      <c r="K435" s="6">
        <v>1</v>
      </c>
      <c r="P435" s="6">
        <f t="shared" si="13"/>
        <v>3300000</v>
      </c>
      <c r="R435" s="6" t="s">
        <v>2003</v>
      </c>
      <c r="T435" s="6" t="s">
        <v>2007</v>
      </c>
      <c r="U435" s="6">
        <v>2017</v>
      </c>
      <c r="V435" s="6">
        <v>1</v>
      </c>
      <c r="AD435" s="6" t="s">
        <v>45</v>
      </c>
      <c r="AJ435" s="31" t="s">
        <v>2113</v>
      </c>
      <c r="AK435" s="6">
        <v>1</v>
      </c>
      <c r="AL435" s="26">
        <v>3100000</v>
      </c>
      <c r="AM435" s="26">
        <v>3100000</v>
      </c>
      <c r="AN435" s="26">
        <v>3100000</v>
      </c>
      <c r="AO435" s="6" t="s">
        <v>2003</v>
      </c>
      <c r="AQ435" s="6" t="s">
        <v>49</v>
      </c>
      <c r="AU435" s="6">
        <v>224717</v>
      </c>
    </row>
    <row r="436" spans="1:47" x14ac:dyDescent="0.3">
      <c r="A436" s="28" t="s">
        <v>42</v>
      </c>
      <c r="B436" s="6" t="s">
        <v>2174</v>
      </c>
      <c r="C436" s="6" t="s">
        <v>1975</v>
      </c>
      <c r="D436" s="6" t="s">
        <v>2106</v>
      </c>
      <c r="E436" s="6">
        <v>1</v>
      </c>
      <c r="F436" s="6" t="s">
        <v>2004</v>
      </c>
      <c r="G436" s="6" t="s">
        <v>2005</v>
      </c>
      <c r="H436" s="6" t="s">
        <v>2005</v>
      </c>
      <c r="I436" s="6" t="str">
        <f t="shared" si="12"/>
        <v>Side Breaker</v>
      </c>
      <c r="J436" s="6" t="s">
        <v>385</v>
      </c>
      <c r="K436" s="6">
        <v>1</v>
      </c>
      <c r="P436" s="6">
        <f t="shared" si="13"/>
        <v>1700000</v>
      </c>
      <c r="R436" s="6" t="s">
        <v>2003</v>
      </c>
      <c r="T436" s="6" t="s">
        <v>70</v>
      </c>
      <c r="U436" s="6">
        <v>2014</v>
      </c>
      <c r="V436" s="6">
        <v>8</v>
      </c>
      <c r="AD436" s="6" t="s">
        <v>45</v>
      </c>
      <c r="AJ436" s="31" t="s">
        <v>2113</v>
      </c>
      <c r="AK436" s="6">
        <v>1</v>
      </c>
      <c r="AL436" s="26">
        <v>1600000</v>
      </c>
      <c r="AM436" s="26">
        <v>1600000</v>
      </c>
      <c r="AN436" s="26">
        <v>1600000</v>
      </c>
      <c r="AO436" s="6" t="s">
        <v>2003</v>
      </c>
      <c r="AQ436" s="6" t="s">
        <v>71</v>
      </c>
      <c r="AU436" s="6">
        <v>224718</v>
      </c>
    </row>
    <row r="437" spans="1:47" x14ac:dyDescent="0.3">
      <c r="A437" s="28" t="s">
        <v>42</v>
      </c>
      <c r="B437" s="6" t="s">
        <v>2199</v>
      </c>
      <c r="D437" s="6" t="s">
        <v>2104</v>
      </c>
      <c r="E437" s="6">
        <v>1</v>
      </c>
      <c r="F437" s="6" t="s">
        <v>2004</v>
      </c>
      <c r="G437" s="6" t="s">
        <v>2005</v>
      </c>
      <c r="H437" s="6" t="s">
        <v>2005</v>
      </c>
      <c r="I437" s="6" t="str">
        <f t="shared" si="12"/>
        <v>Quick Coupler</v>
      </c>
      <c r="J437" s="6" t="s">
        <v>140</v>
      </c>
      <c r="K437" s="6">
        <v>1</v>
      </c>
      <c r="P437" s="6">
        <f t="shared" si="13"/>
        <v>900000</v>
      </c>
      <c r="R437" s="6" t="s">
        <v>2003</v>
      </c>
      <c r="T437" s="6" t="s">
        <v>2007</v>
      </c>
      <c r="U437" s="6">
        <v>2015</v>
      </c>
      <c r="V437" s="6">
        <v>1</v>
      </c>
      <c r="AD437" s="6" t="s">
        <v>45</v>
      </c>
      <c r="AJ437" s="31" t="s">
        <v>2113</v>
      </c>
      <c r="AK437" s="6">
        <v>1</v>
      </c>
      <c r="AL437" s="26">
        <v>800000</v>
      </c>
      <c r="AM437" s="26">
        <v>800000</v>
      </c>
      <c r="AN437" s="26">
        <v>800000</v>
      </c>
      <c r="AO437" s="6" t="s">
        <v>2003</v>
      </c>
      <c r="AQ437" s="6" t="s">
        <v>49</v>
      </c>
      <c r="AU437" s="6">
        <v>224722</v>
      </c>
    </row>
    <row r="438" spans="1:47" x14ac:dyDescent="0.3">
      <c r="A438" s="28" t="s">
        <v>42</v>
      </c>
      <c r="B438" s="6" t="s">
        <v>2184</v>
      </c>
      <c r="C438" s="6" t="s">
        <v>1972</v>
      </c>
      <c r="D438" s="6" t="s">
        <v>2100</v>
      </c>
      <c r="E438" s="6">
        <v>1</v>
      </c>
      <c r="F438" s="6" t="s">
        <v>2004</v>
      </c>
      <c r="G438" s="6" t="s">
        <v>2005</v>
      </c>
      <c r="H438" s="6" t="s">
        <v>2005</v>
      </c>
      <c r="I438" s="6" t="str">
        <f t="shared" si="12"/>
        <v>Stone Grapple</v>
      </c>
      <c r="J438" s="6" t="s">
        <v>109</v>
      </c>
      <c r="K438" s="6">
        <v>1</v>
      </c>
      <c r="P438" s="6">
        <f t="shared" si="13"/>
        <v>3000000</v>
      </c>
      <c r="R438" s="6" t="s">
        <v>2003</v>
      </c>
      <c r="T438" s="6" t="s">
        <v>2007</v>
      </c>
      <c r="U438" s="6">
        <v>2015</v>
      </c>
      <c r="V438" s="6">
        <v>1</v>
      </c>
      <c r="AD438" s="6" t="s">
        <v>45</v>
      </c>
      <c r="AJ438" s="31" t="s">
        <v>2113</v>
      </c>
      <c r="AK438" s="6">
        <v>1</v>
      </c>
      <c r="AL438" s="26">
        <v>2800000</v>
      </c>
      <c r="AM438" s="26">
        <v>2800000</v>
      </c>
      <c r="AN438" s="26">
        <v>2800000</v>
      </c>
      <c r="AO438" s="6" t="s">
        <v>2003</v>
      </c>
      <c r="AQ438" s="6" t="s">
        <v>49</v>
      </c>
      <c r="AU438" s="6">
        <v>224723</v>
      </c>
    </row>
    <row r="439" spans="1:47" x14ac:dyDescent="0.3">
      <c r="A439" s="28" t="s">
        <v>42</v>
      </c>
      <c r="B439" s="6" t="s">
        <v>2182</v>
      </c>
      <c r="C439" s="6" t="s">
        <v>1976</v>
      </c>
      <c r="D439" s="6" t="s">
        <v>2105</v>
      </c>
      <c r="E439" s="6">
        <v>1</v>
      </c>
      <c r="F439" s="6" t="s">
        <v>2004</v>
      </c>
      <c r="G439" s="6" t="s">
        <v>2005</v>
      </c>
      <c r="H439" s="6" t="s">
        <v>2005</v>
      </c>
      <c r="I439" s="6" t="str">
        <f t="shared" si="12"/>
        <v>Skeleton Bucket</v>
      </c>
      <c r="J439" s="6" t="s">
        <v>566</v>
      </c>
      <c r="K439" s="6">
        <v>1</v>
      </c>
      <c r="P439" s="6">
        <f t="shared" si="13"/>
        <v>2200000</v>
      </c>
      <c r="R439" s="6" t="s">
        <v>2003</v>
      </c>
      <c r="T439" s="6" t="s">
        <v>793</v>
      </c>
      <c r="U439" s="6">
        <v>2015</v>
      </c>
      <c r="V439" s="6">
        <v>1</v>
      </c>
      <c r="AD439" s="6" t="s">
        <v>45</v>
      </c>
      <c r="AJ439" s="31" t="s">
        <v>2116</v>
      </c>
      <c r="AK439" s="6">
        <v>1</v>
      </c>
      <c r="AL439" s="26">
        <v>2000000</v>
      </c>
      <c r="AM439" s="26">
        <v>2000000</v>
      </c>
      <c r="AN439" s="26">
        <v>2000000</v>
      </c>
      <c r="AO439" s="6" t="s">
        <v>2003</v>
      </c>
      <c r="AQ439" s="6" t="s">
        <v>1216</v>
      </c>
      <c r="AU439" s="6">
        <v>224727</v>
      </c>
    </row>
    <row r="440" spans="1:47" x14ac:dyDescent="0.3">
      <c r="A440" s="28" t="s">
        <v>42</v>
      </c>
      <c r="B440" s="6" t="s">
        <v>2182</v>
      </c>
      <c r="C440" s="6" t="s">
        <v>1980</v>
      </c>
      <c r="D440" s="6" t="s">
        <v>2100</v>
      </c>
      <c r="E440" s="6">
        <v>1</v>
      </c>
      <c r="F440" s="6" t="s">
        <v>2004</v>
      </c>
      <c r="G440" s="6" t="s">
        <v>2005</v>
      </c>
      <c r="H440" s="6" t="s">
        <v>2005</v>
      </c>
      <c r="I440" s="6" t="str">
        <f t="shared" si="12"/>
        <v>Small Bucket</v>
      </c>
      <c r="J440" s="6" t="s">
        <v>85</v>
      </c>
      <c r="K440" s="6">
        <v>1</v>
      </c>
      <c r="P440" s="6">
        <f t="shared" si="13"/>
        <v>280000</v>
      </c>
      <c r="R440" s="6" t="s">
        <v>2003</v>
      </c>
      <c r="T440" s="6" t="s">
        <v>2007</v>
      </c>
      <c r="U440" s="6">
        <v>2014</v>
      </c>
      <c r="V440" s="6">
        <v>1</v>
      </c>
      <c r="AD440" s="6" t="s">
        <v>45</v>
      </c>
      <c r="AJ440" s="31" t="s">
        <v>2113</v>
      </c>
      <c r="AK440" s="6">
        <v>1</v>
      </c>
      <c r="AL440" s="26">
        <v>230000</v>
      </c>
      <c r="AM440" s="26">
        <v>230000</v>
      </c>
      <c r="AN440" s="26">
        <v>230000</v>
      </c>
      <c r="AO440" s="6" t="s">
        <v>2003</v>
      </c>
      <c r="AQ440" s="6" t="s">
        <v>49</v>
      </c>
      <c r="AU440" s="6">
        <v>224730</v>
      </c>
    </row>
    <row r="441" spans="1:47" x14ac:dyDescent="0.3">
      <c r="A441" s="28" t="s">
        <v>42</v>
      </c>
      <c r="B441" s="6" t="s">
        <v>2182</v>
      </c>
      <c r="C441" s="6" t="s">
        <v>1976</v>
      </c>
      <c r="D441" s="6" t="s">
        <v>2104</v>
      </c>
      <c r="E441" s="6">
        <v>1</v>
      </c>
      <c r="F441" s="6" t="s">
        <v>2004</v>
      </c>
      <c r="G441" s="6" t="s">
        <v>2005</v>
      </c>
      <c r="H441" s="6" t="s">
        <v>2005</v>
      </c>
      <c r="I441" s="6" t="str">
        <f t="shared" si="12"/>
        <v>Skeleton Bucket</v>
      </c>
      <c r="J441" s="6" t="s">
        <v>455</v>
      </c>
      <c r="K441" s="6">
        <v>1</v>
      </c>
      <c r="P441" s="6">
        <f t="shared" si="13"/>
        <v>950000</v>
      </c>
      <c r="R441" s="6" t="s">
        <v>2003</v>
      </c>
      <c r="T441" s="6" t="s">
        <v>823</v>
      </c>
      <c r="U441" s="6">
        <v>2013</v>
      </c>
      <c r="V441" s="6">
        <v>1</v>
      </c>
      <c r="AD441" s="6" t="s">
        <v>45</v>
      </c>
      <c r="AJ441" s="31" t="s">
        <v>2113</v>
      </c>
      <c r="AK441" s="6">
        <v>1</v>
      </c>
      <c r="AL441" s="26">
        <v>850000</v>
      </c>
      <c r="AM441" s="26">
        <v>850000</v>
      </c>
      <c r="AN441" s="26">
        <v>850000</v>
      </c>
      <c r="AO441" s="6" t="s">
        <v>2003</v>
      </c>
      <c r="AQ441" s="6" t="s">
        <v>49</v>
      </c>
      <c r="AU441" s="6">
        <v>224731</v>
      </c>
    </row>
    <row r="442" spans="1:47" x14ac:dyDescent="0.3">
      <c r="A442" s="28" t="s">
        <v>42</v>
      </c>
      <c r="B442" s="6" t="s">
        <v>2175</v>
      </c>
      <c r="C442" s="19" t="s">
        <v>2207</v>
      </c>
      <c r="D442" s="6" t="s">
        <v>2104</v>
      </c>
      <c r="E442" s="6">
        <v>1</v>
      </c>
      <c r="F442" s="6" t="s">
        <v>2004</v>
      </c>
      <c r="G442" s="6" t="s">
        <v>2005</v>
      </c>
      <c r="H442" s="6" t="s">
        <v>2005</v>
      </c>
      <c r="I442" s="6" t="str">
        <f t="shared" si="12"/>
        <v>Hydraulic Crusher</v>
      </c>
      <c r="J442" s="6" t="s">
        <v>103</v>
      </c>
      <c r="K442" s="6">
        <v>1</v>
      </c>
      <c r="P442" s="6">
        <f t="shared" si="13"/>
        <v>7500000</v>
      </c>
      <c r="R442" s="6" t="s">
        <v>2003</v>
      </c>
      <c r="T442" s="6" t="s">
        <v>2007</v>
      </c>
      <c r="U442" s="6">
        <v>2013</v>
      </c>
      <c r="V442" s="6">
        <v>1</v>
      </c>
      <c r="AD442" s="6" t="s">
        <v>45</v>
      </c>
      <c r="AJ442" s="31" t="s">
        <v>2113</v>
      </c>
      <c r="AK442" s="6">
        <v>1</v>
      </c>
      <c r="AL442" s="26">
        <v>7000000</v>
      </c>
      <c r="AM442" s="26">
        <v>7000000</v>
      </c>
      <c r="AN442" s="26">
        <v>7000000</v>
      </c>
      <c r="AO442" s="6" t="s">
        <v>2003</v>
      </c>
      <c r="AQ442" s="6" t="s">
        <v>49</v>
      </c>
      <c r="AU442" s="6">
        <v>224732</v>
      </c>
    </row>
    <row r="443" spans="1:47" x14ac:dyDescent="0.3">
      <c r="A443" s="28" t="s">
        <v>42</v>
      </c>
      <c r="B443" s="6" t="s">
        <v>2178</v>
      </c>
      <c r="C443" s="6" t="s">
        <v>1975</v>
      </c>
      <c r="D443" s="6" t="s">
        <v>2104</v>
      </c>
      <c r="E443" s="6">
        <v>1</v>
      </c>
      <c r="F443" s="6" t="s">
        <v>2004</v>
      </c>
      <c r="G443" s="6" t="s">
        <v>2005</v>
      </c>
      <c r="H443" s="6" t="s">
        <v>2005</v>
      </c>
      <c r="I443" s="6" t="str">
        <f t="shared" si="12"/>
        <v>Side Breaker</v>
      </c>
      <c r="J443" s="6" t="s">
        <v>422</v>
      </c>
      <c r="K443" s="6">
        <v>1</v>
      </c>
      <c r="P443" s="6">
        <f t="shared" si="13"/>
        <v>3400000</v>
      </c>
      <c r="R443" s="6" t="s">
        <v>2003</v>
      </c>
      <c r="T443" s="6" t="s">
        <v>970</v>
      </c>
      <c r="U443" s="6">
        <v>2015</v>
      </c>
      <c r="V443" s="6">
        <v>11</v>
      </c>
      <c r="AD443" s="6" t="s">
        <v>45</v>
      </c>
      <c r="AJ443" s="31" t="s">
        <v>2119</v>
      </c>
      <c r="AK443" s="6">
        <v>1</v>
      </c>
      <c r="AL443" s="26">
        <v>3200000</v>
      </c>
      <c r="AM443" s="26">
        <v>3200000</v>
      </c>
      <c r="AN443" s="26">
        <v>3200000</v>
      </c>
      <c r="AO443" s="6" t="s">
        <v>2003</v>
      </c>
      <c r="AQ443" s="6" t="s">
        <v>1194</v>
      </c>
      <c r="AU443" s="6">
        <v>224735</v>
      </c>
    </row>
    <row r="444" spans="1:47" x14ac:dyDescent="0.3">
      <c r="A444" s="28" t="s">
        <v>42</v>
      </c>
      <c r="B444" s="6" t="s">
        <v>2201</v>
      </c>
      <c r="C444" s="19" t="s">
        <v>2212</v>
      </c>
      <c r="D444" s="6" t="s">
        <v>2104</v>
      </c>
      <c r="E444" s="6">
        <v>1</v>
      </c>
      <c r="F444" s="6" t="s">
        <v>2004</v>
      </c>
      <c r="G444" s="6" t="s">
        <v>2005</v>
      </c>
      <c r="H444" s="6" t="s">
        <v>2005</v>
      </c>
      <c r="I444" s="6" t="str">
        <f t="shared" si="12"/>
        <v>Hydraulic Multi Processor</v>
      </c>
      <c r="J444" s="6" t="s">
        <v>568</v>
      </c>
      <c r="K444" s="6">
        <v>1</v>
      </c>
      <c r="P444" s="6">
        <f t="shared" si="13"/>
        <v>7500000</v>
      </c>
      <c r="R444" s="6" t="s">
        <v>2003</v>
      </c>
      <c r="T444" s="6" t="s">
        <v>2007</v>
      </c>
      <c r="U444" s="6">
        <v>2013</v>
      </c>
      <c r="V444" s="6">
        <v>1</v>
      </c>
      <c r="AD444" s="6" t="s">
        <v>45</v>
      </c>
      <c r="AJ444" s="31" t="s">
        <v>2113</v>
      </c>
      <c r="AK444" s="6">
        <v>1</v>
      </c>
      <c r="AL444" s="26">
        <v>7000000</v>
      </c>
      <c r="AM444" s="26">
        <v>7000000</v>
      </c>
      <c r="AN444" s="26">
        <v>7000000</v>
      </c>
      <c r="AO444" s="6" t="s">
        <v>2003</v>
      </c>
      <c r="AQ444" s="6" t="s">
        <v>49</v>
      </c>
      <c r="AU444" s="6">
        <v>224739</v>
      </c>
    </row>
    <row r="445" spans="1:47" x14ac:dyDescent="0.3">
      <c r="A445" s="28" t="s">
        <v>42</v>
      </c>
      <c r="B445" s="6" t="s">
        <v>2179</v>
      </c>
      <c r="C445" s="19" t="s">
        <v>2205</v>
      </c>
      <c r="D445" s="6" t="s">
        <v>2100</v>
      </c>
      <c r="E445" s="6">
        <v>1</v>
      </c>
      <c r="F445" s="6" t="s">
        <v>2004</v>
      </c>
      <c r="G445" s="6" t="s">
        <v>2005</v>
      </c>
      <c r="H445" s="6" t="s">
        <v>2005</v>
      </c>
      <c r="I445" s="6" t="str">
        <f t="shared" si="12"/>
        <v>Standard Bucket</v>
      </c>
      <c r="J445" s="6" t="s">
        <v>570</v>
      </c>
      <c r="K445" s="6">
        <v>1</v>
      </c>
      <c r="P445" s="6">
        <f t="shared" si="13"/>
        <v>300000</v>
      </c>
      <c r="R445" s="6" t="s">
        <v>2003</v>
      </c>
      <c r="T445" s="6" t="s">
        <v>793</v>
      </c>
      <c r="U445" s="6">
        <v>1998</v>
      </c>
      <c r="V445" s="6">
        <v>1</v>
      </c>
      <c r="AD445" s="6" t="s">
        <v>45</v>
      </c>
      <c r="AJ445" s="31" t="s">
        <v>2116</v>
      </c>
      <c r="AK445" s="6">
        <v>1</v>
      </c>
      <c r="AL445" s="26">
        <v>250000</v>
      </c>
      <c r="AM445" s="26">
        <v>250000</v>
      </c>
      <c r="AN445" s="26">
        <v>250000</v>
      </c>
      <c r="AO445" s="6" t="s">
        <v>2003</v>
      </c>
      <c r="AQ445" s="6" t="s">
        <v>1146</v>
      </c>
      <c r="AU445" s="6">
        <v>224743</v>
      </c>
    </row>
    <row r="446" spans="1:47" x14ac:dyDescent="0.3">
      <c r="A446" s="28" t="s">
        <v>42</v>
      </c>
      <c r="B446" s="6" t="s">
        <v>2174</v>
      </c>
      <c r="C446" s="6" t="s">
        <v>1975</v>
      </c>
      <c r="D446" s="6" t="s">
        <v>2100</v>
      </c>
      <c r="E446" s="6">
        <v>1</v>
      </c>
      <c r="F446" s="6" t="s">
        <v>2004</v>
      </c>
      <c r="G446" s="6" t="s">
        <v>2005</v>
      </c>
      <c r="H446" s="6" t="s">
        <v>2005</v>
      </c>
      <c r="I446" s="6" t="str">
        <f t="shared" si="12"/>
        <v>Side Breaker</v>
      </c>
      <c r="J446" s="6" t="s">
        <v>571</v>
      </c>
      <c r="K446" s="6">
        <v>1</v>
      </c>
      <c r="P446" s="6">
        <f t="shared" si="13"/>
        <v>1900000</v>
      </c>
      <c r="R446" s="6" t="s">
        <v>2003</v>
      </c>
      <c r="T446" s="6" t="s">
        <v>971</v>
      </c>
      <c r="U446" s="6">
        <v>2014</v>
      </c>
      <c r="V446" s="6">
        <v>1</v>
      </c>
      <c r="AD446" s="6" t="s">
        <v>45</v>
      </c>
      <c r="AJ446" s="31" t="s">
        <v>2123</v>
      </c>
      <c r="AK446" s="6">
        <v>1</v>
      </c>
      <c r="AL446" s="26">
        <v>1800000</v>
      </c>
      <c r="AM446" s="26">
        <v>1800000</v>
      </c>
      <c r="AN446" s="26">
        <v>1800000</v>
      </c>
      <c r="AO446" s="6" t="s">
        <v>2003</v>
      </c>
      <c r="AQ446" s="6" t="s">
        <v>1181</v>
      </c>
      <c r="AU446" s="6">
        <v>224744</v>
      </c>
    </row>
    <row r="447" spans="1:47" x14ac:dyDescent="0.3">
      <c r="A447" s="28" t="s">
        <v>42</v>
      </c>
      <c r="B447" s="6" t="s">
        <v>2197</v>
      </c>
      <c r="D447" s="6" t="s">
        <v>2104</v>
      </c>
      <c r="E447" s="6">
        <v>1</v>
      </c>
      <c r="F447" s="6" t="s">
        <v>2004</v>
      </c>
      <c r="G447" s="6" t="s">
        <v>2005</v>
      </c>
      <c r="H447" s="6" t="s">
        <v>2005</v>
      </c>
      <c r="I447" s="6" t="str">
        <f t="shared" si="12"/>
        <v>Ripper</v>
      </c>
      <c r="J447" s="6" t="s">
        <v>313</v>
      </c>
      <c r="K447" s="6">
        <v>1</v>
      </c>
      <c r="P447" s="6">
        <f t="shared" si="13"/>
        <v>800000</v>
      </c>
      <c r="R447" s="6" t="s">
        <v>2003</v>
      </c>
      <c r="T447" s="6" t="s">
        <v>939</v>
      </c>
      <c r="U447" s="6">
        <v>2014</v>
      </c>
      <c r="V447" s="6">
        <v>10</v>
      </c>
      <c r="AD447" s="6" t="s">
        <v>45</v>
      </c>
      <c r="AJ447" s="31" t="s">
        <v>2120</v>
      </c>
      <c r="AK447" s="6">
        <v>1</v>
      </c>
      <c r="AL447" s="26">
        <v>700000</v>
      </c>
      <c r="AM447" s="26">
        <v>700000</v>
      </c>
      <c r="AN447" s="26">
        <v>700000</v>
      </c>
      <c r="AO447" s="6" t="s">
        <v>2003</v>
      </c>
      <c r="AQ447" s="6" t="s">
        <v>939</v>
      </c>
      <c r="AU447" s="6">
        <v>224754</v>
      </c>
    </row>
    <row r="448" spans="1:47" x14ac:dyDescent="0.3">
      <c r="A448" s="28" t="s">
        <v>42</v>
      </c>
      <c r="B448" s="6" t="s">
        <v>2174</v>
      </c>
      <c r="C448" s="6" t="s">
        <v>1975</v>
      </c>
      <c r="D448" s="6" t="s">
        <v>2100</v>
      </c>
      <c r="E448" s="6">
        <v>1</v>
      </c>
      <c r="F448" s="6" t="s">
        <v>2004</v>
      </c>
      <c r="G448" s="6" t="s">
        <v>2005</v>
      </c>
      <c r="H448" s="6" t="s">
        <v>2005</v>
      </c>
      <c r="I448" s="6" t="str">
        <f t="shared" si="12"/>
        <v>Side Breaker</v>
      </c>
      <c r="J448" s="6" t="s">
        <v>171</v>
      </c>
      <c r="K448" s="6">
        <v>1</v>
      </c>
      <c r="P448" s="6">
        <f t="shared" si="13"/>
        <v>2700000</v>
      </c>
      <c r="R448" s="6" t="s">
        <v>2003</v>
      </c>
      <c r="T448" s="6" t="s">
        <v>2007</v>
      </c>
      <c r="U448" s="6">
        <v>2017</v>
      </c>
      <c r="V448" s="6">
        <v>1</v>
      </c>
      <c r="AD448" s="6" t="s">
        <v>45</v>
      </c>
      <c r="AJ448" s="31" t="s">
        <v>2113</v>
      </c>
      <c r="AK448" s="6">
        <v>1</v>
      </c>
      <c r="AL448" s="26">
        <v>2500000</v>
      </c>
      <c r="AM448" s="26">
        <v>2500000</v>
      </c>
      <c r="AN448" s="26">
        <v>2500000</v>
      </c>
      <c r="AO448" s="6" t="s">
        <v>2003</v>
      </c>
      <c r="AQ448" s="6" t="s">
        <v>49</v>
      </c>
      <c r="AU448" s="6">
        <v>224759</v>
      </c>
    </row>
    <row r="449" spans="1:47" x14ac:dyDescent="0.3">
      <c r="A449" s="28" t="s">
        <v>42</v>
      </c>
      <c r="B449" s="6" t="s">
        <v>2182</v>
      </c>
      <c r="C449" s="6" t="s">
        <v>1977</v>
      </c>
      <c r="D449" s="6" t="s">
        <v>2100</v>
      </c>
      <c r="E449" s="6">
        <v>1</v>
      </c>
      <c r="F449" s="6" t="s">
        <v>2004</v>
      </c>
      <c r="G449" s="6" t="s">
        <v>2005</v>
      </c>
      <c r="H449" s="6" t="s">
        <v>2005</v>
      </c>
      <c r="I449" s="6" t="str">
        <f t="shared" si="12"/>
        <v>Wide Bucket</v>
      </c>
      <c r="J449" s="6" t="s">
        <v>2144</v>
      </c>
      <c r="K449" s="6">
        <v>1</v>
      </c>
      <c r="P449" s="6">
        <f t="shared" si="13"/>
        <v>450000</v>
      </c>
      <c r="R449" s="6" t="s">
        <v>2003</v>
      </c>
      <c r="T449" s="6" t="s">
        <v>822</v>
      </c>
      <c r="U449" s="6">
        <v>2014</v>
      </c>
      <c r="V449" s="6">
        <v>7</v>
      </c>
      <c r="AD449" s="6" t="s">
        <v>45</v>
      </c>
      <c r="AJ449" s="31" t="s">
        <v>2123</v>
      </c>
      <c r="AK449" s="6">
        <v>1</v>
      </c>
      <c r="AL449" s="26">
        <v>400000</v>
      </c>
      <c r="AM449" s="26">
        <v>400000</v>
      </c>
      <c r="AN449" s="26">
        <v>400000</v>
      </c>
      <c r="AO449" s="6" t="s">
        <v>2003</v>
      </c>
      <c r="AQ449" s="6" t="s">
        <v>92</v>
      </c>
      <c r="AU449" s="6">
        <v>224762</v>
      </c>
    </row>
    <row r="450" spans="1:47" x14ac:dyDescent="0.3">
      <c r="A450" s="28" t="s">
        <v>42</v>
      </c>
      <c r="B450" s="6" t="s">
        <v>2184</v>
      </c>
      <c r="C450" s="19" t="s">
        <v>2206</v>
      </c>
      <c r="D450" s="6" t="s">
        <v>2104</v>
      </c>
      <c r="E450" s="6">
        <v>1</v>
      </c>
      <c r="F450" s="6" t="s">
        <v>2004</v>
      </c>
      <c r="G450" s="6" t="s">
        <v>2005</v>
      </c>
      <c r="H450" s="6" t="s">
        <v>2005</v>
      </c>
      <c r="I450" s="6" t="str">
        <f t="shared" ref="I450:I513" si="14">IF(ISBLANK(C450),B450,C450)</f>
        <v>Etc Grapple</v>
      </c>
      <c r="J450" s="6" t="s">
        <v>572</v>
      </c>
      <c r="K450" s="6">
        <v>1</v>
      </c>
      <c r="P450" s="6">
        <f t="shared" si="13"/>
        <v>1900000</v>
      </c>
      <c r="R450" s="6" t="s">
        <v>2003</v>
      </c>
      <c r="T450" s="6" t="s">
        <v>2007</v>
      </c>
      <c r="U450" s="6">
        <v>2013</v>
      </c>
      <c r="V450" s="6">
        <v>1</v>
      </c>
      <c r="AD450" s="6" t="s">
        <v>45</v>
      </c>
      <c r="AJ450" s="31" t="s">
        <v>2113</v>
      </c>
      <c r="AK450" s="6">
        <v>1</v>
      </c>
      <c r="AL450" s="26">
        <v>1800000</v>
      </c>
      <c r="AM450" s="26">
        <v>1800000</v>
      </c>
      <c r="AN450" s="26">
        <v>1800000</v>
      </c>
      <c r="AO450" s="6" t="s">
        <v>2003</v>
      </c>
      <c r="AQ450" s="6" t="s">
        <v>49</v>
      </c>
      <c r="AU450" s="6">
        <v>224764</v>
      </c>
    </row>
    <row r="451" spans="1:47" x14ac:dyDescent="0.3">
      <c r="A451" s="28" t="s">
        <v>42</v>
      </c>
      <c r="B451" s="6" t="s">
        <v>2186</v>
      </c>
      <c r="C451" s="6" t="s">
        <v>1980</v>
      </c>
      <c r="D451" s="6" t="s">
        <v>2101</v>
      </c>
      <c r="E451" s="6">
        <v>1</v>
      </c>
      <c r="F451" s="6" t="s">
        <v>2004</v>
      </c>
      <c r="G451" s="6" t="s">
        <v>2005</v>
      </c>
      <c r="H451" s="6" t="s">
        <v>2005</v>
      </c>
      <c r="I451" s="6" t="str">
        <f t="shared" si="14"/>
        <v>Small Bucket</v>
      </c>
      <c r="J451" s="6" t="s">
        <v>635</v>
      </c>
      <c r="K451" s="6">
        <v>1</v>
      </c>
      <c r="P451" s="6">
        <f t="shared" ref="P451:P514" si="15">IF(AM451&lt;500000,AM451+50000,IF(AND(AM451&gt;=500000,AM451&lt;2000000),AM451+100000,IF(AND(AM451&gt;=2000000,AM451&lt;5000000),AM451+200000,IF(AM451&gt;=5000000,AM451+500000,AM451))))</f>
        <v>700000</v>
      </c>
      <c r="R451" s="6" t="s">
        <v>2003</v>
      </c>
      <c r="T451" s="6" t="s">
        <v>814</v>
      </c>
      <c r="U451" s="6">
        <v>2016</v>
      </c>
      <c r="V451" s="6">
        <v>3</v>
      </c>
      <c r="AD451" s="6" t="s">
        <v>45</v>
      </c>
      <c r="AJ451" s="31" t="s">
        <v>2119</v>
      </c>
      <c r="AK451" s="6">
        <v>1</v>
      </c>
      <c r="AL451" s="26">
        <v>600000</v>
      </c>
      <c r="AM451" s="26">
        <v>600000</v>
      </c>
      <c r="AN451" s="26">
        <v>600000</v>
      </c>
      <c r="AO451" s="6" t="s">
        <v>2003</v>
      </c>
      <c r="AQ451" s="6" t="s">
        <v>1194</v>
      </c>
      <c r="AU451" s="6">
        <v>224770</v>
      </c>
    </row>
    <row r="452" spans="1:47" x14ac:dyDescent="0.3">
      <c r="A452" s="28" t="s">
        <v>42</v>
      </c>
      <c r="B452" s="6" t="s">
        <v>2185</v>
      </c>
      <c r="D452" s="6" t="s">
        <v>2101</v>
      </c>
      <c r="E452" s="6">
        <v>1</v>
      </c>
      <c r="F452" s="6" t="s">
        <v>2004</v>
      </c>
      <c r="G452" s="6" t="s">
        <v>2005</v>
      </c>
      <c r="H452" s="6" t="s">
        <v>2005</v>
      </c>
      <c r="I452" s="6" t="str">
        <f t="shared" si="14"/>
        <v>ETC</v>
      </c>
      <c r="J452" s="6" t="s">
        <v>126</v>
      </c>
      <c r="K452" s="6">
        <v>1</v>
      </c>
      <c r="P452" s="6">
        <f t="shared" si="15"/>
        <v>10500000</v>
      </c>
      <c r="R452" s="6" t="s">
        <v>2003</v>
      </c>
      <c r="T452" s="6" t="s">
        <v>813</v>
      </c>
      <c r="U452" s="6">
        <v>2014</v>
      </c>
      <c r="V452" s="6">
        <v>1</v>
      </c>
      <c r="AD452" s="6" t="s">
        <v>45</v>
      </c>
      <c r="AJ452" s="31" t="s">
        <v>2113</v>
      </c>
      <c r="AK452" s="6">
        <v>1</v>
      </c>
      <c r="AL452" s="26">
        <v>10000000</v>
      </c>
      <c r="AM452" s="26">
        <v>10000000</v>
      </c>
      <c r="AN452" s="26">
        <v>10000000</v>
      </c>
      <c r="AO452" s="6" t="s">
        <v>2003</v>
      </c>
      <c r="AQ452" s="6" t="s">
        <v>79</v>
      </c>
      <c r="AU452" s="6">
        <v>224771</v>
      </c>
    </row>
    <row r="453" spans="1:47" x14ac:dyDescent="0.3">
      <c r="A453" s="28" t="s">
        <v>42</v>
      </c>
      <c r="B453" s="6" t="s">
        <v>2187</v>
      </c>
      <c r="C453" s="6" t="s">
        <v>1972</v>
      </c>
      <c r="D453" s="6" t="s">
        <v>2100</v>
      </c>
      <c r="E453" s="6">
        <v>1</v>
      </c>
      <c r="F453" s="6" t="s">
        <v>2004</v>
      </c>
      <c r="G453" s="6" t="s">
        <v>2005</v>
      </c>
      <c r="H453" s="6" t="s">
        <v>2005</v>
      </c>
      <c r="I453" s="6" t="str">
        <f t="shared" si="14"/>
        <v>Stone Grapple</v>
      </c>
      <c r="J453" s="6" t="s">
        <v>149</v>
      </c>
      <c r="K453" s="6">
        <v>1</v>
      </c>
      <c r="P453" s="6">
        <f t="shared" si="15"/>
        <v>1500000</v>
      </c>
      <c r="R453" s="6" t="s">
        <v>2003</v>
      </c>
      <c r="T453" s="6" t="s">
        <v>2007</v>
      </c>
      <c r="U453" s="6">
        <v>2014</v>
      </c>
      <c r="V453" s="6">
        <v>1</v>
      </c>
      <c r="AD453" s="6" t="s">
        <v>45</v>
      </c>
      <c r="AJ453" s="31" t="s">
        <v>2113</v>
      </c>
      <c r="AK453" s="6">
        <v>1</v>
      </c>
      <c r="AL453" s="26">
        <v>1400000</v>
      </c>
      <c r="AM453" s="26">
        <v>1400000</v>
      </c>
      <c r="AN453" s="26">
        <v>1400000</v>
      </c>
      <c r="AO453" s="6" t="s">
        <v>2003</v>
      </c>
      <c r="AQ453" s="6" t="s">
        <v>49</v>
      </c>
      <c r="AU453" s="6">
        <v>224774</v>
      </c>
    </row>
    <row r="454" spans="1:47" hidden="1" x14ac:dyDescent="0.3">
      <c r="A454" s="28" t="s">
        <v>42</v>
      </c>
      <c r="B454" s="6" t="s">
        <v>2185</v>
      </c>
      <c r="E454" s="6">
        <v>1</v>
      </c>
      <c r="F454" s="6" t="s">
        <v>2004</v>
      </c>
      <c r="G454" s="6" t="s">
        <v>2005</v>
      </c>
      <c r="H454" s="6" t="s">
        <v>2005</v>
      </c>
      <c r="I454" s="6" t="str">
        <f t="shared" si="14"/>
        <v>ETC</v>
      </c>
      <c r="J454" s="6" t="s">
        <v>573</v>
      </c>
      <c r="K454" s="6">
        <v>1</v>
      </c>
      <c r="P454" s="6">
        <f t="shared" si="15"/>
        <v>1200000</v>
      </c>
      <c r="R454" s="6" t="s">
        <v>2003</v>
      </c>
      <c r="T454" s="6" t="s">
        <v>2007</v>
      </c>
      <c r="U454" s="6">
        <v>2014</v>
      </c>
      <c r="V454" s="6">
        <v>1</v>
      </c>
      <c r="AD454" s="6" t="s">
        <v>45</v>
      </c>
      <c r="AJ454" s="31" t="s">
        <v>2113</v>
      </c>
      <c r="AK454" s="6">
        <v>1</v>
      </c>
      <c r="AL454" s="26">
        <v>1100000</v>
      </c>
      <c r="AM454" s="26">
        <v>1100000</v>
      </c>
      <c r="AN454" s="26">
        <v>1100000</v>
      </c>
      <c r="AO454" s="6" t="s">
        <v>2003</v>
      </c>
      <c r="AQ454" s="6" t="s">
        <v>49</v>
      </c>
      <c r="AU454" s="6">
        <v>224775</v>
      </c>
    </row>
    <row r="455" spans="1:47" x14ac:dyDescent="0.3">
      <c r="A455" s="28" t="s">
        <v>42</v>
      </c>
      <c r="B455" s="6" t="s">
        <v>2191</v>
      </c>
      <c r="C455" s="19" t="s">
        <v>2211</v>
      </c>
      <c r="D455" s="6" t="s">
        <v>2104</v>
      </c>
      <c r="E455" s="6">
        <v>1</v>
      </c>
      <c r="F455" s="6" t="s">
        <v>2004</v>
      </c>
      <c r="G455" s="6" t="s">
        <v>2005</v>
      </c>
      <c r="H455" s="6" t="s">
        <v>2005</v>
      </c>
      <c r="I455" s="6" t="str">
        <f t="shared" si="14"/>
        <v>Side Breaker</v>
      </c>
      <c r="J455" s="6" t="s">
        <v>423</v>
      </c>
      <c r="K455" s="6">
        <v>1</v>
      </c>
      <c r="P455" s="6">
        <f t="shared" si="15"/>
        <v>2500000</v>
      </c>
      <c r="R455" s="6" t="s">
        <v>2003</v>
      </c>
      <c r="T455" s="6" t="s">
        <v>797</v>
      </c>
      <c r="U455" s="6">
        <v>2015</v>
      </c>
      <c r="V455" s="6">
        <v>7</v>
      </c>
      <c r="AD455" s="6" t="s">
        <v>45</v>
      </c>
      <c r="AJ455" s="31" t="s">
        <v>2120</v>
      </c>
      <c r="AK455" s="6">
        <v>1</v>
      </c>
      <c r="AL455" s="26">
        <v>2300000</v>
      </c>
      <c r="AM455" s="26">
        <v>2300000</v>
      </c>
      <c r="AN455" s="26">
        <v>2300000</v>
      </c>
      <c r="AO455" s="6" t="s">
        <v>2003</v>
      </c>
      <c r="AQ455" s="6" t="s">
        <v>1162</v>
      </c>
      <c r="AU455" s="6">
        <v>224776</v>
      </c>
    </row>
    <row r="456" spans="1:47" x14ac:dyDescent="0.3">
      <c r="A456" s="28" t="s">
        <v>42</v>
      </c>
      <c r="B456" s="6" t="s">
        <v>2186</v>
      </c>
      <c r="C456" s="19" t="s">
        <v>2205</v>
      </c>
      <c r="D456" s="6" t="s">
        <v>2001</v>
      </c>
      <c r="E456" s="6">
        <v>1</v>
      </c>
      <c r="F456" s="6" t="s">
        <v>2004</v>
      </c>
      <c r="G456" s="6" t="s">
        <v>2005</v>
      </c>
      <c r="H456" s="6" t="s">
        <v>2005</v>
      </c>
      <c r="I456" s="6" t="str">
        <f t="shared" si="14"/>
        <v>Standard Bucket</v>
      </c>
      <c r="J456" s="6" t="s">
        <v>574</v>
      </c>
      <c r="K456" s="6">
        <v>1</v>
      </c>
      <c r="P456" s="6">
        <f t="shared" si="15"/>
        <v>1600000</v>
      </c>
      <c r="R456" s="6" t="s">
        <v>2003</v>
      </c>
      <c r="T456" s="6" t="s">
        <v>972</v>
      </c>
      <c r="U456" s="6">
        <v>2009</v>
      </c>
      <c r="V456" s="6">
        <v>8</v>
      </c>
      <c r="AD456" s="6" t="s">
        <v>45</v>
      </c>
      <c r="AJ456" s="31" t="s">
        <v>2120</v>
      </c>
      <c r="AK456" s="6">
        <v>1</v>
      </c>
      <c r="AL456" s="26">
        <v>1500000</v>
      </c>
      <c r="AM456" s="26">
        <v>1500000</v>
      </c>
      <c r="AN456" s="26">
        <v>1500000</v>
      </c>
      <c r="AO456" s="6" t="s">
        <v>2003</v>
      </c>
      <c r="AQ456" s="6" t="s">
        <v>1205</v>
      </c>
      <c r="AU456" s="6">
        <v>224777</v>
      </c>
    </row>
    <row r="457" spans="1:47" x14ac:dyDescent="0.3">
      <c r="A457" s="28" t="s">
        <v>42</v>
      </c>
      <c r="B457" s="6" t="s">
        <v>2182</v>
      </c>
      <c r="C457" s="19" t="s">
        <v>2210</v>
      </c>
      <c r="D457" s="6" t="s">
        <v>2101</v>
      </c>
      <c r="E457" s="6">
        <v>1</v>
      </c>
      <c r="F457" s="6" t="s">
        <v>2004</v>
      </c>
      <c r="G457" s="6" t="s">
        <v>2005</v>
      </c>
      <c r="H457" s="6" t="s">
        <v>2005</v>
      </c>
      <c r="I457" s="6" t="str">
        <f t="shared" si="14"/>
        <v>Etc Bucket</v>
      </c>
      <c r="J457" s="6" t="s">
        <v>575</v>
      </c>
      <c r="K457" s="6">
        <v>1</v>
      </c>
      <c r="P457" s="6">
        <f t="shared" si="15"/>
        <v>7000000</v>
      </c>
      <c r="R457" s="6" t="s">
        <v>2003</v>
      </c>
      <c r="T457" s="6" t="s">
        <v>973</v>
      </c>
      <c r="U457" s="6">
        <v>2012</v>
      </c>
      <c r="V457" s="6">
        <v>1</v>
      </c>
      <c r="AD457" s="6" t="s">
        <v>45</v>
      </c>
      <c r="AJ457" s="31" t="s">
        <v>2112</v>
      </c>
      <c r="AK457" s="6">
        <v>1</v>
      </c>
      <c r="AL457" s="26">
        <v>6500000</v>
      </c>
      <c r="AM457" s="26">
        <v>6500000</v>
      </c>
      <c r="AN457" s="26">
        <v>6500000</v>
      </c>
      <c r="AO457" s="6" t="s">
        <v>2003</v>
      </c>
      <c r="AQ457" s="6" t="s">
        <v>1213</v>
      </c>
      <c r="AU457" s="6">
        <v>224782</v>
      </c>
    </row>
    <row r="458" spans="1:47" x14ac:dyDescent="0.3">
      <c r="A458" s="28" t="s">
        <v>42</v>
      </c>
      <c r="B458" s="6" t="s">
        <v>2184</v>
      </c>
      <c r="C458" s="6" t="s">
        <v>1972</v>
      </c>
      <c r="D458" s="6" t="s">
        <v>2100</v>
      </c>
      <c r="E458" s="6">
        <v>1</v>
      </c>
      <c r="F458" s="6" t="s">
        <v>2004</v>
      </c>
      <c r="G458" s="6" t="s">
        <v>2005</v>
      </c>
      <c r="H458" s="6" t="s">
        <v>2005</v>
      </c>
      <c r="I458" s="6" t="str">
        <f t="shared" si="14"/>
        <v>Stone Grapple</v>
      </c>
      <c r="J458" s="6" t="s">
        <v>109</v>
      </c>
      <c r="K458" s="6">
        <v>1</v>
      </c>
      <c r="P458" s="6">
        <f t="shared" si="15"/>
        <v>3200000</v>
      </c>
      <c r="R458" s="6" t="s">
        <v>2003</v>
      </c>
      <c r="T458" s="6" t="s">
        <v>939</v>
      </c>
      <c r="U458" s="6">
        <v>2015</v>
      </c>
      <c r="V458" s="6">
        <v>2</v>
      </c>
      <c r="AD458" s="6" t="s">
        <v>45</v>
      </c>
      <c r="AJ458" s="31" t="s">
        <v>2120</v>
      </c>
      <c r="AK458" s="6">
        <v>1</v>
      </c>
      <c r="AL458" s="26">
        <v>3000000</v>
      </c>
      <c r="AM458" s="26">
        <v>3000000</v>
      </c>
      <c r="AN458" s="26">
        <v>3000000</v>
      </c>
      <c r="AO458" s="6" t="s">
        <v>2003</v>
      </c>
      <c r="AQ458" s="6" t="s">
        <v>939</v>
      </c>
      <c r="AU458" s="6">
        <v>224784</v>
      </c>
    </row>
    <row r="459" spans="1:47" x14ac:dyDescent="0.3">
      <c r="A459" s="28" t="s">
        <v>42</v>
      </c>
      <c r="B459" s="6" t="s">
        <v>2183</v>
      </c>
      <c r="D459" s="6" t="s">
        <v>2104</v>
      </c>
      <c r="E459" s="6">
        <v>1</v>
      </c>
      <c r="F459" s="6" t="s">
        <v>2004</v>
      </c>
      <c r="G459" s="6" t="s">
        <v>2005</v>
      </c>
      <c r="H459" s="6" t="s">
        <v>2005</v>
      </c>
      <c r="I459" s="6" t="str">
        <f t="shared" si="14"/>
        <v>ETC</v>
      </c>
      <c r="J459" s="6" t="s">
        <v>405</v>
      </c>
      <c r="K459" s="6">
        <v>1</v>
      </c>
      <c r="P459" s="6">
        <f t="shared" si="15"/>
        <v>12500000</v>
      </c>
      <c r="R459" s="6" t="s">
        <v>2003</v>
      </c>
      <c r="T459" s="6" t="s">
        <v>2007</v>
      </c>
      <c r="U459" s="6">
        <v>2014</v>
      </c>
      <c r="V459" s="6">
        <v>1</v>
      </c>
      <c r="AD459" s="6" t="s">
        <v>45</v>
      </c>
      <c r="AJ459" s="31" t="s">
        <v>2113</v>
      </c>
      <c r="AK459" s="6">
        <v>1</v>
      </c>
      <c r="AL459" s="26">
        <v>12000000</v>
      </c>
      <c r="AM459" s="26">
        <v>12000000</v>
      </c>
      <c r="AN459" s="26">
        <v>12000000</v>
      </c>
      <c r="AO459" s="6" t="s">
        <v>2003</v>
      </c>
      <c r="AQ459" s="6" t="s">
        <v>49</v>
      </c>
      <c r="AU459" s="6">
        <v>224790</v>
      </c>
    </row>
    <row r="460" spans="1:47" x14ac:dyDescent="0.3">
      <c r="A460" s="28" t="s">
        <v>42</v>
      </c>
      <c r="B460" s="6" t="s">
        <v>2197</v>
      </c>
      <c r="D460" s="6" t="s">
        <v>2100</v>
      </c>
      <c r="E460" s="6">
        <v>1</v>
      </c>
      <c r="F460" s="6" t="s">
        <v>2004</v>
      </c>
      <c r="G460" s="6" t="s">
        <v>2005</v>
      </c>
      <c r="H460" s="6" t="s">
        <v>2005</v>
      </c>
      <c r="I460" s="6" t="str">
        <f t="shared" si="14"/>
        <v>Ripper</v>
      </c>
      <c r="J460" s="6" t="s">
        <v>347</v>
      </c>
      <c r="K460" s="6">
        <v>1</v>
      </c>
      <c r="P460" s="6">
        <f t="shared" si="15"/>
        <v>500000</v>
      </c>
      <c r="R460" s="6" t="s">
        <v>2003</v>
      </c>
      <c r="T460" s="6" t="s">
        <v>2051</v>
      </c>
      <c r="U460" s="6">
        <v>2017</v>
      </c>
      <c r="V460" s="6">
        <v>1</v>
      </c>
      <c r="AD460" s="6" t="s">
        <v>45</v>
      </c>
      <c r="AJ460" s="31" t="s">
        <v>2113</v>
      </c>
      <c r="AK460" s="6">
        <v>1</v>
      </c>
      <c r="AL460" s="26">
        <v>450000</v>
      </c>
      <c r="AM460" s="26">
        <v>450000</v>
      </c>
      <c r="AN460" s="26">
        <v>450000</v>
      </c>
      <c r="AO460" s="6" t="s">
        <v>2003</v>
      </c>
      <c r="AQ460" s="6" t="s">
        <v>49</v>
      </c>
      <c r="AU460" s="6">
        <v>224791</v>
      </c>
    </row>
    <row r="461" spans="1:47" hidden="1" x14ac:dyDescent="0.3">
      <c r="A461" s="28" t="s">
        <v>42</v>
      </c>
      <c r="B461" s="6" t="s">
        <v>2174</v>
      </c>
      <c r="C461" s="6" t="s">
        <v>1975</v>
      </c>
      <c r="E461" s="6">
        <v>1</v>
      </c>
      <c r="F461" s="6" t="s">
        <v>2004</v>
      </c>
      <c r="G461" s="6" t="s">
        <v>2005</v>
      </c>
      <c r="H461" s="6" t="s">
        <v>2005</v>
      </c>
      <c r="I461" s="6" t="str">
        <f t="shared" si="14"/>
        <v>Side Breaker</v>
      </c>
      <c r="J461" s="6" t="s">
        <v>577</v>
      </c>
      <c r="K461" s="6">
        <v>1</v>
      </c>
      <c r="P461" s="6">
        <f t="shared" si="15"/>
        <v>4700000</v>
      </c>
      <c r="R461" s="6" t="s">
        <v>2003</v>
      </c>
      <c r="T461" s="6" t="s">
        <v>974</v>
      </c>
      <c r="U461" s="6">
        <v>2005</v>
      </c>
      <c r="V461" s="6">
        <v>6</v>
      </c>
      <c r="AD461" s="6" t="s">
        <v>45</v>
      </c>
      <c r="AJ461" s="31" t="s">
        <v>2126</v>
      </c>
      <c r="AK461" s="6">
        <v>1</v>
      </c>
      <c r="AL461" s="26">
        <v>4500000</v>
      </c>
      <c r="AM461" s="26">
        <v>4500000</v>
      </c>
      <c r="AN461" s="26">
        <v>4500000</v>
      </c>
      <c r="AO461" s="6" t="s">
        <v>2003</v>
      </c>
      <c r="AQ461" s="6" t="s">
        <v>1282</v>
      </c>
      <c r="AU461" s="6">
        <v>224792</v>
      </c>
    </row>
    <row r="462" spans="1:47" x14ac:dyDescent="0.3">
      <c r="A462" s="28" t="s">
        <v>42</v>
      </c>
      <c r="B462" s="6" t="s">
        <v>2183</v>
      </c>
      <c r="D462" s="6" t="s">
        <v>2104</v>
      </c>
      <c r="E462" s="6">
        <v>1</v>
      </c>
      <c r="F462" s="6" t="s">
        <v>2004</v>
      </c>
      <c r="G462" s="6" t="s">
        <v>2005</v>
      </c>
      <c r="H462" s="6" t="s">
        <v>2005</v>
      </c>
      <c r="I462" s="6" t="str">
        <f t="shared" si="14"/>
        <v>ETC</v>
      </c>
      <c r="J462" s="6" t="s">
        <v>578</v>
      </c>
      <c r="K462" s="6">
        <v>1</v>
      </c>
      <c r="P462" s="6">
        <f t="shared" si="15"/>
        <v>4200000</v>
      </c>
      <c r="R462" s="6" t="s">
        <v>2003</v>
      </c>
      <c r="T462" s="6" t="s">
        <v>2052</v>
      </c>
      <c r="U462" s="6">
        <v>2014</v>
      </c>
      <c r="V462" s="6">
        <v>1</v>
      </c>
      <c r="AD462" s="6" t="s">
        <v>45</v>
      </c>
      <c r="AJ462" s="31" t="s">
        <v>2112</v>
      </c>
      <c r="AK462" s="6">
        <v>1</v>
      </c>
      <c r="AL462" s="26">
        <v>4000000</v>
      </c>
      <c r="AM462" s="26">
        <v>4000000</v>
      </c>
      <c r="AN462" s="26">
        <v>4000000</v>
      </c>
      <c r="AO462" s="6" t="s">
        <v>2003</v>
      </c>
      <c r="AQ462" s="6" t="s">
        <v>1223</v>
      </c>
      <c r="AU462" s="6">
        <v>224794</v>
      </c>
    </row>
    <row r="463" spans="1:47" x14ac:dyDescent="0.3">
      <c r="A463" s="28" t="s">
        <v>42</v>
      </c>
      <c r="B463" s="6" t="s">
        <v>2174</v>
      </c>
      <c r="C463" s="6" t="s">
        <v>1975</v>
      </c>
      <c r="D463" s="6" t="s">
        <v>2002</v>
      </c>
      <c r="E463" s="6">
        <v>1</v>
      </c>
      <c r="F463" s="6" t="s">
        <v>2004</v>
      </c>
      <c r="G463" s="6" t="s">
        <v>2005</v>
      </c>
      <c r="H463" s="6" t="s">
        <v>2005</v>
      </c>
      <c r="I463" s="6" t="str">
        <f t="shared" si="14"/>
        <v>Side Breaker</v>
      </c>
      <c r="J463" s="6" t="s">
        <v>135</v>
      </c>
      <c r="K463" s="6">
        <v>1</v>
      </c>
      <c r="P463" s="6">
        <f t="shared" si="15"/>
        <v>1400000</v>
      </c>
      <c r="R463" s="6" t="s">
        <v>2003</v>
      </c>
      <c r="T463" s="6" t="s">
        <v>2007</v>
      </c>
      <c r="U463" s="6">
        <v>2014</v>
      </c>
      <c r="V463" s="6">
        <v>1</v>
      </c>
      <c r="AD463" s="6" t="s">
        <v>45</v>
      </c>
      <c r="AJ463" s="31" t="s">
        <v>2113</v>
      </c>
      <c r="AK463" s="6">
        <v>1</v>
      </c>
      <c r="AL463" s="26">
        <v>1300000</v>
      </c>
      <c r="AM463" s="26">
        <v>1300000</v>
      </c>
      <c r="AN463" s="26">
        <v>1300000</v>
      </c>
      <c r="AO463" s="6" t="s">
        <v>2003</v>
      </c>
      <c r="AQ463" s="6" t="s">
        <v>49</v>
      </c>
      <c r="AU463" s="6">
        <v>224797</v>
      </c>
    </row>
    <row r="464" spans="1:47" x14ac:dyDescent="0.3">
      <c r="A464" s="28" t="s">
        <v>42</v>
      </c>
      <c r="B464" s="6" t="s">
        <v>2184</v>
      </c>
      <c r="C464" s="6" t="s">
        <v>1974</v>
      </c>
      <c r="D464" s="6" t="s">
        <v>2104</v>
      </c>
      <c r="E464" s="6">
        <v>1</v>
      </c>
      <c r="F464" s="6" t="s">
        <v>2004</v>
      </c>
      <c r="G464" s="6" t="s">
        <v>2005</v>
      </c>
      <c r="H464" s="6" t="s">
        <v>2005</v>
      </c>
      <c r="I464" s="6" t="str">
        <f t="shared" si="14"/>
        <v>Etc Grapple</v>
      </c>
      <c r="J464" s="6" t="s">
        <v>220</v>
      </c>
      <c r="K464" s="6">
        <v>1</v>
      </c>
      <c r="P464" s="6">
        <f t="shared" si="15"/>
        <v>4800000</v>
      </c>
      <c r="R464" s="6" t="s">
        <v>2003</v>
      </c>
      <c r="T464" s="6" t="s">
        <v>2007</v>
      </c>
      <c r="U464" s="6">
        <v>2014</v>
      </c>
      <c r="V464" s="6">
        <v>1</v>
      </c>
      <c r="AD464" s="6" t="s">
        <v>45</v>
      </c>
      <c r="AJ464" s="31" t="s">
        <v>2113</v>
      </c>
      <c r="AK464" s="6">
        <v>1</v>
      </c>
      <c r="AL464" s="26">
        <v>4600000</v>
      </c>
      <c r="AM464" s="26">
        <v>4600000</v>
      </c>
      <c r="AN464" s="26">
        <v>4600000</v>
      </c>
      <c r="AO464" s="6" t="s">
        <v>2003</v>
      </c>
      <c r="AQ464" s="6" t="s">
        <v>49</v>
      </c>
      <c r="AU464" s="6">
        <v>224801</v>
      </c>
    </row>
    <row r="465" spans="1:47" x14ac:dyDescent="0.3">
      <c r="A465" s="28" t="s">
        <v>42</v>
      </c>
      <c r="B465" s="6" t="s">
        <v>2183</v>
      </c>
      <c r="D465" s="6" t="s">
        <v>2101</v>
      </c>
      <c r="E465" s="6">
        <v>1</v>
      </c>
      <c r="F465" s="6" t="s">
        <v>2004</v>
      </c>
      <c r="G465" s="6" t="s">
        <v>2005</v>
      </c>
      <c r="H465" s="6" t="s">
        <v>2005</v>
      </c>
      <c r="I465" s="6" t="str">
        <f t="shared" si="14"/>
        <v>ETC</v>
      </c>
      <c r="J465" s="6" t="s">
        <v>544</v>
      </c>
      <c r="K465" s="6">
        <v>1</v>
      </c>
      <c r="P465" s="6">
        <f t="shared" si="15"/>
        <v>2700000</v>
      </c>
      <c r="R465" s="6" t="s">
        <v>2003</v>
      </c>
      <c r="T465" s="6" t="s">
        <v>2011</v>
      </c>
      <c r="U465" s="6">
        <v>2010</v>
      </c>
      <c r="V465" s="6">
        <v>6</v>
      </c>
      <c r="AD465" s="6" t="s">
        <v>45</v>
      </c>
      <c r="AJ465" s="31" t="s">
        <v>2123</v>
      </c>
      <c r="AK465" s="6">
        <v>1</v>
      </c>
      <c r="AL465" s="26">
        <v>2500000</v>
      </c>
      <c r="AM465" s="26">
        <v>2500000</v>
      </c>
      <c r="AN465" s="26">
        <v>2500000</v>
      </c>
      <c r="AO465" s="6" t="s">
        <v>2003</v>
      </c>
      <c r="AQ465" s="6" t="s">
        <v>1200</v>
      </c>
      <c r="AU465" s="6">
        <v>224802</v>
      </c>
    </row>
    <row r="466" spans="1:47" hidden="1" x14ac:dyDescent="0.3">
      <c r="A466" s="28" t="s">
        <v>42</v>
      </c>
      <c r="B466" s="6" t="s">
        <v>2174</v>
      </c>
      <c r="C466" s="6" t="s">
        <v>1975</v>
      </c>
      <c r="E466" s="6">
        <v>1</v>
      </c>
      <c r="F466" s="6" t="s">
        <v>2004</v>
      </c>
      <c r="G466" s="6" t="s">
        <v>2005</v>
      </c>
      <c r="H466" s="6" t="s">
        <v>2005</v>
      </c>
      <c r="I466" s="6" t="str">
        <f t="shared" si="14"/>
        <v>Side Breaker</v>
      </c>
      <c r="J466" s="6" t="s">
        <v>579</v>
      </c>
      <c r="K466" s="6">
        <v>1</v>
      </c>
      <c r="P466" s="6">
        <f t="shared" si="15"/>
        <v>5500000</v>
      </c>
      <c r="R466" s="6" t="s">
        <v>2003</v>
      </c>
      <c r="T466" s="6" t="s">
        <v>975</v>
      </c>
      <c r="U466" s="6">
        <v>2014</v>
      </c>
      <c r="V466" s="6">
        <v>1</v>
      </c>
      <c r="AD466" s="6" t="s">
        <v>45</v>
      </c>
      <c r="AJ466" s="31" t="s">
        <v>2122</v>
      </c>
      <c r="AK466" s="6">
        <v>1</v>
      </c>
      <c r="AL466" s="26">
        <v>5000000</v>
      </c>
      <c r="AM466" s="26">
        <v>5000000</v>
      </c>
      <c r="AN466" s="26">
        <v>5000000</v>
      </c>
      <c r="AO466" s="6" t="s">
        <v>2003</v>
      </c>
      <c r="AQ466" s="6" t="s">
        <v>1277</v>
      </c>
      <c r="AU466" s="6">
        <v>224805</v>
      </c>
    </row>
    <row r="467" spans="1:47" x14ac:dyDescent="0.3">
      <c r="A467" s="28" t="s">
        <v>42</v>
      </c>
      <c r="B467" s="6" t="s">
        <v>2184</v>
      </c>
      <c r="D467" s="6" t="s">
        <v>2104</v>
      </c>
      <c r="E467" s="6">
        <v>1</v>
      </c>
      <c r="F467" s="6" t="s">
        <v>2004</v>
      </c>
      <c r="G467" s="6" t="s">
        <v>2005</v>
      </c>
      <c r="H467" s="6" t="s">
        <v>2005</v>
      </c>
      <c r="I467" s="6" t="str">
        <f t="shared" si="14"/>
        <v>Grapple</v>
      </c>
      <c r="J467" s="6" t="s">
        <v>484</v>
      </c>
      <c r="K467" s="6">
        <v>1</v>
      </c>
      <c r="P467" s="6">
        <f t="shared" si="15"/>
        <v>2200000</v>
      </c>
      <c r="R467" s="6" t="s">
        <v>2003</v>
      </c>
      <c r="T467" s="6" t="s">
        <v>2053</v>
      </c>
      <c r="U467" s="6">
        <v>2015</v>
      </c>
      <c r="V467" s="6">
        <v>6</v>
      </c>
      <c r="AD467" s="6" t="s">
        <v>45</v>
      </c>
      <c r="AJ467" s="31" t="s">
        <v>2123</v>
      </c>
      <c r="AK467" s="6">
        <v>1</v>
      </c>
      <c r="AL467" s="26">
        <v>2000000</v>
      </c>
      <c r="AM467" s="26">
        <v>2000000</v>
      </c>
      <c r="AN467" s="26">
        <v>2000000</v>
      </c>
      <c r="AO467" s="6" t="s">
        <v>2003</v>
      </c>
      <c r="AQ467" s="6" t="s">
        <v>1151</v>
      </c>
      <c r="AU467" s="6">
        <v>224807</v>
      </c>
    </row>
    <row r="468" spans="1:47" x14ac:dyDescent="0.3">
      <c r="A468" s="28" t="s">
        <v>42</v>
      </c>
      <c r="B468" s="6" t="s">
        <v>2185</v>
      </c>
      <c r="C468" s="6" t="s">
        <v>1979</v>
      </c>
      <c r="D468" s="6" t="s">
        <v>2104</v>
      </c>
      <c r="E468" s="6">
        <v>1</v>
      </c>
      <c r="F468" s="6" t="s">
        <v>2004</v>
      </c>
      <c r="G468" s="6" t="s">
        <v>2005</v>
      </c>
      <c r="H468" s="6" t="s">
        <v>2005</v>
      </c>
      <c r="I468" s="6" t="str">
        <f t="shared" si="14"/>
        <v>Thumb Grapple</v>
      </c>
      <c r="J468" s="6" t="s">
        <v>186</v>
      </c>
      <c r="K468" s="6">
        <v>1</v>
      </c>
      <c r="P468" s="6">
        <f t="shared" si="15"/>
        <v>800000</v>
      </c>
      <c r="R468" s="6" t="s">
        <v>2003</v>
      </c>
      <c r="T468" s="6" t="s">
        <v>813</v>
      </c>
      <c r="U468" s="6">
        <v>2013</v>
      </c>
      <c r="V468" s="6">
        <v>1</v>
      </c>
      <c r="AD468" s="6" t="s">
        <v>45</v>
      </c>
      <c r="AJ468" s="31" t="s">
        <v>2113</v>
      </c>
      <c r="AK468" s="6">
        <v>1</v>
      </c>
      <c r="AL468" s="26">
        <v>700000</v>
      </c>
      <c r="AM468" s="26">
        <v>700000</v>
      </c>
      <c r="AN468" s="26">
        <v>700000</v>
      </c>
      <c r="AO468" s="6" t="s">
        <v>2003</v>
      </c>
      <c r="AQ468" s="6" t="s">
        <v>79</v>
      </c>
      <c r="AU468" s="6">
        <v>224813</v>
      </c>
    </row>
    <row r="469" spans="1:47" hidden="1" x14ac:dyDescent="0.3">
      <c r="A469" s="28" t="s">
        <v>42</v>
      </c>
      <c r="B469" s="6" t="s">
        <v>2185</v>
      </c>
      <c r="E469" s="6">
        <v>1</v>
      </c>
      <c r="F469" s="6" t="s">
        <v>2004</v>
      </c>
      <c r="G469" s="6" t="s">
        <v>2005</v>
      </c>
      <c r="H469" s="6" t="s">
        <v>2005</v>
      </c>
      <c r="I469" s="6" t="str">
        <f t="shared" si="14"/>
        <v>ETC</v>
      </c>
      <c r="J469" s="6" t="s">
        <v>345</v>
      </c>
      <c r="K469" s="6">
        <v>1</v>
      </c>
      <c r="P469" s="6">
        <f t="shared" si="15"/>
        <v>6000000</v>
      </c>
      <c r="R469" s="6" t="s">
        <v>2003</v>
      </c>
      <c r="T469" s="6" t="s">
        <v>2007</v>
      </c>
      <c r="U469" s="6">
        <v>2016</v>
      </c>
      <c r="V469" s="6">
        <v>1</v>
      </c>
      <c r="AD469" s="6" t="s">
        <v>45</v>
      </c>
      <c r="AJ469" s="31" t="s">
        <v>2113</v>
      </c>
      <c r="AK469" s="6">
        <v>1</v>
      </c>
      <c r="AL469" s="26">
        <v>5500000</v>
      </c>
      <c r="AM469" s="26">
        <v>5500000</v>
      </c>
      <c r="AN469" s="26">
        <v>5500000</v>
      </c>
      <c r="AO469" s="6" t="s">
        <v>2003</v>
      </c>
      <c r="AQ469" s="6" t="s">
        <v>49</v>
      </c>
      <c r="AU469" s="6">
        <v>224815</v>
      </c>
    </row>
    <row r="470" spans="1:47" x14ac:dyDescent="0.3">
      <c r="A470" s="28" t="s">
        <v>42</v>
      </c>
      <c r="B470" s="6" t="s">
        <v>2187</v>
      </c>
      <c r="C470" s="6" t="s">
        <v>1974</v>
      </c>
      <c r="D470" s="6" t="s">
        <v>2100</v>
      </c>
      <c r="E470" s="6">
        <v>1</v>
      </c>
      <c r="F470" s="6" t="s">
        <v>2004</v>
      </c>
      <c r="G470" s="6" t="s">
        <v>2005</v>
      </c>
      <c r="H470" s="6" t="s">
        <v>2005</v>
      </c>
      <c r="I470" s="6" t="str">
        <f t="shared" si="14"/>
        <v>Etc Grapple</v>
      </c>
      <c r="J470" s="6" t="s">
        <v>136</v>
      </c>
      <c r="K470" s="6">
        <v>1</v>
      </c>
      <c r="P470" s="6">
        <f t="shared" si="15"/>
        <v>1900000</v>
      </c>
      <c r="R470" s="6" t="s">
        <v>2003</v>
      </c>
      <c r="T470" s="6" t="s">
        <v>2011</v>
      </c>
      <c r="U470" s="6">
        <v>2010</v>
      </c>
      <c r="V470" s="6">
        <v>6</v>
      </c>
      <c r="AD470" s="6" t="s">
        <v>45</v>
      </c>
      <c r="AJ470" s="31" t="s">
        <v>2123</v>
      </c>
      <c r="AK470" s="6">
        <v>1</v>
      </c>
      <c r="AL470" s="26">
        <v>1800000</v>
      </c>
      <c r="AM470" s="26">
        <v>1800000</v>
      </c>
      <c r="AN470" s="26">
        <v>1800000</v>
      </c>
      <c r="AO470" s="6" t="s">
        <v>2003</v>
      </c>
      <c r="AQ470" s="6" t="s">
        <v>1200</v>
      </c>
      <c r="AU470" s="6">
        <v>224817</v>
      </c>
    </row>
    <row r="471" spans="1:47" x14ac:dyDescent="0.3">
      <c r="A471" s="28" t="s">
        <v>42</v>
      </c>
      <c r="B471" s="6" t="s">
        <v>2185</v>
      </c>
      <c r="D471" s="6" t="s">
        <v>2001</v>
      </c>
      <c r="E471" s="6">
        <v>1</v>
      </c>
      <c r="F471" s="6" t="s">
        <v>2004</v>
      </c>
      <c r="G471" s="6" t="s">
        <v>2005</v>
      </c>
      <c r="H471" s="6" t="s">
        <v>2005</v>
      </c>
      <c r="I471" s="6" t="str">
        <f t="shared" si="14"/>
        <v>ETC</v>
      </c>
      <c r="J471" s="6" t="s">
        <v>580</v>
      </c>
      <c r="K471" s="6">
        <v>1</v>
      </c>
      <c r="P471" s="6">
        <f t="shared" si="15"/>
        <v>20500000</v>
      </c>
      <c r="R471" s="6" t="s">
        <v>2003</v>
      </c>
      <c r="T471" s="6" t="s">
        <v>2054</v>
      </c>
      <c r="U471" s="6">
        <v>2010</v>
      </c>
      <c r="V471" s="6">
        <v>1</v>
      </c>
      <c r="AD471" s="6" t="s">
        <v>45</v>
      </c>
      <c r="AJ471" s="31" t="s">
        <v>2112</v>
      </c>
      <c r="AK471" s="6">
        <v>1</v>
      </c>
      <c r="AL471" s="26">
        <v>20000000</v>
      </c>
      <c r="AM471" s="26">
        <v>20000000</v>
      </c>
      <c r="AN471" s="26">
        <v>20000000</v>
      </c>
      <c r="AO471" s="6" t="s">
        <v>2003</v>
      </c>
      <c r="AQ471" s="6" t="s">
        <v>1268</v>
      </c>
      <c r="AU471" s="6">
        <v>224821</v>
      </c>
    </row>
    <row r="472" spans="1:47" hidden="1" x14ac:dyDescent="0.3">
      <c r="A472" s="28" t="s">
        <v>42</v>
      </c>
      <c r="B472" s="6" t="s">
        <v>2185</v>
      </c>
      <c r="E472" s="6">
        <v>1</v>
      </c>
      <c r="F472" s="6" t="s">
        <v>2004</v>
      </c>
      <c r="G472" s="6" t="s">
        <v>2005</v>
      </c>
      <c r="H472" s="6" t="s">
        <v>2005</v>
      </c>
      <c r="I472" s="6" t="str">
        <f t="shared" si="14"/>
        <v>ETC</v>
      </c>
      <c r="J472" s="6" t="s">
        <v>228</v>
      </c>
      <c r="K472" s="6">
        <v>1</v>
      </c>
      <c r="P472" s="6">
        <f t="shared" si="15"/>
        <v>5500000</v>
      </c>
      <c r="R472" s="6" t="s">
        <v>2003</v>
      </c>
      <c r="T472" s="6" t="s">
        <v>976</v>
      </c>
      <c r="U472" s="6">
        <v>2010</v>
      </c>
      <c r="V472" s="6">
        <v>1</v>
      </c>
      <c r="AD472" s="6" t="s">
        <v>45</v>
      </c>
      <c r="AJ472" s="31" t="s">
        <v>2118</v>
      </c>
      <c r="AK472" s="6">
        <v>1</v>
      </c>
      <c r="AL472" s="26">
        <v>5000000</v>
      </c>
      <c r="AM472" s="26">
        <v>5000000</v>
      </c>
      <c r="AN472" s="26">
        <v>5000000</v>
      </c>
      <c r="AO472" s="6" t="s">
        <v>2003</v>
      </c>
      <c r="AQ472" s="6" t="s">
        <v>63</v>
      </c>
      <c r="AU472" s="6">
        <v>224823</v>
      </c>
    </row>
    <row r="473" spans="1:47" hidden="1" x14ac:dyDescent="0.3">
      <c r="A473" s="28" t="s">
        <v>42</v>
      </c>
      <c r="B473" s="6" t="s">
        <v>2185</v>
      </c>
      <c r="C473" s="6" t="s">
        <v>1979</v>
      </c>
      <c r="E473" s="6">
        <v>1</v>
      </c>
      <c r="F473" s="6" t="s">
        <v>2004</v>
      </c>
      <c r="G473" s="6" t="s">
        <v>2005</v>
      </c>
      <c r="H473" s="6" t="s">
        <v>2005</v>
      </c>
      <c r="I473" s="6" t="str">
        <f t="shared" si="14"/>
        <v>Thumb Grapple</v>
      </c>
      <c r="J473" s="6" t="s">
        <v>581</v>
      </c>
      <c r="K473" s="6">
        <v>1</v>
      </c>
      <c r="P473" s="6">
        <f t="shared" si="15"/>
        <v>1100000</v>
      </c>
      <c r="R473" s="6" t="s">
        <v>2003</v>
      </c>
      <c r="T473" s="6" t="s">
        <v>977</v>
      </c>
      <c r="U473" s="6">
        <v>2011</v>
      </c>
      <c r="V473" s="6">
        <v>1</v>
      </c>
      <c r="AD473" s="6" t="s">
        <v>45</v>
      </c>
      <c r="AJ473" s="31" t="s">
        <v>2116</v>
      </c>
      <c r="AK473" s="6">
        <v>1</v>
      </c>
      <c r="AL473" s="26">
        <v>1000000</v>
      </c>
      <c r="AM473" s="26">
        <v>1000000</v>
      </c>
      <c r="AN473" s="26">
        <v>1000000</v>
      </c>
      <c r="AO473" s="6" t="s">
        <v>2003</v>
      </c>
      <c r="AQ473" s="6" t="s">
        <v>1276</v>
      </c>
      <c r="AU473" s="6">
        <v>224824</v>
      </c>
    </row>
    <row r="474" spans="1:47" x14ac:dyDescent="0.3">
      <c r="A474" s="28" t="s">
        <v>42</v>
      </c>
      <c r="B474" s="6" t="s">
        <v>2186</v>
      </c>
      <c r="C474" s="6" t="s">
        <v>1977</v>
      </c>
      <c r="D474" s="6" t="s">
        <v>2103</v>
      </c>
      <c r="E474" s="6">
        <v>1</v>
      </c>
      <c r="F474" s="6" t="s">
        <v>2004</v>
      </c>
      <c r="G474" s="6" t="s">
        <v>2005</v>
      </c>
      <c r="H474" s="6" t="s">
        <v>2005</v>
      </c>
      <c r="I474" s="6" t="str">
        <f t="shared" si="14"/>
        <v>Wide Bucket</v>
      </c>
      <c r="J474" s="6" t="s">
        <v>275</v>
      </c>
      <c r="K474" s="6">
        <v>1</v>
      </c>
      <c r="P474" s="6">
        <f t="shared" si="15"/>
        <v>2700000</v>
      </c>
      <c r="R474" s="6" t="s">
        <v>2003</v>
      </c>
      <c r="T474" s="6" t="s">
        <v>2011</v>
      </c>
      <c r="U474" s="6">
        <v>2012</v>
      </c>
      <c r="V474" s="6">
        <v>5</v>
      </c>
      <c r="AD474" s="6" t="s">
        <v>45</v>
      </c>
      <c r="AJ474" s="31" t="s">
        <v>2123</v>
      </c>
      <c r="AK474" s="6">
        <v>1</v>
      </c>
      <c r="AL474" s="26">
        <v>2500000</v>
      </c>
      <c r="AM474" s="26">
        <v>2500000</v>
      </c>
      <c r="AN474" s="26">
        <v>2500000</v>
      </c>
      <c r="AO474" s="6" t="s">
        <v>2003</v>
      </c>
      <c r="AQ474" s="6" t="s">
        <v>1200</v>
      </c>
      <c r="AU474" s="6">
        <v>224826</v>
      </c>
    </row>
    <row r="475" spans="1:47" x14ac:dyDescent="0.3">
      <c r="A475" s="28" t="s">
        <v>42</v>
      </c>
      <c r="B475" s="6" t="s">
        <v>2191</v>
      </c>
      <c r="C475" s="6" t="s">
        <v>1975</v>
      </c>
      <c r="D475" s="6" t="s">
        <v>2103</v>
      </c>
      <c r="E475" s="6">
        <v>1</v>
      </c>
      <c r="F475" s="6" t="s">
        <v>2004</v>
      </c>
      <c r="G475" s="6" t="s">
        <v>2005</v>
      </c>
      <c r="H475" s="6" t="s">
        <v>2005</v>
      </c>
      <c r="I475" s="6" t="str">
        <f t="shared" si="14"/>
        <v>Side Breaker</v>
      </c>
      <c r="J475" s="6" t="s">
        <v>582</v>
      </c>
      <c r="K475" s="6">
        <v>1</v>
      </c>
      <c r="P475" s="6">
        <f t="shared" si="15"/>
        <v>10500000</v>
      </c>
      <c r="R475" s="6" t="s">
        <v>2003</v>
      </c>
      <c r="T475" s="6" t="s">
        <v>978</v>
      </c>
      <c r="U475" s="6">
        <v>2015</v>
      </c>
      <c r="V475" s="6">
        <v>6</v>
      </c>
      <c r="AD475" s="6" t="s">
        <v>45</v>
      </c>
      <c r="AJ475" s="31" t="s">
        <v>2119</v>
      </c>
      <c r="AK475" s="6">
        <v>1</v>
      </c>
      <c r="AL475" s="26">
        <v>10000000</v>
      </c>
      <c r="AM475" s="26">
        <v>10000000</v>
      </c>
      <c r="AN475" s="26">
        <v>10000000</v>
      </c>
      <c r="AO475" s="6" t="s">
        <v>2003</v>
      </c>
      <c r="AQ475" s="6" t="s">
        <v>1276</v>
      </c>
      <c r="AU475" s="6">
        <v>224831</v>
      </c>
    </row>
    <row r="476" spans="1:47" x14ac:dyDescent="0.3">
      <c r="A476" s="28" t="s">
        <v>42</v>
      </c>
      <c r="B476" s="6" t="s">
        <v>2191</v>
      </c>
      <c r="C476" s="6" t="s">
        <v>1975</v>
      </c>
      <c r="D476" s="6" t="s">
        <v>2105</v>
      </c>
      <c r="E476" s="6">
        <v>1</v>
      </c>
      <c r="F476" s="6" t="s">
        <v>2004</v>
      </c>
      <c r="G476" s="6" t="s">
        <v>2005</v>
      </c>
      <c r="H476" s="6" t="s">
        <v>2005</v>
      </c>
      <c r="I476" s="6" t="str">
        <f t="shared" si="14"/>
        <v>Side Breaker</v>
      </c>
      <c r="J476" s="6" t="s">
        <v>413</v>
      </c>
      <c r="K476" s="6">
        <v>1</v>
      </c>
      <c r="P476" s="6">
        <f t="shared" si="15"/>
        <v>9500000</v>
      </c>
      <c r="R476" s="6" t="s">
        <v>2003</v>
      </c>
      <c r="T476" s="6" t="s">
        <v>796</v>
      </c>
      <c r="U476" s="6">
        <v>2011</v>
      </c>
      <c r="V476" s="6">
        <v>1</v>
      </c>
      <c r="AD476" s="6" t="s">
        <v>45</v>
      </c>
      <c r="AJ476" s="31" t="s">
        <v>2112</v>
      </c>
      <c r="AK476" s="6">
        <v>1</v>
      </c>
      <c r="AL476" s="26">
        <v>9000000</v>
      </c>
      <c r="AM476" s="26">
        <v>9000000</v>
      </c>
      <c r="AN476" s="26">
        <v>9000000</v>
      </c>
      <c r="AO476" s="6" t="s">
        <v>2003</v>
      </c>
      <c r="AQ476" s="6" t="s">
        <v>1217</v>
      </c>
      <c r="AU476" s="6">
        <v>224833</v>
      </c>
    </row>
    <row r="477" spans="1:47" x14ac:dyDescent="0.3">
      <c r="A477" s="28" t="s">
        <v>42</v>
      </c>
      <c r="B477" s="6" t="s">
        <v>2191</v>
      </c>
      <c r="C477" s="6" t="s">
        <v>1975</v>
      </c>
      <c r="D477" s="6" t="s">
        <v>2104</v>
      </c>
      <c r="E477" s="6">
        <v>1</v>
      </c>
      <c r="F477" s="6" t="s">
        <v>2004</v>
      </c>
      <c r="G477" s="6" t="s">
        <v>2005</v>
      </c>
      <c r="H477" s="6" t="s">
        <v>2005</v>
      </c>
      <c r="I477" s="6" t="str">
        <f t="shared" si="14"/>
        <v>Side Breaker</v>
      </c>
      <c r="J477" s="6" t="s">
        <v>583</v>
      </c>
      <c r="K477" s="6">
        <v>1</v>
      </c>
      <c r="P477" s="6">
        <f t="shared" si="15"/>
        <v>3400000</v>
      </c>
      <c r="R477" s="6" t="s">
        <v>2003</v>
      </c>
      <c r="T477" s="6" t="s">
        <v>979</v>
      </c>
      <c r="U477" s="6">
        <v>2011</v>
      </c>
      <c r="V477" s="6">
        <v>1</v>
      </c>
      <c r="AD477" s="6" t="s">
        <v>45</v>
      </c>
      <c r="AJ477" s="31" t="s">
        <v>2113</v>
      </c>
      <c r="AK477" s="6">
        <v>1</v>
      </c>
      <c r="AL477" s="26">
        <v>3200000</v>
      </c>
      <c r="AM477" s="26">
        <v>3200000</v>
      </c>
      <c r="AN477" s="26">
        <v>3200000</v>
      </c>
      <c r="AO477" s="6" t="s">
        <v>2003</v>
      </c>
      <c r="AQ477" s="6" t="s">
        <v>1241</v>
      </c>
      <c r="AU477" s="6">
        <v>224837</v>
      </c>
    </row>
    <row r="478" spans="1:47" x14ac:dyDescent="0.3">
      <c r="A478" s="28" t="s">
        <v>42</v>
      </c>
      <c r="B478" s="6" t="s">
        <v>2187</v>
      </c>
      <c r="C478" s="19" t="s">
        <v>2206</v>
      </c>
      <c r="D478" s="6" t="s">
        <v>2106</v>
      </c>
      <c r="E478" s="6">
        <v>1</v>
      </c>
      <c r="F478" s="6" t="s">
        <v>2004</v>
      </c>
      <c r="G478" s="6" t="s">
        <v>2005</v>
      </c>
      <c r="H478" s="6" t="s">
        <v>2005</v>
      </c>
      <c r="I478" s="6" t="str">
        <f t="shared" si="14"/>
        <v>Etc Grapple</v>
      </c>
      <c r="J478" s="6" t="s">
        <v>504</v>
      </c>
      <c r="K478" s="6">
        <v>1</v>
      </c>
      <c r="P478" s="6">
        <f t="shared" si="15"/>
        <v>2250000</v>
      </c>
      <c r="R478" s="6" t="s">
        <v>2003</v>
      </c>
      <c r="T478" s="6" t="s">
        <v>2007</v>
      </c>
      <c r="U478" s="6">
        <v>2016</v>
      </c>
      <c r="V478" s="6">
        <v>1</v>
      </c>
      <c r="AD478" s="6" t="s">
        <v>45</v>
      </c>
      <c r="AJ478" s="31" t="s">
        <v>2113</v>
      </c>
      <c r="AK478" s="6">
        <v>1</v>
      </c>
      <c r="AL478" s="26">
        <v>2050000</v>
      </c>
      <c r="AM478" s="26">
        <v>2050000</v>
      </c>
      <c r="AN478" s="26">
        <v>2050000</v>
      </c>
      <c r="AO478" s="6" t="s">
        <v>2003</v>
      </c>
      <c r="AQ478" s="6" t="s">
        <v>49</v>
      </c>
      <c r="AU478" s="6">
        <v>224842</v>
      </c>
    </row>
    <row r="479" spans="1:47" x14ac:dyDescent="0.3">
      <c r="A479" s="28" t="s">
        <v>42</v>
      </c>
      <c r="B479" s="6" t="s">
        <v>2187</v>
      </c>
      <c r="C479" s="6" t="s">
        <v>1972</v>
      </c>
      <c r="D479" s="6" t="s">
        <v>2100</v>
      </c>
      <c r="E479" s="6">
        <v>1</v>
      </c>
      <c r="F479" s="6" t="s">
        <v>2004</v>
      </c>
      <c r="G479" s="6" t="s">
        <v>2005</v>
      </c>
      <c r="H479" s="6" t="s">
        <v>2005</v>
      </c>
      <c r="I479" s="6" t="str">
        <f t="shared" si="14"/>
        <v>Stone Grapple</v>
      </c>
      <c r="J479" s="6" t="s">
        <v>584</v>
      </c>
      <c r="K479" s="6">
        <v>1</v>
      </c>
      <c r="P479" s="6">
        <f t="shared" si="15"/>
        <v>1400000</v>
      </c>
      <c r="R479" s="6" t="s">
        <v>2003</v>
      </c>
      <c r="T479" s="6" t="s">
        <v>2007</v>
      </c>
      <c r="U479" s="6">
        <v>2015</v>
      </c>
      <c r="V479" s="6">
        <v>1</v>
      </c>
      <c r="AD479" s="6" t="s">
        <v>45</v>
      </c>
      <c r="AJ479" s="31" t="s">
        <v>2113</v>
      </c>
      <c r="AK479" s="6">
        <v>1</v>
      </c>
      <c r="AL479" s="26">
        <v>1300000</v>
      </c>
      <c r="AM479" s="26">
        <v>1300000</v>
      </c>
      <c r="AN479" s="26">
        <v>1300000</v>
      </c>
      <c r="AO479" s="6" t="s">
        <v>2003</v>
      </c>
      <c r="AQ479" s="6" t="s">
        <v>49</v>
      </c>
      <c r="AU479" s="6">
        <v>224844</v>
      </c>
    </row>
    <row r="480" spans="1:47" x14ac:dyDescent="0.3">
      <c r="A480" s="28" t="s">
        <v>42</v>
      </c>
      <c r="B480" s="6" t="s">
        <v>2195</v>
      </c>
      <c r="C480" s="19" t="s">
        <v>2207</v>
      </c>
      <c r="D480" s="6" t="s">
        <v>2104</v>
      </c>
      <c r="E480" s="6">
        <v>1</v>
      </c>
      <c r="F480" s="6" t="s">
        <v>2004</v>
      </c>
      <c r="G480" s="6" t="s">
        <v>2005</v>
      </c>
      <c r="H480" s="6" t="s">
        <v>2005</v>
      </c>
      <c r="I480" s="6" t="str">
        <f t="shared" si="14"/>
        <v>Hydraulic Crusher</v>
      </c>
      <c r="J480" s="6" t="s">
        <v>103</v>
      </c>
      <c r="K480" s="6">
        <v>1</v>
      </c>
      <c r="P480" s="6">
        <f t="shared" si="15"/>
        <v>7500000</v>
      </c>
      <c r="R480" s="6" t="s">
        <v>2003</v>
      </c>
      <c r="T480" s="6" t="s">
        <v>813</v>
      </c>
      <c r="U480" s="6">
        <v>2014</v>
      </c>
      <c r="V480" s="6">
        <v>1</v>
      </c>
      <c r="AD480" s="6" t="s">
        <v>45</v>
      </c>
      <c r="AJ480" s="31" t="s">
        <v>2113</v>
      </c>
      <c r="AK480" s="6">
        <v>1</v>
      </c>
      <c r="AL480" s="26">
        <v>7000000</v>
      </c>
      <c r="AM480" s="26">
        <v>7000000</v>
      </c>
      <c r="AN480" s="26">
        <v>7000000</v>
      </c>
      <c r="AO480" s="6" t="s">
        <v>2003</v>
      </c>
      <c r="AQ480" s="6" t="s">
        <v>80</v>
      </c>
      <c r="AU480" s="6">
        <v>224849</v>
      </c>
    </row>
    <row r="481" spans="1:47" x14ac:dyDescent="0.3">
      <c r="A481" s="28" t="s">
        <v>42</v>
      </c>
      <c r="B481" s="6" t="s">
        <v>2177</v>
      </c>
      <c r="C481" s="6" t="s">
        <v>1972</v>
      </c>
      <c r="D481" s="6" t="s">
        <v>2105</v>
      </c>
      <c r="E481" s="6">
        <v>1</v>
      </c>
      <c r="F481" s="6" t="s">
        <v>2004</v>
      </c>
      <c r="G481" s="6" t="s">
        <v>2005</v>
      </c>
      <c r="H481" s="6" t="s">
        <v>2005</v>
      </c>
      <c r="I481" s="6" t="str">
        <f t="shared" si="14"/>
        <v>Stone Grapple</v>
      </c>
      <c r="J481" s="6" t="s">
        <v>203</v>
      </c>
      <c r="K481" s="6">
        <v>1</v>
      </c>
      <c r="P481" s="6">
        <f t="shared" si="15"/>
        <v>6500000</v>
      </c>
      <c r="R481" s="6" t="s">
        <v>2003</v>
      </c>
      <c r="T481" s="6" t="s">
        <v>1031</v>
      </c>
      <c r="U481" s="6">
        <v>2014</v>
      </c>
      <c r="V481" s="6">
        <v>1</v>
      </c>
      <c r="AD481" s="6" t="s">
        <v>45</v>
      </c>
      <c r="AJ481" s="31" t="s">
        <v>2121</v>
      </c>
      <c r="AK481" s="6">
        <v>1</v>
      </c>
      <c r="AL481" s="26">
        <v>6000000</v>
      </c>
      <c r="AM481" s="26">
        <v>6000000</v>
      </c>
      <c r="AN481" s="26">
        <v>6000000</v>
      </c>
      <c r="AO481" s="6" t="s">
        <v>2003</v>
      </c>
      <c r="AQ481" s="6" t="s">
        <v>1265</v>
      </c>
      <c r="AU481" s="6">
        <v>224852</v>
      </c>
    </row>
    <row r="482" spans="1:47" x14ac:dyDescent="0.3">
      <c r="A482" s="28" t="s">
        <v>42</v>
      </c>
      <c r="B482" s="6" t="s">
        <v>2201</v>
      </c>
      <c r="C482" s="19" t="s">
        <v>2207</v>
      </c>
      <c r="D482" s="6" t="s">
        <v>2104</v>
      </c>
      <c r="E482" s="6">
        <v>1</v>
      </c>
      <c r="F482" s="6" t="s">
        <v>2004</v>
      </c>
      <c r="G482" s="6" t="s">
        <v>2005</v>
      </c>
      <c r="H482" s="6" t="s">
        <v>2005</v>
      </c>
      <c r="I482" s="6" t="str">
        <f t="shared" si="14"/>
        <v>Hydraulic Crusher</v>
      </c>
      <c r="J482" s="6" t="s">
        <v>585</v>
      </c>
      <c r="K482" s="6">
        <v>1</v>
      </c>
      <c r="P482" s="6">
        <f t="shared" si="15"/>
        <v>11500000</v>
      </c>
      <c r="R482" s="6" t="s">
        <v>2003</v>
      </c>
      <c r="T482" s="6" t="s">
        <v>813</v>
      </c>
      <c r="U482" s="6">
        <v>2014</v>
      </c>
      <c r="V482" s="6">
        <v>1</v>
      </c>
      <c r="AD482" s="6" t="s">
        <v>45</v>
      </c>
      <c r="AJ482" s="31" t="s">
        <v>2113</v>
      </c>
      <c r="AK482" s="6">
        <v>1</v>
      </c>
      <c r="AL482" s="26">
        <v>11000000</v>
      </c>
      <c r="AM482" s="26">
        <v>11000000</v>
      </c>
      <c r="AN482" s="26">
        <v>11000000</v>
      </c>
      <c r="AO482" s="6" t="s">
        <v>2003</v>
      </c>
      <c r="AQ482" s="6" t="s">
        <v>80</v>
      </c>
      <c r="AU482" s="6">
        <v>224855</v>
      </c>
    </row>
    <row r="483" spans="1:47" x14ac:dyDescent="0.3">
      <c r="A483" s="28" t="s">
        <v>42</v>
      </c>
      <c r="B483" s="6" t="s">
        <v>2177</v>
      </c>
      <c r="C483" s="6" t="s">
        <v>1972</v>
      </c>
      <c r="D483" s="6" t="s">
        <v>2104</v>
      </c>
      <c r="E483" s="6">
        <v>1</v>
      </c>
      <c r="F483" s="6" t="s">
        <v>2004</v>
      </c>
      <c r="G483" s="6" t="s">
        <v>2005</v>
      </c>
      <c r="H483" s="6" t="s">
        <v>2005</v>
      </c>
      <c r="I483" s="6" t="str">
        <f t="shared" si="14"/>
        <v>Stone Grapple</v>
      </c>
      <c r="J483" s="6" t="s">
        <v>120</v>
      </c>
      <c r="K483" s="6">
        <v>1</v>
      </c>
      <c r="P483" s="6">
        <f t="shared" si="15"/>
        <v>5500000</v>
      </c>
      <c r="R483" s="6" t="s">
        <v>2003</v>
      </c>
      <c r="T483" s="6" t="s">
        <v>813</v>
      </c>
      <c r="U483" s="6">
        <v>2014</v>
      </c>
      <c r="V483" s="6">
        <v>1</v>
      </c>
      <c r="AD483" s="6" t="s">
        <v>45</v>
      </c>
      <c r="AJ483" s="31" t="s">
        <v>2113</v>
      </c>
      <c r="AK483" s="6">
        <v>1</v>
      </c>
      <c r="AL483" s="26">
        <v>5000000</v>
      </c>
      <c r="AM483" s="26">
        <v>5000000</v>
      </c>
      <c r="AN483" s="26">
        <v>5000000</v>
      </c>
      <c r="AO483" s="6" t="s">
        <v>2003</v>
      </c>
      <c r="AQ483" s="6" t="s">
        <v>80</v>
      </c>
      <c r="AU483" s="6">
        <v>224860</v>
      </c>
    </row>
    <row r="484" spans="1:47" hidden="1" x14ac:dyDescent="0.3">
      <c r="A484" s="28" t="s">
        <v>42</v>
      </c>
      <c r="B484" s="6" t="s">
        <v>2201</v>
      </c>
      <c r="E484" s="6">
        <v>1</v>
      </c>
      <c r="F484" s="6" t="s">
        <v>2004</v>
      </c>
      <c r="G484" s="6" t="s">
        <v>2005</v>
      </c>
      <c r="H484" s="6" t="s">
        <v>2005</v>
      </c>
      <c r="I484" s="6" t="str">
        <f t="shared" si="14"/>
        <v>Crusher</v>
      </c>
      <c r="J484" s="6" t="s">
        <v>463</v>
      </c>
      <c r="K484" s="6">
        <v>1</v>
      </c>
      <c r="P484" s="6">
        <f t="shared" si="15"/>
        <v>7500000</v>
      </c>
      <c r="R484" s="6" t="s">
        <v>2003</v>
      </c>
      <c r="T484" s="6" t="s">
        <v>1864</v>
      </c>
      <c r="U484" s="6">
        <v>2017</v>
      </c>
      <c r="V484" s="6">
        <v>2</v>
      </c>
      <c r="AD484" s="6" t="s">
        <v>45</v>
      </c>
      <c r="AJ484" s="31" t="s">
        <v>2116</v>
      </c>
      <c r="AK484" s="6">
        <v>1</v>
      </c>
      <c r="AL484" s="26">
        <v>7000000</v>
      </c>
      <c r="AM484" s="26">
        <v>7000000</v>
      </c>
      <c r="AN484" s="26">
        <v>7000000</v>
      </c>
      <c r="AO484" s="6" t="s">
        <v>2003</v>
      </c>
      <c r="AQ484" s="6" t="s">
        <v>1258</v>
      </c>
      <c r="AU484" s="6">
        <v>224868</v>
      </c>
    </row>
    <row r="485" spans="1:47" x14ac:dyDescent="0.3">
      <c r="A485" s="28" t="s">
        <v>42</v>
      </c>
      <c r="B485" s="6" t="s">
        <v>2178</v>
      </c>
      <c r="C485" s="6" t="s">
        <v>1975</v>
      </c>
      <c r="D485" s="6" t="s">
        <v>2104</v>
      </c>
      <c r="E485" s="6">
        <v>1</v>
      </c>
      <c r="F485" s="6" t="s">
        <v>2004</v>
      </c>
      <c r="G485" s="6" t="s">
        <v>2005</v>
      </c>
      <c r="H485" s="6" t="s">
        <v>2005</v>
      </c>
      <c r="I485" s="6" t="str">
        <f t="shared" si="14"/>
        <v>Side Breaker</v>
      </c>
      <c r="J485" s="6" t="s">
        <v>587</v>
      </c>
      <c r="K485" s="6">
        <v>1</v>
      </c>
      <c r="P485" s="6">
        <f t="shared" si="15"/>
        <v>6000000</v>
      </c>
      <c r="R485" s="6" t="s">
        <v>2003</v>
      </c>
      <c r="T485" s="6" t="s">
        <v>2012</v>
      </c>
      <c r="U485" s="6">
        <v>2016</v>
      </c>
      <c r="V485" s="6">
        <v>1</v>
      </c>
      <c r="AD485" s="6" t="s">
        <v>45</v>
      </c>
      <c r="AJ485" s="31" t="s">
        <v>2113</v>
      </c>
      <c r="AK485" s="6">
        <v>1</v>
      </c>
      <c r="AL485" s="26">
        <v>5500000</v>
      </c>
      <c r="AM485" s="26">
        <v>5500000</v>
      </c>
      <c r="AN485" s="26">
        <v>5500000</v>
      </c>
      <c r="AO485" s="6" t="s">
        <v>2003</v>
      </c>
      <c r="AQ485" s="6" t="s">
        <v>49</v>
      </c>
      <c r="AU485" s="6">
        <v>224869</v>
      </c>
    </row>
    <row r="486" spans="1:47" hidden="1" x14ac:dyDescent="0.3">
      <c r="A486" s="28" t="s">
        <v>42</v>
      </c>
      <c r="B486" s="6" t="s">
        <v>2181</v>
      </c>
      <c r="E486" s="6">
        <v>1</v>
      </c>
      <c r="F486" s="6" t="s">
        <v>2004</v>
      </c>
      <c r="G486" s="6" t="s">
        <v>2005</v>
      </c>
      <c r="H486" s="6" t="s">
        <v>2005</v>
      </c>
      <c r="I486" s="6" t="str">
        <f t="shared" si="14"/>
        <v>ETC</v>
      </c>
      <c r="J486" s="6" t="s">
        <v>589</v>
      </c>
      <c r="K486" s="6">
        <v>1</v>
      </c>
      <c r="P486" s="6">
        <f t="shared" si="15"/>
        <v>2700000</v>
      </c>
      <c r="R486" s="6" t="s">
        <v>2003</v>
      </c>
      <c r="T486" s="6" t="s">
        <v>980</v>
      </c>
      <c r="U486" s="6">
        <v>2010</v>
      </c>
      <c r="V486" s="6">
        <v>1</v>
      </c>
      <c r="AD486" s="6" t="s">
        <v>45</v>
      </c>
      <c r="AJ486" s="31" t="s">
        <v>2124</v>
      </c>
      <c r="AK486" s="6">
        <v>1</v>
      </c>
      <c r="AL486" s="26">
        <v>2500000</v>
      </c>
      <c r="AM486" s="26">
        <v>2500000</v>
      </c>
      <c r="AN486" s="26">
        <v>2500000</v>
      </c>
      <c r="AO486" s="6" t="s">
        <v>2003</v>
      </c>
      <c r="AQ486" s="6" t="s">
        <v>1255</v>
      </c>
      <c r="AU486" s="6">
        <v>224885</v>
      </c>
    </row>
    <row r="487" spans="1:47" x14ac:dyDescent="0.3">
      <c r="A487" s="28" t="s">
        <v>42</v>
      </c>
      <c r="B487" s="6" t="s">
        <v>2179</v>
      </c>
      <c r="C487" s="19" t="s">
        <v>2210</v>
      </c>
      <c r="D487" s="6" t="s">
        <v>2101</v>
      </c>
      <c r="E487" s="6">
        <v>1</v>
      </c>
      <c r="F487" s="6" t="s">
        <v>2004</v>
      </c>
      <c r="G487" s="6" t="s">
        <v>2005</v>
      </c>
      <c r="H487" s="6" t="s">
        <v>2005</v>
      </c>
      <c r="I487" s="6" t="str">
        <f t="shared" si="14"/>
        <v>Etc Bucket</v>
      </c>
      <c r="J487" s="6" t="s">
        <v>591</v>
      </c>
      <c r="K487" s="6">
        <v>1</v>
      </c>
      <c r="P487" s="6">
        <f t="shared" si="15"/>
        <v>4700000</v>
      </c>
      <c r="R487" s="6" t="s">
        <v>2003</v>
      </c>
      <c r="T487" s="6" t="s">
        <v>981</v>
      </c>
      <c r="U487" s="6">
        <v>2017</v>
      </c>
      <c r="V487" s="6">
        <v>1</v>
      </c>
      <c r="AD487" s="6" t="s">
        <v>45</v>
      </c>
      <c r="AJ487" s="31" t="s">
        <v>2110</v>
      </c>
      <c r="AK487" s="6">
        <v>1</v>
      </c>
      <c r="AL487" s="26">
        <v>4500000</v>
      </c>
      <c r="AM487" s="26">
        <v>4500000</v>
      </c>
      <c r="AN487" s="26">
        <v>4500000</v>
      </c>
      <c r="AO487" s="6" t="s">
        <v>2003</v>
      </c>
      <c r="AQ487" s="6" t="s">
        <v>1182</v>
      </c>
      <c r="AU487" s="6">
        <v>224894</v>
      </c>
    </row>
    <row r="488" spans="1:47" x14ac:dyDescent="0.3">
      <c r="A488" s="28" t="s">
        <v>42</v>
      </c>
      <c r="B488" s="6" t="s">
        <v>2182</v>
      </c>
      <c r="C488" s="6" t="s">
        <v>1977</v>
      </c>
      <c r="D488" s="6" t="s">
        <v>2104</v>
      </c>
      <c r="E488" s="6">
        <v>1</v>
      </c>
      <c r="F488" s="6" t="s">
        <v>2004</v>
      </c>
      <c r="G488" s="6" t="s">
        <v>2005</v>
      </c>
      <c r="H488" s="6" t="s">
        <v>2005</v>
      </c>
      <c r="I488" s="6" t="str">
        <f t="shared" si="14"/>
        <v>Wide Bucket</v>
      </c>
      <c r="J488" s="6" t="s">
        <v>123</v>
      </c>
      <c r="K488" s="6">
        <v>1</v>
      </c>
      <c r="P488" s="6">
        <f t="shared" si="15"/>
        <v>1250000</v>
      </c>
      <c r="R488" s="6" t="s">
        <v>2003</v>
      </c>
      <c r="T488" s="6" t="s">
        <v>789</v>
      </c>
      <c r="U488" s="6">
        <v>2015</v>
      </c>
      <c r="V488" s="6">
        <v>2</v>
      </c>
      <c r="AD488" s="6" t="s">
        <v>45</v>
      </c>
      <c r="AJ488" s="31" t="s">
        <v>2122</v>
      </c>
      <c r="AK488" s="6">
        <v>1</v>
      </c>
      <c r="AL488" s="26">
        <v>1150000</v>
      </c>
      <c r="AM488" s="26">
        <v>1150000</v>
      </c>
      <c r="AN488" s="26">
        <v>1150000</v>
      </c>
      <c r="AO488" s="6" t="s">
        <v>2003</v>
      </c>
      <c r="AQ488" s="6" t="s">
        <v>65</v>
      </c>
      <c r="AU488" s="6">
        <v>224895</v>
      </c>
    </row>
    <row r="489" spans="1:47" x14ac:dyDescent="0.3">
      <c r="A489" s="28" t="s">
        <v>42</v>
      </c>
      <c r="B489" s="6" t="s">
        <v>2183</v>
      </c>
      <c r="D489" s="6" t="s">
        <v>2100</v>
      </c>
      <c r="E489" s="6">
        <v>1</v>
      </c>
      <c r="F489" s="6" t="s">
        <v>2004</v>
      </c>
      <c r="G489" s="6" t="s">
        <v>2005</v>
      </c>
      <c r="H489" s="6" t="s">
        <v>2005</v>
      </c>
      <c r="I489" s="6" t="str">
        <f t="shared" si="14"/>
        <v>ETC</v>
      </c>
      <c r="J489" s="6" t="s">
        <v>2145</v>
      </c>
      <c r="K489" s="6">
        <v>1</v>
      </c>
      <c r="P489" s="6">
        <f t="shared" si="15"/>
        <v>1100000</v>
      </c>
      <c r="R489" s="6" t="s">
        <v>2003</v>
      </c>
      <c r="T489" s="6" t="s">
        <v>2055</v>
      </c>
      <c r="U489" s="6">
        <v>2010</v>
      </c>
      <c r="V489" s="6">
        <v>1</v>
      </c>
      <c r="AD489" s="6" t="s">
        <v>45</v>
      </c>
      <c r="AJ489" s="31" t="s">
        <v>2120</v>
      </c>
      <c r="AK489" s="6">
        <v>1</v>
      </c>
      <c r="AL489" s="26">
        <v>1000000</v>
      </c>
      <c r="AM489" s="26">
        <v>1000000</v>
      </c>
      <c r="AN489" s="26">
        <v>1000000</v>
      </c>
      <c r="AO489" s="6" t="s">
        <v>2003</v>
      </c>
      <c r="AQ489" s="6" t="s">
        <v>1160</v>
      </c>
      <c r="AU489" s="6">
        <v>224897</v>
      </c>
    </row>
    <row r="490" spans="1:47" x14ac:dyDescent="0.3">
      <c r="A490" s="28" t="s">
        <v>42</v>
      </c>
      <c r="B490" s="6" t="s">
        <v>2175</v>
      </c>
      <c r="C490" s="19" t="s">
        <v>2207</v>
      </c>
      <c r="D490" s="6" t="s">
        <v>2104</v>
      </c>
      <c r="E490" s="6">
        <v>1</v>
      </c>
      <c r="F490" s="6" t="s">
        <v>2004</v>
      </c>
      <c r="G490" s="6" t="s">
        <v>2005</v>
      </c>
      <c r="H490" s="6" t="s">
        <v>2005</v>
      </c>
      <c r="I490" s="6" t="str">
        <f t="shared" si="14"/>
        <v>Hydraulic Crusher</v>
      </c>
      <c r="J490" s="6" t="s">
        <v>585</v>
      </c>
      <c r="K490" s="6">
        <v>1</v>
      </c>
      <c r="P490" s="6">
        <f t="shared" si="15"/>
        <v>11500000</v>
      </c>
      <c r="R490" s="6" t="s">
        <v>2003</v>
      </c>
      <c r="T490" s="6" t="s">
        <v>823</v>
      </c>
      <c r="U490" s="6">
        <v>2014</v>
      </c>
      <c r="V490" s="6">
        <v>1</v>
      </c>
      <c r="AD490" s="6" t="s">
        <v>45</v>
      </c>
      <c r="AJ490" s="31" t="s">
        <v>2113</v>
      </c>
      <c r="AK490" s="6">
        <v>1</v>
      </c>
      <c r="AL490" s="26">
        <v>11000000</v>
      </c>
      <c r="AM490" s="26">
        <v>11000000</v>
      </c>
      <c r="AN490" s="26">
        <v>11000000</v>
      </c>
      <c r="AO490" s="6" t="s">
        <v>2003</v>
      </c>
      <c r="AQ490" s="6" t="s">
        <v>49</v>
      </c>
      <c r="AU490" s="6">
        <v>224901</v>
      </c>
    </row>
    <row r="491" spans="1:47" x14ac:dyDescent="0.3">
      <c r="A491" s="28" t="s">
        <v>42</v>
      </c>
      <c r="B491" s="6" t="s">
        <v>2178</v>
      </c>
      <c r="C491" s="6" t="s">
        <v>1975</v>
      </c>
      <c r="D491" s="6" t="s">
        <v>2106</v>
      </c>
      <c r="E491" s="6">
        <v>1</v>
      </c>
      <c r="F491" s="6" t="s">
        <v>2004</v>
      </c>
      <c r="G491" s="6" t="s">
        <v>2005</v>
      </c>
      <c r="H491" s="6" t="s">
        <v>2005</v>
      </c>
      <c r="I491" s="6" t="str">
        <f t="shared" si="14"/>
        <v>Side Breaker</v>
      </c>
      <c r="J491" s="6" t="s">
        <v>172</v>
      </c>
      <c r="K491" s="6">
        <v>1</v>
      </c>
      <c r="P491" s="6">
        <f t="shared" si="15"/>
        <v>1700000</v>
      </c>
      <c r="R491" s="6" t="s">
        <v>2003</v>
      </c>
      <c r="T491" s="6" t="s">
        <v>798</v>
      </c>
      <c r="U491" s="6">
        <v>2014</v>
      </c>
      <c r="V491" s="6">
        <v>7</v>
      </c>
      <c r="AD491" s="6" t="s">
        <v>45</v>
      </c>
      <c r="AJ491" s="31" t="s">
        <v>2113</v>
      </c>
      <c r="AK491" s="6">
        <v>1</v>
      </c>
      <c r="AL491" s="26">
        <v>1600000</v>
      </c>
      <c r="AM491" s="26">
        <v>1600000</v>
      </c>
      <c r="AN491" s="26">
        <v>1600000</v>
      </c>
      <c r="AO491" s="6" t="s">
        <v>2003</v>
      </c>
      <c r="AQ491" s="6" t="s">
        <v>71</v>
      </c>
      <c r="AU491" s="6">
        <v>224911</v>
      </c>
    </row>
    <row r="492" spans="1:47" x14ac:dyDescent="0.3">
      <c r="A492" s="28" t="s">
        <v>42</v>
      </c>
      <c r="B492" s="6" t="s">
        <v>2177</v>
      </c>
      <c r="C492" s="6" t="s">
        <v>1974</v>
      </c>
      <c r="D492" s="6" t="s">
        <v>2100</v>
      </c>
      <c r="E492" s="6">
        <v>1</v>
      </c>
      <c r="F492" s="6" t="s">
        <v>2004</v>
      </c>
      <c r="G492" s="6" t="s">
        <v>2005</v>
      </c>
      <c r="H492" s="6" t="s">
        <v>2005</v>
      </c>
      <c r="I492" s="6" t="str">
        <f t="shared" si="14"/>
        <v>Etc Grapple</v>
      </c>
      <c r="J492" s="6" t="s">
        <v>136</v>
      </c>
      <c r="K492" s="6">
        <v>1</v>
      </c>
      <c r="P492" s="6">
        <f t="shared" si="15"/>
        <v>1900000</v>
      </c>
      <c r="R492" s="6" t="s">
        <v>2003</v>
      </c>
      <c r="T492" s="6" t="s">
        <v>54</v>
      </c>
      <c r="U492" s="6">
        <v>2011</v>
      </c>
      <c r="V492" s="6">
        <v>1</v>
      </c>
      <c r="AD492" s="6" t="s">
        <v>45</v>
      </c>
      <c r="AJ492" s="31" t="s">
        <v>2114</v>
      </c>
      <c r="AK492" s="6">
        <v>1</v>
      </c>
      <c r="AL492" s="26">
        <v>1800000</v>
      </c>
      <c r="AM492" s="26">
        <v>1800000</v>
      </c>
      <c r="AN492" s="26">
        <v>1800000</v>
      </c>
      <c r="AO492" s="6" t="s">
        <v>2003</v>
      </c>
      <c r="AQ492" s="6" t="s">
        <v>54</v>
      </c>
      <c r="AU492" s="6">
        <v>224913</v>
      </c>
    </row>
    <row r="493" spans="1:47" x14ac:dyDescent="0.3">
      <c r="A493" s="28" t="s">
        <v>42</v>
      </c>
      <c r="B493" s="6" t="s">
        <v>2178</v>
      </c>
      <c r="C493" s="6" t="s">
        <v>1975</v>
      </c>
      <c r="D493" s="6" t="s">
        <v>2104</v>
      </c>
      <c r="E493" s="6">
        <v>1</v>
      </c>
      <c r="F493" s="6" t="s">
        <v>2004</v>
      </c>
      <c r="G493" s="6" t="s">
        <v>2005</v>
      </c>
      <c r="H493" s="6" t="s">
        <v>2005</v>
      </c>
      <c r="I493" s="6" t="str">
        <f t="shared" si="14"/>
        <v>Side Breaker</v>
      </c>
      <c r="J493" s="6" t="s">
        <v>404</v>
      </c>
      <c r="K493" s="6">
        <v>1</v>
      </c>
      <c r="P493" s="6">
        <f t="shared" si="15"/>
        <v>4700000</v>
      </c>
      <c r="R493" s="6" t="s">
        <v>2003</v>
      </c>
      <c r="T493" s="6" t="s">
        <v>982</v>
      </c>
      <c r="U493" s="6">
        <v>2015</v>
      </c>
      <c r="V493" s="6">
        <v>8</v>
      </c>
      <c r="AD493" s="6" t="s">
        <v>45</v>
      </c>
      <c r="AJ493" s="31" t="s">
        <v>2118</v>
      </c>
      <c r="AK493" s="6">
        <v>1</v>
      </c>
      <c r="AL493" s="26">
        <v>4500000</v>
      </c>
      <c r="AM493" s="26">
        <v>4500000</v>
      </c>
      <c r="AN493" s="26">
        <v>4500000</v>
      </c>
      <c r="AO493" s="6" t="s">
        <v>2003</v>
      </c>
      <c r="AQ493" s="6" t="s">
        <v>67</v>
      </c>
      <c r="AU493" s="6">
        <v>224915</v>
      </c>
    </row>
    <row r="494" spans="1:47" x14ac:dyDescent="0.3">
      <c r="A494" s="28" t="s">
        <v>42</v>
      </c>
      <c r="B494" s="6" t="s">
        <v>2177</v>
      </c>
      <c r="C494" s="6" t="s">
        <v>1972</v>
      </c>
      <c r="D494" s="6" t="s">
        <v>2104</v>
      </c>
      <c r="E494" s="6">
        <v>1</v>
      </c>
      <c r="F494" s="6" t="s">
        <v>2004</v>
      </c>
      <c r="G494" s="6" t="s">
        <v>2005</v>
      </c>
      <c r="H494" s="6" t="s">
        <v>2005</v>
      </c>
      <c r="I494" s="6" t="str">
        <f t="shared" si="14"/>
        <v>Stone Grapple</v>
      </c>
      <c r="J494" s="6" t="s">
        <v>194</v>
      </c>
      <c r="K494" s="6">
        <v>1</v>
      </c>
      <c r="P494" s="6">
        <f t="shared" si="15"/>
        <v>2600000</v>
      </c>
      <c r="R494" s="6" t="s">
        <v>2003</v>
      </c>
      <c r="T494" s="6" t="s">
        <v>823</v>
      </c>
      <c r="U494" s="6">
        <v>2014</v>
      </c>
      <c r="V494" s="6">
        <v>1</v>
      </c>
      <c r="AD494" s="6" t="s">
        <v>45</v>
      </c>
      <c r="AJ494" s="31" t="s">
        <v>2113</v>
      </c>
      <c r="AK494" s="6">
        <v>1</v>
      </c>
      <c r="AL494" s="26">
        <v>2400000</v>
      </c>
      <c r="AM494" s="26">
        <v>2400000</v>
      </c>
      <c r="AN494" s="26">
        <v>2400000</v>
      </c>
      <c r="AO494" s="6" t="s">
        <v>2003</v>
      </c>
      <c r="AQ494" s="6" t="s">
        <v>49</v>
      </c>
      <c r="AU494" s="6">
        <v>224924</v>
      </c>
    </row>
    <row r="495" spans="1:47" x14ac:dyDescent="0.3">
      <c r="A495" s="28" t="s">
        <v>42</v>
      </c>
      <c r="B495" s="6" t="s">
        <v>2177</v>
      </c>
      <c r="C495" s="6" t="s">
        <v>1974</v>
      </c>
      <c r="D495" s="6" t="s">
        <v>2104</v>
      </c>
      <c r="E495" s="6">
        <v>1</v>
      </c>
      <c r="F495" s="6" t="s">
        <v>2004</v>
      </c>
      <c r="G495" s="6" t="s">
        <v>2005</v>
      </c>
      <c r="H495" s="6" t="s">
        <v>2005</v>
      </c>
      <c r="I495" s="6" t="str">
        <f t="shared" si="14"/>
        <v>Etc Grapple</v>
      </c>
      <c r="J495" s="6" t="s">
        <v>125</v>
      </c>
      <c r="K495" s="6">
        <v>1</v>
      </c>
      <c r="P495" s="6">
        <f t="shared" si="15"/>
        <v>6000000</v>
      </c>
      <c r="R495" s="6" t="s">
        <v>2003</v>
      </c>
      <c r="T495" s="6" t="s">
        <v>800</v>
      </c>
      <c r="U495" s="6">
        <v>2009</v>
      </c>
      <c r="V495" s="6">
        <v>1</v>
      </c>
      <c r="AD495" s="6" t="s">
        <v>45</v>
      </c>
      <c r="AJ495" s="31" t="s">
        <v>2116</v>
      </c>
      <c r="AK495" s="6">
        <v>1</v>
      </c>
      <c r="AL495" s="26">
        <v>5500000</v>
      </c>
      <c r="AM495" s="26">
        <v>5500000</v>
      </c>
      <c r="AN495" s="26">
        <v>5500000</v>
      </c>
      <c r="AO495" s="6" t="s">
        <v>2003</v>
      </c>
      <c r="AQ495" s="6" t="s">
        <v>830</v>
      </c>
      <c r="AU495" s="6">
        <v>224928</v>
      </c>
    </row>
    <row r="496" spans="1:47" hidden="1" x14ac:dyDescent="0.3">
      <c r="A496" s="28" t="s">
        <v>42</v>
      </c>
      <c r="B496" s="6" t="s">
        <v>2181</v>
      </c>
      <c r="E496" s="6">
        <v>1</v>
      </c>
      <c r="F496" s="6" t="s">
        <v>2004</v>
      </c>
      <c r="G496" s="6" t="s">
        <v>2005</v>
      </c>
      <c r="H496" s="6" t="s">
        <v>2005</v>
      </c>
      <c r="I496" s="6" t="str">
        <f t="shared" si="14"/>
        <v>ETC</v>
      </c>
      <c r="J496" s="6" t="s">
        <v>111</v>
      </c>
      <c r="K496" s="6">
        <v>1</v>
      </c>
      <c r="P496" s="6">
        <f t="shared" si="15"/>
        <v>8500000</v>
      </c>
      <c r="R496" s="6" t="s">
        <v>2003</v>
      </c>
      <c r="T496" s="6" t="s">
        <v>983</v>
      </c>
      <c r="U496" s="6">
        <v>2014</v>
      </c>
      <c r="V496" s="6">
        <v>9</v>
      </c>
      <c r="AD496" s="6" t="s">
        <v>45</v>
      </c>
      <c r="AJ496" s="31" t="s">
        <v>2114</v>
      </c>
      <c r="AK496" s="6">
        <v>1</v>
      </c>
      <c r="AL496" s="26">
        <v>8000000</v>
      </c>
      <c r="AM496" s="26">
        <v>8000000</v>
      </c>
      <c r="AN496" s="26">
        <v>8000000</v>
      </c>
      <c r="AO496" s="6" t="s">
        <v>2003</v>
      </c>
      <c r="AQ496" s="6" t="s">
        <v>57</v>
      </c>
      <c r="AU496" s="6">
        <v>224929</v>
      </c>
    </row>
    <row r="497" spans="1:47" x14ac:dyDescent="0.3">
      <c r="A497" s="28" t="s">
        <v>42</v>
      </c>
      <c r="B497" s="6" t="s">
        <v>2190</v>
      </c>
      <c r="D497" s="6" t="s">
        <v>2104</v>
      </c>
      <c r="E497" s="6">
        <v>1</v>
      </c>
      <c r="F497" s="6" t="s">
        <v>2004</v>
      </c>
      <c r="G497" s="6" t="s">
        <v>2005</v>
      </c>
      <c r="H497" s="6" t="s">
        <v>2005</v>
      </c>
      <c r="I497" s="6" t="str">
        <f t="shared" si="14"/>
        <v>Lift Fork</v>
      </c>
      <c r="J497" s="6" t="s">
        <v>529</v>
      </c>
      <c r="K497" s="6">
        <v>1</v>
      </c>
      <c r="P497" s="6">
        <f t="shared" si="15"/>
        <v>1200000</v>
      </c>
      <c r="R497" s="6" t="s">
        <v>2003</v>
      </c>
      <c r="T497" s="6" t="s">
        <v>2056</v>
      </c>
      <c r="U497" s="6">
        <v>2017</v>
      </c>
      <c r="V497" s="6">
        <v>1</v>
      </c>
      <c r="AD497" s="6" t="s">
        <v>45</v>
      </c>
      <c r="AJ497" s="31" t="s">
        <v>2110</v>
      </c>
      <c r="AK497" s="6">
        <v>1</v>
      </c>
      <c r="AL497" s="26">
        <v>1100000</v>
      </c>
      <c r="AM497" s="26">
        <v>1100000</v>
      </c>
      <c r="AN497" s="26">
        <v>1100000</v>
      </c>
      <c r="AO497" s="6" t="s">
        <v>2003</v>
      </c>
      <c r="AQ497" s="6" t="s">
        <v>1155</v>
      </c>
      <c r="AU497" s="6">
        <v>224931</v>
      </c>
    </row>
    <row r="498" spans="1:47" x14ac:dyDescent="0.3">
      <c r="A498" s="28" t="s">
        <v>42</v>
      </c>
      <c r="B498" s="6" t="s">
        <v>2201</v>
      </c>
      <c r="C498" s="19" t="s">
        <v>2207</v>
      </c>
      <c r="D498" s="6" t="s">
        <v>2106</v>
      </c>
      <c r="E498" s="6">
        <v>1</v>
      </c>
      <c r="F498" s="6" t="s">
        <v>2004</v>
      </c>
      <c r="G498" s="6" t="s">
        <v>2005</v>
      </c>
      <c r="H498" s="6" t="s">
        <v>2005</v>
      </c>
      <c r="I498" s="6" t="str">
        <f t="shared" si="14"/>
        <v>Hydraulic Crusher</v>
      </c>
      <c r="J498" s="6" t="s">
        <v>76</v>
      </c>
      <c r="K498" s="6">
        <v>1</v>
      </c>
      <c r="P498" s="6">
        <f t="shared" si="15"/>
        <v>4500000</v>
      </c>
      <c r="R498" s="6" t="s">
        <v>2003</v>
      </c>
      <c r="T498" s="6" t="s">
        <v>70</v>
      </c>
      <c r="U498" s="6">
        <v>2014</v>
      </c>
      <c r="V498" s="6">
        <v>8</v>
      </c>
      <c r="AD498" s="6" t="s">
        <v>45</v>
      </c>
      <c r="AJ498" s="31" t="s">
        <v>2113</v>
      </c>
      <c r="AK498" s="6">
        <v>1</v>
      </c>
      <c r="AL498" s="26">
        <v>4300000</v>
      </c>
      <c r="AM498" s="26">
        <v>4300000</v>
      </c>
      <c r="AN498" s="26">
        <v>4300000</v>
      </c>
      <c r="AO498" s="6" t="s">
        <v>2003</v>
      </c>
      <c r="AQ498" s="6" t="s">
        <v>71</v>
      </c>
      <c r="AU498" s="6">
        <v>224934</v>
      </c>
    </row>
    <row r="499" spans="1:47" hidden="1" x14ac:dyDescent="0.3">
      <c r="A499" s="28" t="s">
        <v>42</v>
      </c>
      <c r="B499" s="6" t="s">
        <v>2181</v>
      </c>
      <c r="E499" s="6">
        <v>1</v>
      </c>
      <c r="F499" s="6" t="s">
        <v>2004</v>
      </c>
      <c r="G499" s="6" t="s">
        <v>2005</v>
      </c>
      <c r="H499" s="6" t="s">
        <v>2005</v>
      </c>
      <c r="I499" s="6" t="str">
        <f t="shared" si="14"/>
        <v>ETC</v>
      </c>
      <c r="J499" s="6" t="s">
        <v>594</v>
      </c>
      <c r="K499" s="6">
        <v>1</v>
      </c>
      <c r="P499" s="6">
        <f t="shared" si="15"/>
        <v>1300000</v>
      </c>
      <c r="R499" s="6" t="s">
        <v>2003</v>
      </c>
      <c r="T499" s="6" t="s">
        <v>984</v>
      </c>
      <c r="U499" s="6">
        <v>2017</v>
      </c>
      <c r="V499" s="6">
        <v>1</v>
      </c>
      <c r="AD499" s="6" t="s">
        <v>45</v>
      </c>
      <c r="AJ499" s="31" t="s">
        <v>2124</v>
      </c>
      <c r="AK499" s="6">
        <v>1</v>
      </c>
      <c r="AL499" s="26">
        <v>1200000</v>
      </c>
      <c r="AM499" s="26">
        <v>1200000</v>
      </c>
      <c r="AN499" s="26">
        <v>1200000</v>
      </c>
      <c r="AO499" s="6" t="s">
        <v>2003</v>
      </c>
      <c r="AQ499" s="6" t="s">
        <v>1239</v>
      </c>
      <c r="AU499" s="6">
        <v>224935</v>
      </c>
    </row>
    <row r="500" spans="1:47" x14ac:dyDescent="0.3">
      <c r="A500" s="28" t="s">
        <v>42</v>
      </c>
      <c r="B500" s="6" t="s">
        <v>2181</v>
      </c>
      <c r="C500" s="6" t="s">
        <v>1979</v>
      </c>
      <c r="D500" s="6" t="s">
        <v>2104</v>
      </c>
      <c r="E500" s="6">
        <v>1</v>
      </c>
      <c r="F500" s="6" t="s">
        <v>2004</v>
      </c>
      <c r="G500" s="6" t="s">
        <v>2005</v>
      </c>
      <c r="H500" s="6" t="s">
        <v>2005</v>
      </c>
      <c r="I500" s="6" t="str">
        <f t="shared" si="14"/>
        <v>Thumb Grapple</v>
      </c>
      <c r="J500" s="6" t="s">
        <v>186</v>
      </c>
      <c r="K500" s="6">
        <v>1</v>
      </c>
      <c r="P500" s="6">
        <f t="shared" si="15"/>
        <v>1200000</v>
      </c>
      <c r="R500" s="6" t="s">
        <v>2003</v>
      </c>
      <c r="T500" s="6" t="s">
        <v>823</v>
      </c>
      <c r="U500" s="6">
        <v>2014</v>
      </c>
      <c r="V500" s="6">
        <v>1</v>
      </c>
      <c r="AD500" s="6" t="s">
        <v>45</v>
      </c>
      <c r="AJ500" s="31" t="s">
        <v>2113</v>
      </c>
      <c r="AK500" s="6">
        <v>1</v>
      </c>
      <c r="AL500" s="26">
        <v>1100000</v>
      </c>
      <c r="AM500" s="26">
        <v>1100000</v>
      </c>
      <c r="AN500" s="26">
        <v>1100000</v>
      </c>
      <c r="AO500" s="6" t="s">
        <v>2003</v>
      </c>
      <c r="AQ500" s="6" t="s">
        <v>49</v>
      </c>
      <c r="AU500" s="6">
        <v>224936</v>
      </c>
    </row>
    <row r="501" spans="1:47" x14ac:dyDescent="0.3">
      <c r="A501" s="28" t="s">
        <v>42</v>
      </c>
      <c r="B501" s="6" t="s">
        <v>2178</v>
      </c>
      <c r="C501" s="6" t="s">
        <v>1975</v>
      </c>
      <c r="D501" s="6" t="s">
        <v>2001</v>
      </c>
      <c r="E501" s="6">
        <v>1</v>
      </c>
      <c r="F501" s="6" t="s">
        <v>2004</v>
      </c>
      <c r="G501" s="6" t="s">
        <v>2005</v>
      </c>
      <c r="H501" s="6" t="s">
        <v>2005</v>
      </c>
      <c r="I501" s="6" t="str">
        <f t="shared" si="14"/>
        <v>Side Breaker</v>
      </c>
      <c r="J501" s="6" t="s">
        <v>595</v>
      </c>
      <c r="K501" s="6">
        <v>1</v>
      </c>
      <c r="P501" s="6">
        <f t="shared" si="15"/>
        <v>4700000</v>
      </c>
      <c r="R501" s="6" t="s">
        <v>2003</v>
      </c>
      <c r="T501" s="6" t="s">
        <v>66</v>
      </c>
      <c r="U501" s="6">
        <v>2008</v>
      </c>
      <c r="V501" s="6">
        <v>1</v>
      </c>
      <c r="AD501" s="6" t="s">
        <v>45</v>
      </c>
      <c r="AJ501" s="31" t="s">
        <v>2118</v>
      </c>
      <c r="AK501" s="6">
        <v>1</v>
      </c>
      <c r="AL501" s="26">
        <v>4500000</v>
      </c>
      <c r="AM501" s="26">
        <v>4500000</v>
      </c>
      <c r="AN501" s="26">
        <v>4500000</v>
      </c>
      <c r="AO501" s="6" t="s">
        <v>2003</v>
      </c>
      <c r="AQ501" s="6" t="s">
        <v>67</v>
      </c>
      <c r="AU501" s="6">
        <v>224937</v>
      </c>
    </row>
    <row r="502" spans="1:47" x14ac:dyDescent="0.3">
      <c r="A502" s="28" t="s">
        <v>42</v>
      </c>
      <c r="B502" s="6" t="s">
        <v>2181</v>
      </c>
      <c r="C502" s="6" t="s">
        <v>1979</v>
      </c>
      <c r="D502" s="6" t="s">
        <v>2104</v>
      </c>
      <c r="E502" s="6">
        <v>1</v>
      </c>
      <c r="F502" s="6" t="s">
        <v>2004</v>
      </c>
      <c r="G502" s="6" t="s">
        <v>2005</v>
      </c>
      <c r="H502" s="6" t="s">
        <v>2005</v>
      </c>
      <c r="I502" s="6" t="str">
        <f t="shared" si="14"/>
        <v>Thumb Grapple</v>
      </c>
      <c r="J502" s="6" t="s">
        <v>152</v>
      </c>
      <c r="K502" s="6">
        <v>1</v>
      </c>
      <c r="P502" s="6">
        <f t="shared" si="15"/>
        <v>800000</v>
      </c>
      <c r="R502" s="6" t="s">
        <v>2003</v>
      </c>
      <c r="T502" s="6" t="s">
        <v>823</v>
      </c>
      <c r="U502" s="6">
        <v>2013</v>
      </c>
      <c r="V502" s="6">
        <v>1</v>
      </c>
      <c r="AD502" s="6" t="s">
        <v>45</v>
      </c>
      <c r="AJ502" s="31" t="s">
        <v>2113</v>
      </c>
      <c r="AK502" s="6">
        <v>1</v>
      </c>
      <c r="AL502" s="26">
        <v>700000</v>
      </c>
      <c r="AM502" s="26">
        <v>700000</v>
      </c>
      <c r="AN502" s="26">
        <v>700000</v>
      </c>
      <c r="AO502" s="6" t="s">
        <v>2003</v>
      </c>
      <c r="AQ502" s="6" t="s">
        <v>49</v>
      </c>
      <c r="AU502" s="6">
        <v>224939</v>
      </c>
    </row>
    <row r="503" spans="1:47" x14ac:dyDescent="0.3">
      <c r="A503" s="28" t="s">
        <v>42</v>
      </c>
      <c r="B503" s="6" t="s">
        <v>2181</v>
      </c>
      <c r="C503" s="6" t="s">
        <v>1979</v>
      </c>
      <c r="D503" s="6" t="s">
        <v>2104</v>
      </c>
      <c r="E503" s="6">
        <v>1</v>
      </c>
      <c r="F503" s="6" t="s">
        <v>2004</v>
      </c>
      <c r="G503" s="6" t="s">
        <v>2005</v>
      </c>
      <c r="H503" s="6" t="s">
        <v>2005</v>
      </c>
      <c r="I503" s="6" t="str">
        <f t="shared" si="14"/>
        <v>Thumb Grapple</v>
      </c>
      <c r="J503" s="6" t="s">
        <v>251</v>
      </c>
      <c r="K503" s="6">
        <v>1</v>
      </c>
      <c r="P503" s="6">
        <f t="shared" si="15"/>
        <v>800000</v>
      </c>
      <c r="R503" s="6" t="s">
        <v>2003</v>
      </c>
      <c r="T503" s="6" t="s">
        <v>823</v>
      </c>
      <c r="U503" s="6">
        <v>2013</v>
      </c>
      <c r="V503" s="6">
        <v>1</v>
      </c>
      <c r="AD503" s="6" t="s">
        <v>45</v>
      </c>
      <c r="AJ503" s="31" t="s">
        <v>2113</v>
      </c>
      <c r="AK503" s="6">
        <v>1</v>
      </c>
      <c r="AL503" s="26">
        <v>700000</v>
      </c>
      <c r="AM503" s="26">
        <v>700000</v>
      </c>
      <c r="AN503" s="26">
        <v>700000</v>
      </c>
      <c r="AO503" s="6" t="s">
        <v>2003</v>
      </c>
      <c r="AQ503" s="6" t="s">
        <v>49</v>
      </c>
      <c r="AU503" s="6">
        <v>224942</v>
      </c>
    </row>
    <row r="504" spans="1:47" x14ac:dyDescent="0.3">
      <c r="A504" s="28" t="s">
        <v>42</v>
      </c>
      <c r="B504" s="6" t="s">
        <v>2177</v>
      </c>
      <c r="C504" s="6" t="s">
        <v>1972</v>
      </c>
      <c r="D504" s="6" t="s">
        <v>2105</v>
      </c>
      <c r="E504" s="6">
        <v>1</v>
      </c>
      <c r="F504" s="6" t="s">
        <v>2004</v>
      </c>
      <c r="G504" s="6" t="s">
        <v>2005</v>
      </c>
      <c r="H504" s="6" t="s">
        <v>2005</v>
      </c>
      <c r="I504" s="6" t="str">
        <f t="shared" si="14"/>
        <v>Stone Grapple</v>
      </c>
      <c r="J504" s="6" t="s">
        <v>203</v>
      </c>
      <c r="K504" s="6">
        <v>1</v>
      </c>
      <c r="P504" s="6">
        <f t="shared" si="15"/>
        <v>5500000</v>
      </c>
      <c r="R504" s="6" t="s">
        <v>2003</v>
      </c>
      <c r="T504" s="6" t="s">
        <v>985</v>
      </c>
      <c r="U504" s="6">
        <v>2013</v>
      </c>
      <c r="V504" s="6">
        <v>1</v>
      </c>
      <c r="AD504" s="6" t="s">
        <v>45</v>
      </c>
      <c r="AJ504" s="31" t="s">
        <v>2117</v>
      </c>
      <c r="AK504" s="6">
        <v>1</v>
      </c>
      <c r="AL504" s="26">
        <v>5000000</v>
      </c>
      <c r="AM504" s="26">
        <v>5000000</v>
      </c>
      <c r="AN504" s="26">
        <v>5000000</v>
      </c>
      <c r="AO504" s="6" t="s">
        <v>2003</v>
      </c>
      <c r="AQ504" s="6" t="s">
        <v>1240</v>
      </c>
      <c r="AU504" s="6">
        <v>224957</v>
      </c>
    </row>
    <row r="505" spans="1:47" x14ac:dyDescent="0.3">
      <c r="A505" s="28" t="s">
        <v>42</v>
      </c>
      <c r="B505" s="6" t="s">
        <v>2178</v>
      </c>
      <c r="C505" s="6" t="s">
        <v>1975</v>
      </c>
      <c r="D505" s="6" t="s">
        <v>2104</v>
      </c>
      <c r="E505" s="6">
        <v>1</v>
      </c>
      <c r="F505" s="6" t="s">
        <v>2004</v>
      </c>
      <c r="G505" s="6" t="s">
        <v>2005</v>
      </c>
      <c r="H505" s="6" t="s">
        <v>2005</v>
      </c>
      <c r="I505" s="6" t="str">
        <f t="shared" si="14"/>
        <v>Side Breaker</v>
      </c>
      <c r="J505" s="6" t="s">
        <v>440</v>
      </c>
      <c r="K505" s="6">
        <v>1</v>
      </c>
      <c r="P505" s="6">
        <f t="shared" si="15"/>
        <v>6000000</v>
      </c>
      <c r="R505" s="6" t="s">
        <v>2003</v>
      </c>
      <c r="T505" s="6" t="s">
        <v>823</v>
      </c>
      <c r="U505" s="6">
        <v>2016</v>
      </c>
      <c r="V505" s="6">
        <v>1</v>
      </c>
      <c r="AD505" s="6" t="s">
        <v>45</v>
      </c>
      <c r="AJ505" s="31" t="s">
        <v>2113</v>
      </c>
      <c r="AK505" s="6">
        <v>1</v>
      </c>
      <c r="AL505" s="26">
        <v>5500000</v>
      </c>
      <c r="AM505" s="26">
        <v>5500000</v>
      </c>
      <c r="AN505" s="26">
        <v>5500000</v>
      </c>
      <c r="AO505" s="6" t="s">
        <v>2003</v>
      </c>
      <c r="AQ505" s="6" t="s">
        <v>49</v>
      </c>
      <c r="AU505" s="6">
        <v>224960</v>
      </c>
    </row>
    <row r="506" spans="1:47" x14ac:dyDescent="0.3">
      <c r="A506" s="28" t="s">
        <v>42</v>
      </c>
      <c r="B506" s="6" t="s">
        <v>2181</v>
      </c>
      <c r="D506" s="6" t="s">
        <v>2103</v>
      </c>
      <c r="E506" s="6">
        <v>1</v>
      </c>
      <c r="F506" s="6" t="s">
        <v>2004</v>
      </c>
      <c r="G506" s="6" t="s">
        <v>2005</v>
      </c>
      <c r="H506" s="6" t="s">
        <v>2005</v>
      </c>
      <c r="I506" s="6" t="str">
        <f t="shared" si="14"/>
        <v>ETC</v>
      </c>
      <c r="J506" s="6" t="s">
        <v>596</v>
      </c>
      <c r="K506" s="6">
        <v>1</v>
      </c>
      <c r="P506" s="6">
        <f t="shared" si="15"/>
        <v>3200000</v>
      </c>
      <c r="R506" s="6" t="s">
        <v>2003</v>
      </c>
      <c r="T506" s="6" t="s">
        <v>986</v>
      </c>
      <c r="U506" s="6">
        <v>2017</v>
      </c>
      <c r="V506" s="6">
        <v>12</v>
      </c>
      <c r="AD506" s="6" t="s">
        <v>45</v>
      </c>
      <c r="AJ506" s="31" t="s">
        <v>2122</v>
      </c>
      <c r="AK506" s="6">
        <v>1</v>
      </c>
      <c r="AL506" s="26">
        <v>3000000</v>
      </c>
      <c r="AM506" s="26">
        <v>3000000</v>
      </c>
      <c r="AN506" s="26">
        <v>3000000</v>
      </c>
      <c r="AO506" s="6" t="s">
        <v>2003</v>
      </c>
      <c r="AQ506" s="6" t="s">
        <v>1256</v>
      </c>
      <c r="AU506" s="6">
        <v>224964</v>
      </c>
    </row>
    <row r="507" spans="1:47" hidden="1" x14ac:dyDescent="0.3">
      <c r="A507" s="28" t="s">
        <v>42</v>
      </c>
      <c r="B507" s="6" t="s">
        <v>2177</v>
      </c>
      <c r="C507" s="6" t="s">
        <v>1972</v>
      </c>
      <c r="E507" s="6">
        <v>1</v>
      </c>
      <c r="F507" s="6" t="s">
        <v>2004</v>
      </c>
      <c r="G507" s="6" t="s">
        <v>2005</v>
      </c>
      <c r="H507" s="6" t="s">
        <v>2005</v>
      </c>
      <c r="I507" s="6" t="str">
        <f t="shared" si="14"/>
        <v>Stone Grapple</v>
      </c>
      <c r="J507" s="6" t="s">
        <v>307</v>
      </c>
      <c r="K507" s="6">
        <v>1</v>
      </c>
      <c r="P507" s="6">
        <f t="shared" si="15"/>
        <v>7500000</v>
      </c>
      <c r="R507" s="6" t="s">
        <v>2003</v>
      </c>
      <c r="T507" s="6" t="s">
        <v>987</v>
      </c>
      <c r="U507" s="6">
        <v>2017</v>
      </c>
      <c r="V507" s="6">
        <v>1</v>
      </c>
      <c r="AD507" s="6" t="s">
        <v>45</v>
      </c>
      <c r="AJ507" s="31" t="s">
        <v>2110</v>
      </c>
      <c r="AK507" s="6">
        <v>1</v>
      </c>
      <c r="AL507" s="26">
        <v>7000000</v>
      </c>
      <c r="AM507" s="26">
        <v>7000000</v>
      </c>
      <c r="AN507" s="26">
        <v>7000000</v>
      </c>
      <c r="AO507" s="6" t="s">
        <v>2003</v>
      </c>
      <c r="AQ507" s="6" t="s">
        <v>1284</v>
      </c>
      <c r="AU507" s="6">
        <v>224969</v>
      </c>
    </row>
    <row r="508" spans="1:47" x14ac:dyDescent="0.3">
      <c r="A508" s="28" t="s">
        <v>42</v>
      </c>
      <c r="B508" s="6" t="s">
        <v>2179</v>
      </c>
      <c r="C508" s="19" t="s">
        <v>2205</v>
      </c>
      <c r="D508" s="6" t="s">
        <v>2100</v>
      </c>
      <c r="E508" s="6">
        <v>1</v>
      </c>
      <c r="F508" s="6" t="s">
        <v>2004</v>
      </c>
      <c r="G508" s="6" t="s">
        <v>2005</v>
      </c>
      <c r="H508" s="6" t="s">
        <v>2005</v>
      </c>
      <c r="I508" s="6" t="str">
        <f t="shared" si="14"/>
        <v>Standard Bucket</v>
      </c>
      <c r="J508" s="6" t="s">
        <v>597</v>
      </c>
      <c r="K508" s="6">
        <v>1</v>
      </c>
      <c r="P508" s="6">
        <f t="shared" si="15"/>
        <v>650000</v>
      </c>
      <c r="R508" s="6" t="s">
        <v>2003</v>
      </c>
      <c r="T508" s="6" t="s">
        <v>988</v>
      </c>
      <c r="U508" s="6">
        <v>2015</v>
      </c>
      <c r="V508" s="6">
        <v>1</v>
      </c>
      <c r="AD508" s="6" t="s">
        <v>45</v>
      </c>
      <c r="AJ508" s="31" t="s">
        <v>2123</v>
      </c>
      <c r="AK508" s="6">
        <v>1</v>
      </c>
      <c r="AL508" s="26">
        <v>550000</v>
      </c>
      <c r="AM508" s="26">
        <v>550000</v>
      </c>
      <c r="AN508" s="26">
        <v>550000</v>
      </c>
      <c r="AO508" s="6" t="s">
        <v>2003</v>
      </c>
      <c r="AQ508" s="6" t="s">
        <v>1285</v>
      </c>
      <c r="AU508" s="6">
        <v>224973</v>
      </c>
    </row>
    <row r="509" spans="1:47" x14ac:dyDescent="0.3">
      <c r="A509" s="28" t="s">
        <v>42</v>
      </c>
      <c r="B509" s="6" t="s">
        <v>2184</v>
      </c>
      <c r="C509" s="6" t="s">
        <v>1984</v>
      </c>
      <c r="D509" s="6" t="s">
        <v>2103</v>
      </c>
      <c r="E509" s="6">
        <v>1</v>
      </c>
      <c r="F509" s="6" t="s">
        <v>2004</v>
      </c>
      <c r="G509" s="6" t="s">
        <v>2005</v>
      </c>
      <c r="H509" s="6" t="s">
        <v>2005</v>
      </c>
      <c r="I509" s="6" t="str">
        <f t="shared" si="14"/>
        <v>Scrap Grapple</v>
      </c>
      <c r="J509" s="6" t="s">
        <v>221</v>
      </c>
      <c r="K509" s="6">
        <v>1</v>
      </c>
      <c r="P509" s="6">
        <f t="shared" si="15"/>
        <v>5500000</v>
      </c>
      <c r="R509" s="6" t="s">
        <v>2003</v>
      </c>
      <c r="T509" s="6" t="s">
        <v>789</v>
      </c>
      <c r="U509" s="6">
        <v>2009</v>
      </c>
      <c r="V509" s="6">
        <v>1</v>
      </c>
      <c r="AD509" s="6" t="s">
        <v>45</v>
      </c>
      <c r="AJ509" s="31" t="s">
        <v>2122</v>
      </c>
      <c r="AK509" s="6">
        <v>1</v>
      </c>
      <c r="AL509" s="26">
        <v>5000000</v>
      </c>
      <c r="AM509" s="26">
        <v>5000000</v>
      </c>
      <c r="AN509" s="26">
        <v>5000000</v>
      </c>
      <c r="AO509" s="6" t="s">
        <v>2003</v>
      </c>
      <c r="AQ509" s="6" t="s">
        <v>65</v>
      </c>
      <c r="AU509" s="6">
        <v>224974</v>
      </c>
    </row>
    <row r="510" spans="1:47" x14ac:dyDescent="0.3">
      <c r="A510" s="28" t="s">
        <v>42</v>
      </c>
      <c r="B510" s="6" t="s">
        <v>2174</v>
      </c>
      <c r="C510" s="6" t="s">
        <v>1975</v>
      </c>
      <c r="D510" s="6" t="s">
        <v>2001</v>
      </c>
      <c r="E510" s="6">
        <v>1</v>
      </c>
      <c r="F510" s="6" t="s">
        <v>2004</v>
      </c>
      <c r="G510" s="6" t="s">
        <v>2005</v>
      </c>
      <c r="H510" s="6" t="s">
        <v>2005</v>
      </c>
      <c r="I510" s="6" t="str">
        <f t="shared" si="14"/>
        <v>Side Breaker</v>
      </c>
      <c r="J510" s="6" t="s">
        <v>598</v>
      </c>
      <c r="K510" s="6">
        <v>1</v>
      </c>
      <c r="P510" s="6">
        <f t="shared" si="15"/>
        <v>15500000</v>
      </c>
      <c r="R510" s="6" t="s">
        <v>2003</v>
      </c>
      <c r="T510" s="6" t="s">
        <v>963</v>
      </c>
      <c r="U510" s="6">
        <v>2015</v>
      </c>
      <c r="V510" s="6">
        <v>1</v>
      </c>
      <c r="AD510" s="6" t="s">
        <v>45</v>
      </c>
      <c r="AJ510" s="31" t="s">
        <v>2110</v>
      </c>
      <c r="AK510" s="6">
        <v>1</v>
      </c>
      <c r="AL510" s="26">
        <v>15000000</v>
      </c>
      <c r="AM510" s="26">
        <v>15000000</v>
      </c>
      <c r="AN510" s="26">
        <v>15000000</v>
      </c>
      <c r="AO510" s="6" t="s">
        <v>2003</v>
      </c>
      <c r="AQ510" s="6" t="s">
        <v>1278</v>
      </c>
      <c r="AU510" s="6">
        <v>224982</v>
      </c>
    </row>
    <row r="511" spans="1:47" x14ac:dyDescent="0.3">
      <c r="A511" s="28" t="s">
        <v>42</v>
      </c>
      <c r="B511" s="6" t="s">
        <v>2182</v>
      </c>
      <c r="C511" s="19" t="s">
        <v>2205</v>
      </c>
      <c r="D511" s="6" t="s">
        <v>2001</v>
      </c>
      <c r="E511" s="6">
        <v>1</v>
      </c>
      <c r="F511" s="6" t="s">
        <v>2004</v>
      </c>
      <c r="G511" s="6" t="s">
        <v>2005</v>
      </c>
      <c r="H511" s="6" t="s">
        <v>2005</v>
      </c>
      <c r="I511" s="6" t="str">
        <f t="shared" si="14"/>
        <v>Standard Bucket</v>
      </c>
      <c r="J511" s="6" t="s">
        <v>574</v>
      </c>
      <c r="K511" s="6">
        <v>1</v>
      </c>
      <c r="P511" s="6">
        <f t="shared" si="15"/>
        <v>1600000</v>
      </c>
      <c r="R511" s="6" t="s">
        <v>2003</v>
      </c>
      <c r="T511" s="6" t="s">
        <v>989</v>
      </c>
      <c r="U511" s="6">
        <v>2009</v>
      </c>
      <c r="V511" s="6">
        <v>6</v>
      </c>
      <c r="AD511" s="6" t="s">
        <v>45</v>
      </c>
      <c r="AJ511" s="31" t="s">
        <v>2120</v>
      </c>
      <c r="AK511" s="6">
        <v>1</v>
      </c>
      <c r="AL511" s="26">
        <v>1500000</v>
      </c>
      <c r="AM511" s="26">
        <v>1500000</v>
      </c>
      <c r="AN511" s="26">
        <v>1500000</v>
      </c>
      <c r="AO511" s="6" t="s">
        <v>2003</v>
      </c>
      <c r="AQ511" s="6" t="s">
        <v>1205</v>
      </c>
      <c r="AU511" s="6">
        <v>224983</v>
      </c>
    </row>
    <row r="512" spans="1:47" x14ac:dyDescent="0.3">
      <c r="A512" s="28" t="s">
        <v>42</v>
      </c>
      <c r="B512" s="6" t="s">
        <v>2174</v>
      </c>
      <c r="C512" s="6" t="s">
        <v>1975</v>
      </c>
      <c r="D512" s="6" t="s">
        <v>2105</v>
      </c>
      <c r="E512" s="6">
        <v>1</v>
      </c>
      <c r="F512" s="6" t="s">
        <v>2004</v>
      </c>
      <c r="G512" s="6" t="s">
        <v>2005</v>
      </c>
      <c r="H512" s="6" t="s">
        <v>2005</v>
      </c>
      <c r="I512" s="6" t="str">
        <f t="shared" si="14"/>
        <v>Side Breaker</v>
      </c>
      <c r="J512" s="6" t="s">
        <v>599</v>
      </c>
      <c r="K512" s="6">
        <v>1</v>
      </c>
      <c r="P512" s="6">
        <f t="shared" si="15"/>
        <v>9000000</v>
      </c>
      <c r="R512" s="6" t="s">
        <v>2003</v>
      </c>
      <c r="T512" s="6" t="s">
        <v>834</v>
      </c>
      <c r="U512" s="6">
        <v>2010</v>
      </c>
      <c r="V512" s="6">
        <v>1</v>
      </c>
      <c r="AD512" s="6" t="s">
        <v>45</v>
      </c>
      <c r="AJ512" s="31" t="s">
        <v>2123</v>
      </c>
      <c r="AK512" s="6">
        <v>1</v>
      </c>
      <c r="AL512" s="26">
        <v>8500000</v>
      </c>
      <c r="AM512" s="26">
        <v>8500000</v>
      </c>
      <c r="AN512" s="26">
        <v>8500000</v>
      </c>
      <c r="AO512" s="6" t="s">
        <v>2003</v>
      </c>
      <c r="AQ512" s="6" t="s">
        <v>1167</v>
      </c>
      <c r="AU512" s="6">
        <v>224984</v>
      </c>
    </row>
    <row r="513" spans="1:47" x14ac:dyDescent="0.3">
      <c r="A513" s="28" t="s">
        <v>42</v>
      </c>
      <c r="B513" s="6" t="s">
        <v>2184</v>
      </c>
      <c r="C513" s="6" t="s">
        <v>1972</v>
      </c>
      <c r="D513" s="6" t="s">
        <v>2104</v>
      </c>
      <c r="E513" s="6">
        <v>1</v>
      </c>
      <c r="F513" s="6" t="s">
        <v>2004</v>
      </c>
      <c r="G513" s="6" t="s">
        <v>2005</v>
      </c>
      <c r="H513" s="6" t="s">
        <v>2005</v>
      </c>
      <c r="I513" s="6" t="str">
        <f t="shared" si="14"/>
        <v>Stone Grapple</v>
      </c>
      <c r="J513" s="6" t="s">
        <v>58</v>
      </c>
      <c r="K513" s="6">
        <v>1</v>
      </c>
      <c r="P513" s="6">
        <f t="shared" si="15"/>
        <v>2500000</v>
      </c>
      <c r="R513" s="6" t="s">
        <v>2003</v>
      </c>
      <c r="T513" s="6" t="s">
        <v>823</v>
      </c>
      <c r="U513" s="6">
        <v>2014</v>
      </c>
      <c r="V513" s="6">
        <v>1</v>
      </c>
      <c r="AD513" s="6" t="s">
        <v>45</v>
      </c>
      <c r="AJ513" s="31" t="s">
        <v>2113</v>
      </c>
      <c r="AK513" s="6">
        <v>1</v>
      </c>
      <c r="AL513" s="26">
        <v>2300000</v>
      </c>
      <c r="AM513" s="26">
        <v>2300000</v>
      </c>
      <c r="AN513" s="26">
        <v>2300000</v>
      </c>
      <c r="AO513" s="6" t="s">
        <v>2003</v>
      </c>
      <c r="AQ513" s="6" t="s">
        <v>49</v>
      </c>
      <c r="AU513" s="6">
        <v>224988</v>
      </c>
    </row>
    <row r="514" spans="1:47" hidden="1" x14ac:dyDescent="0.3">
      <c r="A514" s="28" t="s">
        <v>42</v>
      </c>
      <c r="B514" s="6" t="s">
        <v>2183</v>
      </c>
      <c r="E514" s="6">
        <v>1</v>
      </c>
      <c r="F514" s="6" t="s">
        <v>2004</v>
      </c>
      <c r="G514" s="6" t="s">
        <v>2005</v>
      </c>
      <c r="H514" s="6" t="s">
        <v>2005</v>
      </c>
      <c r="I514" s="6" t="str">
        <f t="shared" ref="I514:I577" si="16">IF(ISBLANK(C514),B514,C514)</f>
        <v>ETC</v>
      </c>
      <c r="J514" s="6" t="s">
        <v>600</v>
      </c>
      <c r="K514" s="6">
        <v>1</v>
      </c>
      <c r="P514" s="6">
        <f t="shared" si="15"/>
        <v>3100000</v>
      </c>
      <c r="R514" s="6" t="s">
        <v>2003</v>
      </c>
      <c r="T514" s="6" t="s">
        <v>990</v>
      </c>
      <c r="U514" s="6">
        <v>2013</v>
      </c>
      <c r="V514" s="6">
        <v>4</v>
      </c>
      <c r="AD514" s="6" t="s">
        <v>45</v>
      </c>
      <c r="AJ514" s="31" t="s">
        <v>2112</v>
      </c>
      <c r="AK514" s="6">
        <v>1</v>
      </c>
      <c r="AL514" s="26">
        <v>2900000</v>
      </c>
      <c r="AM514" s="26">
        <v>2900000</v>
      </c>
      <c r="AN514" s="26">
        <v>2900000</v>
      </c>
      <c r="AO514" s="6" t="s">
        <v>2003</v>
      </c>
      <c r="AQ514" s="6" t="s">
        <v>1192</v>
      </c>
      <c r="AU514" s="6">
        <v>224992</v>
      </c>
    </row>
    <row r="515" spans="1:47" hidden="1" x14ac:dyDescent="0.3">
      <c r="A515" s="28" t="s">
        <v>42</v>
      </c>
      <c r="B515" s="6" t="s">
        <v>2183</v>
      </c>
      <c r="E515" s="6">
        <v>1</v>
      </c>
      <c r="F515" s="6" t="s">
        <v>2004</v>
      </c>
      <c r="G515" s="6" t="s">
        <v>2005</v>
      </c>
      <c r="H515" s="6" t="s">
        <v>2005</v>
      </c>
      <c r="I515" s="6" t="str">
        <f t="shared" si="16"/>
        <v>ETC</v>
      </c>
      <c r="J515" s="6" t="s">
        <v>601</v>
      </c>
      <c r="K515" s="6">
        <v>1</v>
      </c>
      <c r="P515" s="6">
        <f t="shared" ref="P515:P578" si="17">IF(AM515&lt;500000,AM515+50000,IF(AND(AM515&gt;=500000,AM515&lt;2000000),AM515+100000,IF(AND(AM515&gt;=2000000,AM515&lt;5000000),AM515+200000,IF(AM515&gt;=5000000,AM515+500000,AM515))))</f>
        <v>1800000</v>
      </c>
      <c r="R515" s="6" t="s">
        <v>2003</v>
      </c>
      <c r="T515" s="6" t="s">
        <v>1865</v>
      </c>
      <c r="U515" s="6">
        <v>2017</v>
      </c>
      <c r="V515" s="6">
        <v>1</v>
      </c>
      <c r="AD515" s="6" t="s">
        <v>45</v>
      </c>
      <c r="AJ515" s="31" t="s">
        <v>2112</v>
      </c>
      <c r="AK515" s="6">
        <v>1</v>
      </c>
      <c r="AL515" s="26">
        <v>1700000</v>
      </c>
      <c r="AM515" s="26">
        <v>1700000</v>
      </c>
      <c r="AN515" s="26">
        <v>1700000</v>
      </c>
      <c r="AO515" s="6" t="s">
        <v>2003</v>
      </c>
      <c r="AQ515" s="6" t="s">
        <v>1239</v>
      </c>
      <c r="AU515" s="6">
        <v>224993</v>
      </c>
    </row>
    <row r="516" spans="1:47" x14ac:dyDescent="0.3">
      <c r="A516" s="28" t="s">
        <v>42</v>
      </c>
      <c r="B516" s="6" t="s">
        <v>2204</v>
      </c>
      <c r="C516" s="6" t="s">
        <v>1979</v>
      </c>
      <c r="D516" s="6" t="s">
        <v>2104</v>
      </c>
      <c r="E516" s="6">
        <v>1</v>
      </c>
      <c r="F516" s="6" t="s">
        <v>2004</v>
      </c>
      <c r="G516" s="6" t="s">
        <v>2005</v>
      </c>
      <c r="H516" s="6" t="s">
        <v>2005</v>
      </c>
      <c r="I516" s="6" t="str">
        <f t="shared" si="16"/>
        <v>Thumb Grapple</v>
      </c>
      <c r="J516" s="6" t="s">
        <v>117</v>
      </c>
      <c r="K516" s="6">
        <v>1</v>
      </c>
      <c r="P516" s="6">
        <f t="shared" si="17"/>
        <v>1200000</v>
      </c>
      <c r="R516" s="6" t="s">
        <v>2003</v>
      </c>
      <c r="T516" s="6" t="s">
        <v>823</v>
      </c>
      <c r="U516" s="6">
        <v>2014</v>
      </c>
      <c r="V516" s="6">
        <v>1</v>
      </c>
      <c r="AD516" s="6" t="s">
        <v>45</v>
      </c>
      <c r="AJ516" s="31" t="s">
        <v>2113</v>
      </c>
      <c r="AK516" s="6">
        <v>1</v>
      </c>
      <c r="AL516" s="26">
        <v>1100000</v>
      </c>
      <c r="AM516" s="26">
        <v>1100000</v>
      </c>
      <c r="AN516" s="26">
        <v>1100000</v>
      </c>
      <c r="AO516" s="6" t="s">
        <v>2003</v>
      </c>
      <c r="AQ516" s="6" t="s">
        <v>49</v>
      </c>
      <c r="AU516" s="6">
        <v>224995</v>
      </c>
    </row>
    <row r="517" spans="1:47" x14ac:dyDescent="0.3">
      <c r="A517" s="28" t="s">
        <v>42</v>
      </c>
      <c r="B517" s="6" t="s">
        <v>2183</v>
      </c>
      <c r="D517" s="6" t="s">
        <v>2102</v>
      </c>
      <c r="E517" s="6">
        <v>1</v>
      </c>
      <c r="F517" s="6" t="s">
        <v>2004</v>
      </c>
      <c r="G517" s="6" t="s">
        <v>2005</v>
      </c>
      <c r="H517" s="6" t="s">
        <v>2005</v>
      </c>
      <c r="I517" s="6" t="str">
        <f t="shared" si="16"/>
        <v>ETC</v>
      </c>
      <c r="J517" s="6" t="s">
        <v>378</v>
      </c>
      <c r="K517" s="6">
        <v>1</v>
      </c>
      <c r="P517" s="6">
        <f t="shared" si="17"/>
        <v>2500000</v>
      </c>
      <c r="R517" s="6" t="s">
        <v>2003</v>
      </c>
      <c r="T517" s="6" t="s">
        <v>991</v>
      </c>
      <c r="U517" s="6">
        <v>2016</v>
      </c>
      <c r="V517" s="6">
        <v>5</v>
      </c>
      <c r="AD517" s="6" t="s">
        <v>45</v>
      </c>
      <c r="AJ517" s="31" t="s">
        <v>2113</v>
      </c>
      <c r="AK517" s="6">
        <v>1</v>
      </c>
      <c r="AL517" s="26">
        <v>2300000</v>
      </c>
      <c r="AM517" s="26">
        <v>2300000</v>
      </c>
      <c r="AN517" s="26">
        <v>2300000</v>
      </c>
      <c r="AO517" s="6" t="s">
        <v>2003</v>
      </c>
      <c r="AQ517" s="6" t="s">
        <v>71</v>
      </c>
      <c r="AU517" s="6">
        <v>225000</v>
      </c>
    </row>
    <row r="518" spans="1:47" x14ac:dyDescent="0.3">
      <c r="A518" s="28" t="s">
        <v>42</v>
      </c>
      <c r="B518" s="6" t="s">
        <v>2183</v>
      </c>
      <c r="D518" s="6" t="s">
        <v>2101</v>
      </c>
      <c r="E518" s="6">
        <v>1</v>
      </c>
      <c r="F518" s="6" t="s">
        <v>2004</v>
      </c>
      <c r="G518" s="6" t="s">
        <v>2005</v>
      </c>
      <c r="H518" s="6" t="s">
        <v>2005</v>
      </c>
      <c r="I518" s="6" t="str">
        <f t="shared" si="16"/>
        <v>ETC</v>
      </c>
      <c r="J518" s="6" t="s">
        <v>126</v>
      </c>
      <c r="K518" s="6">
        <v>1</v>
      </c>
      <c r="P518" s="6">
        <f t="shared" si="17"/>
        <v>8500000</v>
      </c>
      <c r="R518" s="6" t="s">
        <v>2003</v>
      </c>
      <c r="T518" s="6" t="s">
        <v>992</v>
      </c>
      <c r="U518" s="6">
        <v>2011</v>
      </c>
      <c r="V518" s="6">
        <v>1</v>
      </c>
      <c r="AD518" s="6" t="s">
        <v>45</v>
      </c>
      <c r="AJ518" s="31" t="s">
        <v>2118</v>
      </c>
      <c r="AK518" s="6">
        <v>1</v>
      </c>
      <c r="AL518" s="26">
        <v>8000000</v>
      </c>
      <c r="AM518" s="26">
        <v>8000000</v>
      </c>
      <c r="AN518" s="26">
        <v>8000000</v>
      </c>
      <c r="AO518" s="6" t="s">
        <v>2003</v>
      </c>
      <c r="AQ518" s="6" t="s">
        <v>63</v>
      </c>
      <c r="AU518" s="6">
        <v>225001</v>
      </c>
    </row>
    <row r="519" spans="1:47" x14ac:dyDescent="0.3">
      <c r="A519" s="28" t="s">
        <v>42</v>
      </c>
      <c r="B519" s="6" t="s">
        <v>2184</v>
      </c>
      <c r="C519" s="6" t="s">
        <v>1972</v>
      </c>
      <c r="D519" s="6" t="s">
        <v>2100</v>
      </c>
      <c r="E519" s="6">
        <v>1</v>
      </c>
      <c r="F519" s="6" t="s">
        <v>2004</v>
      </c>
      <c r="G519" s="6" t="s">
        <v>2005</v>
      </c>
      <c r="H519" s="6" t="s">
        <v>2005</v>
      </c>
      <c r="I519" s="6" t="str">
        <f t="shared" si="16"/>
        <v>Stone Grapple</v>
      </c>
      <c r="J519" s="6" t="s">
        <v>149</v>
      </c>
      <c r="K519" s="6">
        <v>1</v>
      </c>
      <c r="P519" s="6">
        <f t="shared" si="17"/>
        <v>1400000</v>
      </c>
      <c r="R519" s="6" t="s">
        <v>2003</v>
      </c>
      <c r="T519" s="6" t="s">
        <v>2007</v>
      </c>
      <c r="U519" s="6">
        <v>2015</v>
      </c>
      <c r="V519" s="6">
        <v>1</v>
      </c>
      <c r="AD519" s="6" t="s">
        <v>45</v>
      </c>
      <c r="AJ519" s="31" t="s">
        <v>2113</v>
      </c>
      <c r="AK519" s="6">
        <v>1</v>
      </c>
      <c r="AL519" s="26">
        <v>1300000</v>
      </c>
      <c r="AM519" s="26">
        <v>1300000</v>
      </c>
      <c r="AN519" s="26">
        <v>1300000</v>
      </c>
      <c r="AO519" s="6" t="s">
        <v>2003</v>
      </c>
      <c r="AQ519" s="6" t="s">
        <v>49</v>
      </c>
      <c r="AU519" s="6">
        <v>225018</v>
      </c>
    </row>
    <row r="520" spans="1:47" x14ac:dyDescent="0.3">
      <c r="A520" s="28" t="s">
        <v>42</v>
      </c>
      <c r="B520" s="6" t="s">
        <v>2174</v>
      </c>
      <c r="C520" s="6" t="s">
        <v>1975</v>
      </c>
      <c r="D520" s="6" t="s">
        <v>2100</v>
      </c>
      <c r="E520" s="6">
        <v>1</v>
      </c>
      <c r="F520" s="6" t="s">
        <v>2004</v>
      </c>
      <c r="G520" s="6" t="s">
        <v>2005</v>
      </c>
      <c r="H520" s="6" t="s">
        <v>2005</v>
      </c>
      <c r="I520" s="6" t="str">
        <f t="shared" si="16"/>
        <v>Side Breaker</v>
      </c>
      <c r="J520" s="6" t="s">
        <v>664</v>
      </c>
      <c r="K520" s="6">
        <v>1</v>
      </c>
      <c r="P520" s="6">
        <f t="shared" si="17"/>
        <v>1900000</v>
      </c>
      <c r="R520" s="6" t="s">
        <v>2003</v>
      </c>
      <c r="T520" s="6" t="s">
        <v>1866</v>
      </c>
      <c r="U520" s="6">
        <v>2014</v>
      </c>
      <c r="V520" s="6">
        <v>1</v>
      </c>
      <c r="AD520" s="6" t="s">
        <v>45</v>
      </c>
      <c r="AJ520" s="31" t="s">
        <v>2118</v>
      </c>
      <c r="AK520" s="6">
        <v>1</v>
      </c>
      <c r="AL520" s="26">
        <v>1800000</v>
      </c>
      <c r="AM520" s="26">
        <v>1800000</v>
      </c>
      <c r="AN520" s="26">
        <v>1800000</v>
      </c>
      <c r="AO520" s="6" t="s">
        <v>2003</v>
      </c>
      <c r="AQ520" s="6" t="s">
        <v>1211</v>
      </c>
      <c r="AU520" s="6">
        <v>225033</v>
      </c>
    </row>
    <row r="521" spans="1:47" x14ac:dyDescent="0.3">
      <c r="A521" s="28" t="s">
        <v>42</v>
      </c>
      <c r="B521" s="6" t="s">
        <v>2182</v>
      </c>
      <c r="C521" s="19" t="s">
        <v>2205</v>
      </c>
      <c r="D521" s="6" t="s">
        <v>2101</v>
      </c>
      <c r="E521" s="6">
        <v>1</v>
      </c>
      <c r="F521" s="6" t="s">
        <v>2004</v>
      </c>
      <c r="G521" s="6" t="s">
        <v>2005</v>
      </c>
      <c r="H521" s="6" t="s">
        <v>2005</v>
      </c>
      <c r="I521" s="6" t="str">
        <f t="shared" si="16"/>
        <v>Standard Bucket</v>
      </c>
      <c r="J521" s="6" t="s">
        <v>376</v>
      </c>
      <c r="K521" s="6">
        <v>1</v>
      </c>
      <c r="P521" s="6">
        <f t="shared" si="17"/>
        <v>1600000</v>
      </c>
      <c r="R521" s="6" t="s">
        <v>2003</v>
      </c>
      <c r="T521" s="6" t="s">
        <v>813</v>
      </c>
      <c r="U521" s="6">
        <v>2013</v>
      </c>
      <c r="V521" s="6">
        <v>1</v>
      </c>
      <c r="AD521" s="6" t="s">
        <v>45</v>
      </c>
      <c r="AJ521" s="31" t="s">
        <v>2113</v>
      </c>
      <c r="AK521" s="6">
        <v>1</v>
      </c>
      <c r="AL521" s="26">
        <v>1500000</v>
      </c>
      <c r="AM521" s="26">
        <v>1500000</v>
      </c>
      <c r="AN521" s="26">
        <v>1500000</v>
      </c>
      <c r="AO521" s="6" t="s">
        <v>2003</v>
      </c>
      <c r="AQ521" s="6" t="s">
        <v>79</v>
      </c>
      <c r="AU521" s="6">
        <v>225039</v>
      </c>
    </row>
    <row r="522" spans="1:47" x14ac:dyDescent="0.3">
      <c r="A522" s="28" t="s">
        <v>42</v>
      </c>
      <c r="B522" s="6" t="s">
        <v>2174</v>
      </c>
      <c r="C522" s="6" t="s">
        <v>1975</v>
      </c>
      <c r="D522" s="6" t="s">
        <v>2104</v>
      </c>
      <c r="E522" s="6">
        <v>1</v>
      </c>
      <c r="F522" s="6" t="s">
        <v>2004</v>
      </c>
      <c r="G522" s="6" t="s">
        <v>2005</v>
      </c>
      <c r="H522" s="6" t="s">
        <v>2005</v>
      </c>
      <c r="I522" s="6" t="str">
        <f t="shared" si="16"/>
        <v>Side Breaker</v>
      </c>
      <c r="J522" s="6" t="s">
        <v>592</v>
      </c>
      <c r="K522" s="6">
        <v>1</v>
      </c>
      <c r="P522" s="6">
        <f t="shared" si="17"/>
        <v>4700000</v>
      </c>
      <c r="R522" s="6" t="s">
        <v>2003</v>
      </c>
      <c r="T522" s="6" t="s">
        <v>70</v>
      </c>
      <c r="U522" s="6">
        <v>2015</v>
      </c>
      <c r="V522" s="6">
        <v>1</v>
      </c>
      <c r="AD522" s="6" t="s">
        <v>45</v>
      </c>
      <c r="AJ522" s="31" t="s">
        <v>2113</v>
      </c>
      <c r="AK522" s="6">
        <v>1</v>
      </c>
      <c r="AL522" s="26">
        <v>4500000</v>
      </c>
      <c r="AM522" s="26">
        <v>4500000</v>
      </c>
      <c r="AN522" s="26">
        <v>4500000</v>
      </c>
      <c r="AO522" s="6" t="s">
        <v>2003</v>
      </c>
      <c r="AQ522" s="6" t="s">
        <v>71</v>
      </c>
      <c r="AU522" s="6">
        <v>225040</v>
      </c>
    </row>
    <row r="523" spans="1:47" x14ac:dyDescent="0.3">
      <c r="A523" s="28" t="s">
        <v>42</v>
      </c>
      <c r="B523" s="6" t="s">
        <v>2200</v>
      </c>
      <c r="D523" s="6" t="s">
        <v>2105</v>
      </c>
      <c r="E523" s="6">
        <v>1</v>
      </c>
      <c r="F523" s="6" t="s">
        <v>2004</v>
      </c>
      <c r="G523" s="6" t="s">
        <v>2005</v>
      </c>
      <c r="H523" s="6" t="s">
        <v>2005</v>
      </c>
      <c r="I523" s="6" t="str">
        <f t="shared" si="16"/>
        <v>Core Drill</v>
      </c>
      <c r="J523" s="6" t="s">
        <v>603</v>
      </c>
      <c r="K523" s="6">
        <v>1</v>
      </c>
      <c r="P523" s="6">
        <f t="shared" si="17"/>
        <v>7500000</v>
      </c>
      <c r="R523" s="6" t="s">
        <v>2003</v>
      </c>
      <c r="T523" s="6" t="s">
        <v>994</v>
      </c>
      <c r="U523" s="6">
        <v>2010</v>
      </c>
      <c r="V523" s="6">
        <v>6</v>
      </c>
      <c r="AD523" s="6" t="s">
        <v>45</v>
      </c>
      <c r="AJ523" s="31" t="s">
        <v>2122</v>
      </c>
      <c r="AK523" s="6">
        <v>1</v>
      </c>
      <c r="AL523" s="26">
        <v>7000000</v>
      </c>
      <c r="AM523" s="26">
        <v>7000000</v>
      </c>
      <c r="AN523" s="26">
        <v>7000000</v>
      </c>
      <c r="AO523" s="6" t="s">
        <v>2003</v>
      </c>
      <c r="AQ523" s="6" t="s">
        <v>1227</v>
      </c>
      <c r="AU523" s="6">
        <v>225046</v>
      </c>
    </row>
    <row r="524" spans="1:47" x14ac:dyDescent="0.3">
      <c r="A524" s="28" t="s">
        <v>42</v>
      </c>
      <c r="B524" s="6" t="s">
        <v>2184</v>
      </c>
      <c r="C524" s="6" t="s">
        <v>1981</v>
      </c>
      <c r="D524" s="6" t="s">
        <v>2100</v>
      </c>
      <c r="E524" s="6">
        <v>1</v>
      </c>
      <c r="F524" s="6" t="s">
        <v>2004</v>
      </c>
      <c r="G524" s="6" t="s">
        <v>2005</v>
      </c>
      <c r="H524" s="6" t="s">
        <v>2005</v>
      </c>
      <c r="I524" s="6" t="str">
        <f t="shared" si="16"/>
        <v>Orange Grapple</v>
      </c>
      <c r="J524" s="6" t="s">
        <v>330</v>
      </c>
      <c r="K524" s="6">
        <v>1</v>
      </c>
      <c r="P524" s="6">
        <f t="shared" si="17"/>
        <v>1500000</v>
      </c>
      <c r="R524" s="6" t="s">
        <v>2003</v>
      </c>
      <c r="T524" s="6" t="s">
        <v>797</v>
      </c>
      <c r="U524" s="6">
        <v>2015</v>
      </c>
      <c r="V524" s="6">
        <v>7</v>
      </c>
      <c r="AD524" s="6" t="s">
        <v>45</v>
      </c>
      <c r="AJ524" s="31" t="s">
        <v>2120</v>
      </c>
      <c r="AK524" s="6">
        <v>1</v>
      </c>
      <c r="AL524" s="26">
        <v>1400000</v>
      </c>
      <c r="AM524" s="26">
        <v>1400000</v>
      </c>
      <c r="AN524" s="26">
        <v>1400000</v>
      </c>
      <c r="AO524" s="6" t="s">
        <v>2003</v>
      </c>
      <c r="AQ524" s="6" t="s">
        <v>1162</v>
      </c>
      <c r="AU524" s="6">
        <v>225047</v>
      </c>
    </row>
    <row r="525" spans="1:47" x14ac:dyDescent="0.3">
      <c r="A525" s="28" t="s">
        <v>42</v>
      </c>
      <c r="B525" s="6" t="s">
        <v>2182</v>
      </c>
      <c r="C525" s="6" t="s">
        <v>1971</v>
      </c>
      <c r="D525" s="6" t="s">
        <v>2101</v>
      </c>
      <c r="E525" s="6">
        <v>1</v>
      </c>
      <c r="F525" s="6" t="s">
        <v>2004</v>
      </c>
      <c r="G525" s="6" t="s">
        <v>2005</v>
      </c>
      <c r="H525" s="6" t="s">
        <v>2005</v>
      </c>
      <c r="I525" s="6" t="str">
        <f t="shared" si="16"/>
        <v>Special Bucket</v>
      </c>
      <c r="J525" s="6" t="s">
        <v>604</v>
      </c>
      <c r="K525" s="6">
        <v>1</v>
      </c>
      <c r="P525" s="6">
        <f t="shared" si="17"/>
        <v>8000000</v>
      </c>
      <c r="R525" s="6" t="s">
        <v>2003</v>
      </c>
      <c r="T525" s="6" t="s">
        <v>995</v>
      </c>
      <c r="U525" s="6">
        <v>2014</v>
      </c>
      <c r="V525" s="6">
        <v>1</v>
      </c>
      <c r="AD525" s="6" t="s">
        <v>45</v>
      </c>
      <c r="AJ525" s="31" t="s">
        <v>2112</v>
      </c>
      <c r="AK525" s="6">
        <v>1</v>
      </c>
      <c r="AL525" s="26">
        <v>7500000</v>
      </c>
      <c r="AM525" s="26">
        <v>7500000</v>
      </c>
      <c r="AN525" s="26">
        <v>7500000</v>
      </c>
      <c r="AO525" s="6" t="s">
        <v>2003</v>
      </c>
      <c r="AQ525" s="6" t="s">
        <v>1213</v>
      </c>
      <c r="AU525" s="6">
        <v>225048</v>
      </c>
    </row>
    <row r="526" spans="1:47" x14ac:dyDescent="0.3">
      <c r="A526" s="28" t="s">
        <v>42</v>
      </c>
      <c r="B526" s="6" t="s">
        <v>2174</v>
      </c>
      <c r="C526" s="6" t="s">
        <v>1975</v>
      </c>
      <c r="D526" s="6" t="s">
        <v>2105</v>
      </c>
      <c r="E526" s="6">
        <v>1</v>
      </c>
      <c r="F526" s="6" t="s">
        <v>2004</v>
      </c>
      <c r="G526" s="6" t="s">
        <v>2005</v>
      </c>
      <c r="H526" s="6" t="s">
        <v>2005</v>
      </c>
      <c r="I526" s="6" t="str">
        <f t="shared" si="16"/>
        <v>Side Breaker</v>
      </c>
      <c r="J526" s="6" t="s">
        <v>233</v>
      </c>
      <c r="K526" s="6">
        <v>1</v>
      </c>
      <c r="P526" s="6">
        <f t="shared" si="17"/>
        <v>11500000</v>
      </c>
      <c r="R526" s="6" t="s">
        <v>2003</v>
      </c>
      <c r="T526" s="6" t="s">
        <v>1121</v>
      </c>
      <c r="U526" s="6">
        <v>2013</v>
      </c>
      <c r="V526" s="6">
        <v>1</v>
      </c>
      <c r="AD526" s="6" t="s">
        <v>45</v>
      </c>
      <c r="AJ526" s="31" t="s">
        <v>2125</v>
      </c>
      <c r="AK526" s="6">
        <v>1</v>
      </c>
      <c r="AL526" s="26">
        <v>11000000</v>
      </c>
      <c r="AM526" s="26">
        <v>11000000</v>
      </c>
      <c r="AN526" s="26">
        <v>11000000</v>
      </c>
      <c r="AO526" s="6" t="s">
        <v>2003</v>
      </c>
      <c r="AQ526" s="6" t="s">
        <v>1161</v>
      </c>
      <c r="AU526" s="6">
        <v>225049</v>
      </c>
    </row>
    <row r="527" spans="1:47" hidden="1" x14ac:dyDescent="0.3">
      <c r="A527" s="28" t="s">
        <v>42</v>
      </c>
      <c r="B527" s="6" t="s">
        <v>2182</v>
      </c>
      <c r="E527" s="6">
        <v>1</v>
      </c>
      <c r="F527" s="6" t="s">
        <v>2004</v>
      </c>
      <c r="G527" s="6" t="s">
        <v>2005</v>
      </c>
      <c r="H527" s="6" t="s">
        <v>2005</v>
      </c>
      <c r="I527" s="6" t="str">
        <f t="shared" si="16"/>
        <v>Bucket</v>
      </c>
      <c r="J527" s="6" t="s">
        <v>605</v>
      </c>
      <c r="K527" s="6">
        <v>1</v>
      </c>
      <c r="P527" s="6">
        <f t="shared" si="17"/>
        <v>4200000</v>
      </c>
      <c r="R527" s="6" t="s">
        <v>2003</v>
      </c>
      <c r="T527" s="6" t="s">
        <v>796</v>
      </c>
      <c r="U527" s="6">
        <v>2012</v>
      </c>
      <c r="V527" s="6">
        <v>1</v>
      </c>
      <c r="AD527" s="6" t="s">
        <v>45</v>
      </c>
      <c r="AJ527" s="31" t="s">
        <v>2112</v>
      </c>
      <c r="AK527" s="6">
        <v>1</v>
      </c>
      <c r="AL527" s="26">
        <v>4000000</v>
      </c>
      <c r="AM527" s="26">
        <v>4000000</v>
      </c>
      <c r="AN527" s="26">
        <v>4000000</v>
      </c>
      <c r="AO527" s="6" t="s">
        <v>2003</v>
      </c>
      <c r="AQ527" s="6" t="s">
        <v>1213</v>
      </c>
      <c r="AU527" s="6">
        <v>225050</v>
      </c>
    </row>
    <row r="528" spans="1:47" x14ac:dyDescent="0.3">
      <c r="A528" s="28" t="s">
        <v>42</v>
      </c>
      <c r="B528" s="6" t="s">
        <v>2182</v>
      </c>
      <c r="C528" s="19" t="s">
        <v>2210</v>
      </c>
      <c r="D528" s="6" t="s">
        <v>2101</v>
      </c>
      <c r="E528" s="6">
        <v>1</v>
      </c>
      <c r="F528" s="6" t="s">
        <v>2004</v>
      </c>
      <c r="G528" s="6" t="s">
        <v>2005</v>
      </c>
      <c r="H528" s="6" t="s">
        <v>2005</v>
      </c>
      <c r="I528" s="6" t="str">
        <f t="shared" si="16"/>
        <v>Etc Bucket</v>
      </c>
      <c r="J528" s="6" t="s">
        <v>575</v>
      </c>
      <c r="K528" s="6">
        <v>1</v>
      </c>
      <c r="P528" s="6">
        <f t="shared" si="17"/>
        <v>8000000</v>
      </c>
      <c r="R528" s="6" t="s">
        <v>2003</v>
      </c>
      <c r="T528" s="6" t="s">
        <v>796</v>
      </c>
      <c r="U528" s="6">
        <v>2012</v>
      </c>
      <c r="V528" s="6">
        <v>1</v>
      </c>
      <c r="AD528" s="6" t="s">
        <v>45</v>
      </c>
      <c r="AJ528" s="31" t="s">
        <v>2112</v>
      </c>
      <c r="AK528" s="6">
        <v>1</v>
      </c>
      <c r="AL528" s="26">
        <v>7500000</v>
      </c>
      <c r="AM528" s="26">
        <v>7500000</v>
      </c>
      <c r="AN528" s="26">
        <v>7500000</v>
      </c>
      <c r="AO528" s="6" t="s">
        <v>2003</v>
      </c>
      <c r="AQ528" s="6" t="s">
        <v>1213</v>
      </c>
      <c r="AU528" s="6">
        <v>225053</v>
      </c>
    </row>
    <row r="529" spans="1:47" x14ac:dyDescent="0.3">
      <c r="A529" s="28" t="s">
        <v>42</v>
      </c>
      <c r="B529" s="6" t="s">
        <v>2174</v>
      </c>
      <c r="C529" s="6" t="s">
        <v>1975</v>
      </c>
      <c r="D529" s="6" t="s">
        <v>2105</v>
      </c>
      <c r="E529" s="6">
        <v>1</v>
      </c>
      <c r="F529" s="6" t="s">
        <v>2004</v>
      </c>
      <c r="G529" s="6" t="s">
        <v>2005</v>
      </c>
      <c r="H529" s="6" t="s">
        <v>2005</v>
      </c>
      <c r="I529" s="6" t="str">
        <f t="shared" si="16"/>
        <v>Side Breaker</v>
      </c>
      <c r="J529" s="6" t="s">
        <v>483</v>
      </c>
      <c r="K529" s="6">
        <v>1</v>
      </c>
      <c r="P529" s="6">
        <f t="shared" si="17"/>
        <v>6500000</v>
      </c>
      <c r="R529" s="6" t="s">
        <v>2003</v>
      </c>
      <c r="T529" s="6" t="s">
        <v>822</v>
      </c>
      <c r="U529" s="6">
        <v>2013</v>
      </c>
      <c r="V529" s="6">
        <v>7</v>
      </c>
      <c r="AD529" s="6" t="s">
        <v>45</v>
      </c>
      <c r="AJ529" s="31" t="s">
        <v>2123</v>
      </c>
      <c r="AK529" s="6">
        <v>1</v>
      </c>
      <c r="AL529" s="26">
        <v>6000000</v>
      </c>
      <c r="AM529" s="26">
        <v>6000000</v>
      </c>
      <c r="AN529" s="26">
        <v>6000000</v>
      </c>
      <c r="AO529" s="6" t="s">
        <v>2003</v>
      </c>
      <c r="AQ529" s="6" t="s">
        <v>92</v>
      </c>
      <c r="AU529" s="6">
        <v>225055</v>
      </c>
    </row>
    <row r="530" spans="1:47" x14ac:dyDescent="0.3">
      <c r="A530" s="28" t="s">
        <v>42</v>
      </c>
      <c r="B530" s="6" t="s">
        <v>2182</v>
      </c>
      <c r="C530" s="19" t="s">
        <v>2210</v>
      </c>
      <c r="D530" s="6" t="s">
        <v>2104</v>
      </c>
      <c r="E530" s="6">
        <v>1</v>
      </c>
      <c r="F530" s="6" t="s">
        <v>2004</v>
      </c>
      <c r="G530" s="6" t="s">
        <v>2005</v>
      </c>
      <c r="H530" s="6" t="s">
        <v>2005</v>
      </c>
      <c r="I530" s="6" t="str">
        <f t="shared" si="16"/>
        <v>Etc Bucket</v>
      </c>
      <c r="J530" s="6" t="s">
        <v>308</v>
      </c>
      <c r="K530" s="6">
        <v>1</v>
      </c>
      <c r="P530" s="6">
        <f t="shared" si="17"/>
        <v>1100000</v>
      </c>
      <c r="R530" s="6" t="s">
        <v>2003</v>
      </c>
      <c r="T530" s="6" t="s">
        <v>2057</v>
      </c>
      <c r="U530" s="6">
        <v>2017</v>
      </c>
      <c r="V530" s="6">
        <v>2</v>
      </c>
      <c r="AD530" s="6" t="s">
        <v>45</v>
      </c>
      <c r="AJ530" s="31" t="s">
        <v>2124</v>
      </c>
      <c r="AK530" s="6">
        <v>1</v>
      </c>
      <c r="AL530" s="26">
        <v>1000000</v>
      </c>
      <c r="AM530" s="26">
        <v>1000000</v>
      </c>
      <c r="AN530" s="26">
        <v>1000000</v>
      </c>
      <c r="AO530" s="6" t="s">
        <v>2003</v>
      </c>
      <c r="AQ530" s="6" t="s">
        <v>1144</v>
      </c>
      <c r="AU530" s="6">
        <v>225058</v>
      </c>
    </row>
    <row r="531" spans="1:47" x14ac:dyDescent="0.3">
      <c r="A531" s="28" t="s">
        <v>42</v>
      </c>
      <c r="B531" s="6" t="s">
        <v>2184</v>
      </c>
      <c r="C531" s="6" t="s">
        <v>1984</v>
      </c>
      <c r="D531" s="6" t="s">
        <v>2103</v>
      </c>
      <c r="E531" s="6">
        <v>1</v>
      </c>
      <c r="F531" s="6" t="s">
        <v>2004</v>
      </c>
      <c r="G531" s="6" t="s">
        <v>2005</v>
      </c>
      <c r="H531" s="6" t="s">
        <v>2005</v>
      </c>
      <c r="I531" s="6" t="str">
        <f t="shared" si="16"/>
        <v>Scrap Grapple</v>
      </c>
      <c r="J531" s="6" t="s">
        <v>221</v>
      </c>
      <c r="K531" s="6">
        <v>1</v>
      </c>
      <c r="P531" s="6">
        <f t="shared" si="17"/>
        <v>2700000</v>
      </c>
      <c r="R531" s="6" t="s">
        <v>2003</v>
      </c>
      <c r="T531" s="6">
        <v>1</v>
      </c>
      <c r="U531" s="6">
        <v>2014</v>
      </c>
      <c r="V531" s="6">
        <v>1</v>
      </c>
      <c r="AD531" s="6" t="s">
        <v>45</v>
      </c>
      <c r="AJ531" s="31" t="s">
        <v>2116</v>
      </c>
      <c r="AK531" s="6">
        <v>1</v>
      </c>
      <c r="AL531" s="26">
        <v>2500000</v>
      </c>
      <c r="AM531" s="26">
        <v>2500000</v>
      </c>
      <c r="AN531" s="26">
        <v>2500000</v>
      </c>
      <c r="AO531" s="6" t="s">
        <v>2003</v>
      </c>
      <c r="AQ531" s="6" t="s">
        <v>1185</v>
      </c>
      <c r="AU531" s="6">
        <v>225060</v>
      </c>
    </row>
    <row r="532" spans="1:47" x14ac:dyDescent="0.3">
      <c r="A532" s="28" t="s">
        <v>42</v>
      </c>
      <c r="B532" s="6" t="s">
        <v>2184</v>
      </c>
      <c r="C532" s="6" t="s">
        <v>1984</v>
      </c>
      <c r="D532" s="6" t="s">
        <v>2104</v>
      </c>
      <c r="E532" s="6">
        <v>1</v>
      </c>
      <c r="F532" s="6" t="s">
        <v>2004</v>
      </c>
      <c r="G532" s="6" t="s">
        <v>2005</v>
      </c>
      <c r="H532" s="6" t="s">
        <v>2005</v>
      </c>
      <c r="I532" s="6" t="str">
        <f t="shared" si="16"/>
        <v>Scrap Grapple</v>
      </c>
      <c r="J532" s="6" t="s">
        <v>337</v>
      </c>
      <c r="K532" s="6">
        <v>1</v>
      </c>
      <c r="P532" s="6">
        <f t="shared" si="17"/>
        <v>2400000</v>
      </c>
      <c r="R532" s="6" t="s">
        <v>2003</v>
      </c>
      <c r="T532" s="6">
        <v>1</v>
      </c>
      <c r="U532" s="6">
        <v>2014</v>
      </c>
      <c r="V532" s="6">
        <v>1</v>
      </c>
      <c r="AD532" s="6" t="s">
        <v>45</v>
      </c>
      <c r="AJ532" s="31" t="s">
        <v>2116</v>
      </c>
      <c r="AK532" s="6">
        <v>1</v>
      </c>
      <c r="AL532" s="26">
        <v>2200000</v>
      </c>
      <c r="AM532" s="26">
        <v>2200000</v>
      </c>
      <c r="AN532" s="26">
        <v>2200000</v>
      </c>
      <c r="AO532" s="6" t="s">
        <v>2003</v>
      </c>
      <c r="AQ532" s="6" t="s">
        <v>1185</v>
      </c>
      <c r="AU532" s="6">
        <v>225065</v>
      </c>
    </row>
    <row r="533" spans="1:47" x14ac:dyDescent="0.3">
      <c r="A533" s="28" t="s">
        <v>42</v>
      </c>
      <c r="B533" s="6" t="s">
        <v>2174</v>
      </c>
      <c r="C533" s="6" t="s">
        <v>1975</v>
      </c>
      <c r="D533" s="6" t="s">
        <v>2105</v>
      </c>
      <c r="E533" s="6">
        <v>1</v>
      </c>
      <c r="F533" s="6" t="s">
        <v>2004</v>
      </c>
      <c r="G533" s="6" t="s">
        <v>2005</v>
      </c>
      <c r="H533" s="6" t="s">
        <v>2005</v>
      </c>
      <c r="I533" s="6" t="str">
        <f t="shared" si="16"/>
        <v>Side Breaker</v>
      </c>
      <c r="J533" s="6" t="s">
        <v>150</v>
      </c>
      <c r="K533" s="6">
        <v>1</v>
      </c>
      <c r="P533" s="6">
        <f t="shared" si="17"/>
        <v>6000000</v>
      </c>
      <c r="R533" s="6" t="s">
        <v>2003</v>
      </c>
      <c r="T533" s="6" t="s">
        <v>996</v>
      </c>
      <c r="U533" s="6">
        <v>2005</v>
      </c>
      <c r="V533" s="6">
        <v>1</v>
      </c>
      <c r="AD533" s="6" t="s">
        <v>45</v>
      </c>
      <c r="AJ533" s="31" t="s">
        <v>2114</v>
      </c>
      <c r="AK533" s="6">
        <v>1</v>
      </c>
      <c r="AL533" s="26">
        <v>5500000</v>
      </c>
      <c r="AM533" s="26">
        <v>5500000</v>
      </c>
      <c r="AN533" s="26">
        <v>5500000</v>
      </c>
      <c r="AO533" s="6" t="s">
        <v>2003</v>
      </c>
      <c r="AQ533" s="6" t="s">
        <v>830</v>
      </c>
      <c r="AU533" s="6">
        <v>225066</v>
      </c>
    </row>
    <row r="534" spans="1:47" hidden="1" x14ac:dyDescent="0.3">
      <c r="A534" s="28" t="s">
        <v>42</v>
      </c>
      <c r="B534" s="6" t="s">
        <v>2182</v>
      </c>
      <c r="C534" s="6" t="s">
        <v>1980</v>
      </c>
      <c r="E534" s="6">
        <v>1</v>
      </c>
      <c r="F534" s="6" t="s">
        <v>2004</v>
      </c>
      <c r="G534" s="6" t="s">
        <v>2005</v>
      </c>
      <c r="H534" s="6" t="s">
        <v>2005</v>
      </c>
      <c r="I534" s="6" t="str">
        <f t="shared" si="16"/>
        <v>Small Bucket</v>
      </c>
      <c r="J534" s="6" t="s">
        <v>606</v>
      </c>
      <c r="K534" s="6">
        <v>1</v>
      </c>
      <c r="P534" s="6">
        <f t="shared" si="17"/>
        <v>320000</v>
      </c>
      <c r="R534" s="6" t="s">
        <v>2003</v>
      </c>
      <c r="T534" s="6" t="s">
        <v>807</v>
      </c>
      <c r="U534" s="6">
        <v>2013</v>
      </c>
      <c r="V534" s="6">
        <v>1</v>
      </c>
      <c r="AD534" s="6" t="s">
        <v>45</v>
      </c>
      <c r="AJ534" s="31" t="s">
        <v>2110</v>
      </c>
      <c r="AK534" s="6">
        <v>1</v>
      </c>
      <c r="AL534" s="26">
        <v>270000</v>
      </c>
      <c r="AM534" s="26">
        <v>270000</v>
      </c>
      <c r="AN534" s="26">
        <v>270000</v>
      </c>
      <c r="AO534" s="6" t="s">
        <v>2003</v>
      </c>
      <c r="AQ534" s="6" t="s">
        <v>1186</v>
      </c>
      <c r="AU534" s="6">
        <v>225069</v>
      </c>
    </row>
    <row r="535" spans="1:47" x14ac:dyDescent="0.3">
      <c r="A535" s="28" t="s">
        <v>42</v>
      </c>
      <c r="B535" s="6" t="s">
        <v>2184</v>
      </c>
      <c r="C535" s="6" t="s">
        <v>1984</v>
      </c>
      <c r="D535" s="6" t="s">
        <v>2100</v>
      </c>
      <c r="E535" s="6">
        <v>1</v>
      </c>
      <c r="F535" s="6" t="s">
        <v>2004</v>
      </c>
      <c r="G535" s="6" t="s">
        <v>2005</v>
      </c>
      <c r="H535" s="6" t="s">
        <v>2005</v>
      </c>
      <c r="I535" s="6" t="str">
        <f t="shared" si="16"/>
        <v>Scrap Grapple</v>
      </c>
      <c r="J535" s="6" t="s">
        <v>607</v>
      </c>
      <c r="K535" s="6">
        <v>1</v>
      </c>
      <c r="P535" s="6">
        <f t="shared" si="17"/>
        <v>1300000</v>
      </c>
      <c r="R535" s="6" t="s">
        <v>2003</v>
      </c>
      <c r="T535" s="6">
        <v>1</v>
      </c>
      <c r="U535" s="6">
        <v>2014</v>
      </c>
      <c r="V535" s="6">
        <v>1</v>
      </c>
      <c r="AD535" s="6" t="s">
        <v>45</v>
      </c>
      <c r="AJ535" s="31" t="s">
        <v>2116</v>
      </c>
      <c r="AK535" s="6">
        <v>1</v>
      </c>
      <c r="AL535" s="26">
        <v>1200000</v>
      </c>
      <c r="AM535" s="26">
        <v>1200000</v>
      </c>
      <c r="AN535" s="26">
        <v>1200000</v>
      </c>
      <c r="AO535" s="6" t="s">
        <v>2003</v>
      </c>
      <c r="AQ535" s="6" t="s">
        <v>1185</v>
      </c>
      <c r="AU535" s="6">
        <v>225073</v>
      </c>
    </row>
    <row r="536" spans="1:47" x14ac:dyDescent="0.3">
      <c r="A536" s="28" t="s">
        <v>42</v>
      </c>
      <c r="B536" s="6" t="s">
        <v>2184</v>
      </c>
      <c r="C536" s="6" t="s">
        <v>1972</v>
      </c>
      <c r="D536" s="6" t="s">
        <v>2103</v>
      </c>
      <c r="E536" s="6">
        <v>1</v>
      </c>
      <c r="F536" s="6" t="s">
        <v>2004</v>
      </c>
      <c r="G536" s="6" t="s">
        <v>2005</v>
      </c>
      <c r="H536" s="6" t="s">
        <v>2005</v>
      </c>
      <c r="I536" s="6" t="str">
        <f t="shared" si="16"/>
        <v>Stone Grapple</v>
      </c>
      <c r="J536" s="6" t="s">
        <v>608</v>
      </c>
      <c r="K536" s="6">
        <v>1</v>
      </c>
      <c r="P536" s="6">
        <f t="shared" si="17"/>
        <v>3400000</v>
      </c>
      <c r="R536" s="6" t="s">
        <v>2003</v>
      </c>
      <c r="T536" s="6" t="s">
        <v>813</v>
      </c>
      <c r="U536" s="6">
        <v>2013</v>
      </c>
      <c r="V536" s="6">
        <v>1</v>
      </c>
      <c r="AD536" s="6" t="s">
        <v>45</v>
      </c>
      <c r="AJ536" s="31" t="s">
        <v>2113</v>
      </c>
      <c r="AK536" s="6">
        <v>1</v>
      </c>
      <c r="AL536" s="26">
        <v>3200000</v>
      </c>
      <c r="AM536" s="26">
        <v>3200000</v>
      </c>
      <c r="AN536" s="26">
        <v>3200000</v>
      </c>
      <c r="AO536" s="6" t="s">
        <v>2003</v>
      </c>
      <c r="AQ536" s="6" t="s">
        <v>80</v>
      </c>
      <c r="AU536" s="6">
        <v>225076</v>
      </c>
    </row>
    <row r="537" spans="1:47" x14ac:dyDescent="0.3">
      <c r="A537" s="28" t="s">
        <v>42</v>
      </c>
      <c r="B537" s="6" t="s">
        <v>2175</v>
      </c>
      <c r="C537" s="19" t="s">
        <v>2207</v>
      </c>
      <c r="D537" s="6" t="s">
        <v>2104</v>
      </c>
      <c r="E537" s="6">
        <v>1</v>
      </c>
      <c r="F537" s="6" t="s">
        <v>2004</v>
      </c>
      <c r="G537" s="6" t="s">
        <v>2005</v>
      </c>
      <c r="H537" s="6" t="s">
        <v>2005</v>
      </c>
      <c r="I537" s="6" t="str">
        <f t="shared" si="16"/>
        <v>Hydraulic Crusher</v>
      </c>
      <c r="J537" s="6" t="s">
        <v>283</v>
      </c>
      <c r="K537" s="6">
        <v>1</v>
      </c>
      <c r="P537" s="6">
        <f t="shared" si="17"/>
        <v>11500000</v>
      </c>
      <c r="R537" s="6" t="s">
        <v>2003</v>
      </c>
      <c r="T537" s="6" t="s">
        <v>2007</v>
      </c>
      <c r="U537" s="6">
        <v>2015</v>
      </c>
      <c r="V537" s="6">
        <v>1</v>
      </c>
      <c r="AD537" s="6" t="s">
        <v>45</v>
      </c>
      <c r="AJ537" s="31" t="s">
        <v>2113</v>
      </c>
      <c r="AK537" s="6">
        <v>1</v>
      </c>
      <c r="AL537" s="26">
        <v>11000000</v>
      </c>
      <c r="AM537" s="26">
        <v>11000000</v>
      </c>
      <c r="AN537" s="26">
        <v>11000000</v>
      </c>
      <c r="AO537" s="6" t="s">
        <v>2003</v>
      </c>
      <c r="AQ537" s="6" t="s">
        <v>49</v>
      </c>
      <c r="AU537" s="6">
        <v>225080</v>
      </c>
    </row>
    <row r="538" spans="1:47" x14ac:dyDescent="0.3">
      <c r="A538" s="28" t="s">
        <v>42</v>
      </c>
      <c r="B538" s="6" t="s">
        <v>2177</v>
      </c>
      <c r="C538" s="19" t="s">
        <v>2206</v>
      </c>
      <c r="D538" s="6" t="s">
        <v>2002</v>
      </c>
      <c r="E538" s="6">
        <v>1</v>
      </c>
      <c r="F538" s="6" t="s">
        <v>2004</v>
      </c>
      <c r="G538" s="6" t="s">
        <v>2005</v>
      </c>
      <c r="H538" s="6" t="s">
        <v>2005</v>
      </c>
      <c r="I538" s="6" t="str">
        <f t="shared" si="16"/>
        <v>Etc Grapple</v>
      </c>
      <c r="J538" s="6" t="s">
        <v>374</v>
      </c>
      <c r="K538" s="6">
        <v>1</v>
      </c>
      <c r="P538" s="6">
        <f t="shared" si="17"/>
        <v>2250000</v>
      </c>
      <c r="R538" s="6" t="s">
        <v>2003</v>
      </c>
      <c r="T538" s="6" t="s">
        <v>2007</v>
      </c>
      <c r="U538" s="6">
        <v>2016</v>
      </c>
      <c r="V538" s="6">
        <v>1</v>
      </c>
      <c r="AD538" s="6" t="s">
        <v>45</v>
      </c>
      <c r="AJ538" s="31" t="s">
        <v>2113</v>
      </c>
      <c r="AK538" s="6">
        <v>1</v>
      </c>
      <c r="AL538" s="26">
        <v>2050000</v>
      </c>
      <c r="AM538" s="26">
        <v>2050000</v>
      </c>
      <c r="AN538" s="26">
        <v>2050000</v>
      </c>
      <c r="AO538" s="6" t="s">
        <v>2003</v>
      </c>
      <c r="AQ538" s="6" t="s">
        <v>49</v>
      </c>
      <c r="AU538" s="6">
        <v>225081</v>
      </c>
    </row>
    <row r="539" spans="1:47" x14ac:dyDescent="0.3">
      <c r="A539" s="28" t="s">
        <v>42</v>
      </c>
      <c r="B539" s="6" t="s">
        <v>2187</v>
      </c>
      <c r="C539" s="6" t="s">
        <v>1972</v>
      </c>
      <c r="D539" s="6" t="s">
        <v>2104</v>
      </c>
      <c r="E539" s="6">
        <v>1</v>
      </c>
      <c r="F539" s="6" t="s">
        <v>2004</v>
      </c>
      <c r="G539" s="6" t="s">
        <v>2005</v>
      </c>
      <c r="H539" s="6" t="s">
        <v>2005</v>
      </c>
      <c r="I539" s="6" t="str">
        <f t="shared" si="16"/>
        <v>Stone Grapple</v>
      </c>
      <c r="J539" s="6" t="s">
        <v>197</v>
      </c>
      <c r="K539" s="6">
        <v>1</v>
      </c>
      <c r="P539" s="6">
        <f t="shared" si="17"/>
        <v>2300000</v>
      </c>
      <c r="R539" s="6" t="s">
        <v>2003</v>
      </c>
      <c r="T539" s="6" t="s">
        <v>2007</v>
      </c>
      <c r="U539" s="6">
        <v>2014</v>
      </c>
      <c r="V539" s="6">
        <v>1</v>
      </c>
      <c r="AD539" s="6" t="s">
        <v>45</v>
      </c>
      <c r="AJ539" s="31" t="s">
        <v>2113</v>
      </c>
      <c r="AK539" s="6">
        <v>1</v>
      </c>
      <c r="AL539" s="26">
        <v>2100000</v>
      </c>
      <c r="AM539" s="26">
        <v>2100000</v>
      </c>
      <c r="AN539" s="26">
        <v>2100000</v>
      </c>
      <c r="AO539" s="6" t="s">
        <v>2003</v>
      </c>
      <c r="AQ539" s="6" t="s">
        <v>49</v>
      </c>
      <c r="AU539" s="6">
        <v>225086</v>
      </c>
    </row>
    <row r="540" spans="1:47" x14ac:dyDescent="0.3">
      <c r="A540" s="28" t="s">
        <v>42</v>
      </c>
      <c r="B540" s="6" t="s">
        <v>2187</v>
      </c>
      <c r="C540" s="19" t="s">
        <v>2206</v>
      </c>
      <c r="D540" s="6" t="s">
        <v>2002</v>
      </c>
      <c r="E540" s="6">
        <v>1</v>
      </c>
      <c r="F540" s="6" t="s">
        <v>2004</v>
      </c>
      <c r="G540" s="6" t="s">
        <v>2005</v>
      </c>
      <c r="H540" s="6" t="s">
        <v>2005</v>
      </c>
      <c r="I540" s="6" t="str">
        <f t="shared" si="16"/>
        <v>Etc Grapple</v>
      </c>
      <c r="J540" s="6" t="s">
        <v>609</v>
      </c>
      <c r="K540" s="6">
        <v>1</v>
      </c>
      <c r="P540" s="6">
        <f t="shared" si="17"/>
        <v>1950000</v>
      </c>
      <c r="R540" s="6" t="s">
        <v>2003</v>
      </c>
      <c r="T540" s="6" t="s">
        <v>2007</v>
      </c>
      <c r="U540" s="6">
        <v>2014</v>
      </c>
      <c r="V540" s="6">
        <v>1</v>
      </c>
      <c r="AD540" s="6" t="s">
        <v>45</v>
      </c>
      <c r="AJ540" s="31" t="s">
        <v>2113</v>
      </c>
      <c r="AK540" s="6">
        <v>1</v>
      </c>
      <c r="AL540" s="26">
        <v>1850000</v>
      </c>
      <c r="AM540" s="26">
        <v>1850000</v>
      </c>
      <c r="AN540" s="26">
        <v>1850000</v>
      </c>
      <c r="AO540" s="6" t="s">
        <v>2003</v>
      </c>
      <c r="AQ540" s="6" t="s">
        <v>49</v>
      </c>
      <c r="AU540" s="6">
        <v>225089</v>
      </c>
    </row>
    <row r="541" spans="1:47" x14ac:dyDescent="0.3">
      <c r="A541" s="28" t="s">
        <v>42</v>
      </c>
      <c r="B541" s="6" t="s">
        <v>2193</v>
      </c>
      <c r="D541" s="6" t="s">
        <v>2105</v>
      </c>
      <c r="E541" s="6">
        <v>1</v>
      </c>
      <c r="F541" s="6" t="s">
        <v>2004</v>
      </c>
      <c r="G541" s="6" t="s">
        <v>2005</v>
      </c>
      <c r="H541" s="6" t="s">
        <v>2005</v>
      </c>
      <c r="I541" s="6" t="str">
        <f t="shared" si="16"/>
        <v>Ripper</v>
      </c>
      <c r="J541" s="6" t="s">
        <v>189</v>
      </c>
      <c r="K541" s="6">
        <v>1</v>
      </c>
      <c r="P541" s="6">
        <f t="shared" si="17"/>
        <v>27500000</v>
      </c>
      <c r="R541" s="6" t="s">
        <v>2003</v>
      </c>
      <c r="T541" s="6" t="s">
        <v>997</v>
      </c>
      <c r="U541" s="6">
        <v>2015</v>
      </c>
      <c r="V541" s="6">
        <v>7</v>
      </c>
      <c r="AD541" s="6" t="s">
        <v>45</v>
      </c>
      <c r="AJ541" s="31" t="s">
        <v>2111</v>
      </c>
      <c r="AK541" s="6">
        <v>1</v>
      </c>
      <c r="AL541" s="26">
        <v>27000000</v>
      </c>
      <c r="AM541" s="26">
        <v>27000000</v>
      </c>
      <c r="AN541" s="26">
        <v>27000000</v>
      </c>
      <c r="AO541" s="6" t="s">
        <v>2003</v>
      </c>
      <c r="AQ541" s="6" t="s">
        <v>1177</v>
      </c>
      <c r="AU541" s="6">
        <v>225094</v>
      </c>
    </row>
    <row r="542" spans="1:47" x14ac:dyDescent="0.3">
      <c r="A542" s="28" t="s">
        <v>42</v>
      </c>
      <c r="B542" s="6" t="s">
        <v>2184</v>
      </c>
      <c r="C542" s="6" t="s">
        <v>1985</v>
      </c>
      <c r="D542" s="6" t="s">
        <v>2104</v>
      </c>
      <c r="E542" s="6">
        <v>1</v>
      </c>
      <c r="F542" s="6" t="s">
        <v>2004</v>
      </c>
      <c r="G542" s="6" t="s">
        <v>2005</v>
      </c>
      <c r="H542" s="6" t="s">
        <v>2005</v>
      </c>
      <c r="I542" s="6" t="str">
        <f t="shared" si="16"/>
        <v>Multi Grapple</v>
      </c>
      <c r="J542" s="6" t="s">
        <v>296</v>
      </c>
      <c r="K542" s="6">
        <v>1</v>
      </c>
      <c r="P542" s="6">
        <f t="shared" si="17"/>
        <v>2900000</v>
      </c>
      <c r="R542" s="6" t="s">
        <v>2003</v>
      </c>
      <c r="T542" s="6" t="s">
        <v>813</v>
      </c>
      <c r="U542" s="6">
        <v>2014</v>
      </c>
      <c r="V542" s="6">
        <v>1</v>
      </c>
      <c r="AD542" s="6" t="s">
        <v>45</v>
      </c>
      <c r="AJ542" s="31" t="s">
        <v>2113</v>
      </c>
      <c r="AK542" s="6">
        <v>1</v>
      </c>
      <c r="AL542" s="26">
        <v>2700000</v>
      </c>
      <c r="AM542" s="26">
        <v>2700000</v>
      </c>
      <c r="AN542" s="26">
        <v>2700000</v>
      </c>
      <c r="AO542" s="6" t="s">
        <v>2003</v>
      </c>
      <c r="AQ542" s="6" t="s">
        <v>80</v>
      </c>
      <c r="AU542" s="6">
        <v>225098</v>
      </c>
    </row>
    <row r="543" spans="1:47" hidden="1" x14ac:dyDescent="0.3">
      <c r="A543" s="28" t="s">
        <v>42</v>
      </c>
      <c r="B543" s="6" t="s">
        <v>2174</v>
      </c>
      <c r="C543" s="6" t="s">
        <v>1975</v>
      </c>
      <c r="E543" s="6">
        <v>1</v>
      </c>
      <c r="F543" s="6" t="s">
        <v>2004</v>
      </c>
      <c r="G543" s="6" t="s">
        <v>2005</v>
      </c>
      <c r="H543" s="6" t="s">
        <v>2005</v>
      </c>
      <c r="I543" s="6" t="str">
        <f t="shared" si="16"/>
        <v>Side Breaker</v>
      </c>
      <c r="J543" s="6" t="s">
        <v>610</v>
      </c>
      <c r="K543" s="6">
        <v>1</v>
      </c>
      <c r="P543" s="6">
        <f t="shared" si="17"/>
        <v>11500000</v>
      </c>
      <c r="R543" s="6" t="s">
        <v>2003</v>
      </c>
      <c r="T543" s="6" t="s">
        <v>998</v>
      </c>
      <c r="U543" s="6">
        <v>2016</v>
      </c>
      <c r="V543" s="6">
        <v>8</v>
      </c>
      <c r="AD543" s="6" t="s">
        <v>45</v>
      </c>
      <c r="AJ543" s="31" t="s">
        <v>2121</v>
      </c>
      <c r="AK543" s="6">
        <v>1</v>
      </c>
      <c r="AL543" s="26">
        <v>11000000</v>
      </c>
      <c r="AM543" s="26">
        <v>11000000</v>
      </c>
      <c r="AN543" s="26">
        <v>11000000</v>
      </c>
      <c r="AO543" s="6" t="s">
        <v>2003</v>
      </c>
      <c r="AQ543" s="6" t="s">
        <v>1265</v>
      </c>
      <c r="AU543" s="6">
        <v>225104</v>
      </c>
    </row>
    <row r="544" spans="1:47" x14ac:dyDescent="0.3">
      <c r="A544" s="28" t="s">
        <v>42</v>
      </c>
      <c r="B544" s="6" t="s">
        <v>2184</v>
      </c>
      <c r="C544" s="6" t="s">
        <v>1972</v>
      </c>
      <c r="D544" s="6" t="s">
        <v>2104</v>
      </c>
      <c r="E544" s="6">
        <v>1</v>
      </c>
      <c r="F544" s="6" t="s">
        <v>2004</v>
      </c>
      <c r="G544" s="6" t="s">
        <v>2005</v>
      </c>
      <c r="H544" s="6" t="s">
        <v>2005</v>
      </c>
      <c r="I544" s="6" t="str">
        <f t="shared" si="16"/>
        <v>Stone Grapple</v>
      </c>
      <c r="J544" s="6" t="s">
        <v>232</v>
      </c>
      <c r="K544" s="6">
        <v>1</v>
      </c>
      <c r="P544" s="6">
        <f t="shared" si="17"/>
        <v>1900000</v>
      </c>
      <c r="R544" s="6" t="s">
        <v>2003</v>
      </c>
      <c r="T544" s="6" t="s">
        <v>2007</v>
      </c>
      <c r="U544" s="6">
        <v>2010</v>
      </c>
      <c r="V544" s="6">
        <v>1</v>
      </c>
      <c r="AD544" s="6" t="s">
        <v>45</v>
      </c>
      <c r="AJ544" s="31" t="s">
        <v>2113</v>
      </c>
      <c r="AK544" s="6">
        <v>1</v>
      </c>
      <c r="AL544" s="26">
        <v>1800000</v>
      </c>
      <c r="AM544" s="26">
        <v>1800000</v>
      </c>
      <c r="AN544" s="26">
        <v>1800000</v>
      </c>
      <c r="AO544" s="6" t="s">
        <v>2003</v>
      </c>
      <c r="AQ544" s="6" t="s">
        <v>49</v>
      </c>
      <c r="AU544" s="6">
        <v>225112</v>
      </c>
    </row>
    <row r="545" spans="1:47" x14ac:dyDescent="0.3">
      <c r="A545" s="28" t="s">
        <v>42</v>
      </c>
      <c r="B545" s="6" t="s">
        <v>2184</v>
      </c>
      <c r="C545" s="6" t="s">
        <v>1972</v>
      </c>
      <c r="D545" s="6" t="s">
        <v>2105</v>
      </c>
      <c r="E545" s="6">
        <v>1</v>
      </c>
      <c r="F545" s="6" t="s">
        <v>2004</v>
      </c>
      <c r="G545" s="6" t="s">
        <v>2005</v>
      </c>
      <c r="H545" s="6" t="s">
        <v>2005</v>
      </c>
      <c r="I545" s="6" t="str">
        <f t="shared" si="16"/>
        <v>Stone Grapple</v>
      </c>
      <c r="J545" s="6" t="s">
        <v>611</v>
      </c>
      <c r="K545" s="6">
        <v>1</v>
      </c>
      <c r="P545" s="6">
        <f t="shared" si="17"/>
        <v>6800000</v>
      </c>
      <c r="R545" s="6" t="s">
        <v>2003</v>
      </c>
      <c r="T545" s="6" t="s">
        <v>2058</v>
      </c>
      <c r="U545" s="6">
        <v>2017</v>
      </c>
      <c r="V545" s="6">
        <v>1</v>
      </c>
      <c r="AD545" s="6" t="s">
        <v>45</v>
      </c>
      <c r="AJ545" s="31" t="s">
        <v>2110</v>
      </c>
      <c r="AK545" s="6">
        <v>1</v>
      </c>
      <c r="AL545" s="26">
        <v>6300000</v>
      </c>
      <c r="AM545" s="26">
        <v>6300000</v>
      </c>
      <c r="AN545" s="26">
        <v>6300000</v>
      </c>
      <c r="AO545" s="6" t="s">
        <v>2003</v>
      </c>
      <c r="AQ545" s="6" t="s">
        <v>1155</v>
      </c>
      <c r="AU545" s="6">
        <v>225116</v>
      </c>
    </row>
    <row r="546" spans="1:47" x14ac:dyDescent="0.3">
      <c r="A546" s="28" t="s">
        <v>42</v>
      </c>
      <c r="B546" s="6" t="s">
        <v>2199</v>
      </c>
      <c r="D546" s="6" t="s">
        <v>2104</v>
      </c>
      <c r="E546" s="6">
        <v>1</v>
      </c>
      <c r="F546" s="6" t="s">
        <v>2004</v>
      </c>
      <c r="G546" s="6" t="s">
        <v>2005</v>
      </c>
      <c r="H546" s="6" t="s">
        <v>2005</v>
      </c>
      <c r="I546" s="6" t="str">
        <f t="shared" si="16"/>
        <v>Quick Coupler</v>
      </c>
      <c r="J546" s="6" t="s">
        <v>147</v>
      </c>
      <c r="K546" s="6">
        <v>1</v>
      </c>
      <c r="P546" s="6">
        <f t="shared" si="17"/>
        <v>800000</v>
      </c>
      <c r="R546" s="6" t="s">
        <v>2003</v>
      </c>
      <c r="T546" s="6" t="s">
        <v>813</v>
      </c>
      <c r="U546" s="6">
        <v>2013</v>
      </c>
      <c r="V546" s="6">
        <v>1</v>
      </c>
      <c r="AD546" s="6" t="s">
        <v>45</v>
      </c>
      <c r="AJ546" s="31" t="s">
        <v>2113</v>
      </c>
      <c r="AK546" s="6">
        <v>1</v>
      </c>
      <c r="AL546" s="26">
        <v>700000</v>
      </c>
      <c r="AM546" s="26">
        <v>700000</v>
      </c>
      <c r="AN546" s="26">
        <v>700000</v>
      </c>
      <c r="AO546" s="6" t="s">
        <v>2003</v>
      </c>
      <c r="AQ546" s="6" t="s">
        <v>80</v>
      </c>
      <c r="AU546" s="6">
        <v>225121</v>
      </c>
    </row>
    <row r="547" spans="1:47" x14ac:dyDescent="0.3">
      <c r="A547" s="28" t="s">
        <v>42</v>
      </c>
      <c r="B547" s="6" t="s">
        <v>2199</v>
      </c>
      <c r="D547" s="6" t="s">
        <v>2105</v>
      </c>
      <c r="E547" s="6">
        <v>1</v>
      </c>
      <c r="F547" s="6" t="s">
        <v>2004</v>
      </c>
      <c r="G547" s="6" t="s">
        <v>2005</v>
      </c>
      <c r="H547" s="6" t="s">
        <v>2005</v>
      </c>
      <c r="I547" s="6" t="str">
        <f t="shared" si="16"/>
        <v>Quick Coupler</v>
      </c>
      <c r="J547" s="6" t="s">
        <v>95</v>
      </c>
      <c r="K547" s="6">
        <v>1</v>
      </c>
      <c r="P547" s="6">
        <f t="shared" si="17"/>
        <v>1400000</v>
      </c>
      <c r="R547" s="6" t="s">
        <v>2003</v>
      </c>
      <c r="T547" s="6" t="s">
        <v>1867</v>
      </c>
      <c r="U547" s="6">
        <v>2014</v>
      </c>
      <c r="V547" s="6">
        <v>1</v>
      </c>
      <c r="AD547" s="6" t="s">
        <v>45</v>
      </c>
      <c r="AJ547" s="31" t="s">
        <v>2121</v>
      </c>
      <c r="AK547" s="6">
        <v>1</v>
      </c>
      <c r="AL547" s="26">
        <v>1300000</v>
      </c>
      <c r="AM547" s="26">
        <v>1300000</v>
      </c>
      <c r="AN547" s="26">
        <v>1300000</v>
      </c>
      <c r="AO547" s="6" t="s">
        <v>2003</v>
      </c>
      <c r="AQ547" s="6" t="s">
        <v>1265</v>
      </c>
      <c r="AU547" s="6">
        <v>225122</v>
      </c>
    </row>
    <row r="548" spans="1:47" x14ac:dyDescent="0.3">
      <c r="A548" s="28" t="s">
        <v>42</v>
      </c>
      <c r="B548" s="6" t="s">
        <v>2197</v>
      </c>
      <c r="D548" s="6" t="s">
        <v>2105</v>
      </c>
      <c r="E548" s="6">
        <v>1</v>
      </c>
      <c r="F548" s="6" t="s">
        <v>2004</v>
      </c>
      <c r="G548" s="6" t="s">
        <v>2005</v>
      </c>
      <c r="H548" s="6" t="s">
        <v>2005</v>
      </c>
      <c r="I548" s="6" t="str">
        <f t="shared" si="16"/>
        <v>Ripper</v>
      </c>
      <c r="J548" s="6" t="s">
        <v>612</v>
      </c>
      <c r="K548" s="6">
        <v>1</v>
      </c>
      <c r="P548" s="6">
        <f t="shared" si="17"/>
        <v>1800000</v>
      </c>
      <c r="R548" s="6" t="s">
        <v>2003</v>
      </c>
      <c r="T548" s="6" t="s">
        <v>2059</v>
      </c>
      <c r="U548" s="6">
        <v>2017</v>
      </c>
      <c r="V548" s="6">
        <v>1</v>
      </c>
      <c r="AD548" s="6" t="s">
        <v>45</v>
      </c>
      <c r="AJ548" s="31" t="s">
        <v>2110</v>
      </c>
      <c r="AK548" s="6">
        <v>1</v>
      </c>
      <c r="AL548" s="26">
        <v>1700000</v>
      </c>
      <c r="AM548" s="26">
        <v>1700000</v>
      </c>
      <c r="AN548" s="26">
        <v>1700000</v>
      </c>
      <c r="AO548" s="6" t="s">
        <v>2003</v>
      </c>
      <c r="AQ548" s="6" t="s">
        <v>1155</v>
      </c>
      <c r="AU548" s="6">
        <v>225123</v>
      </c>
    </row>
    <row r="549" spans="1:47" x14ac:dyDescent="0.3">
      <c r="A549" s="28" t="s">
        <v>42</v>
      </c>
      <c r="B549" s="6" t="s">
        <v>2174</v>
      </c>
      <c r="C549" s="6" t="s">
        <v>1975</v>
      </c>
      <c r="D549" s="6" t="s">
        <v>2002</v>
      </c>
      <c r="E549" s="6">
        <v>1</v>
      </c>
      <c r="F549" s="6" t="s">
        <v>2004</v>
      </c>
      <c r="G549" s="6" t="s">
        <v>2005</v>
      </c>
      <c r="H549" s="6" t="s">
        <v>2005</v>
      </c>
      <c r="I549" s="6" t="str">
        <f t="shared" si="16"/>
        <v>Side Breaker</v>
      </c>
      <c r="J549" s="6" t="s">
        <v>364</v>
      </c>
      <c r="K549" s="6">
        <v>1</v>
      </c>
      <c r="P549" s="6">
        <f t="shared" si="17"/>
        <v>1300000</v>
      </c>
      <c r="R549" s="6" t="s">
        <v>2003</v>
      </c>
      <c r="T549" s="6" t="s">
        <v>2007</v>
      </c>
      <c r="U549" s="6">
        <v>2013</v>
      </c>
      <c r="V549" s="6">
        <v>1</v>
      </c>
      <c r="AD549" s="6" t="s">
        <v>45</v>
      </c>
      <c r="AJ549" s="31" t="s">
        <v>2113</v>
      </c>
      <c r="AK549" s="6">
        <v>1</v>
      </c>
      <c r="AL549" s="26">
        <v>1200000</v>
      </c>
      <c r="AM549" s="26">
        <v>1200000</v>
      </c>
      <c r="AN549" s="26">
        <v>1200000</v>
      </c>
      <c r="AO549" s="6" t="s">
        <v>2003</v>
      </c>
      <c r="AQ549" s="6" t="s">
        <v>49</v>
      </c>
      <c r="AU549" s="6">
        <v>225126</v>
      </c>
    </row>
    <row r="550" spans="1:47" x14ac:dyDescent="0.3">
      <c r="A550" s="28" t="s">
        <v>42</v>
      </c>
      <c r="B550" s="6" t="s">
        <v>2184</v>
      </c>
      <c r="C550" s="6" t="s">
        <v>1972</v>
      </c>
      <c r="D550" s="6" t="s">
        <v>2100</v>
      </c>
      <c r="E550" s="6">
        <v>1</v>
      </c>
      <c r="F550" s="6" t="s">
        <v>2004</v>
      </c>
      <c r="G550" s="6" t="s">
        <v>2005</v>
      </c>
      <c r="H550" s="6" t="s">
        <v>2005</v>
      </c>
      <c r="I550" s="6" t="str">
        <f t="shared" si="16"/>
        <v>Stone Grapple</v>
      </c>
      <c r="J550" s="6" t="s">
        <v>149</v>
      </c>
      <c r="K550" s="6">
        <v>1</v>
      </c>
      <c r="P550" s="6">
        <f t="shared" si="17"/>
        <v>1550000</v>
      </c>
      <c r="R550" s="6" t="s">
        <v>2003</v>
      </c>
      <c r="T550" s="6" t="s">
        <v>825</v>
      </c>
      <c r="U550" s="6">
        <v>2015</v>
      </c>
      <c r="V550" s="6">
        <v>6</v>
      </c>
      <c r="AD550" s="6" t="s">
        <v>45</v>
      </c>
      <c r="AJ550" s="31" t="s">
        <v>2112</v>
      </c>
      <c r="AK550" s="6">
        <v>1</v>
      </c>
      <c r="AL550" s="26">
        <v>1450000</v>
      </c>
      <c r="AM550" s="26">
        <v>1450000</v>
      </c>
      <c r="AN550" s="26">
        <v>1450000</v>
      </c>
      <c r="AO550" s="6" t="s">
        <v>2003</v>
      </c>
      <c r="AQ550" s="6" t="s">
        <v>1286</v>
      </c>
      <c r="AU550" s="6">
        <v>225132</v>
      </c>
    </row>
    <row r="551" spans="1:47" x14ac:dyDescent="0.3">
      <c r="A551" s="28" t="s">
        <v>42</v>
      </c>
      <c r="B551" s="6" t="s">
        <v>2183</v>
      </c>
      <c r="D551" s="6" t="s">
        <v>2104</v>
      </c>
      <c r="E551" s="6">
        <v>1</v>
      </c>
      <c r="F551" s="6" t="s">
        <v>2004</v>
      </c>
      <c r="G551" s="6" t="s">
        <v>2005</v>
      </c>
      <c r="H551" s="6" t="s">
        <v>2005</v>
      </c>
      <c r="I551" s="6" t="str">
        <f t="shared" si="16"/>
        <v>ETC</v>
      </c>
      <c r="J551" s="6" t="s">
        <v>278</v>
      </c>
      <c r="K551" s="6">
        <v>1</v>
      </c>
      <c r="P551" s="6">
        <f t="shared" si="17"/>
        <v>1450000</v>
      </c>
      <c r="R551" s="6" t="s">
        <v>2003</v>
      </c>
      <c r="T551" s="6" t="s">
        <v>2060</v>
      </c>
      <c r="U551" s="6">
        <v>2017</v>
      </c>
      <c r="V551" s="6">
        <v>2</v>
      </c>
      <c r="AD551" s="6" t="s">
        <v>45</v>
      </c>
      <c r="AJ551" s="31" t="s">
        <v>2124</v>
      </c>
      <c r="AK551" s="6">
        <v>1</v>
      </c>
      <c r="AL551" s="26">
        <v>1350000</v>
      </c>
      <c r="AM551" s="26">
        <v>1350000</v>
      </c>
      <c r="AN551" s="26">
        <v>1350000</v>
      </c>
      <c r="AO551" s="6" t="s">
        <v>2003</v>
      </c>
      <c r="AQ551" s="6" t="s">
        <v>1144</v>
      </c>
      <c r="AU551" s="6">
        <v>225135</v>
      </c>
    </row>
    <row r="552" spans="1:47" hidden="1" x14ac:dyDescent="0.3">
      <c r="A552" s="28" t="s">
        <v>42</v>
      </c>
      <c r="B552" s="6" t="s">
        <v>2174</v>
      </c>
      <c r="C552" s="6" t="s">
        <v>1975</v>
      </c>
      <c r="E552" s="6">
        <v>1</v>
      </c>
      <c r="F552" s="6" t="s">
        <v>2004</v>
      </c>
      <c r="G552" s="6" t="s">
        <v>2005</v>
      </c>
      <c r="H552" s="6" t="s">
        <v>2005</v>
      </c>
      <c r="I552" s="6" t="str">
        <f t="shared" si="16"/>
        <v>Side Breaker</v>
      </c>
      <c r="J552" s="6" t="s">
        <v>613</v>
      </c>
      <c r="K552" s="6">
        <v>1</v>
      </c>
      <c r="P552" s="6">
        <f t="shared" si="17"/>
        <v>4700000</v>
      </c>
      <c r="R552" s="6" t="s">
        <v>2003</v>
      </c>
      <c r="T552" s="6" t="s">
        <v>999</v>
      </c>
      <c r="U552" s="6">
        <v>2014</v>
      </c>
      <c r="V552" s="6">
        <v>1</v>
      </c>
      <c r="AD552" s="6" t="s">
        <v>45</v>
      </c>
      <c r="AJ552" s="31" t="s">
        <v>2121</v>
      </c>
      <c r="AK552" s="6">
        <v>1</v>
      </c>
      <c r="AL552" s="26">
        <v>4500000</v>
      </c>
      <c r="AM552" s="26">
        <v>4500000</v>
      </c>
      <c r="AN552" s="26">
        <v>4500000</v>
      </c>
      <c r="AO552" s="6" t="s">
        <v>2003</v>
      </c>
      <c r="AQ552" s="6" t="s">
        <v>1265</v>
      </c>
      <c r="AU552" s="6">
        <v>225137</v>
      </c>
    </row>
    <row r="553" spans="1:47" x14ac:dyDescent="0.3">
      <c r="A553" s="28" t="s">
        <v>42</v>
      </c>
      <c r="B553" s="6" t="s">
        <v>2175</v>
      </c>
      <c r="C553" s="19" t="s">
        <v>2207</v>
      </c>
      <c r="D553" s="6" t="s">
        <v>2105</v>
      </c>
      <c r="E553" s="6">
        <v>1</v>
      </c>
      <c r="F553" s="6" t="s">
        <v>2004</v>
      </c>
      <c r="G553" s="6" t="s">
        <v>2005</v>
      </c>
      <c r="H553" s="6" t="s">
        <v>2005</v>
      </c>
      <c r="I553" s="6" t="str">
        <f t="shared" si="16"/>
        <v>Hydraulic Crusher</v>
      </c>
      <c r="J553" s="6" t="s">
        <v>181</v>
      </c>
      <c r="K553" s="6">
        <v>1</v>
      </c>
      <c r="P553" s="6">
        <f t="shared" si="17"/>
        <v>11500000</v>
      </c>
      <c r="R553" s="6" t="s">
        <v>2003</v>
      </c>
      <c r="T553" s="6" t="s">
        <v>813</v>
      </c>
      <c r="U553" s="6">
        <v>2014</v>
      </c>
      <c r="V553" s="6">
        <v>1</v>
      </c>
      <c r="AD553" s="6" t="s">
        <v>45</v>
      </c>
      <c r="AJ553" s="31" t="s">
        <v>2113</v>
      </c>
      <c r="AK553" s="6">
        <v>1</v>
      </c>
      <c r="AL553" s="26">
        <v>11000000</v>
      </c>
      <c r="AM553" s="26">
        <v>11000000</v>
      </c>
      <c r="AN553" s="26">
        <v>11000000</v>
      </c>
      <c r="AO553" s="6" t="s">
        <v>2003</v>
      </c>
      <c r="AQ553" s="6" t="s">
        <v>80</v>
      </c>
      <c r="AU553" s="6">
        <v>225139</v>
      </c>
    </row>
    <row r="554" spans="1:47" hidden="1" x14ac:dyDescent="0.3">
      <c r="A554" s="28" t="s">
        <v>42</v>
      </c>
      <c r="B554" s="6" t="s">
        <v>2198</v>
      </c>
      <c r="E554" s="6">
        <v>1</v>
      </c>
      <c r="F554" s="6" t="s">
        <v>2004</v>
      </c>
      <c r="G554" s="6" t="s">
        <v>2005</v>
      </c>
      <c r="H554" s="6" t="s">
        <v>2005</v>
      </c>
      <c r="I554" s="6" t="str">
        <f t="shared" si="16"/>
        <v>Ripper</v>
      </c>
      <c r="J554" s="6" t="s">
        <v>542</v>
      </c>
      <c r="K554" s="6">
        <v>1</v>
      </c>
      <c r="P554" s="6">
        <f t="shared" si="17"/>
        <v>1700000</v>
      </c>
      <c r="R554" s="6" t="s">
        <v>2003</v>
      </c>
      <c r="T554" s="6" t="s">
        <v>1000</v>
      </c>
      <c r="U554" s="6">
        <v>2016</v>
      </c>
      <c r="V554" s="6">
        <v>1</v>
      </c>
      <c r="AD554" s="6" t="s">
        <v>45</v>
      </c>
      <c r="AJ554" s="31" t="s">
        <v>2121</v>
      </c>
      <c r="AK554" s="6">
        <v>1</v>
      </c>
      <c r="AL554" s="26">
        <v>1600000</v>
      </c>
      <c r="AM554" s="26">
        <v>1600000</v>
      </c>
      <c r="AN554" s="26">
        <v>1600000</v>
      </c>
      <c r="AO554" s="6" t="s">
        <v>2003</v>
      </c>
      <c r="AQ554" s="6" t="s">
        <v>1265</v>
      </c>
      <c r="AU554" s="6">
        <v>225141</v>
      </c>
    </row>
    <row r="555" spans="1:47" x14ac:dyDescent="0.3">
      <c r="A555" s="28" t="s">
        <v>42</v>
      </c>
      <c r="B555" s="6" t="s">
        <v>2199</v>
      </c>
      <c r="D555" s="6" t="s">
        <v>2104</v>
      </c>
      <c r="E555" s="6">
        <v>1</v>
      </c>
      <c r="F555" s="6" t="s">
        <v>2004</v>
      </c>
      <c r="G555" s="6" t="s">
        <v>2005</v>
      </c>
      <c r="H555" s="6" t="s">
        <v>2005</v>
      </c>
      <c r="I555" s="6" t="str">
        <f t="shared" si="16"/>
        <v>Quick Coupler</v>
      </c>
      <c r="J555" s="6" t="s">
        <v>614</v>
      </c>
      <c r="K555" s="6">
        <v>1</v>
      </c>
      <c r="P555" s="6">
        <f t="shared" si="17"/>
        <v>800000</v>
      </c>
      <c r="R555" s="6" t="s">
        <v>2003</v>
      </c>
      <c r="T555" s="6" t="s">
        <v>823</v>
      </c>
      <c r="U555" s="6">
        <v>2014</v>
      </c>
      <c r="V555" s="6">
        <v>1</v>
      </c>
      <c r="AD555" s="6" t="s">
        <v>45</v>
      </c>
      <c r="AJ555" s="31" t="s">
        <v>2113</v>
      </c>
      <c r="AK555" s="6">
        <v>1</v>
      </c>
      <c r="AL555" s="26">
        <v>700000</v>
      </c>
      <c r="AM555" s="26">
        <v>700000</v>
      </c>
      <c r="AN555" s="26">
        <v>700000</v>
      </c>
      <c r="AO555" s="6" t="s">
        <v>2003</v>
      </c>
      <c r="AQ555" s="6" t="s">
        <v>49</v>
      </c>
      <c r="AU555" s="6">
        <v>225147</v>
      </c>
    </row>
    <row r="556" spans="1:47" x14ac:dyDescent="0.3">
      <c r="A556" s="28" t="s">
        <v>42</v>
      </c>
      <c r="B556" s="6" t="s">
        <v>2199</v>
      </c>
      <c r="D556" s="6" t="s">
        <v>2104</v>
      </c>
      <c r="E556" s="6">
        <v>1</v>
      </c>
      <c r="F556" s="6" t="s">
        <v>2004</v>
      </c>
      <c r="G556" s="6" t="s">
        <v>2005</v>
      </c>
      <c r="H556" s="6" t="s">
        <v>2005</v>
      </c>
      <c r="I556" s="6" t="str">
        <f t="shared" si="16"/>
        <v>Quick Coupler</v>
      </c>
      <c r="J556" s="6" t="s">
        <v>615</v>
      </c>
      <c r="K556" s="6">
        <v>1</v>
      </c>
      <c r="P556" s="6">
        <f t="shared" si="17"/>
        <v>850000</v>
      </c>
      <c r="R556" s="6" t="s">
        <v>2003</v>
      </c>
      <c r="T556" s="6" t="s">
        <v>2012</v>
      </c>
      <c r="U556" s="6">
        <v>2014</v>
      </c>
      <c r="V556" s="6">
        <v>1</v>
      </c>
      <c r="AD556" s="6" t="s">
        <v>45</v>
      </c>
      <c r="AJ556" s="31" t="s">
        <v>2113</v>
      </c>
      <c r="AK556" s="6">
        <v>1</v>
      </c>
      <c r="AL556" s="26">
        <v>750000</v>
      </c>
      <c r="AM556" s="26">
        <v>750000</v>
      </c>
      <c r="AN556" s="26">
        <v>750000</v>
      </c>
      <c r="AO556" s="6" t="s">
        <v>2003</v>
      </c>
      <c r="AQ556" s="6" t="s">
        <v>49</v>
      </c>
      <c r="AU556" s="6">
        <v>225148</v>
      </c>
    </row>
    <row r="557" spans="1:47" x14ac:dyDescent="0.3">
      <c r="A557" s="28" t="s">
        <v>42</v>
      </c>
      <c r="B557" s="6" t="s">
        <v>2174</v>
      </c>
      <c r="C557" s="6" t="s">
        <v>1975</v>
      </c>
      <c r="D557" s="6" t="s">
        <v>2104</v>
      </c>
      <c r="E557" s="6">
        <v>1</v>
      </c>
      <c r="F557" s="6" t="s">
        <v>2004</v>
      </c>
      <c r="G557" s="6" t="s">
        <v>2005</v>
      </c>
      <c r="H557" s="6" t="s">
        <v>2005</v>
      </c>
      <c r="I557" s="6" t="str">
        <f t="shared" si="16"/>
        <v>Side Breaker</v>
      </c>
      <c r="J557" s="6" t="s">
        <v>218</v>
      </c>
      <c r="K557" s="6">
        <v>1</v>
      </c>
      <c r="P557" s="6">
        <f t="shared" si="17"/>
        <v>3200000</v>
      </c>
      <c r="R557" s="6" t="s">
        <v>2003</v>
      </c>
      <c r="T557" s="6" t="s">
        <v>1001</v>
      </c>
      <c r="U557" s="6">
        <v>2010</v>
      </c>
      <c r="V557" s="6">
        <v>1</v>
      </c>
      <c r="AD557" s="6" t="s">
        <v>45</v>
      </c>
      <c r="AJ557" s="31" t="s">
        <v>2111</v>
      </c>
      <c r="AK557" s="6">
        <v>1</v>
      </c>
      <c r="AL557" s="26">
        <v>3000000</v>
      </c>
      <c r="AM557" s="26">
        <v>3000000</v>
      </c>
      <c r="AN557" s="26">
        <v>3000000</v>
      </c>
      <c r="AO557" s="6" t="s">
        <v>2003</v>
      </c>
      <c r="AQ557" s="6" t="s">
        <v>1287</v>
      </c>
      <c r="AU557" s="6">
        <v>225151</v>
      </c>
    </row>
    <row r="558" spans="1:47" x14ac:dyDescent="0.3">
      <c r="A558" s="28" t="s">
        <v>42</v>
      </c>
      <c r="B558" s="6" t="s">
        <v>2175</v>
      </c>
      <c r="C558" s="6" t="s">
        <v>2207</v>
      </c>
      <c r="D558" s="6" t="s">
        <v>2105</v>
      </c>
      <c r="E558" s="6">
        <v>1</v>
      </c>
      <c r="F558" s="6" t="s">
        <v>2004</v>
      </c>
      <c r="G558" s="6" t="s">
        <v>2005</v>
      </c>
      <c r="H558" s="6" t="s">
        <v>2005</v>
      </c>
      <c r="I558" s="6" t="str">
        <f t="shared" si="16"/>
        <v>Hydraulic Crusher</v>
      </c>
      <c r="J558" s="6" t="s">
        <v>616</v>
      </c>
      <c r="K558" s="6">
        <v>1</v>
      </c>
      <c r="P558" s="6">
        <f t="shared" si="17"/>
        <v>12500000</v>
      </c>
      <c r="R558" s="6" t="s">
        <v>2003</v>
      </c>
      <c r="T558" s="6" t="s">
        <v>1002</v>
      </c>
      <c r="U558" s="6">
        <v>2014</v>
      </c>
      <c r="V558" s="6">
        <v>1</v>
      </c>
      <c r="AD558" s="6" t="s">
        <v>45</v>
      </c>
      <c r="AJ558" s="31" t="s">
        <v>2121</v>
      </c>
      <c r="AK558" s="6">
        <v>1</v>
      </c>
      <c r="AL558" s="26">
        <v>12000000</v>
      </c>
      <c r="AM558" s="26">
        <v>12000000</v>
      </c>
      <c r="AN558" s="26">
        <v>12000000</v>
      </c>
      <c r="AO558" s="6" t="s">
        <v>2003</v>
      </c>
      <c r="AQ558" s="6" t="s">
        <v>1265</v>
      </c>
      <c r="AU558" s="6">
        <v>225152</v>
      </c>
    </row>
    <row r="559" spans="1:47" hidden="1" x14ac:dyDescent="0.3">
      <c r="A559" s="28" t="s">
        <v>42</v>
      </c>
      <c r="B559" s="6" t="s">
        <v>2181</v>
      </c>
      <c r="E559" s="6">
        <v>1</v>
      </c>
      <c r="F559" s="6" t="s">
        <v>2004</v>
      </c>
      <c r="G559" s="6" t="s">
        <v>2005</v>
      </c>
      <c r="H559" s="6" t="s">
        <v>2005</v>
      </c>
      <c r="I559" s="6" t="str">
        <f t="shared" si="16"/>
        <v>ETC</v>
      </c>
      <c r="J559" s="6" t="s">
        <v>289</v>
      </c>
      <c r="K559" s="6">
        <v>1</v>
      </c>
      <c r="P559" s="6">
        <f t="shared" si="17"/>
        <v>11500000</v>
      </c>
      <c r="R559" s="6" t="s">
        <v>2003</v>
      </c>
      <c r="T559" s="6" t="s">
        <v>1071</v>
      </c>
      <c r="U559" s="6">
        <v>2015</v>
      </c>
      <c r="V559" s="6">
        <v>6</v>
      </c>
      <c r="AD559" s="6" t="s">
        <v>45</v>
      </c>
      <c r="AJ559" s="31" t="s">
        <v>2123</v>
      </c>
      <c r="AK559" s="6">
        <v>1</v>
      </c>
      <c r="AL559" s="26">
        <v>11000000</v>
      </c>
      <c r="AM559" s="26">
        <v>11000000</v>
      </c>
      <c r="AN559" s="26">
        <v>11000000</v>
      </c>
      <c r="AO559" s="6" t="s">
        <v>2003</v>
      </c>
      <c r="AQ559" s="6" t="s">
        <v>1195</v>
      </c>
      <c r="AU559" s="6">
        <v>225156</v>
      </c>
    </row>
    <row r="560" spans="1:47" hidden="1" x14ac:dyDescent="0.3">
      <c r="A560" s="28" t="s">
        <v>42</v>
      </c>
      <c r="B560" s="6" t="s">
        <v>2177</v>
      </c>
      <c r="C560" s="6" t="s">
        <v>1972</v>
      </c>
      <c r="E560" s="6">
        <v>1</v>
      </c>
      <c r="F560" s="6" t="s">
        <v>2004</v>
      </c>
      <c r="G560" s="6" t="s">
        <v>2005</v>
      </c>
      <c r="H560" s="6" t="s">
        <v>2005</v>
      </c>
      <c r="I560" s="6" t="str">
        <f t="shared" si="16"/>
        <v>Stone Grapple</v>
      </c>
      <c r="J560" s="6" t="s">
        <v>148</v>
      </c>
      <c r="K560" s="6">
        <v>1</v>
      </c>
      <c r="P560" s="6">
        <f t="shared" si="17"/>
        <v>3200000</v>
      </c>
      <c r="R560" s="6" t="s">
        <v>2003</v>
      </c>
      <c r="T560" s="6" t="s">
        <v>66</v>
      </c>
      <c r="U560" s="6">
        <v>2014</v>
      </c>
      <c r="V560" s="6">
        <v>1</v>
      </c>
      <c r="AD560" s="6" t="s">
        <v>45</v>
      </c>
      <c r="AJ560" s="31" t="s">
        <v>2111</v>
      </c>
      <c r="AK560" s="6">
        <v>1</v>
      </c>
      <c r="AL560" s="26">
        <v>3000000</v>
      </c>
      <c r="AM560" s="26">
        <v>3000000</v>
      </c>
      <c r="AN560" s="26">
        <v>3000000</v>
      </c>
      <c r="AO560" s="6" t="s">
        <v>2003</v>
      </c>
      <c r="AQ560" s="6" t="s">
        <v>1287</v>
      </c>
      <c r="AU560" s="6">
        <v>225157</v>
      </c>
    </row>
    <row r="561" spans="1:47" x14ac:dyDescent="0.3">
      <c r="A561" s="28" t="s">
        <v>42</v>
      </c>
      <c r="B561" s="6" t="s">
        <v>2190</v>
      </c>
      <c r="D561" s="6" t="s">
        <v>2104</v>
      </c>
      <c r="E561" s="6">
        <v>1</v>
      </c>
      <c r="F561" s="6" t="s">
        <v>2004</v>
      </c>
      <c r="G561" s="6" t="s">
        <v>2005</v>
      </c>
      <c r="H561" s="6" t="s">
        <v>2005</v>
      </c>
      <c r="I561" s="6" t="str">
        <f t="shared" si="16"/>
        <v>Lift Fork</v>
      </c>
      <c r="J561" s="6" t="s">
        <v>618</v>
      </c>
      <c r="K561" s="6">
        <v>1</v>
      </c>
      <c r="P561" s="6">
        <f t="shared" si="17"/>
        <v>750000</v>
      </c>
      <c r="R561" s="6" t="s">
        <v>2003</v>
      </c>
      <c r="T561" s="6" t="s">
        <v>2012</v>
      </c>
      <c r="U561" s="6">
        <v>2013</v>
      </c>
      <c r="V561" s="6">
        <v>1</v>
      </c>
      <c r="AD561" s="6" t="s">
        <v>45</v>
      </c>
      <c r="AJ561" s="31" t="s">
        <v>2113</v>
      </c>
      <c r="AK561" s="6">
        <v>1</v>
      </c>
      <c r="AL561" s="26">
        <v>650000</v>
      </c>
      <c r="AM561" s="26">
        <v>650000</v>
      </c>
      <c r="AN561" s="26">
        <v>650000</v>
      </c>
      <c r="AO561" s="6" t="s">
        <v>2003</v>
      </c>
      <c r="AQ561" s="6" t="s">
        <v>49</v>
      </c>
      <c r="AU561" s="6">
        <v>225161</v>
      </c>
    </row>
    <row r="562" spans="1:47" x14ac:dyDescent="0.3">
      <c r="A562" s="28" t="s">
        <v>42</v>
      </c>
      <c r="B562" s="6" t="s">
        <v>2178</v>
      </c>
      <c r="C562" s="6" t="s">
        <v>1975</v>
      </c>
      <c r="D562" s="6" t="s">
        <v>2104</v>
      </c>
      <c r="E562" s="6">
        <v>1</v>
      </c>
      <c r="F562" s="6" t="s">
        <v>2004</v>
      </c>
      <c r="G562" s="6" t="s">
        <v>2005</v>
      </c>
      <c r="H562" s="6" t="s">
        <v>2005</v>
      </c>
      <c r="I562" s="6" t="str">
        <f t="shared" si="16"/>
        <v>Side Breaker</v>
      </c>
      <c r="J562" s="6" t="s">
        <v>619</v>
      </c>
      <c r="K562" s="6">
        <v>1</v>
      </c>
      <c r="P562" s="6">
        <f t="shared" si="17"/>
        <v>1600000</v>
      </c>
      <c r="R562" s="6" t="s">
        <v>2003</v>
      </c>
      <c r="T562" s="6" t="s">
        <v>1003</v>
      </c>
      <c r="U562" s="6">
        <v>2011</v>
      </c>
      <c r="V562" s="6">
        <v>1</v>
      </c>
      <c r="AD562" s="6" t="s">
        <v>45</v>
      </c>
      <c r="AJ562" s="31" t="s">
        <v>2116</v>
      </c>
      <c r="AK562" s="6">
        <v>1</v>
      </c>
      <c r="AL562" s="26">
        <v>1500000</v>
      </c>
      <c r="AM562" s="26">
        <v>1500000</v>
      </c>
      <c r="AN562" s="26">
        <v>1500000</v>
      </c>
      <c r="AO562" s="6" t="s">
        <v>2003</v>
      </c>
      <c r="AQ562" s="6" t="s">
        <v>1288</v>
      </c>
      <c r="AU562" s="6">
        <v>225163</v>
      </c>
    </row>
    <row r="563" spans="1:47" x14ac:dyDescent="0.3">
      <c r="A563" s="28" t="s">
        <v>42</v>
      </c>
      <c r="B563" s="6" t="s">
        <v>2178</v>
      </c>
      <c r="C563" s="6" t="s">
        <v>1975</v>
      </c>
      <c r="D563" s="6" t="s">
        <v>2103</v>
      </c>
      <c r="E563" s="6">
        <v>1</v>
      </c>
      <c r="F563" s="6" t="s">
        <v>2004</v>
      </c>
      <c r="G563" s="6" t="s">
        <v>2005</v>
      </c>
      <c r="H563" s="6" t="s">
        <v>2005</v>
      </c>
      <c r="I563" s="6" t="str">
        <f t="shared" si="16"/>
        <v>Side Breaker</v>
      </c>
      <c r="J563" s="6" t="s">
        <v>155</v>
      </c>
      <c r="K563" s="6">
        <v>1</v>
      </c>
      <c r="P563" s="6">
        <f t="shared" si="17"/>
        <v>4700000</v>
      </c>
      <c r="R563" s="6" t="s">
        <v>2003</v>
      </c>
      <c r="T563" s="6" t="s">
        <v>2014</v>
      </c>
      <c r="U563" s="6">
        <v>2010</v>
      </c>
      <c r="V563" s="6">
        <v>7</v>
      </c>
      <c r="AD563" s="6" t="s">
        <v>45</v>
      </c>
      <c r="AJ563" s="31" t="s">
        <v>2123</v>
      </c>
      <c r="AK563" s="6">
        <v>1</v>
      </c>
      <c r="AL563" s="26">
        <v>4500000</v>
      </c>
      <c r="AM563" s="26">
        <v>4500000</v>
      </c>
      <c r="AN563" s="26">
        <v>4500000</v>
      </c>
      <c r="AO563" s="6" t="s">
        <v>2003</v>
      </c>
      <c r="AQ563" s="6" t="s">
        <v>1166</v>
      </c>
      <c r="AU563" s="6">
        <v>225166</v>
      </c>
    </row>
    <row r="564" spans="1:47" x14ac:dyDescent="0.3">
      <c r="A564" s="28" t="s">
        <v>42</v>
      </c>
      <c r="B564" s="6" t="s">
        <v>2180</v>
      </c>
      <c r="D564" s="6" t="s">
        <v>2105</v>
      </c>
      <c r="E564" s="6">
        <v>1</v>
      </c>
      <c r="F564" s="6" t="s">
        <v>2004</v>
      </c>
      <c r="G564" s="6" t="s">
        <v>2005</v>
      </c>
      <c r="H564" s="6" t="s">
        <v>2005</v>
      </c>
      <c r="I564" s="6" t="str">
        <f t="shared" si="16"/>
        <v>Quick Coupler</v>
      </c>
      <c r="J564" s="6" t="s">
        <v>620</v>
      </c>
      <c r="K564" s="6">
        <v>1</v>
      </c>
      <c r="P564" s="6">
        <f t="shared" si="17"/>
        <v>1100000</v>
      </c>
      <c r="R564" s="6" t="s">
        <v>2003</v>
      </c>
      <c r="T564" s="6" t="s">
        <v>861</v>
      </c>
      <c r="U564" s="6">
        <v>2011</v>
      </c>
      <c r="V564" s="6">
        <v>1</v>
      </c>
      <c r="AD564" s="6" t="s">
        <v>45</v>
      </c>
      <c r="AJ564" s="31" t="s">
        <v>2113</v>
      </c>
      <c r="AK564" s="6">
        <v>1</v>
      </c>
      <c r="AL564" s="26">
        <v>1000000</v>
      </c>
      <c r="AM564" s="26">
        <v>1000000</v>
      </c>
      <c r="AN564" s="26">
        <v>1000000</v>
      </c>
      <c r="AO564" s="6" t="s">
        <v>2003</v>
      </c>
      <c r="AQ564" s="6" t="s">
        <v>49</v>
      </c>
      <c r="AU564" s="6">
        <v>225180</v>
      </c>
    </row>
    <row r="565" spans="1:47" x14ac:dyDescent="0.3">
      <c r="A565" s="28" t="s">
        <v>42</v>
      </c>
      <c r="B565" s="6" t="s">
        <v>2178</v>
      </c>
      <c r="C565" s="6" t="s">
        <v>1975</v>
      </c>
      <c r="D565" s="6" t="s">
        <v>2106</v>
      </c>
      <c r="E565" s="6">
        <v>1</v>
      </c>
      <c r="F565" s="6" t="s">
        <v>2004</v>
      </c>
      <c r="G565" s="6" t="s">
        <v>2005</v>
      </c>
      <c r="H565" s="6" t="s">
        <v>2005</v>
      </c>
      <c r="I565" s="6" t="str">
        <f t="shared" si="16"/>
        <v>Side Breaker</v>
      </c>
      <c r="J565" s="6" t="s">
        <v>295</v>
      </c>
      <c r="K565" s="6">
        <v>1</v>
      </c>
      <c r="P565" s="6">
        <f t="shared" si="17"/>
        <v>1450000</v>
      </c>
      <c r="R565" s="6" t="s">
        <v>2003</v>
      </c>
      <c r="T565" s="6" t="s">
        <v>2007</v>
      </c>
      <c r="U565" s="6">
        <v>2014</v>
      </c>
      <c r="V565" s="6">
        <v>1</v>
      </c>
      <c r="AD565" s="6" t="s">
        <v>45</v>
      </c>
      <c r="AJ565" s="31" t="s">
        <v>2113</v>
      </c>
      <c r="AK565" s="6">
        <v>1</v>
      </c>
      <c r="AL565" s="26">
        <v>1350000</v>
      </c>
      <c r="AM565" s="26">
        <v>1350000</v>
      </c>
      <c r="AN565" s="26">
        <v>1350000</v>
      </c>
      <c r="AO565" s="6" t="s">
        <v>2003</v>
      </c>
      <c r="AQ565" s="6" t="s">
        <v>49</v>
      </c>
      <c r="AU565" s="6">
        <v>225182</v>
      </c>
    </row>
    <row r="566" spans="1:47" x14ac:dyDescent="0.3">
      <c r="A566" s="28" t="s">
        <v>42</v>
      </c>
      <c r="B566" s="6" t="s">
        <v>2201</v>
      </c>
      <c r="C566" s="19" t="s">
        <v>2207</v>
      </c>
      <c r="D566" s="6" t="s">
        <v>2104</v>
      </c>
      <c r="E566" s="6">
        <v>1</v>
      </c>
      <c r="F566" s="6" t="s">
        <v>2004</v>
      </c>
      <c r="G566" s="6" t="s">
        <v>2005</v>
      </c>
      <c r="H566" s="6" t="s">
        <v>2005</v>
      </c>
      <c r="I566" s="6" t="str">
        <f t="shared" si="16"/>
        <v>Hydraulic Crusher</v>
      </c>
      <c r="J566" s="6" t="s">
        <v>621</v>
      </c>
      <c r="K566" s="6">
        <v>1</v>
      </c>
      <c r="P566" s="6">
        <f t="shared" si="17"/>
        <v>11500000</v>
      </c>
      <c r="R566" s="6" t="s">
        <v>2003</v>
      </c>
      <c r="T566" s="6" t="s">
        <v>823</v>
      </c>
      <c r="U566" s="6">
        <v>2014</v>
      </c>
      <c r="V566" s="6">
        <v>1</v>
      </c>
      <c r="AD566" s="6" t="s">
        <v>45</v>
      </c>
      <c r="AJ566" s="31" t="s">
        <v>2113</v>
      </c>
      <c r="AK566" s="6">
        <v>1</v>
      </c>
      <c r="AL566" s="26">
        <v>11000000</v>
      </c>
      <c r="AM566" s="26">
        <v>11000000</v>
      </c>
      <c r="AN566" s="26">
        <v>11000000</v>
      </c>
      <c r="AO566" s="6" t="s">
        <v>2003</v>
      </c>
      <c r="AQ566" s="6" t="s">
        <v>49</v>
      </c>
      <c r="AU566" s="6">
        <v>225183</v>
      </c>
    </row>
    <row r="567" spans="1:47" hidden="1" x14ac:dyDescent="0.3">
      <c r="A567" s="28" t="s">
        <v>42</v>
      </c>
      <c r="B567" s="6" t="s">
        <v>2177</v>
      </c>
      <c r="E567" s="6">
        <v>1</v>
      </c>
      <c r="F567" s="6" t="s">
        <v>2004</v>
      </c>
      <c r="G567" s="6" t="s">
        <v>2005</v>
      </c>
      <c r="H567" s="6" t="s">
        <v>2005</v>
      </c>
      <c r="I567" s="6" t="str">
        <f t="shared" si="16"/>
        <v>Grapple</v>
      </c>
      <c r="J567" s="6" t="s">
        <v>622</v>
      </c>
      <c r="K567" s="6">
        <v>1</v>
      </c>
      <c r="P567" s="6">
        <f t="shared" si="17"/>
        <v>2200000</v>
      </c>
      <c r="R567" s="6" t="s">
        <v>2003</v>
      </c>
      <c r="T567" s="6" t="s">
        <v>2007</v>
      </c>
      <c r="U567" s="6">
        <v>2015</v>
      </c>
      <c r="V567" s="6">
        <v>1</v>
      </c>
      <c r="AD567" s="6" t="s">
        <v>45</v>
      </c>
      <c r="AJ567" s="31" t="s">
        <v>2113</v>
      </c>
      <c r="AK567" s="6">
        <v>1</v>
      </c>
      <c r="AL567" s="26">
        <v>2000000</v>
      </c>
      <c r="AM567" s="26">
        <v>2000000</v>
      </c>
      <c r="AN567" s="26">
        <v>2000000</v>
      </c>
      <c r="AO567" s="6" t="s">
        <v>2003</v>
      </c>
      <c r="AQ567" s="6" t="s">
        <v>49</v>
      </c>
      <c r="AU567" s="6">
        <v>225185</v>
      </c>
    </row>
    <row r="568" spans="1:47" x14ac:dyDescent="0.3">
      <c r="A568" s="28" t="s">
        <v>42</v>
      </c>
      <c r="B568" s="6" t="s">
        <v>2191</v>
      </c>
      <c r="C568" s="6" t="s">
        <v>1975</v>
      </c>
      <c r="D568" s="6" t="s">
        <v>2100</v>
      </c>
      <c r="E568" s="6">
        <v>1</v>
      </c>
      <c r="F568" s="6" t="s">
        <v>2004</v>
      </c>
      <c r="G568" s="6" t="s">
        <v>2005</v>
      </c>
      <c r="H568" s="6" t="s">
        <v>2005</v>
      </c>
      <c r="I568" s="6" t="str">
        <f t="shared" si="16"/>
        <v>Side Breaker</v>
      </c>
      <c r="J568" s="6" t="s">
        <v>183</v>
      </c>
      <c r="K568" s="6">
        <v>1</v>
      </c>
      <c r="P568" s="6">
        <f t="shared" si="17"/>
        <v>2000000</v>
      </c>
      <c r="R568" s="6" t="s">
        <v>2003</v>
      </c>
      <c r="T568" s="6" t="s">
        <v>1004</v>
      </c>
      <c r="U568" s="6">
        <v>2017</v>
      </c>
      <c r="V568" s="6">
        <v>1</v>
      </c>
      <c r="AD568" s="6" t="s">
        <v>45</v>
      </c>
      <c r="AJ568" s="31" t="s">
        <v>2113</v>
      </c>
      <c r="AK568" s="6">
        <v>1</v>
      </c>
      <c r="AL568" s="26">
        <v>1900000</v>
      </c>
      <c r="AM568" s="26">
        <v>1900000</v>
      </c>
      <c r="AN568" s="26">
        <v>1900000</v>
      </c>
      <c r="AO568" s="6" t="s">
        <v>2003</v>
      </c>
      <c r="AQ568" s="6" t="s">
        <v>49</v>
      </c>
      <c r="AU568" s="6">
        <v>225186</v>
      </c>
    </row>
    <row r="569" spans="1:47" x14ac:dyDescent="0.3">
      <c r="A569" s="28" t="s">
        <v>42</v>
      </c>
      <c r="B569" s="6" t="s">
        <v>2194</v>
      </c>
      <c r="D569" s="6" t="s">
        <v>2104</v>
      </c>
      <c r="E569" s="6">
        <v>1</v>
      </c>
      <c r="F569" s="6" t="s">
        <v>2004</v>
      </c>
      <c r="G569" s="6" t="s">
        <v>2005</v>
      </c>
      <c r="H569" s="6" t="s">
        <v>2005</v>
      </c>
      <c r="I569" s="6" t="str">
        <f t="shared" si="16"/>
        <v>Lift Fork</v>
      </c>
      <c r="J569" s="6" t="s">
        <v>102</v>
      </c>
      <c r="K569" s="6">
        <v>1</v>
      </c>
      <c r="P569" s="6">
        <f t="shared" si="17"/>
        <v>900000</v>
      </c>
      <c r="R569" s="6" t="s">
        <v>2003</v>
      </c>
      <c r="T569" s="6" t="s">
        <v>1005</v>
      </c>
      <c r="U569" s="6">
        <v>2016</v>
      </c>
      <c r="V569" s="6">
        <v>1</v>
      </c>
      <c r="AD569" s="6" t="s">
        <v>45</v>
      </c>
      <c r="AJ569" s="31" t="s">
        <v>2116</v>
      </c>
      <c r="AK569" s="6">
        <v>1</v>
      </c>
      <c r="AL569" s="26">
        <v>800000</v>
      </c>
      <c r="AM569" s="26">
        <v>800000</v>
      </c>
      <c r="AN569" s="26">
        <v>800000</v>
      </c>
      <c r="AO569" s="6" t="s">
        <v>2003</v>
      </c>
      <c r="AQ569" s="6" t="s">
        <v>1289</v>
      </c>
      <c r="AU569" s="6">
        <v>225187</v>
      </c>
    </row>
    <row r="570" spans="1:47" x14ac:dyDescent="0.3">
      <c r="A570" s="28" t="s">
        <v>42</v>
      </c>
      <c r="B570" s="6" t="s">
        <v>2186</v>
      </c>
      <c r="C570" s="6" t="s">
        <v>1976</v>
      </c>
      <c r="D570" s="6" t="s">
        <v>2105</v>
      </c>
      <c r="E570" s="6">
        <v>1</v>
      </c>
      <c r="F570" s="6" t="s">
        <v>2004</v>
      </c>
      <c r="G570" s="6" t="s">
        <v>2005</v>
      </c>
      <c r="H570" s="6" t="s">
        <v>2005</v>
      </c>
      <c r="I570" s="6" t="str">
        <f t="shared" si="16"/>
        <v>Skeleton Bucket</v>
      </c>
      <c r="J570" s="6" t="s">
        <v>210</v>
      </c>
      <c r="K570" s="6">
        <v>1</v>
      </c>
      <c r="P570" s="6">
        <f t="shared" si="17"/>
        <v>2800000</v>
      </c>
      <c r="R570" s="6" t="s">
        <v>2003</v>
      </c>
      <c r="T570" s="6" t="s">
        <v>1006</v>
      </c>
      <c r="U570" s="6">
        <v>2017</v>
      </c>
      <c r="V570" s="6">
        <v>1</v>
      </c>
      <c r="AD570" s="6" t="s">
        <v>45</v>
      </c>
      <c r="AJ570" s="31" t="s">
        <v>2120</v>
      </c>
      <c r="AK570" s="6">
        <v>1</v>
      </c>
      <c r="AL570" s="26">
        <v>2600000</v>
      </c>
      <c r="AM570" s="26">
        <v>2600000</v>
      </c>
      <c r="AN570" s="26">
        <v>2600000</v>
      </c>
      <c r="AO570" s="6" t="s">
        <v>2003</v>
      </c>
      <c r="AQ570" s="6" t="s">
        <v>74</v>
      </c>
      <c r="AU570" s="6">
        <v>225195</v>
      </c>
    </row>
    <row r="571" spans="1:47" x14ac:dyDescent="0.3">
      <c r="A571" s="28" t="s">
        <v>42</v>
      </c>
      <c r="B571" s="6" t="s">
        <v>2186</v>
      </c>
      <c r="C571" s="19" t="s">
        <v>2205</v>
      </c>
      <c r="D571" s="6" t="s">
        <v>2105</v>
      </c>
      <c r="E571" s="6">
        <v>1</v>
      </c>
      <c r="F571" s="6" t="s">
        <v>2004</v>
      </c>
      <c r="G571" s="6" t="s">
        <v>2005</v>
      </c>
      <c r="H571" s="6" t="s">
        <v>2005</v>
      </c>
      <c r="I571" s="6" t="str">
        <f t="shared" si="16"/>
        <v>Standard Bucket</v>
      </c>
      <c r="J571" s="6" t="s">
        <v>114</v>
      </c>
      <c r="K571" s="6">
        <v>1</v>
      </c>
      <c r="P571" s="6">
        <f t="shared" si="17"/>
        <v>2300000</v>
      </c>
      <c r="R571" s="6" t="s">
        <v>2003</v>
      </c>
      <c r="T571" s="27" t="s">
        <v>2061</v>
      </c>
      <c r="U571" s="6">
        <v>2015</v>
      </c>
      <c r="V571" s="6">
        <v>1</v>
      </c>
      <c r="AD571" s="6" t="s">
        <v>45</v>
      </c>
      <c r="AJ571" s="31" t="s">
        <v>2116</v>
      </c>
      <c r="AK571" s="6">
        <v>1</v>
      </c>
      <c r="AL571" s="26">
        <v>2100000</v>
      </c>
      <c r="AM571" s="26">
        <v>2100000</v>
      </c>
      <c r="AN571" s="26">
        <v>2100000</v>
      </c>
      <c r="AO571" s="6" t="s">
        <v>2003</v>
      </c>
      <c r="AQ571" s="6" t="s">
        <v>1174</v>
      </c>
      <c r="AU571" s="6">
        <v>225197</v>
      </c>
    </row>
    <row r="572" spans="1:47" x14ac:dyDescent="0.3">
      <c r="A572" s="28" t="s">
        <v>42</v>
      </c>
      <c r="B572" s="6" t="s">
        <v>2184</v>
      </c>
      <c r="C572" s="6" t="s">
        <v>1972</v>
      </c>
      <c r="D572" s="6" t="s">
        <v>2100</v>
      </c>
      <c r="E572" s="6">
        <v>1</v>
      </c>
      <c r="F572" s="6" t="s">
        <v>2004</v>
      </c>
      <c r="G572" s="6" t="s">
        <v>2005</v>
      </c>
      <c r="H572" s="6" t="s">
        <v>2005</v>
      </c>
      <c r="I572" s="6" t="str">
        <f t="shared" si="16"/>
        <v>Stone Grapple</v>
      </c>
      <c r="J572" s="6" t="s">
        <v>624</v>
      </c>
      <c r="K572" s="6">
        <v>1</v>
      </c>
      <c r="P572" s="6">
        <f t="shared" si="17"/>
        <v>6000000</v>
      </c>
      <c r="R572" s="6" t="s">
        <v>2003</v>
      </c>
      <c r="T572" s="6" t="s">
        <v>789</v>
      </c>
      <c r="U572" s="6">
        <v>2014</v>
      </c>
      <c r="V572" s="6">
        <v>1</v>
      </c>
      <c r="AD572" s="6" t="s">
        <v>45</v>
      </c>
      <c r="AJ572" s="31" t="s">
        <v>2122</v>
      </c>
      <c r="AK572" s="6">
        <v>1</v>
      </c>
      <c r="AL572" s="26">
        <v>5500000</v>
      </c>
      <c r="AM572" s="26">
        <v>5500000</v>
      </c>
      <c r="AN572" s="26">
        <v>5500000</v>
      </c>
      <c r="AO572" s="6" t="s">
        <v>2003</v>
      </c>
      <c r="AQ572" s="6" t="s">
        <v>65</v>
      </c>
      <c r="AU572" s="6">
        <v>225198</v>
      </c>
    </row>
    <row r="573" spans="1:47" hidden="1" x14ac:dyDescent="0.3">
      <c r="A573" s="28" t="s">
        <v>42</v>
      </c>
      <c r="B573" s="6" t="s">
        <v>2192</v>
      </c>
      <c r="E573" s="6">
        <v>1</v>
      </c>
      <c r="F573" s="6" t="s">
        <v>2004</v>
      </c>
      <c r="G573" s="6" t="s">
        <v>2005</v>
      </c>
      <c r="H573" s="6" t="s">
        <v>2005</v>
      </c>
      <c r="I573" s="6" t="str">
        <f t="shared" si="16"/>
        <v>Lift Fork</v>
      </c>
      <c r="J573" s="6" t="s">
        <v>625</v>
      </c>
      <c r="K573" s="6">
        <v>1</v>
      </c>
      <c r="P573" s="6">
        <f t="shared" si="17"/>
        <v>1000000</v>
      </c>
      <c r="R573" s="6" t="s">
        <v>2003</v>
      </c>
      <c r="T573" s="6" t="s">
        <v>1007</v>
      </c>
      <c r="U573" s="6">
        <v>2016</v>
      </c>
      <c r="V573" s="6">
        <v>1</v>
      </c>
      <c r="AD573" s="6" t="s">
        <v>45</v>
      </c>
      <c r="AJ573" s="31" t="s">
        <v>2112</v>
      </c>
      <c r="AK573" s="6">
        <v>1</v>
      </c>
      <c r="AL573" s="26">
        <v>900000</v>
      </c>
      <c r="AM573" s="26">
        <v>900000</v>
      </c>
      <c r="AN573" s="26">
        <v>900000</v>
      </c>
      <c r="AO573" s="6" t="s">
        <v>2003</v>
      </c>
      <c r="AQ573" s="6" t="s">
        <v>1168</v>
      </c>
      <c r="AU573" s="6">
        <v>225208</v>
      </c>
    </row>
    <row r="574" spans="1:47" x14ac:dyDescent="0.3">
      <c r="A574" s="28" t="s">
        <v>42</v>
      </c>
      <c r="B574" s="6" t="s">
        <v>2184</v>
      </c>
      <c r="C574" s="6" t="s">
        <v>1972</v>
      </c>
      <c r="D574" s="6" t="s">
        <v>2100</v>
      </c>
      <c r="E574" s="6">
        <v>1</v>
      </c>
      <c r="F574" s="6" t="s">
        <v>2004</v>
      </c>
      <c r="G574" s="6" t="s">
        <v>2005</v>
      </c>
      <c r="H574" s="6" t="s">
        <v>2005</v>
      </c>
      <c r="I574" s="6" t="str">
        <f t="shared" si="16"/>
        <v>Stone Grapple</v>
      </c>
      <c r="J574" s="6" t="s">
        <v>168</v>
      </c>
      <c r="K574" s="6">
        <v>1</v>
      </c>
      <c r="P574" s="6">
        <f t="shared" si="17"/>
        <v>1400000</v>
      </c>
      <c r="R574" s="6" t="s">
        <v>2003</v>
      </c>
      <c r="T574" s="6" t="s">
        <v>51</v>
      </c>
      <c r="U574" s="6">
        <v>2015</v>
      </c>
      <c r="V574" s="6">
        <v>1</v>
      </c>
      <c r="AD574" s="6" t="s">
        <v>45</v>
      </c>
      <c r="AJ574" s="31" t="s">
        <v>2113</v>
      </c>
      <c r="AK574" s="6">
        <v>1</v>
      </c>
      <c r="AL574" s="26">
        <v>1300000</v>
      </c>
      <c r="AM574" s="26">
        <v>1300000</v>
      </c>
      <c r="AN574" s="26">
        <v>1300000</v>
      </c>
      <c r="AO574" s="6" t="s">
        <v>2003</v>
      </c>
      <c r="AQ574" s="6" t="s">
        <v>49</v>
      </c>
      <c r="AU574" s="6">
        <v>225216</v>
      </c>
    </row>
    <row r="575" spans="1:47" x14ac:dyDescent="0.3">
      <c r="A575" s="28" t="s">
        <v>42</v>
      </c>
      <c r="B575" s="6" t="s">
        <v>2183</v>
      </c>
      <c r="C575" s="6" t="s">
        <v>1979</v>
      </c>
      <c r="D575" s="6" t="s">
        <v>2104</v>
      </c>
      <c r="E575" s="6">
        <v>1</v>
      </c>
      <c r="F575" s="6" t="s">
        <v>2004</v>
      </c>
      <c r="G575" s="6" t="s">
        <v>2005</v>
      </c>
      <c r="H575" s="6" t="s">
        <v>2005</v>
      </c>
      <c r="I575" s="6" t="str">
        <f t="shared" si="16"/>
        <v>Thumb Grapple</v>
      </c>
      <c r="J575" s="6" t="s">
        <v>117</v>
      </c>
      <c r="K575" s="6">
        <v>1</v>
      </c>
      <c r="P575" s="6">
        <f t="shared" si="17"/>
        <v>800000</v>
      </c>
      <c r="R575" s="6" t="s">
        <v>2003</v>
      </c>
      <c r="T575" s="6" t="s">
        <v>2012</v>
      </c>
      <c r="U575" s="6">
        <v>2013</v>
      </c>
      <c r="V575" s="6">
        <v>1</v>
      </c>
      <c r="AD575" s="6" t="s">
        <v>45</v>
      </c>
      <c r="AJ575" s="31" t="s">
        <v>2113</v>
      </c>
      <c r="AK575" s="6">
        <v>1</v>
      </c>
      <c r="AL575" s="26">
        <v>700000</v>
      </c>
      <c r="AM575" s="26">
        <v>700000</v>
      </c>
      <c r="AN575" s="26">
        <v>700000</v>
      </c>
      <c r="AO575" s="6" t="s">
        <v>2003</v>
      </c>
      <c r="AQ575" s="6" t="s">
        <v>49</v>
      </c>
      <c r="AU575" s="6">
        <v>225218</v>
      </c>
    </row>
    <row r="576" spans="1:47" x14ac:dyDescent="0.3">
      <c r="A576" s="28" t="s">
        <v>42</v>
      </c>
      <c r="B576" s="6" t="s">
        <v>2182</v>
      </c>
      <c r="C576" s="19" t="s">
        <v>2205</v>
      </c>
      <c r="D576" s="6" t="s">
        <v>2101</v>
      </c>
      <c r="E576" s="6">
        <v>1</v>
      </c>
      <c r="F576" s="6" t="s">
        <v>2004</v>
      </c>
      <c r="G576" s="6" t="s">
        <v>2005</v>
      </c>
      <c r="H576" s="6" t="s">
        <v>2005</v>
      </c>
      <c r="I576" s="6" t="str">
        <f t="shared" si="16"/>
        <v>Standard Bucket</v>
      </c>
      <c r="J576" s="6" t="s">
        <v>112</v>
      </c>
      <c r="K576" s="6">
        <v>1</v>
      </c>
      <c r="P576" s="6">
        <f t="shared" si="17"/>
        <v>4400000</v>
      </c>
      <c r="R576" s="6" t="s">
        <v>2003</v>
      </c>
      <c r="T576" s="6" t="s">
        <v>1008</v>
      </c>
      <c r="U576" s="6">
        <v>2016</v>
      </c>
      <c r="V576" s="6">
        <v>1</v>
      </c>
      <c r="AD576" s="6" t="s">
        <v>45</v>
      </c>
      <c r="AJ576" s="31" t="s">
        <v>2120</v>
      </c>
      <c r="AK576" s="6">
        <v>1</v>
      </c>
      <c r="AL576" s="26">
        <v>4200000</v>
      </c>
      <c r="AM576" s="26">
        <v>4200000</v>
      </c>
      <c r="AN576" s="26">
        <v>4200000</v>
      </c>
      <c r="AO576" s="6" t="s">
        <v>2003</v>
      </c>
      <c r="AQ576" s="6" t="s">
        <v>74</v>
      </c>
      <c r="AU576" s="6">
        <v>225228</v>
      </c>
    </row>
    <row r="577" spans="1:47" x14ac:dyDescent="0.3">
      <c r="A577" s="28" t="s">
        <v>42</v>
      </c>
      <c r="B577" s="6" t="s">
        <v>2182</v>
      </c>
      <c r="C577" s="19" t="s">
        <v>2205</v>
      </c>
      <c r="D577" s="6" t="s">
        <v>2105</v>
      </c>
      <c r="E577" s="6">
        <v>1</v>
      </c>
      <c r="F577" s="6" t="s">
        <v>2004</v>
      </c>
      <c r="G577" s="6" t="s">
        <v>2005</v>
      </c>
      <c r="H577" s="6" t="s">
        <v>2005</v>
      </c>
      <c r="I577" s="6" t="str">
        <f t="shared" si="16"/>
        <v>Standard Bucket</v>
      </c>
      <c r="J577" s="6" t="s">
        <v>114</v>
      </c>
      <c r="K577" s="6">
        <v>1</v>
      </c>
      <c r="P577" s="6">
        <f t="shared" si="17"/>
        <v>2500000</v>
      </c>
      <c r="R577" s="6" t="s">
        <v>2003</v>
      </c>
      <c r="T577" s="6" t="s">
        <v>1009</v>
      </c>
      <c r="U577" s="6">
        <v>2016</v>
      </c>
      <c r="V577" s="6">
        <v>1</v>
      </c>
      <c r="AD577" s="6" t="s">
        <v>45</v>
      </c>
      <c r="AJ577" s="31" t="s">
        <v>2120</v>
      </c>
      <c r="AK577" s="6">
        <v>1</v>
      </c>
      <c r="AL577" s="26">
        <v>2300000</v>
      </c>
      <c r="AM577" s="26">
        <v>2300000</v>
      </c>
      <c r="AN577" s="26">
        <v>2300000</v>
      </c>
      <c r="AO577" s="6" t="s">
        <v>2003</v>
      </c>
      <c r="AQ577" s="6" t="s">
        <v>74</v>
      </c>
      <c r="AU577" s="6">
        <v>225235</v>
      </c>
    </row>
    <row r="578" spans="1:47" x14ac:dyDescent="0.3">
      <c r="A578" s="28" t="s">
        <v>42</v>
      </c>
      <c r="B578" s="6" t="s">
        <v>2174</v>
      </c>
      <c r="C578" s="6" t="s">
        <v>1975</v>
      </c>
      <c r="D578" s="6" t="s">
        <v>2001</v>
      </c>
      <c r="E578" s="6">
        <v>1</v>
      </c>
      <c r="F578" s="6" t="s">
        <v>2004</v>
      </c>
      <c r="G578" s="6" t="s">
        <v>2005</v>
      </c>
      <c r="H578" s="6" t="s">
        <v>2005</v>
      </c>
      <c r="I578" s="6" t="str">
        <f t="shared" ref="I578:I641" si="18">IF(ISBLANK(C578),B578,C578)</f>
        <v>Side Breaker</v>
      </c>
      <c r="J578" s="6" t="s">
        <v>777</v>
      </c>
      <c r="K578" s="6">
        <v>1</v>
      </c>
      <c r="P578" s="6">
        <f t="shared" si="17"/>
        <v>12500000</v>
      </c>
      <c r="R578" s="6" t="s">
        <v>2003</v>
      </c>
      <c r="T578" s="6" t="s">
        <v>70</v>
      </c>
      <c r="U578" s="6">
        <v>2016</v>
      </c>
      <c r="V578" s="6">
        <v>1</v>
      </c>
      <c r="AD578" s="6" t="s">
        <v>45</v>
      </c>
      <c r="AJ578" s="31" t="s">
        <v>2113</v>
      </c>
      <c r="AK578" s="6">
        <v>1</v>
      </c>
      <c r="AL578" s="26">
        <v>12000000</v>
      </c>
      <c r="AM578" s="26">
        <v>12000000</v>
      </c>
      <c r="AN578" s="26">
        <v>12000000</v>
      </c>
      <c r="AO578" s="6" t="s">
        <v>2003</v>
      </c>
      <c r="AQ578" s="6" t="s">
        <v>71</v>
      </c>
      <c r="AU578" s="6">
        <v>225245</v>
      </c>
    </row>
    <row r="579" spans="1:47" x14ac:dyDescent="0.3">
      <c r="A579" s="28" t="s">
        <v>42</v>
      </c>
      <c r="B579" s="6" t="s">
        <v>2174</v>
      </c>
      <c r="C579" s="6" t="s">
        <v>1975</v>
      </c>
      <c r="D579" s="6" t="s">
        <v>2106</v>
      </c>
      <c r="E579" s="6">
        <v>1</v>
      </c>
      <c r="F579" s="6" t="s">
        <v>2004</v>
      </c>
      <c r="G579" s="6" t="s">
        <v>2005</v>
      </c>
      <c r="H579" s="6" t="s">
        <v>2005</v>
      </c>
      <c r="I579" s="6" t="str">
        <f t="shared" si="18"/>
        <v>Side Breaker</v>
      </c>
      <c r="J579" s="6" t="s">
        <v>742</v>
      </c>
      <c r="K579" s="6">
        <v>1</v>
      </c>
      <c r="P579" s="6">
        <f t="shared" ref="P579:P642" si="19">IF(AM579&lt;500000,AM579+50000,IF(AND(AM579&gt;=500000,AM579&lt;2000000),AM579+100000,IF(AND(AM579&gt;=2000000,AM579&lt;5000000),AM579+200000,IF(AM579&gt;=5000000,AM579+500000,AM579))))</f>
        <v>1700000</v>
      </c>
      <c r="R579" s="6" t="s">
        <v>2003</v>
      </c>
      <c r="T579" s="6" t="s">
        <v>837</v>
      </c>
      <c r="U579" s="6">
        <v>2015</v>
      </c>
      <c r="V579" s="6">
        <v>1</v>
      </c>
      <c r="AD579" s="6" t="s">
        <v>45</v>
      </c>
      <c r="AJ579" s="31" t="s">
        <v>2113</v>
      </c>
      <c r="AK579" s="6">
        <v>1</v>
      </c>
      <c r="AL579" s="26">
        <v>1600000</v>
      </c>
      <c r="AM579" s="26">
        <v>1600000</v>
      </c>
      <c r="AN579" s="26">
        <v>1600000</v>
      </c>
      <c r="AO579" s="6" t="s">
        <v>2003</v>
      </c>
      <c r="AQ579" s="6" t="s">
        <v>71</v>
      </c>
      <c r="AU579" s="6">
        <v>225246</v>
      </c>
    </row>
    <row r="580" spans="1:47" hidden="1" x14ac:dyDescent="0.3">
      <c r="A580" s="28" t="s">
        <v>42</v>
      </c>
      <c r="B580" s="6" t="s">
        <v>2199</v>
      </c>
      <c r="E580" s="6">
        <v>1</v>
      </c>
      <c r="F580" s="6" t="s">
        <v>2004</v>
      </c>
      <c r="G580" s="6" t="s">
        <v>2005</v>
      </c>
      <c r="H580" s="6" t="s">
        <v>2005</v>
      </c>
      <c r="I580" s="6" t="str">
        <f t="shared" si="18"/>
        <v>Quick Coupler</v>
      </c>
      <c r="J580" s="6" t="s">
        <v>222</v>
      </c>
      <c r="K580" s="6">
        <v>1</v>
      </c>
      <c r="P580" s="6">
        <f t="shared" si="19"/>
        <v>800000</v>
      </c>
      <c r="R580" s="6" t="s">
        <v>2003</v>
      </c>
      <c r="T580" s="6" t="s">
        <v>2012</v>
      </c>
      <c r="U580" s="6">
        <v>2014</v>
      </c>
      <c r="V580" s="6">
        <v>1</v>
      </c>
      <c r="AD580" s="6" t="s">
        <v>45</v>
      </c>
      <c r="AJ580" s="31" t="s">
        <v>2113</v>
      </c>
      <c r="AK580" s="6">
        <v>1</v>
      </c>
      <c r="AL580" s="26">
        <v>700000</v>
      </c>
      <c r="AM580" s="26">
        <v>700000</v>
      </c>
      <c r="AN580" s="26">
        <v>700000</v>
      </c>
      <c r="AO580" s="6" t="s">
        <v>2003</v>
      </c>
      <c r="AQ580" s="6" t="s">
        <v>49</v>
      </c>
      <c r="AU580" s="6">
        <v>225250</v>
      </c>
    </row>
    <row r="581" spans="1:47" x14ac:dyDescent="0.3">
      <c r="A581" s="28" t="s">
        <v>42</v>
      </c>
      <c r="B581" s="6" t="s">
        <v>2204</v>
      </c>
      <c r="C581" s="19" t="s">
        <v>2213</v>
      </c>
      <c r="D581" s="6" t="s">
        <v>2100</v>
      </c>
      <c r="E581" s="6">
        <v>1</v>
      </c>
      <c r="F581" s="6" t="s">
        <v>2004</v>
      </c>
      <c r="G581" s="6" t="s">
        <v>2005</v>
      </c>
      <c r="H581" s="6" t="s">
        <v>2005</v>
      </c>
      <c r="I581" s="6" t="str">
        <f t="shared" si="18"/>
        <v>Wood Grapple</v>
      </c>
      <c r="J581" s="6" t="s">
        <v>398</v>
      </c>
      <c r="K581" s="6">
        <v>1</v>
      </c>
      <c r="P581" s="6">
        <f t="shared" si="19"/>
        <v>2200000</v>
      </c>
      <c r="R581" s="6" t="s">
        <v>2003</v>
      </c>
      <c r="T581" s="6" t="s">
        <v>1010</v>
      </c>
      <c r="U581" s="6">
        <v>2010</v>
      </c>
      <c r="V581" s="6">
        <v>1</v>
      </c>
      <c r="AD581" s="6" t="s">
        <v>45</v>
      </c>
      <c r="AJ581" s="31" t="s">
        <v>2114</v>
      </c>
      <c r="AK581" s="6">
        <v>1</v>
      </c>
      <c r="AL581" s="26">
        <v>2000000</v>
      </c>
      <c r="AM581" s="26">
        <v>2000000</v>
      </c>
      <c r="AN581" s="26">
        <v>2000000</v>
      </c>
      <c r="AO581" s="6" t="s">
        <v>2003</v>
      </c>
      <c r="AQ581" s="6" t="s">
        <v>830</v>
      </c>
      <c r="AU581" s="6">
        <v>225254</v>
      </c>
    </row>
    <row r="582" spans="1:47" x14ac:dyDescent="0.3">
      <c r="A582" s="28" t="s">
        <v>42</v>
      </c>
      <c r="B582" s="6" t="s">
        <v>2182</v>
      </c>
      <c r="C582" s="6" t="s">
        <v>1980</v>
      </c>
      <c r="D582" s="6" t="s">
        <v>2105</v>
      </c>
      <c r="E582" s="6">
        <v>1</v>
      </c>
      <c r="F582" s="6" t="s">
        <v>2004</v>
      </c>
      <c r="G582" s="6" t="s">
        <v>2005</v>
      </c>
      <c r="H582" s="6" t="s">
        <v>2005</v>
      </c>
      <c r="I582" s="6" t="str">
        <f t="shared" si="18"/>
        <v>Small Bucket</v>
      </c>
      <c r="J582" s="6" t="s">
        <v>626</v>
      </c>
      <c r="K582" s="6">
        <v>1</v>
      </c>
      <c r="P582" s="6">
        <f t="shared" si="19"/>
        <v>2000000</v>
      </c>
      <c r="R582" s="6" t="s">
        <v>2003</v>
      </c>
      <c r="T582" s="6" t="s">
        <v>1011</v>
      </c>
      <c r="U582" s="6">
        <v>2016</v>
      </c>
      <c r="V582" s="6">
        <v>1</v>
      </c>
      <c r="AD582" s="6" t="s">
        <v>45</v>
      </c>
      <c r="AJ582" s="31" t="s">
        <v>2120</v>
      </c>
      <c r="AK582" s="6">
        <v>1</v>
      </c>
      <c r="AL582" s="26">
        <v>1900000</v>
      </c>
      <c r="AM582" s="26">
        <v>1900000</v>
      </c>
      <c r="AN582" s="26">
        <v>1900000</v>
      </c>
      <c r="AO582" s="6" t="s">
        <v>2003</v>
      </c>
      <c r="AQ582" s="6" t="s">
        <v>74</v>
      </c>
      <c r="AU582" s="6">
        <v>225261</v>
      </c>
    </row>
    <row r="583" spans="1:47" x14ac:dyDescent="0.3">
      <c r="A583" s="28" t="s">
        <v>42</v>
      </c>
      <c r="B583" s="6" t="s">
        <v>2174</v>
      </c>
      <c r="C583" s="6" t="s">
        <v>1975</v>
      </c>
      <c r="D583" s="6" t="s">
        <v>2101</v>
      </c>
      <c r="E583" s="6">
        <v>1</v>
      </c>
      <c r="F583" s="6" t="s">
        <v>2004</v>
      </c>
      <c r="G583" s="6" t="s">
        <v>2005</v>
      </c>
      <c r="H583" s="6" t="s">
        <v>2005</v>
      </c>
      <c r="I583" s="6" t="str">
        <f t="shared" si="18"/>
        <v>Side Breaker</v>
      </c>
      <c r="J583" s="6" t="s">
        <v>627</v>
      </c>
      <c r="K583" s="6">
        <v>1</v>
      </c>
      <c r="P583" s="6">
        <f t="shared" si="19"/>
        <v>15500000</v>
      </c>
      <c r="R583" s="6" t="s">
        <v>2003</v>
      </c>
      <c r="T583" s="6" t="s">
        <v>54</v>
      </c>
      <c r="U583" s="6">
        <v>2011</v>
      </c>
      <c r="V583" s="6">
        <v>1</v>
      </c>
      <c r="AD583" s="6" t="s">
        <v>45</v>
      </c>
      <c r="AJ583" s="31" t="s">
        <v>2114</v>
      </c>
      <c r="AK583" s="6">
        <v>1</v>
      </c>
      <c r="AL583" s="26">
        <v>15000000</v>
      </c>
      <c r="AM583" s="26">
        <v>15000000</v>
      </c>
      <c r="AN583" s="26">
        <v>15000000</v>
      </c>
      <c r="AO583" s="6" t="s">
        <v>2003</v>
      </c>
      <c r="AQ583" s="6" t="s">
        <v>54</v>
      </c>
      <c r="AU583" s="6">
        <v>225267</v>
      </c>
    </row>
    <row r="584" spans="1:47" hidden="1" x14ac:dyDescent="0.3">
      <c r="A584" s="28" t="s">
        <v>42</v>
      </c>
      <c r="B584" s="6" t="s">
        <v>2183</v>
      </c>
      <c r="E584" s="6">
        <v>1</v>
      </c>
      <c r="F584" s="6" t="s">
        <v>2004</v>
      </c>
      <c r="G584" s="6" t="s">
        <v>2005</v>
      </c>
      <c r="H584" s="6" t="s">
        <v>2005</v>
      </c>
      <c r="I584" s="6" t="str">
        <f t="shared" si="18"/>
        <v>ETC</v>
      </c>
      <c r="J584" s="6" t="s">
        <v>601</v>
      </c>
      <c r="K584" s="6">
        <v>1</v>
      </c>
      <c r="P584" s="6">
        <f t="shared" si="19"/>
        <v>1700000</v>
      </c>
      <c r="R584" s="6" t="s">
        <v>2003</v>
      </c>
      <c r="T584" s="6" t="s">
        <v>1012</v>
      </c>
      <c r="U584" s="6">
        <v>2017</v>
      </c>
      <c r="V584" s="6">
        <v>1</v>
      </c>
      <c r="AD584" s="6" t="s">
        <v>45</v>
      </c>
      <c r="AJ584" s="31" t="s">
        <v>2112</v>
      </c>
      <c r="AK584" s="6">
        <v>1</v>
      </c>
      <c r="AL584" s="26">
        <v>1600000</v>
      </c>
      <c r="AM584" s="26">
        <v>1600000</v>
      </c>
      <c r="AN584" s="26">
        <v>1600000</v>
      </c>
      <c r="AO584" s="6" t="s">
        <v>2003</v>
      </c>
      <c r="AQ584" s="6" t="s">
        <v>1239</v>
      </c>
      <c r="AU584" s="6">
        <v>225268</v>
      </c>
    </row>
    <row r="585" spans="1:47" x14ac:dyDescent="0.3">
      <c r="A585" s="28" t="s">
        <v>42</v>
      </c>
      <c r="B585" s="6" t="s">
        <v>2183</v>
      </c>
      <c r="D585" s="6" t="s">
        <v>2104</v>
      </c>
      <c r="E585" s="6">
        <v>1</v>
      </c>
      <c r="F585" s="6" t="s">
        <v>2004</v>
      </c>
      <c r="G585" s="6" t="s">
        <v>2005</v>
      </c>
      <c r="H585" s="6" t="s">
        <v>2005</v>
      </c>
      <c r="I585" s="6" t="str">
        <f t="shared" si="18"/>
        <v>ETC</v>
      </c>
      <c r="J585" s="6" t="s">
        <v>115</v>
      </c>
      <c r="K585" s="6">
        <v>1</v>
      </c>
      <c r="P585" s="6">
        <f t="shared" si="19"/>
        <v>1500000</v>
      </c>
      <c r="R585" s="6" t="s">
        <v>2003</v>
      </c>
      <c r="T585" s="6" t="s">
        <v>2062</v>
      </c>
      <c r="U585" s="6">
        <v>2017</v>
      </c>
      <c r="V585" s="6">
        <v>2</v>
      </c>
      <c r="AD585" s="6" t="s">
        <v>45</v>
      </c>
      <c r="AJ585" s="31" t="s">
        <v>2124</v>
      </c>
      <c r="AK585" s="6">
        <v>1</v>
      </c>
      <c r="AL585" s="26">
        <v>1400000</v>
      </c>
      <c r="AM585" s="26">
        <v>1400000</v>
      </c>
      <c r="AN585" s="26">
        <v>1400000</v>
      </c>
      <c r="AO585" s="6" t="s">
        <v>2003</v>
      </c>
      <c r="AQ585" s="6" t="s">
        <v>1144</v>
      </c>
      <c r="AU585" s="6">
        <v>225272</v>
      </c>
    </row>
    <row r="586" spans="1:47" x14ac:dyDescent="0.3">
      <c r="A586" s="28" t="s">
        <v>42</v>
      </c>
      <c r="B586" s="6" t="s">
        <v>2204</v>
      </c>
      <c r="C586" s="6" t="s">
        <v>1979</v>
      </c>
      <c r="D586" s="6" t="s">
        <v>2105</v>
      </c>
      <c r="E586" s="6">
        <v>1</v>
      </c>
      <c r="F586" s="6" t="s">
        <v>2004</v>
      </c>
      <c r="G586" s="6" t="s">
        <v>2005</v>
      </c>
      <c r="H586" s="6" t="s">
        <v>2005</v>
      </c>
      <c r="I586" s="6" t="str">
        <f t="shared" si="18"/>
        <v>Thumb Grapple</v>
      </c>
      <c r="J586" s="6" t="s">
        <v>628</v>
      </c>
      <c r="K586" s="6">
        <v>1</v>
      </c>
      <c r="P586" s="6">
        <f t="shared" si="19"/>
        <v>4700000</v>
      </c>
      <c r="R586" s="6" t="s">
        <v>2003</v>
      </c>
      <c r="T586" s="6" t="s">
        <v>54</v>
      </c>
      <c r="U586" s="6">
        <v>2014</v>
      </c>
      <c r="V586" s="6">
        <v>1</v>
      </c>
      <c r="AD586" s="6" t="s">
        <v>45</v>
      </c>
      <c r="AJ586" s="31" t="s">
        <v>2114</v>
      </c>
      <c r="AK586" s="6">
        <v>1</v>
      </c>
      <c r="AL586" s="26">
        <v>4500000</v>
      </c>
      <c r="AM586" s="26">
        <v>4500000</v>
      </c>
      <c r="AN586" s="26">
        <v>4500000</v>
      </c>
      <c r="AO586" s="6" t="s">
        <v>2003</v>
      </c>
      <c r="AQ586" s="6" t="s">
        <v>54</v>
      </c>
      <c r="AU586" s="6">
        <v>225276</v>
      </c>
    </row>
    <row r="587" spans="1:47" x14ac:dyDescent="0.3">
      <c r="A587" s="28" t="s">
        <v>42</v>
      </c>
      <c r="B587" s="6" t="s">
        <v>2204</v>
      </c>
      <c r="C587" s="6" t="s">
        <v>1979</v>
      </c>
      <c r="D587" s="6" t="s">
        <v>2104</v>
      </c>
      <c r="E587" s="6">
        <v>1</v>
      </c>
      <c r="F587" s="6" t="s">
        <v>2004</v>
      </c>
      <c r="G587" s="6" t="s">
        <v>2005</v>
      </c>
      <c r="H587" s="6" t="s">
        <v>2005</v>
      </c>
      <c r="I587" s="6" t="str">
        <f t="shared" si="18"/>
        <v>Thumb Grapple</v>
      </c>
      <c r="J587" s="6" t="s">
        <v>117</v>
      </c>
      <c r="K587" s="6">
        <v>1</v>
      </c>
      <c r="P587" s="6">
        <f t="shared" si="19"/>
        <v>600000</v>
      </c>
      <c r="R587" s="6" t="s">
        <v>2003</v>
      </c>
      <c r="T587" s="6" t="s">
        <v>54</v>
      </c>
      <c r="U587" s="6">
        <v>2009</v>
      </c>
      <c r="V587" s="6">
        <v>1</v>
      </c>
      <c r="AD587" s="6" t="s">
        <v>45</v>
      </c>
      <c r="AJ587" s="31" t="s">
        <v>2114</v>
      </c>
      <c r="AK587" s="6">
        <v>1</v>
      </c>
      <c r="AL587" s="26">
        <v>500000</v>
      </c>
      <c r="AM587" s="26">
        <v>500000</v>
      </c>
      <c r="AN587" s="26">
        <v>500000</v>
      </c>
      <c r="AO587" s="6" t="s">
        <v>2003</v>
      </c>
      <c r="AQ587" s="6" t="s">
        <v>54</v>
      </c>
      <c r="AU587" s="6">
        <v>225283</v>
      </c>
    </row>
    <row r="588" spans="1:47" x14ac:dyDescent="0.3">
      <c r="A588" s="28" t="s">
        <v>42</v>
      </c>
      <c r="B588" s="6" t="s">
        <v>2214</v>
      </c>
      <c r="D588" s="6" t="s">
        <v>2104</v>
      </c>
      <c r="E588" s="6">
        <v>1</v>
      </c>
      <c r="F588" s="6" t="s">
        <v>2004</v>
      </c>
      <c r="G588" s="6" t="s">
        <v>2005</v>
      </c>
      <c r="H588" s="6" t="s">
        <v>2005</v>
      </c>
      <c r="I588" s="6" t="str">
        <f t="shared" si="18"/>
        <v>Lift Fork</v>
      </c>
      <c r="J588" s="6" t="s">
        <v>178</v>
      </c>
      <c r="K588" s="6">
        <v>1</v>
      </c>
      <c r="P588" s="6">
        <f t="shared" si="19"/>
        <v>900000</v>
      </c>
      <c r="R588" s="6" t="s">
        <v>2003</v>
      </c>
      <c r="T588" s="6" t="s">
        <v>794</v>
      </c>
      <c r="U588" s="6">
        <v>2015</v>
      </c>
      <c r="V588" s="6">
        <v>1</v>
      </c>
      <c r="AD588" s="6" t="s">
        <v>45</v>
      </c>
      <c r="AJ588" s="31" t="s">
        <v>2122</v>
      </c>
      <c r="AK588" s="6">
        <v>1</v>
      </c>
      <c r="AL588" s="26">
        <v>800000</v>
      </c>
      <c r="AM588" s="26">
        <v>800000</v>
      </c>
      <c r="AN588" s="26">
        <v>800000</v>
      </c>
      <c r="AO588" s="6" t="s">
        <v>2003</v>
      </c>
      <c r="AQ588" s="6" t="s">
        <v>1154</v>
      </c>
      <c r="AU588" s="6">
        <v>225284</v>
      </c>
    </row>
    <row r="589" spans="1:47" x14ac:dyDescent="0.3">
      <c r="A589" s="28" t="s">
        <v>42</v>
      </c>
      <c r="B589" s="6" t="s">
        <v>2174</v>
      </c>
      <c r="C589" s="6" t="s">
        <v>1975</v>
      </c>
      <c r="D589" s="6" t="s">
        <v>2100</v>
      </c>
      <c r="E589" s="6">
        <v>1</v>
      </c>
      <c r="F589" s="6" t="s">
        <v>2004</v>
      </c>
      <c r="G589" s="6" t="s">
        <v>2005</v>
      </c>
      <c r="H589" s="6" t="s">
        <v>2005</v>
      </c>
      <c r="I589" s="6" t="str">
        <f t="shared" si="18"/>
        <v>Side Breaker</v>
      </c>
      <c r="J589" s="6" t="s">
        <v>171</v>
      </c>
      <c r="K589" s="6">
        <v>1</v>
      </c>
      <c r="P589" s="6">
        <f t="shared" si="19"/>
        <v>2000000</v>
      </c>
      <c r="R589" s="6" t="s">
        <v>2003</v>
      </c>
      <c r="T589" s="6" t="s">
        <v>846</v>
      </c>
      <c r="U589" s="6">
        <v>2017</v>
      </c>
      <c r="V589" s="6">
        <v>1</v>
      </c>
      <c r="AD589" s="6" t="s">
        <v>45</v>
      </c>
      <c r="AJ589" s="31" t="s">
        <v>2113</v>
      </c>
      <c r="AK589" s="6">
        <v>1</v>
      </c>
      <c r="AL589" s="26">
        <v>1900000</v>
      </c>
      <c r="AM589" s="26">
        <v>1900000</v>
      </c>
      <c r="AN589" s="26">
        <v>1900000</v>
      </c>
      <c r="AO589" s="6" t="s">
        <v>2003</v>
      </c>
      <c r="AQ589" s="6" t="s">
        <v>49</v>
      </c>
      <c r="AU589" s="6">
        <v>225285</v>
      </c>
    </row>
    <row r="590" spans="1:47" hidden="1" x14ac:dyDescent="0.3">
      <c r="A590" s="28" t="s">
        <v>42</v>
      </c>
      <c r="B590" s="6" t="s">
        <v>2183</v>
      </c>
      <c r="E590" s="6">
        <v>1</v>
      </c>
      <c r="F590" s="6" t="s">
        <v>2004</v>
      </c>
      <c r="G590" s="6" t="s">
        <v>2005</v>
      </c>
      <c r="H590" s="6" t="s">
        <v>2005</v>
      </c>
      <c r="I590" s="6" t="str">
        <f t="shared" si="18"/>
        <v>ETC</v>
      </c>
      <c r="J590" s="6" t="s">
        <v>111</v>
      </c>
      <c r="K590" s="6">
        <v>1</v>
      </c>
      <c r="P590" s="6">
        <f t="shared" si="19"/>
        <v>8500000</v>
      </c>
      <c r="R590" s="6" t="s">
        <v>2003</v>
      </c>
      <c r="T590" s="6" t="s">
        <v>1013</v>
      </c>
      <c r="U590" s="6">
        <v>2014</v>
      </c>
      <c r="V590" s="6">
        <v>9</v>
      </c>
      <c r="AD590" s="6" t="s">
        <v>45</v>
      </c>
      <c r="AJ590" s="31" t="s">
        <v>2114</v>
      </c>
      <c r="AK590" s="6">
        <v>1</v>
      </c>
      <c r="AL590" s="26">
        <v>8000000</v>
      </c>
      <c r="AM590" s="26">
        <v>8000000</v>
      </c>
      <c r="AN590" s="26">
        <v>8000000</v>
      </c>
      <c r="AO590" s="6" t="s">
        <v>2003</v>
      </c>
      <c r="AQ590" s="6" t="s">
        <v>57</v>
      </c>
      <c r="AU590" s="6">
        <v>225291</v>
      </c>
    </row>
    <row r="591" spans="1:47" hidden="1" x14ac:dyDescent="0.3">
      <c r="A591" s="28" t="s">
        <v>42</v>
      </c>
      <c r="B591" s="6" t="s">
        <v>2174</v>
      </c>
      <c r="C591" s="6" t="s">
        <v>1975</v>
      </c>
      <c r="E591" s="6">
        <v>1</v>
      </c>
      <c r="F591" s="6" t="s">
        <v>2004</v>
      </c>
      <c r="G591" s="6" t="s">
        <v>2005</v>
      </c>
      <c r="H591" s="6" t="s">
        <v>2005</v>
      </c>
      <c r="I591" s="6" t="str">
        <f t="shared" si="18"/>
        <v>Side Breaker</v>
      </c>
      <c r="J591" s="6" t="s">
        <v>629</v>
      </c>
      <c r="K591" s="6">
        <v>1</v>
      </c>
      <c r="P591" s="6">
        <f t="shared" si="19"/>
        <v>1900000</v>
      </c>
      <c r="R591" s="6" t="s">
        <v>2003</v>
      </c>
      <c r="T591" s="6" t="s">
        <v>2007</v>
      </c>
      <c r="U591" s="6">
        <v>2017</v>
      </c>
      <c r="V591" s="6">
        <v>1</v>
      </c>
      <c r="AD591" s="6" t="s">
        <v>45</v>
      </c>
      <c r="AJ591" s="31" t="s">
        <v>2113</v>
      </c>
      <c r="AK591" s="6">
        <v>1</v>
      </c>
      <c r="AL591" s="26">
        <v>1800000</v>
      </c>
      <c r="AM591" s="26">
        <v>1800000</v>
      </c>
      <c r="AN591" s="26">
        <v>1800000</v>
      </c>
      <c r="AO591" s="6" t="s">
        <v>2003</v>
      </c>
      <c r="AQ591" s="6" t="s">
        <v>49</v>
      </c>
      <c r="AU591" s="6">
        <v>225293</v>
      </c>
    </row>
    <row r="592" spans="1:47" x14ac:dyDescent="0.3">
      <c r="A592" s="28" t="s">
        <v>42</v>
      </c>
      <c r="B592" s="6" t="s">
        <v>2175</v>
      </c>
      <c r="C592" s="19" t="s">
        <v>2207</v>
      </c>
      <c r="D592" s="6" t="s">
        <v>2105</v>
      </c>
      <c r="E592" s="6">
        <v>1</v>
      </c>
      <c r="F592" s="6" t="s">
        <v>2004</v>
      </c>
      <c r="G592" s="6" t="s">
        <v>2005</v>
      </c>
      <c r="H592" s="6" t="s">
        <v>2005</v>
      </c>
      <c r="I592" s="6" t="str">
        <f t="shared" si="18"/>
        <v>Hydraulic Crusher</v>
      </c>
      <c r="J592" s="6" t="s">
        <v>273</v>
      </c>
      <c r="K592" s="6">
        <v>1</v>
      </c>
      <c r="P592" s="6">
        <f t="shared" si="19"/>
        <v>17000000</v>
      </c>
      <c r="R592" s="6" t="s">
        <v>2003</v>
      </c>
      <c r="T592" s="6" t="s">
        <v>813</v>
      </c>
      <c r="U592" s="6">
        <v>2014</v>
      </c>
      <c r="V592" s="6">
        <v>1</v>
      </c>
      <c r="AD592" s="6" t="s">
        <v>45</v>
      </c>
      <c r="AJ592" s="31" t="s">
        <v>2113</v>
      </c>
      <c r="AK592" s="6">
        <v>1</v>
      </c>
      <c r="AL592" s="26">
        <v>16500000</v>
      </c>
      <c r="AM592" s="26">
        <v>16500000</v>
      </c>
      <c r="AN592" s="26">
        <v>16500000</v>
      </c>
      <c r="AO592" s="6" t="s">
        <v>2003</v>
      </c>
      <c r="AQ592" s="6" t="s">
        <v>79</v>
      </c>
      <c r="AU592" s="6">
        <v>225297</v>
      </c>
    </row>
    <row r="593" spans="1:47" x14ac:dyDescent="0.3">
      <c r="A593" s="28" t="s">
        <v>42</v>
      </c>
      <c r="B593" s="6" t="s">
        <v>2177</v>
      </c>
      <c r="C593" s="6" t="s">
        <v>1972</v>
      </c>
      <c r="D593" s="6" t="s">
        <v>2103</v>
      </c>
      <c r="E593" s="6">
        <v>1</v>
      </c>
      <c r="F593" s="6" t="s">
        <v>2004</v>
      </c>
      <c r="G593" s="6" t="s">
        <v>2005</v>
      </c>
      <c r="H593" s="6" t="s">
        <v>2005</v>
      </c>
      <c r="I593" s="6" t="str">
        <f t="shared" si="18"/>
        <v>Stone Grapple</v>
      </c>
      <c r="J593" s="6" t="s">
        <v>94</v>
      </c>
      <c r="K593" s="6">
        <v>1</v>
      </c>
      <c r="P593" s="6">
        <f t="shared" si="19"/>
        <v>3400000</v>
      </c>
      <c r="R593" s="6" t="s">
        <v>2003</v>
      </c>
      <c r="T593" s="6" t="s">
        <v>813</v>
      </c>
      <c r="U593" s="6">
        <v>2013</v>
      </c>
      <c r="V593" s="6">
        <v>1</v>
      </c>
      <c r="AD593" s="6" t="s">
        <v>45</v>
      </c>
      <c r="AJ593" s="31" t="s">
        <v>2113</v>
      </c>
      <c r="AK593" s="6">
        <v>1</v>
      </c>
      <c r="AL593" s="26">
        <v>3200000</v>
      </c>
      <c r="AM593" s="26">
        <v>3200000</v>
      </c>
      <c r="AN593" s="26">
        <v>3200000</v>
      </c>
      <c r="AO593" s="6" t="s">
        <v>2003</v>
      </c>
      <c r="AQ593" s="6" t="s">
        <v>80</v>
      </c>
      <c r="AU593" s="6">
        <v>225298</v>
      </c>
    </row>
    <row r="594" spans="1:47" hidden="1" x14ac:dyDescent="0.3">
      <c r="A594" s="28" t="s">
        <v>42</v>
      </c>
      <c r="B594" s="6" t="s">
        <v>2181</v>
      </c>
      <c r="E594" s="6">
        <v>1</v>
      </c>
      <c r="F594" s="6" t="s">
        <v>2004</v>
      </c>
      <c r="G594" s="6" t="s">
        <v>2005</v>
      </c>
      <c r="H594" s="6" t="s">
        <v>2005</v>
      </c>
      <c r="I594" s="6" t="str">
        <f t="shared" si="18"/>
        <v>ETC</v>
      </c>
      <c r="J594" s="6" t="s">
        <v>630</v>
      </c>
      <c r="K594" s="6">
        <v>1</v>
      </c>
      <c r="P594" s="6">
        <f t="shared" si="19"/>
        <v>79500000</v>
      </c>
      <c r="R594" s="6" t="s">
        <v>2003</v>
      </c>
      <c r="T594" s="6" t="s">
        <v>2063</v>
      </c>
      <c r="U594" s="6">
        <v>2012</v>
      </c>
      <c r="V594" s="6">
        <v>7</v>
      </c>
      <c r="AD594" s="6" t="s">
        <v>45</v>
      </c>
      <c r="AJ594" s="31" t="s">
        <v>2113</v>
      </c>
      <c r="AK594" s="6">
        <v>1</v>
      </c>
      <c r="AL594" s="26">
        <v>79000000</v>
      </c>
      <c r="AM594" s="26">
        <v>79000000</v>
      </c>
      <c r="AN594" s="26">
        <v>79000000</v>
      </c>
      <c r="AO594" s="6" t="s">
        <v>2003</v>
      </c>
      <c r="AQ594" s="6" t="s">
        <v>1291</v>
      </c>
      <c r="AU594" s="6">
        <v>225301</v>
      </c>
    </row>
    <row r="595" spans="1:47" x14ac:dyDescent="0.3">
      <c r="A595" s="28" t="s">
        <v>42</v>
      </c>
      <c r="B595" s="6" t="s">
        <v>2177</v>
      </c>
      <c r="C595" s="6" t="s">
        <v>1979</v>
      </c>
      <c r="D595" s="6" t="s">
        <v>2103</v>
      </c>
      <c r="E595" s="6">
        <v>1</v>
      </c>
      <c r="F595" s="6" t="s">
        <v>2004</v>
      </c>
      <c r="G595" s="6" t="s">
        <v>2005</v>
      </c>
      <c r="H595" s="6" t="s">
        <v>2005</v>
      </c>
      <c r="I595" s="6" t="str">
        <f t="shared" si="18"/>
        <v>Thumb Grapple</v>
      </c>
      <c r="J595" s="6" t="s">
        <v>631</v>
      </c>
      <c r="K595" s="6">
        <v>1</v>
      </c>
      <c r="P595" s="6">
        <f t="shared" si="19"/>
        <v>2200000</v>
      </c>
      <c r="R595" s="6" t="s">
        <v>2003</v>
      </c>
      <c r="T595" s="6" t="s">
        <v>813</v>
      </c>
      <c r="U595" s="6">
        <v>2013</v>
      </c>
      <c r="V595" s="6">
        <v>1</v>
      </c>
      <c r="AD595" s="6" t="s">
        <v>45</v>
      </c>
      <c r="AJ595" s="31" t="s">
        <v>2113</v>
      </c>
      <c r="AK595" s="6">
        <v>1</v>
      </c>
      <c r="AL595" s="26">
        <v>2000000</v>
      </c>
      <c r="AM595" s="26">
        <v>2000000</v>
      </c>
      <c r="AN595" s="26">
        <v>2000000</v>
      </c>
      <c r="AO595" s="6" t="s">
        <v>2003</v>
      </c>
      <c r="AQ595" s="6" t="s">
        <v>79</v>
      </c>
      <c r="AU595" s="6">
        <v>225303</v>
      </c>
    </row>
    <row r="596" spans="1:47" x14ac:dyDescent="0.3">
      <c r="A596" s="28" t="s">
        <v>42</v>
      </c>
      <c r="B596" s="6" t="s">
        <v>2179</v>
      </c>
      <c r="C596" s="6" t="s">
        <v>1976</v>
      </c>
      <c r="D596" s="6" t="s">
        <v>2103</v>
      </c>
      <c r="E596" s="6">
        <v>1</v>
      </c>
      <c r="F596" s="6" t="s">
        <v>2004</v>
      </c>
      <c r="G596" s="6" t="s">
        <v>2005</v>
      </c>
      <c r="H596" s="6" t="s">
        <v>2005</v>
      </c>
      <c r="I596" s="6" t="str">
        <f t="shared" si="18"/>
        <v>Skeleton Bucket</v>
      </c>
      <c r="J596" s="6" t="s">
        <v>486</v>
      </c>
      <c r="K596" s="6">
        <v>1</v>
      </c>
      <c r="P596" s="6">
        <f t="shared" si="19"/>
        <v>2500000</v>
      </c>
      <c r="R596" s="6" t="s">
        <v>2003</v>
      </c>
      <c r="T596" s="6" t="s">
        <v>813</v>
      </c>
      <c r="U596" s="6">
        <v>2013</v>
      </c>
      <c r="V596" s="6">
        <v>1</v>
      </c>
      <c r="AD596" s="6" t="s">
        <v>45</v>
      </c>
      <c r="AJ596" s="31" t="s">
        <v>2113</v>
      </c>
      <c r="AK596" s="6">
        <v>1</v>
      </c>
      <c r="AL596" s="26">
        <v>2300000</v>
      </c>
      <c r="AM596" s="26">
        <v>2300000</v>
      </c>
      <c r="AN596" s="26">
        <v>2300000</v>
      </c>
      <c r="AO596" s="6" t="s">
        <v>2003</v>
      </c>
      <c r="AQ596" s="6" t="s">
        <v>79</v>
      </c>
      <c r="AU596" s="6">
        <v>225307</v>
      </c>
    </row>
    <row r="597" spans="1:47" x14ac:dyDescent="0.3">
      <c r="A597" s="28" t="s">
        <v>42</v>
      </c>
      <c r="B597" s="6" t="s">
        <v>2201</v>
      </c>
      <c r="C597" s="19" t="s">
        <v>2207</v>
      </c>
      <c r="D597" s="6" t="s">
        <v>2103</v>
      </c>
      <c r="E597" s="6">
        <v>1</v>
      </c>
      <c r="F597" s="6" t="s">
        <v>2004</v>
      </c>
      <c r="G597" s="6" t="s">
        <v>2005</v>
      </c>
      <c r="H597" s="6" t="s">
        <v>2005</v>
      </c>
      <c r="I597" s="6" t="str">
        <f t="shared" si="18"/>
        <v>Hydraulic Crusher</v>
      </c>
      <c r="J597" s="6" t="s">
        <v>223</v>
      </c>
      <c r="K597" s="6">
        <v>1</v>
      </c>
      <c r="P597" s="6">
        <f t="shared" si="19"/>
        <v>10500000</v>
      </c>
      <c r="R597" s="6" t="s">
        <v>2003</v>
      </c>
      <c r="T597" s="6" t="s">
        <v>813</v>
      </c>
      <c r="U597" s="6">
        <v>2014</v>
      </c>
      <c r="V597" s="6">
        <v>1</v>
      </c>
      <c r="AD597" s="6" t="s">
        <v>45</v>
      </c>
      <c r="AJ597" s="31" t="s">
        <v>2113</v>
      </c>
      <c r="AK597" s="6">
        <v>1</v>
      </c>
      <c r="AL597" s="26">
        <v>10000000</v>
      </c>
      <c r="AM597" s="26">
        <v>10000000</v>
      </c>
      <c r="AN597" s="26">
        <v>10000000</v>
      </c>
      <c r="AO597" s="6" t="s">
        <v>2003</v>
      </c>
      <c r="AQ597" s="6" t="s">
        <v>80</v>
      </c>
      <c r="AU597" s="6">
        <v>225308</v>
      </c>
    </row>
    <row r="598" spans="1:47" x14ac:dyDescent="0.3">
      <c r="A598" s="28" t="s">
        <v>42</v>
      </c>
      <c r="B598" s="6" t="s">
        <v>2178</v>
      </c>
      <c r="C598" s="19" t="s">
        <v>2211</v>
      </c>
      <c r="D598" s="6" t="s">
        <v>2104</v>
      </c>
      <c r="E598" s="6">
        <v>1</v>
      </c>
      <c r="F598" s="6" t="s">
        <v>2004</v>
      </c>
      <c r="G598" s="6" t="s">
        <v>2005</v>
      </c>
      <c r="H598" s="6" t="s">
        <v>2005</v>
      </c>
      <c r="I598" s="6" t="str">
        <f t="shared" si="18"/>
        <v>Side Breaker</v>
      </c>
      <c r="J598" s="6" t="s">
        <v>423</v>
      </c>
      <c r="K598" s="6">
        <v>1</v>
      </c>
      <c r="P598" s="6">
        <f t="shared" si="19"/>
        <v>4400000</v>
      </c>
      <c r="R598" s="6" t="s">
        <v>2003</v>
      </c>
      <c r="T598" s="6" t="s">
        <v>797</v>
      </c>
      <c r="U598" s="6">
        <v>2015</v>
      </c>
      <c r="V598" s="6">
        <v>7</v>
      </c>
      <c r="AD598" s="6" t="s">
        <v>45</v>
      </c>
      <c r="AJ598" s="31" t="s">
        <v>2120</v>
      </c>
      <c r="AK598" s="6">
        <v>1</v>
      </c>
      <c r="AL598" s="26">
        <v>4200000</v>
      </c>
      <c r="AM598" s="26">
        <v>4200000</v>
      </c>
      <c r="AN598" s="26">
        <v>4200000</v>
      </c>
      <c r="AO598" s="6" t="s">
        <v>2003</v>
      </c>
      <c r="AQ598" s="6" t="s">
        <v>1162</v>
      </c>
      <c r="AU598" s="6">
        <v>225311</v>
      </c>
    </row>
    <row r="599" spans="1:47" x14ac:dyDescent="0.3">
      <c r="A599" s="28" t="s">
        <v>42</v>
      </c>
      <c r="B599" s="6" t="s">
        <v>2181</v>
      </c>
      <c r="C599" s="6" t="s">
        <v>1979</v>
      </c>
      <c r="D599" s="6" t="s">
        <v>2104</v>
      </c>
      <c r="E599" s="6">
        <v>1</v>
      </c>
      <c r="F599" s="6" t="s">
        <v>2004</v>
      </c>
      <c r="G599" s="6" t="s">
        <v>2005</v>
      </c>
      <c r="H599" s="6" t="s">
        <v>2005</v>
      </c>
      <c r="I599" s="6" t="str">
        <f t="shared" si="18"/>
        <v>Thumb Grapple</v>
      </c>
      <c r="J599" s="6" t="s">
        <v>117</v>
      </c>
      <c r="K599" s="6">
        <v>1</v>
      </c>
      <c r="P599" s="6">
        <f t="shared" si="19"/>
        <v>800000</v>
      </c>
      <c r="R599" s="6" t="s">
        <v>2003</v>
      </c>
      <c r="T599" s="6" t="s">
        <v>813</v>
      </c>
      <c r="U599" s="6">
        <v>2013</v>
      </c>
      <c r="V599" s="6">
        <v>1</v>
      </c>
      <c r="AD599" s="6" t="s">
        <v>45</v>
      </c>
      <c r="AJ599" s="31" t="s">
        <v>2113</v>
      </c>
      <c r="AK599" s="6">
        <v>1</v>
      </c>
      <c r="AL599" s="26">
        <v>700000</v>
      </c>
      <c r="AM599" s="26">
        <v>700000</v>
      </c>
      <c r="AN599" s="26">
        <v>700000</v>
      </c>
      <c r="AO599" s="6" t="s">
        <v>2003</v>
      </c>
      <c r="AQ599" s="6" t="s">
        <v>79</v>
      </c>
      <c r="AU599" s="6">
        <v>225312</v>
      </c>
    </row>
    <row r="600" spans="1:47" x14ac:dyDescent="0.3">
      <c r="A600" s="28" t="s">
        <v>42</v>
      </c>
      <c r="B600" s="6" t="s">
        <v>2177</v>
      </c>
      <c r="C600" s="6" t="s">
        <v>1979</v>
      </c>
      <c r="D600" s="6" t="s">
        <v>2104</v>
      </c>
      <c r="E600" s="6">
        <v>1</v>
      </c>
      <c r="F600" s="6" t="s">
        <v>2004</v>
      </c>
      <c r="G600" s="6" t="s">
        <v>2005</v>
      </c>
      <c r="H600" s="6" t="s">
        <v>2005</v>
      </c>
      <c r="I600" s="6" t="str">
        <f t="shared" si="18"/>
        <v>Thumb Grapple</v>
      </c>
      <c r="J600" s="6" t="s">
        <v>59</v>
      </c>
      <c r="K600" s="6">
        <v>1</v>
      </c>
      <c r="P600" s="6">
        <f t="shared" si="19"/>
        <v>800000</v>
      </c>
      <c r="R600" s="6" t="s">
        <v>2003</v>
      </c>
      <c r="T600" s="6" t="s">
        <v>813</v>
      </c>
      <c r="U600" s="6">
        <v>2013</v>
      </c>
      <c r="V600" s="6">
        <v>1</v>
      </c>
      <c r="AD600" s="6" t="s">
        <v>45</v>
      </c>
      <c r="AJ600" s="31" t="s">
        <v>2113</v>
      </c>
      <c r="AK600" s="6">
        <v>1</v>
      </c>
      <c r="AL600" s="26">
        <v>700000</v>
      </c>
      <c r="AM600" s="26">
        <v>700000</v>
      </c>
      <c r="AN600" s="26">
        <v>700000</v>
      </c>
      <c r="AO600" s="6" t="s">
        <v>2003</v>
      </c>
      <c r="AQ600" s="6" t="s">
        <v>80</v>
      </c>
      <c r="AU600" s="6">
        <v>225313</v>
      </c>
    </row>
    <row r="601" spans="1:47" x14ac:dyDescent="0.3">
      <c r="A601" s="28" t="s">
        <v>42</v>
      </c>
      <c r="B601" s="6" t="s">
        <v>2179</v>
      </c>
      <c r="C601" s="6" t="s">
        <v>1980</v>
      </c>
      <c r="D601" s="6" t="s">
        <v>2104</v>
      </c>
      <c r="E601" s="6">
        <v>1</v>
      </c>
      <c r="F601" s="6" t="s">
        <v>2004</v>
      </c>
      <c r="G601" s="6" t="s">
        <v>2005</v>
      </c>
      <c r="H601" s="6" t="s">
        <v>2005</v>
      </c>
      <c r="I601" s="6" t="str">
        <f t="shared" si="18"/>
        <v>Small Bucket</v>
      </c>
      <c r="J601" s="6" t="s">
        <v>97</v>
      </c>
      <c r="K601" s="6">
        <v>1</v>
      </c>
      <c r="P601" s="6">
        <f t="shared" si="19"/>
        <v>750000</v>
      </c>
      <c r="R601" s="6" t="s">
        <v>2003</v>
      </c>
      <c r="T601" s="6" t="s">
        <v>797</v>
      </c>
      <c r="U601" s="6">
        <v>2015</v>
      </c>
      <c r="V601" s="6">
        <v>7</v>
      </c>
      <c r="AD601" s="6" t="s">
        <v>45</v>
      </c>
      <c r="AJ601" s="31" t="s">
        <v>2120</v>
      </c>
      <c r="AK601" s="6">
        <v>1</v>
      </c>
      <c r="AL601" s="26">
        <v>650000</v>
      </c>
      <c r="AM601" s="26">
        <v>650000</v>
      </c>
      <c r="AN601" s="26">
        <v>650000</v>
      </c>
      <c r="AO601" s="6" t="s">
        <v>2003</v>
      </c>
      <c r="AQ601" s="6" t="s">
        <v>1162</v>
      </c>
      <c r="AU601" s="6">
        <v>225315</v>
      </c>
    </row>
    <row r="602" spans="1:47" hidden="1" x14ac:dyDescent="0.3">
      <c r="A602" s="28" t="s">
        <v>42</v>
      </c>
      <c r="B602" s="6" t="s">
        <v>2181</v>
      </c>
      <c r="E602" s="6">
        <v>1</v>
      </c>
      <c r="F602" s="6" t="s">
        <v>2004</v>
      </c>
      <c r="G602" s="6" t="s">
        <v>2005</v>
      </c>
      <c r="H602" s="6" t="s">
        <v>2005</v>
      </c>
      <c r="I602" s="6" t="str">
        <f t="shared" si="18"/>
        <v>ETC</v>
      </c>
      <c r="J602" s="6" t="s">
        <v>73</v>
      </c>
      <c r="K602" s="6">
        <v>1</v>
      </c>
      <c r="P602" s="6">
        <f t="shared" si="19"/>
        <v>4200000</v>
      </c>
      <c r="R602" s="6" t="s">
        <v>2003</v>
      </c>
      <c r="T602" s="6" t="s">
        <v>1014</v>
      </c>
      <c r="U602" s="6">
        <v>2016</v>
      </c>
      <c r="V602" s="6">
        <v>1</v>
      </c>
      <c r="AD602" s="6" t="s">
        <v>45</v>
      </c>
      <c r="AJ602" s="31" t="s">
        <v>2112</v>
      </c>
      <c r="AK602" s="6">
        <v>1</v>
      </c>
      <c r="AL602" s="26">
        <v>4000000</v>
      </c>
      <c r="AM602" s="26">
        <v>4000000</v>
      </c>
      <c r="AN602" s="26">
        <v>4000000</v>
      </c>
      <c r="AO602" s="6" t="s">
        <v>2003</v>
      </c>
      <c r="AQ602" s="6" t="s">
        <v>1168</v>
      </c>
      <c r="AU602" s="6">
        <v>225316</v>
      </c>
    </row>
    <row r="603" spans="1:47" x14ac:dyDescent="0.3">
      <c r="A603" s="28" t="s">
        <v>42</v>
      </c>
      <c r="B603" s="6" t="s">
        <v>2180</v>
      </c>
      <c r="D603" s="6" t="s">
        <v>2104</v>
      </c>
      <c r="E603" s="6">
        <v>1</v>
      </c>
      <c r="F603" s="6" t="s">
        <v>2004</v>
      </c>
      <c r="G603" s="6" t="s">
        <v>2005</v>
      </c>
      <c r="H603" s="6" t="s">
        <v>2005</v>
      </c>
      <c r="I603" s="6" t="str">
        <f t="shared" si="18"/>
        <v>Quick Coupler</v>
      </c>
      <c r="J603" s="6" t="s">
        <v>140</v>
      </c>
      <c r="K603" s="6">
        <v>1</v>
      </c>
      <c r="P603" s="6">
        <f t="shared" si="19"/>
        <v>800000</v>
      </c>
      <c r="R603" s="6" t="s">
        <v>2003</v>
      </c>
      <c r="T603" s="6" t="s">
        <v>813</v>
      </c>
      <c r="U603" s="6">
        <v>2014</v>
      </c>
      <c r="V603" s="6">
        <v>1</v>
      </c>
      <c r="AD603" s="6" t="s">
        <v>45</v>
      </c>
      <c r="AJ603" s="31" t="s">
        <v>2113</v>
      </c>
      <c r="AK603" s="6">
        <v>1</v>
      </c>
      <c r="AL603" s="26">
        <v>700000</v>
      </c>
      <c r="AM603" s="26">
        <v>700000</v>
      </c>
      <c r="AN603" s="26">
        <v>700000</v>
      </c>
      <c r="AO603" s="6" t="s">
        <v>2003</v>
      </c>
      <c r="AQ603" s="6" t="s">
        <v>79</v>
      </c>
      <c r="AU603" s="6">
        <v>225323</v>
      </c>
    </row>
    <row r="604" spans="1:47" x14ac:dyDescent="0.3">
      <c r="A604" s="28" t="s">
        <v>42</v>
      </c>
      <c r="B604" s="6" t="s">
        <v>2180</v>
      </c>
      <c r="D604" s="6" t="s">
        <v>2104</v>
      </c>
      <c r="E604" s="6">
        <v>1</v>
      </c>
      <c r="F604" s="6" t="s">
        <v>2004</v>
      </c>
      <c r="G604" s="6" t="s">
        <v>2005</v>
      </c>
      <c r="H604" s="6" t="s">
        <v>2005</v>
      </c>
      <c r="I604" s="6" t="str">
        <f t="shared" si="18"/>
        <v>Quick Coupler</v>
      </c>
      <c r="J604" s="6" t="s">
        <v>249</v>
      </c>
      <c r="K604" s="6">
        <v>1</v>
      </c>
      <c r="P604" s="6">
        <f t="shared" si="19"/>
        <v>900000</v>
      </c>
      <c r="R604" s="6" t="s">
        <v>2003</v>
      </c>
      <c r="T604" s="6" t="s">
        <v>813</v>
      </c>
      <c r="U604" s="6">
        <v>2014</v>
      </c>
      <c r="V604" s="6">
        <v>1</v>
      </c>
      <c r="AD604" s="6" t="s">
        <v>45</v>
      </c>
      <c r="AJ604" s="31" t="s">
        <v>2113</v>
      </c>
      <c r="AK604" s="6">
        <v>1</v>
      </c>
      <c r="AL604" s="26">
        <v>800000</v>
      </c>
      <c r="AM604" s="26">
        <v>800000</v>
      </c>
      <c r="AN604" s="26">
        <v>800000</v>
      </c>
      <c r="AO604" s="6" t="s">
        <v>2003</v>
      </c>
      <c r="AQ604" s="6" t="s">
        <v>80</v>
      </c>
      <c r="AU604" s="6">
        <v>225324</v>
      </c>
    </row>
    <row r="605" spans="1:47" x14ac:dyDescent="0.3">
      <c r="A605" s="28" t="s">
        <v>42</v>
      </c>
      <c r="B605" s="6" t="s">
        <v>2178</v>
      </c>
      <c r="C605" s="6" t="s">
        <v>1975</v>
      </c>
      <c r="D605" s="6" t="s">
        <v>2105</v>
      </c>
      <c r="E605" s="6">
        <v>1</v>
      </c>
      <c r="F605" s="6" t="s">
        <v>2004</v>
      </c>
      <c r="G605" s="6" t="s">
        <v>2005</v>
      </c>
      <c r="H605" s="6" t="s">
        <v>2005</v>
      </c>
      <c r="I605" s="6" t="str">
        <f t="shared" si="18"/>
        <v>Side Breaker</v>
      </c>
      <c r="J605" s="6" t="s">
        <v>632</v>
      </c>
      <c r="K605" s="6">
        <v>1</v>
      </c>
      <c r="P605" s="6">
        <f t="shared" si="19"/>
        <v>6500000</v>
      </c>
      <c r="R605" s="6" t="s">
        <v>2003</v>
      </c>
      <c r="T605" s="6" t="s">
        <v>1015</v>
      </c>
      <c r="U605" s="6">
        <v>2010</v>
      </c>
      <c r="V605" s="6">
        <v>1</v>
      </c>
      <c r="AD605" s="6" t="s">
        <v>45</v>
      </c>
      <c r="AJ605" s="31" t="s">
        <v>2118</v>
      </c>
      <c r="AK605" s="6">
        <v>1</v>
      </c>
      <c r="AL605" s="26">
        <v>6000000</v>
      </c>
      <c r="AM605" s="26">
        <v>6000000</v>
      </c>
      <c r="AN605" s="26">
        <v>6000000</v>
      </c>
      <c r="AO605" s="6" t="s">
        <v>2003</v>
      </c>
      <c r="AQ605" s="6" t="s">
        <v>1292</v>
      </c>
      <c r="AU605" s="6">
        <v>225326</v>
      </c>
    </row>
    <row r="606" spans="1:47" x14ac:dyDescent="0.3">
      <c r="A606" s="28" t="s">
        <v>42</v>
      </c>
      <c r="B606" s="6" t="s">
        <v>2177</v>
      </c>
      <c r="C606" s="6" t="s">
        <v>1974</v>
      </c>
      <c r="D606" s="6" t="s">
        <v>2105</v>
      </c>
      <c r="E606" s="6">
        <v>1</v>
      </c>
      <c r="F606" s="6" t="s">
        <v>2004</v>
      </c>
      <c r="G606" s="6" t="s">
        <v>2005</v>
      </c>
      <c r="H606" s="6" t="s">
        <v>2005</v>
      </c>
      <c r="I606" s="6" t="str">
        <f t="shared" si="18"/>
        <v>Etc Grapple</v>
      </c>
      <c r="J606" s="6" t="s">
        <v>633</v>
      </c>
      <c r="K606" s="6">
        <v>1</v>
      </c>
      <c r="P606" s="6">
        <f t="shared" si="19"/>
        <v>7500000</v>
      </c>
      <c r="R606" s="6" t="s">
        <v>2003</v>
      </c>
      <c r="T606" s="6" t="s">
        <v>1016</v>
      </c>
      <c r="U606" s="6">
        <v>2010</v>
      </c>
      <c r="V606" s="6">
        <v>1</v>
      </c>
      <c r="AD606" s="6" t="s">
        <v>45</v>
      </c>
      <c r="AJ606" s="31" t="s">
        <v>2118</v>
      </c>
      <c r="AK606" s="6">
        <v>1</v>
      </c>
      <c r="AL606" s="26">
        <v>7000000</v>
      </c>
      <c r="AM606" s="26">
        <v>7000000</v>
      </c>
      <c r="AN606" s="26">
        <v>7000000</v>
      </c>
      <c r="AO606" s="6" t="s">
        <v>2003</v>
      </c>
      <c r="AQ606" s="6" t="s">
        <v>1292</v>
      </c>
      <c r="AU606" s="6">
        <v>225327</v>
      </c>
    </row>
    <row r="607" spans="1:47" x14ac:dyDescent="0.3">
      <c r="A607" s="28" t="s">
        <v>42</v>
      </c>
      <c r="B607" s="6" t="s">
        <v>2179</v>
      </c>
      <c r="C607" s="6" t="s">
        <v>1976</v>
      </c>
      <c r="D607" s="6" t="s">
        <v>2100</v>
      </c>
      <c r="E607" s="6">
        <v>1</v>
      </c>
      <c r="F607" s="6" t="s">
        <v>2004</v>
      </c>
      <c r="G607" s="6" t="s">
        <v>2005</v>
      </c>
      <c r="H607" s="6" t="s">
        <v>2005</v>
      </c>
      <c r="I607" s="6" t="str">
        <f t="shared" si="18"/>
        <v>Skeleton Bucket</v>
      </c>
      <c r="J607" s="6" t="s">
        <v>634</v>
      </c>
      <c r="K607" s="6">
        <v>1</v>
      </c>
      <c r="P607" s="6">
        <f t="shared" si="19"/>
        <v>700000</v>
      </c>
      <c r="R607" s="6" t="s">
        <v>2003</v>
      </c>
      <c r="T607" s="6" t="s">
        <v>2007</v>
      </c>
      <c r="U607" s="6">
        <v>2017</v>
      </c>
      <c r="V607" s="6">
        <v>1</v>
      </c>
      <c r="AD607" s="6" t="s">
        <v>45</v>
      </c>
      <c r="AJ607" s="31" t="s">
        <v>2113</v>
      </c>
      <c r="AK607" s="6">
        <v>1</v>
      </c>
      <c r="AL607" s="26">
        <v>600000</v>
      </c>
      <c r="AM607" s="26">
        <v>600000</v>
      </c>
      <c r="AN607" s="26">
        <v>600000</v>
      </c>
      <c r="AO607" s="6" t="s">
        <v>2003</v>
      </c>
      <c r="AQ607" s="6" t="s">
        <v>49</v>
      </c>
      <c r="AU607" s="6">
        <v>225330</v>
      </c>
    </row>
    <row r="608" spans="1:47" x14ac:dyDescent="0.3">
      <c r="A608" s="28" t="s">
        <v>42</v>
      </c>
      <c r="B608" s="6" t="s">
        <v>2179</v>
      </c>
      <c r="C608" s="19" t="s">
        <v>2205</v>
      </c>
      <c r="D608" s="6" t="s">
        <v>2101</v>
      </c>
      <c r="E608" s="6">
        <v>1</v>
      </c>
      <c r="F608" s="6" t="s">
        <v>2004</v>
      </c>
      <c r="G608" s="6" t="s">
        <v>2005</v>
      </c>
      <c r="H608" s="6" t="s">
        <v>2005</v>
      </c>
      <c r="I608" s="6" t="str">
        <f t="shared" si="18"/>
        <v>Standard Bucket</v>
      </c>
      <c r="J608" s="6" t="s">
        <v>236</v>
      </c>
      <c r="K608" s="6">
        <v>1</v>
      </c>
      <c r="P608" s="6">
        <f t="shared" si="19"/>
        <v>4200000</v>
      </c>
      <c r="R608" s="6" t="s">
        <v>2003</v>
      </c>
      <c r="T608" s="6" t="s">
        <v>54</v>
      </c>
      <c r="U608" s="6">
        <v>2011</v>
      </c>
      <c r="V608" s="6">
        <v>1</v>
      </c>
      <c r="AD608" s="6" t="s">
        <v>45</v>
      </c>
      <c r="AJ608" s="31" t="s">
        <v>2114</v>
      </c>
      <c r="AK608" s="6">
        <v>1</v>
      </c>
      <c r="AL608" s="26">
        <v>4000000</v>
      </c>
      <c r="AM608" s="26">
        <v>4000000</v>
      </c>
      <c r="AN608" s="26">
        <v>4000000</v>
      </c>
      <c r="AO608" s="6" t="s">
        <v>2003</v>
      </c>
      <c r="AQ608" s="6" t="s">
        <v>54</v>
      </c>
      <c r="AU608" s="6">
        <v>225331</v>
      </c>
    </row>
    <row r="609" spans="1:47" x14ac:dyDescent="0.3">
      <c r="A609" s="28" t="s">
        <v>42</v>
      </c>
      <c r="B609" s="6" t="s">
        <v>2199</v>
      </c>
      <c r="D609" s="6" t="s">
        <v>2104</v>
      </c>
      <c r="E609" s="6">
        <v>1</v>
      </c>
      <c r="F609" s="6" t="s">
        <v>2004</v>
      </c>
      <c r="G609" s="6" t="s">
        <v>2005</v>
      </c>
      <c r="H609" s="6" t="s">
        <v>2005</v>
      </c>
      <c r="I609" s="6" t="str">
        <f t="shared" si="18"/>
        <v>Quick Coupler</v>
      </c>
      <c r="J609" s="6" t="s">
        <v>147</v>
      </c>
      <c r="K609" s="6">
        <v>1</v>
      </c>
      <c r="P609" s="6">
        <f t="shared" si="19"/>
        <v>850000</v>
      </c>
      <c r="R609" s="6" t="s">
        <v>2003</v>
      </c>
      <c r="T609" s="6" t="s">
        <v>813</v>
      </c>
      <c r="U609" s="6">
        <v>2014</v>
      </c>
      <c r="V609" s="6">
        <v>1</v>
      </c>
      <c r="AD609" s="6" t="s">
        <v>45</v>
      </c>
      <c r="AJ609" s="31" t="s">
        <v>2113</v>
      </c>
      <c r="AK609" s="6">
        <v>1</v>
      </c>
      <c r="AL609" s="26">
        <v>750000</v>
      </c>
      <c r="AM609" s="26">
        <v>750000</v>
      </c>
      <c r="AN609" s="26">
        <v>750000</v>
      </c>
      <c r="AO609" s="6" t="s">
        <v>2003</v>
      </c>
      <c r="AQ609" s="6" t="s">
        <v>79</v>
      </c>
      <c r="AU609" s="6">
        <v>225332</v>
      </c>
    </row>
    <row r="610" spans="1:47" x14ac:dyDescent="0.3">
      <c r="A610" s="28" t="s">
        <v>42</v>
      </c>
      <c r="B610" s="6" t="s">
        <v>2183</v>
      </c>
      <c r="D610" s="6" t="s">
        <v>2104</v>
      </c>
      <c r="E610" s="6">
        <v>1</v>
      </c>
      <c r="F610" s="6" t="s">
        <v>2004</v>
      </c>
      <c r="G610" s="6" t="s">
        <v>2005</v>
      </c>
      <c r="H610" s="6" t="s">
        <v>2005</v>
      </c>
      <c r="I610" s="6" t="str">
        <f t="shared" si="18"/>
        <v>ETC</v>
      </c>
      <c r="J610" s="6" t="s">
        <v>418</v>
      </c>
      <c r="K610" s="6">
        <v>1</v>
      </c>
      <c r="P610" s="6">
        <f t="shared" si="19"/>
        <v>6000000</v>
      </c>
      <c r="R610" s="6" t="s">
        <v>2003</v>
      </c>
      <c r="T610" s="6" t="s">
        <v>813</v>
      </c>
      <c r="U610" s="6">
        <v>2016</v>
      </c>
      <c r="V610" s="6">
        <v>1</v>
      </c>
      <c r="AD610" s="6" t="s">
        <v>45</v>
      </c>
      <c r="AJ610" s="31" t="s">
        <v>2113</v>
      </c>
      <c r="AK610" s="6">
        <v>1</v>
      </c>
      <c r="AL610" s="26">
        <v>5500000</v>
      </c>
      <c r="AM610" s="26">
        <v>5500000</v>
      </c>
      <c r="AN610" s="26">
        <v>5500000</v>
      </c>
      <c r="AO610" s="6" t="s">
        <v>2003</v>
      </c>
      <c r="AQ610" s="6" t="s">
        <v>80</v>
      </c>
      <c r="AU610" s="6">
        <v>225335</v>
      </c>
    </row>
    <row r="611" spans="1:47" x14ac:dyDescent="0.3">
      <c r="A611" s="28" t="s">
        <v>42</v>
      </c>
      <c r="B611" s="6" t="s">
        <v>2182</v>
      </c>
      <c r="C611" s="19" t="s">
        <v>2205</v>
      </c>
      <c r="D611" s="6" t="s">
        <v>2105</v>
      </c>
      <c r="E611" s="6">
        <v>1</v>
      </c>
      <c r="F611" s="6" t="s">
        <v>2004</v>
      </c>
      <c r="G611" s="6" t="s">
        <v>2005</v>
      </c>
      <c r="H611" s="6" t="s">
        <v>2005</v>
      </c>
      <c r="I611" s="6" t="str">
        <f t="shared" si="18"/>
        <v>Standard Bucket</v>
      </c>
      <c r="J611" s="6" t="s">
        <v>354</v>
      </c>
      <c r="K611" s="6">
        <v>1</v>
      </c>
      <c r="P611" s="6">
        <f t="shared" si="19"/>
        <v>1600000</v>
      </c>
      <c r="R611" s="6" t="s">
        <v>2003</v>
      </c>
      <c r="T611" s="6" t="s">
        <v>964</v>
      </c>
      <c r="U611" s="6">
        <v>2015</v>
      </c>
      <c r="V611" s="6">
        <v>10</v>
      </c>
      <c r="AD611" s="6" t="s">
        <v>45</v>
      </c>
      <c r="AJ611" s="31" t="s">
        <v>2122</v>
      </c>
      <c r="AK611" s="6">
        <v>1</v>
      </c>
      <c r="AL611" s="26">
        <v>1500000</v>
      </c>
      <c r="AM611" s="26">
        <v>1500000</v>
      </c>
      <c r="AN611" s="26">
        <v>1500000</v>
      </c>
      <c r="AO611" s="6" t="s">
        <v>2003</v>
      </c>
      <c r="AQ611" s="6" t="s">
        <v>1238</v>
      </c>
      <c r="AU611" s="6">
        <v>225336</v>
      </c>
    </row>
    <row r="612" spans="1:47" x14ac:dyDescent="0.3">
      <c r="A612" s="28" t="s">
        <v>42</v>
      </c>
      <c r="B612" s="6" t="s">
        <v>2192</v>
      </c>
      <c r="D612" s="6" t="s">
        <v>2104</v>
      </c>
      <c r="E612" s="6">
        <v>1</v>
      </c>
      <c r="F612" s="6" t="s">
        <v>2004</v>
      </c>
      <c r="G612" s="6" t="s">
        <v>2005</v>
      </c>
      <c r="H612" s="6" t="s">
        <v>2005</v>
      </c>
      <c r="I612" s="6" t="str">
        <f t="shared" si="18"/>
        <v>Lift Fork</v>
      </c>
      <c r="J612" s="6" t="s">
        <v>555</v>
      </c>
      <c r="K612" s="6">
        <v>1</v>
      </c>
      <c r="P612" s="6">
        <f t="shared" si="19"/>
        <v>700000</v>
      </c>
      <c r="R612" s="6" t="s">
        <v>2003</v>
      </c>
      <c r="T612" s="6" t="s">
        <v>1017</v>
      </c>
      <c r="U612" s="6">
        <v>2013</v>
      </c>
      <c r="V612" s="6">
        <v>1</v>
      </c>
      <c r="AD612" s="6" t="s">
        <v>45</v>
      </c>
      <c r="AJ612" s="31" t="s">
        <v>2119</v>
      </c>
      <c r="AK612" s="6">
        <v>1</v>
      </c>
      <c r="AL612" s="26">
        <v>600000</v>
      </c>
      <c r="AM612" s="26">
        <v>600000</v>
      </c>
      <c r="AN612" s="26">
        <v>600000</v>
      </c>
      <c r="AO612" s="6" t="s">
        <v>2003</v>
      </c>
      <c r="AQ612" s="6" t="s">
        <v>1277</v>
      </c>
      <c r="AU612" s="6">
        <v>225337</v>
      </c>
    </row>
    <row r="613" spans="1:47" x14ac:dyDescent="0.3">
      <c r="A613" s="28" t="s">
        <v>42</v>
      </c>
      <c r="B613" s="6" t="s">
        <v>2183</v>
      </c>
      <c r="D613" s="6" t="s">
        <v>2100</v>
      </c>
      <c r="E613" s="6">
        <v>1</v>
      </c>
      <c r="F613" s="6" t="s">
        <v>2004</v>
      </c>
      <c r="G613" s="6" t="s">
        <v>2005</v>
      </c>
      <c r="H613" s="6" t="s">
        <v>2005</v>
      </c>
      <c r="I613" s="6" t="str">
        <f t="shared" si="18"/>
        <v>ETC</v>
      </c>
      <c r="J613" s="6" t="s">
        <v>617</v>
      </c>
      <c r="K613" s="6">
        <v>1</v>
      </c>
      <c r="P613" s="6">
        <f t="shared" si="19"/>
        <v>900000</v>
      </c>
      <c r="R613" s="6" t="s">
        <v>2003</v>
      </c>
      <c r="T613" s="6" t="s">
        <v>2011</v>
      </c>
      <c r="U613" s="6">
        <v>2017</v>
      </c>
      <c r="V613" s="6">
        <v>2</v>
      </c>
      <c r="AD613" s="6" t="s">
        <v>45</v>
      </c>
      <c r="AJ613" s="31" t="s">
        <v>2123</v>
      </c>
      <c r="AK613" s="6">
        <v>1</v>
      </c>
      <c r="AL613" s="26">
        <v>800000</v>
      </c>
      <c r="AM613" s="26">
        <v>800000</v>
      </c>
      <c r="AN613" s="26">
        <v>800000</v>
      </c>
      <c r="AO613" s="6" t="s">
        <v>2003</v>
      </c>
      <c r="AQ613" s="6" t="s">
        <v>1200</v>
      </c>
      <c r="AU613" s="6">
        <v>225338</v>
      </c>
    </row>
    <row r="614" spans="1:47" x14ac:dyDescent="0.3">
      <c r="A614" s="28" t="s">
        <v>42</v>
      </c>
      <c r="B614" s="6" t="s">
        <v>2175</v>
      </c>
      <c r="C614" s="6" t="s">
        <v>2207</v>
      </c>
      <c r="D614" s="6" t="s">
        <v>2104</v>
      </c>
      <c r="E614" s="6">
        <v>1</v>
      </c>
      <c r="F614" s="6" t="s">
        <v>2004</v>
      </c>
      <c r="G614" s="6" t="s">
        <v>2005</v>
      </c>
      <c r="H614" s="6" t="s">
        <v>2005</v>
      </c>
      <c r="I614" s="6" t="str">
        <f t="shared" si="18"/>
        <v>Hydraulic Crusher</v>
      </c>
      <c r="J614" s="6" t="s">
        <v>103</v>
      </c>
      <c r="K614" s="6">
        <v>1</v>
      </c>
      <c r="P614" s="6">
        <f t="shared" si="19"/>
        <v>10000000</v>
      </c>
      <c r="R614" s="6" t="s">
        <v>2003</v>
      </c>
      <c r="T614" s="6" t="s">
        <v>814</v>
      </c>
      <c r="U614" s="6">
        <v>2016</v>
      </c>
      <c r="V614" s="6">
        <v>4</v>
      </c>
      <c r="AD614" s="6" t="s">
        <v>45</v>
      </c>
      <c r="AJ614" s="31" t="s">
        <v>2119</v>
      </c>
      <c r="AK614" s="6">
        <v>1</v>
      </c>
      <c r="AL614" s="26">
        <v>9500000</v>
      </c>
      <c r="AM614" s="26">
        <v>9500000</v>
      </c>
      <c r="AN614" s="26">
        <v>9500000</v>
      </c>
      <c r="AO614" s="6" t="s">
        <v>2003</v>
      </c>
      <c r="AQ614" s="6" t="s">
        <v>1194</v>
      </c>
      <c r="AU614" s="6">
        <v>225339</v>
      </c>
    </row>
    <row r="615" spans="1:47" hidden="1" x14ac:dyDescent="0.3">
      <c r="A615" s="28" t="s">
        <v>42</v>
      </c>
      <c r="B615" s="6" t="s">
        <v>2178</v>
      </c>
      <c r="C615" s="6" t="s">
        <v>1975</v>
      </c>
      <c r="E615" s="6">
        <v>1</v>
      </c>
      <c r="F615" s="6" t="s">
        <v>2004</v>
      </c>
      <c r="G615" s="6" t="s">
        <v>2005</v>
      </c>
      <c r="H615" s="6" t="s">
        <v>2005</v>
      </c>
      <c r="I615" s="6" t="str">
        <f t="shared" si="18"/>
        <v>Side Breaker</v>
      </c>
      <c r="J615" s="6" t="s">
        <v>516</v>
      </c>
      <c r="K615" s="6">
        <v>1</v>
      </c>
      <c r="P615" s="6">
        <f t="shared" si="19"/>
        <v>3400000</v>
      </c>
      <c r="R615" s="6" t="s">
        <v>2003</v>
      </c>
      <c r="T615" s="6" t="s">
        <v>2007</v>
      </c>
      <c r="U615" s="6">
        <v>2014</v>
      </c>
      <c r="V615" s="6">
        <v>1</v>
      </c>
      <c r="AD615" s="6" t="s">
        <v>45</v>
      </c>
      <c r="AJ615" s="31" t="s">
        <v>2113</v>
      </c>
      <c r="AK615" s="6">
        <v>1</v>
      </c>
      <c r="AL615" s="26">
        <v>3200000</v>
      </c>
      <c r="AM615" s="26">
        <v>3200000</v>
      </c>
      <c r="AN615" s="26">
        <v>3200000</v>
      </c>
      <c r="AO615" s="6" t="s">
        <v>2003</v>
      </c>
      <c r="AQ615" s="6" t="s">
        <v>49</v>
      </c>
      <c r="AU615" s="6">
        <v>225341</v>
      </c>
    </row>
    <row r="616" spans="1:47" hidden="1" x14ac:dyDescent="0.3">
      <c r="A616" s="28" t="s">
        <v>42</v>
      </c>
      <c r="B616" s="6" t="s">
        <v>2198</v>
      </c>
      <c r="E616" s="6">
        <v>1</v>
      </c>
      <c r="F616" s="6" t="s">
        <v>2004</v>
      </c>
      <c r="G616" s="6" t="s">
        <v>2005</v>
      </c>
      <c r="H616" s="6" t="s">
        <v>2005</v>
      </c>
      <c r="I616" s="6" t="str">
        <f t="shared" si="18"/>
        <v>Ripper</v>
      </c>
      <c r="J616" s="6" t="s">
        <v>169</v>
      </c>
      <c r="K616" s="6">
        <v>1</v>
      </c>
      <c r="P616" s="6">
        <f t="shared" si="19"/>
        <v>29500000</v>
      </c>
      <c r="R616" s="6" t="s">
        <v>2003</v>
      </c>
      <c r="T616" s="6" t="s">
        <v>960</v>
      </c>
      <c r="U616" s="6">
        <v>2014</v>
      </c>
      <c r="V616" s="6">
        <v>1</v>
      </c>
      <c r="AD616" s="6" t="s">
        <v>45</v>
      </c>
      <c r="AJ616" s="31" t="s">
        <v>2121</v>
      </c>
      <c r="AK616" s="6">
        <v>1</v>
      </c>
      <c r="AL616" s="26">
        <v>29000000</v>
      </c>
      <c r="AM616" s="26">
        <v>29000000</v>
      </c>
      <c r="AN616" s="26">
        <v>29000000</v>
      </c>
      <c r="AO616" s="6" t="s">
        <v>2003</v>
      </c>
      <c r="AQ616" s="6" t="s">
        <v>1265</v>
      </c>
      <c r="AU616" s="6">
        <v>225342</v>
      </c>
    </row>
    <row r="617" spans="1:47" x14ac:dyDescent="0.3">
      <c r="A617" s="28" t="s">
        <v>42</v>
      </c>
      <c r="B617" s="6" t="s">
        <v>2192</v>
      </c>
      <c r="D617" s="6" t="s">
        <v>2104</v>
      </c>
      <c r="E617" s="6">
        <v>1</v>
      </c>
      <c r="F617" s="6" t="s">
        <v>2004</v>
      </c>
      <c r="G617" s="6" t="s">
        <v>2005</v>
      </c>
      <c r="H617" s="6" t="s">
        <v>2005</v>
      </c>
      <c r="I617" s="6" t="str">
        <f t="shared" si="18"/>
        <v>Lift Fork</v>
      </c>
      <c r="J617" s="6" t="s">
        <v>102</v>
      </c>
      <c r="K617" s="6">
        <v>1</v>
      </c>
      <c r="P617" s="6">
        <f t="shared" si="19"/>
        <v>750000</v>
      </c>
      <c r="R617" s="6" t="s">
        <v>2003</v>
      </c>
      <c r="T617" s="6" t="s">
        <v>813</v>
      </c>
      <c r="U617" s="6">
        <v>2013</v>
      </c>
      <c r="V617" s="6">
        <v>1</v>
      </c>
      <c r="AD617" s="6" t="s">
        <v>45</v>
      </c>
      <c r="AJ617" s="31" t="s">
        <v>2113</v>
      </c>
      <c r="AK617" s="6">
        <v>1</v>
      </c>
      <c r="AL617" s="26">
        <v>650000</v>
      </c>
      <c r="AM617" s="26">
        <v>650000</v>
      </c>
      <c r="AN617" s="26">
        <v>650000</v>
      </c>
      <c r="AO617" s="6" t="s">
        <v>2003</v>
      </c>
      <c r="AQ617" s="6" t="s">
        <v>80</v>
      </c>
      <c r="AU617" s="6">
        <v>225344</v>
      </c>
    </row>
    <row r="618" spans="1:47" x14ac:dyDescent="0.3">
      <c r="A618" s="28" t="s">
        <v>42</v>
      </c>
      <c r="B618" s="6" t="s">
        <v>2184</v>
      </c>
      <c r="C618" s="6" t="s">
        <v>1972</v>
      </c>
      <c r="D618" s="6" t="s">
        <v>2105</v>
      </c>
      <c r="E618" s="6">
        <v>1</v>
      </c>
      <c r="F618" s="6" t="s">
        <v>2004</v>
      </c>
      <c r="G618" s="6" t="s">
        <v>2005</v>
      </c>
      <c r="H618" s="6" t="s">
        <v>2005</v>
      </c>
      <c r="I618" s="6" t="str">
        <f t="shared" si="18"/>
        <v>Stone Grapple</v>
      </c>
      <c r="J618" s="6" t="s">
        <v>472</v>
      </c>
      <c r="K618" s="6">
        <v>1</v>
      </c>
      <c r="P618" s="6">
        <f t="shared" si="19"/>
        <v>10500000</v>
      </c>
      <c r="R618" s="6" t="s">
        <v>2003</v>
      </c>
      <c r="T618" s="6" t="s">
        <v>814</v>
      </c>
      <c r="U618" s="6">
        <v>2016</v>
      </c>
      <c r="V618" s="6">
        <v>5</v>
      </c>
      <c r="AD618" s="6" t="s">
        <v>45</v>
      </c>
      <c r="AJ618" s="31" t="s">
        <v>2119</v>
      </c>
      <c r="AK618" s="6">
        <v>1</v>
      </c>
      <c r="AL618" s="26">
        <v>10000000</v>
      </c>
      <c r="AM618" s="26">
        <v>10000000</v>
      </c>
      <c r="AN618" s="26">
        <v>10000000</v>
      </c>
      <c r="AO618" s="6" t="s">
        <v>2003</v>
      </c>
      <c r="AQ618" s="6" t="s">
        <v>1194</v>
      </c>
      <c r="AU618" s="6">
        <v>225346</v>
      </c>
    </row>
    <row r="619" spans="1:47" x14ac:dyDescent="0.3">
      <c r="A619" s="28" t="s">
        <v>42</v>
      </c>
      <c r="B619" s="6" t="s">
        <v>2174</v>
      </c>
      <c r="C619" s="6" t="s">
        <v>1975</v>
      </c>
      <c r="D619" s="6" t="s">
        <v>2105</v>
      </c>
      <c r="E619" s="6">
        <v>1</v>
      </c>
      <c r="F619" s="6" t="s">
        <v>2004</v>
      </c>
      <c r="G619" s="6" t="s">
        <v>2005</v>
      </c>
      <c r="H619" s="6" t="s">
        <v>2005</v>
      </c>
      <c r="I619" s="6" t="str">
        <f t="shared" si="18"/>
        <v>Side Breaker</v>
      </c>
      <c r="J619" s="6" t="s">
        <v>150</v>
      </c>
      <c r="K619" s="6">
        <v>1</v>
      </c>
      <c r="P619" s="6">
        <f t="shared" si="19"/>
        <v>6000000</v>
      </c>
      <c r="R619" s="6" t="s">
        <v>2003</v>
      </c>
      <c r="T619" s="6" t="s">
        <v>1018</v>
      </c>
      <c r="U619" s="6">
        <v>2005</v>
      </c>
      <c r="V619" s="6">
        <v>1</v>
      </c>
      <c r="AD619" s="6" t="s">
        <v>45</v>
      </c>
      <c r="AJ619" s="31" t="s">
        <v>2114</v>
      </c>
      <c r="AK619" s="6">
        <v>1</v>
      </c>
      <c r="AL619" s="26">
        <v>5500000</v>
      </c>
      <c r="AM619" s="26">
        <v>5500000</v>
      </c>
      <c r="AN619" s="26">
        <v>5500000</v>
      </c>
      <c r="AO619" s="6" t="s">
        <v>2003</v>
      </c>
      <c r="AQ619" s="6" t="s">
        <v>830</v>
      </c>
      <c r="AU619" s="6">
        <v>225348</v>
      </c>
    </row>
    <row r="620" spans="1:47" hidden="1" x14ac:dyDescent="0.3">
      <c r="A620" s="28" t="s">
        <v>42</v>
      </c>
      <c r="B620" s="6" t="s">
        <v>2175</v>
      </c>
      <c r="E620" s="6">
        <v>1</v>
      </c>
      <c r="F620" s="6" t="s">
        <v>2004</v>
      </c>
      <c r="G620" s="6" t="s">
        <v>2005</v>
      </c>
      <c r="H620" s="6" t="s">
        <v>2005</v>
      </c>
      <c r="I620" s="6" t="str">
        <f t="shared" si="18"/>
        <v>Crusher</v>
      </c>
      <c r="J620" s="6" t="s">
        <v>549</v>
      </c>
      <c r="K620" s="6">
        <v>1</v>
      </c>
      <c r="P620" s="6">
        <f t="shared" si="19"/>
        <v>8500000</v>
      </c>
      <c r="R620" s="6" t="s">
        <v>2003</v>
      </c>
      <c r="T620" s="6" t="s">
        <v>1868</v>
      </c>
      <c r="U620" s="6">
        <v>2014</v>
      </c>
      <c r="V620" s="6">
        <v>1</v>
      </c>
      <c r="AD620" s="6" t="s">
        <v>45</v>
      </c>
      <c r="AJ620" s="31" t="s">
        <v>2121</v>
      </c>
      <c r="AK620" s="6">
        <v>1</v>
      </c>
      <c r="AL620" s="26">
        <v>8000000</v>
      </c>
      <c r="AM620" s="26">
        <v>8000000</v>
      </c>
      <c r="AN620" s="26">
        <v>8000000</v>
      </c>
      <c r="AO620" s="6" t="s">
        <v>2003</v>
      </c>
      <c r="AQ620" s="6" t="s">
        <v>1265</v>
      </c>
      <c r="AU620" s="6">
        <v>225354</v>
      </c>
    </row>
    <row r="621" spans="1:47" x14ac:dyDescent="0.3">
      <c r="A621" s="28" t="s">
        <v>42</v>
      </c>
      <c r="B621" s="6" t="s">
        <v>2179</v>
      </c>
      <c r="C621" s="6" t="s">
        <v>1980</v>
      </c>
      <c r="D621" s="6" t="s">
        <v>2104</v>
      </c>
      <c r="E621" s="6">
        <v>1</v>
      </c>
      <c r="F621" s="6" t="s">
        <v>2004</v>
      </c>
      <c r="G621" s="6" t="s">
        <v>2005</v>
      </c>
      <c r="H621" s="6" t="s">
        <v>2005</v>
      </c>
      <c r="I621" s="6" t="str">
        <f t="shared" si="18"/>
        <v>Small Bucket</v>
      </c>
      <c r="J621" s="6" t="s">
        <v>309</v>
      </c>
      <c r="K621" s="6">
        <v>1</v>
      </c>
      <c r="P621" s="6">
        <f t="shared" si="19"/>
        <v>750000</v>
      </c>
      <c r="R621" s="6" t="s">
        <v>2003</v>
      </c>
      <c r="T621" s="6" t="s">
        <v>2007</v>
      </c>
      <c r="U621" s="6">
        <v>2014</v>
      </c>
      <c r="V621" s="6">
        <v>1</v>
      </c>
      <c r="AD621" s="6" t="s">
        <v>45</v>
      </c>
      <c r="AJ621" s="31" t="s">
        <v>2113</v>
      </c>
      <c r="AK621" s="6">
        <v>1</v>
      </c>
      <c r="AL621" s="26">
        <v>650000</v>
      </c>
      <c r="AM621" s="26">
        <v>650000</v>
      </c>
      <c r="AN621" s="26">
        <v>650000</v>
      </c>
      <c r="AO621" s="6" t="s">
        <v>2003</v>
      </c>
      <c r="AQ621" s="6" t="s">
        <v>49</v>
      </c>
      <c r="AU621" s="6">
        <v>225355</v>
      </c>
    </row>
    <row r="622" spans="1:47" hidden="1" x14ac:dyDescent="0.3">
      <c r="A622" s="28" t="s">
        <v>42</v>
      </c>
      <c r="B622" s="6" t="s">
        <v>2178</v>
      </c>
      <c r="C622" s="6" t="s">
        <v>1975</v>
      </c>
      <c r="E622" s="6">
        <v>1</v>
      </c>
      <c r="F622" s="6" t="s">
        <v>2004</v>
      </c>
      <c r="G622" s="6" t="s">
        <v>2005</v>
      </c>
      <c r="H622" s="6" t="s">
        <v>2005</v>
      </c>
      <c r="I622" s="6" t="str">
        <f t="shared" si="18"/>
        <v>Side Breaker</v>
      </c>
      <c r="J622" s="6" t="s">
        <v>637</v>
      </c>
      <c r="K622" s="6">
        <v>1</v>
      </c>
      <c r="P622" s="6">
        <f t="shared" si="19"/>
        <v>6500000</v>
      </c>
      <c r="R622" s="6" t="s">
        <v>2003</v>
      </c>
      <c r="T622" s="6" t="s">
        <v>1019</v>
      </c>
      <c r="U622" s="6">
        <v>2013</v>
      </c>
      <c r="V622" s="6">
        <v>1</v>
      </c>
      <c r="AD622" s="6" t="s">
        <v>45</v>
      </c>
      <c r="AJ622" s="31" t="s">
        <v>2119</v>
      </c>
      <c r="AK622" s="6">
        <v>1</v>
      </c>
      <c r="AL622" s="26">
        <v>6000000</v>
      </c>
      <c r="AM622" s="26">
        <v>6000000</v>
      </c>
      <c r="AN622" s="26">
        <v>6000000</v>
      </c>
      <c r="AO622" s="6" t="s">
        <v>2003</v>
      </c>
      <c r="AQ622" s="6" t="s">
        <v>1277</v>
      </c>
      <c r="AU622" s="6">
        <v>225356</v>
      </c>
    </row>
    <row r="623" spans="1:47" hidden="1" x14ac:dyDescent="0.3">
      <c r="A623" s="28" t="s">
        <v>42</v>
      </c>
      <c r="B623" s="6" t="s">
        <v>2181</v>
      </c>
      <c r="E623" s="6">
        <v>1</v>
      </c>
      <c r="F623" s="6" t="s">
        <v>2004</v>
      </c>
      <c r="G623" s="6" t="s">
        <v>2005</v>
      </c>
      <c r="H623" s="6" t="s">
        <v>2005</v>
      </c>
      <c r="I623" s="6" t="str">
        <f t="shared" si="18"/>
        <v>ETC</v>
      </c>
      <c r="J623" s="6" t="s">
        <v>638</v>
      </c>
      <c r="K623" s="6">
        <v>1</v>
      </c>
      <c r="P623" s="6">
        <f t="shared" si="19"/>
        <v>1900000</v>
      </c>
      <c r="R623" s="6" t="s">
        <v>2003</v>
      </c>
      <c r="T623" s="6" t="s">
        <v>827</v>
      </c>
      <c r="U623" s="6">
        <v>2015</v>
      </c>
      <c r="V623" s="6">
        <v>1</v>
      </c>
      <c r="AD623" s="6" t="s">
        <v>45</v>
      </c>
      <c r="AJ623" s="31" t="s">
        <v>2123</v>
      </c>
      <c r="AK623" s="6">
        <v>1</v>
      </c>
      <c r="AL623" s="26">
        <v>1800000</v>
      </c>
      <c r="AM623" s="26">
        <v>1800000</v>
      </c>
      <c r="AN623" s="26">
        <v>1800000</v>
      </c>
      <c r="AO623" s="6" t="s">
        <v>2003</v>
      </c>
      <c r="AQ623" s="6" t="s">
        <v>1181</v>
      </c>
      <c r="AU623" s="6">
        <v>225360</v>
      </c>
    </row>
    <row r="624" spans="1:47" x14ac:dyDescent="0.3">
      <c r="A624" s="28" t="s">
        <v>42</v>
      </c>
      <c r="B624" s="6" t="s">
        <v>2179</v>
      </c>
      <c r="C624" s="19" t="s">
        <v>2210</v>
      </c>
      <c r="D624" s="6" t="s">
        <v>2101</v>
      </c>
      <c r="E624" s="6">
        <v>1</v>
      </c>
      <c r="F624" s="6" t="s">
        <v>2004</v>
      </c>
      <c r="G624" s="6" t="s">
        <v>2005</v>
      </c>
      <c r="H624" s="6" t="s">
        <v>2005</v>
      </c>
      <c r="I624" s="6" t="str">
        <f t="shared" si="18"/>
        <v>Etc Bucket</v>
      </c>
      <c r="J624" s="6" t="s">
        <v>372</v>
      </c>
      <c r="K624" s="6">
        <v>1</v>
      </c>
      <c r="P624" s="6">
        <f t="shared" si="19"/>
        <v>4000000</v>
      </c>
      <c r="R624" s="6" t="s">
        <v>2003</v>
      </c>
      <c r="T624" s="6" t="s">
        <v>1044</v>
      </c>
      <c r="U624" s="6">
        <v>2015</v>
      </c>
      <c r="V624" s="6">
        <v>10</v>
      </c>
      <c r="AD624" s="6" t="s">
        <v>45</v>
      </c>
      <c r="AJ624" s="31" t="s">
        <v>2122</v>
      </c>
      <c r="AK624" s="6">
        <v>1</v>
      </c>
      <c r="AL624" s="26">
        <v>3800000</v>
      </c>
      <c r="AM624" s="26">
        <v>3800000</v>
      </c>
      <c r="AN624" s="26">
        <v>3800000</v>
      </c>
      <c r="AO624" s="6" t="s">
        <v>2003</v>
      </c>
      <c r="AQ624" s="6" t="s">
        <v>1238</v>
      </c>
      <c r="AU624" s="6">
        <v>225361</v>
      </c>
    </row>
    <row r="625" spans="1:47" x14ac:dyDescent="0.3">
      <c r="A625" s="28" t="s">
        <v>42</v>
      </c>
      <c r="B625" s="6" t="s">
        <v>2182</v>
      </c>
      <c r="C625" s="6" t="s">
        <v>1977</v>
      </c>
      <c r="D625" s="6" t="s">
        <v>2100</v>
      </c>
      <c r="E625" s="6">
        <v>1</v>
      </c>
      <c r="F625" s="6" t="s">
        <v>2004</v>
      </c>
      <c r="G625" s="6" t="s">
        <v>2005</v>
      </c>
      <c r="H625" s="6" t="s">
        <v>2005</v>
      </c>
      <c r="I625" s="6" t="str">
        <f t="shared" si="18"/>
        <v>Wide Bucket</v>
      </c>
      <c r="J625" s="6" t="s">
        <v>271</v>
      </c>
      <c r="K625" s="6">
        <v>1</v>
      </c>
      <c r="P625" s="6">
        <f t="shared" si="19"/>
        <v>350000</v>
      </c>
      <c r="R625" s="6" t="s">
        <v>2003</v>
      </c>
      <c r="T625" s="6" t="s">
        <v>1065</v>
      </c>
      <c r="U625" s="6">
        <v>2013</v>
      </c>
      <c r="V625" s="6">
        <v>1</v>
      </c>
      <c r="AD625" s="6" t="s">
        <v>45</v>
      </c>
      <c r="AJ625" s="31" t="s">
        <v>2122</v>
      </c>
      <c r="AK625" s="6">
        <v>1</v>
      </c>
      <c r="AL625" s="26">
        <v>300000</v>
      </c>
      <c r="AM625" s="26">
        <v>300000</v>
      </c>
      <c r="AN625" s="26">
        <v>300000</v>
      </c>
      <c r="AO625" s="6" t="s">
        <v>2003</v>
      </c>
      <c r="AQ625" s="6" t="s">
        <v>1305</v>
      </c>
      <c r="AU625" s="6">
        <v>225363</v>
      </c>
    </row>
    <row r="626" spans="1:47" x14ac:dyDescent="0.3">
      <c r="A626" s="28" t="s">
        <v>42</v>
      </c>
      <c r="B626" s="6" t="s">
        <v>2184</v>
      </c>
      <c r="C626" s="6" t="s">
        <v>1972</v>
      </c>
      <c r="D626" s="6" t="s">
        <v>2100</v>
      </c>
      <c r="E626" s="6">
        <v>1</v>
      </c>
      <c r="F626" s="6" t="s">
        <v>2004</v>
      </c>
      <c r="G626" s="6" t="s">
        <v>2005</v>
      </c>
      <c r="H626" s="6" t="s">
        <v>2005</v>
      </c>
      <c r="I626" s="6" t="str">
        <f t="shared" si="18"/>
        <v>Stone Grapple</v>
      </c>
      <c r="J626" s="6" t="s">
        <v>294</v>
      </c>
      <c r="K626" s="6">
        <v>1</v>
      </c>
      <c r="P626" s="6">
        <f t="shared" si="19"/>
        <v>3700000</v>
      </c>
      <c r="R626" s="6" t="s">
        <v>2003</v>
      </c>
      <c r="T626" s="6" t="s">
        <v>2064</v>
      </c>
      <c r="U626" s="6">
        <v>2016</v>
      </c>
      <c r="V626" s="6">
        <v>1</v>
      </c>
      <c r="AD626" s="6" t="s">
        <v>45</v>
      </c>
      <c r="AJ626" s="31" t="s">
        <v>2113</v>
      </c>
      <c r="AK626" s="6">
        <v>1</v>
      </c>
      <c r="AL626" s="26">
        <v>3500000</v>
      </c>
      <c r="AM626" s="26">
        <v>3500000</v>
      </c>
      <c r="AN626" s="26">
        <v>3500000</v>
      </c>
      <c r="AO626" s="6" t="s">
        <v>2003</v>
      </c>
      <c r="AQ626" s="6" t="s">
        <v>49</v>
      </c>
      <c r="AU626" s="6">
        <v>225368</v>
      </c>
    </row>
    <row r="627" spans="1:47" x14ac:dyDescent="0.3">
      <c r="A627" s="28" t="s">
        <v>42</v>
      </c>
      <c r="B627" s="6" t="s">
        <v>2184</v>
      </c>
      <c r="C627" s="6" t="s">
        <v>1972</v>
      </c>
      <c r="D627" s="6" t="s">
        <v>2104</v>
      </c>
      <c r="E627" s="6">
        <v>1</v>
      </c>
      <c r="F627" s="6" t="s">
        <v>2004</v>
      </c>
      <c r="G627" s="6" t="s">
        <v>2005</v>
      </c>
      <c r="H627" s="6" t="s">
        <v>2005</v>
      </c>
      <c r="I627" s="6" t="str">
        <f t="shared" si="18"/>
        <v>Stone Grapple</v>
      </c>
      <c r="J627" s="6" t="s">
        <v>44</v>
      </c>
      <c r="K627" s="6">
        <v>1</v>
      </c>
      <c r="P627" s="6">
        <f t="shared" si="19"/>
        <v>2500000</v>
      </c>
      <c r="R627" s="6" t="s">
        <v>2003</v>
      </c>
      <c r="T627" s="6" t="s">
        <v>2065</v>
      </c>
      <c r="U627" s="6">
        <v>2013</v>
      </c>
      <c r="V627" s="6">
        <v>1</v>
      </c>
      <c r="AD627" s="6" t="s">
        <v>45</v>
      </c>
      <c r="AJ627" s="31" t="s">
        <v>2113</v>
      </c>
      <c r="AK627" s="6">
        <v>1</v>
      </c>
      <c r="AL627" s="26">
        <v>2300000</v>
      </c>
      <c r="AM627" s="26">
        <v>2300000</v>
      </c>
      <c r="AN627" s="26">
        <v>2300000</v>
      </c>
      <c r="AO627" s="6" t="s">
        <v>2003</v>
      </c>
      <c r="AQ627" s="6" t="s">
        <v>49</v>
      </c>
      <c r="AU627" s="6">
        <v>225369</v>
      </c>
    </row>
    <row r="628" spans="1:47" x14ac:dyDescent="0.3">
      <c r="A628" s="28" t="s">
        <v>42</v>
      </c>
      <c r="B628" s="6" t="s">
        <v>2174</v>
      </c>
      <c r="C628" s="6" t="s">
        <v>1975</v>
      </c>
      <c r="D628" s="6" t="s">
        <v>2104</v>
      </c>
      <c r="E628" s="6">
        <v>1</v>
      </c>
      <c r="F628" s="6" t="s">
        <v>2004</v>
      </c>
      <c r="G628" s="6" t="s">
        <v>2005</v>
      </c>
      <c r="H628" s="6" t="s">
        <v>2005</v>
      </c>
      <c r="I628" s="6" t="str">
        <f t="shared" si="18"/>
        <v>Side Breaker</v>
      </c>
      <c r="J628" s="6" t="s">
        <v>119</v>
      </c>
      <c r="K628" s="6">
        <v>1</v>
      </c>
      <c r="P628" s="6">
        <f t="shared" si="19"/>
        <v>1900000</v>
      </c>
      <c r="R628" s="6" t="s">
        <v>2003</v>
      </c>
      <c r="T628" s="6" t="s">
        <v>830</v>
      </c>
      <c r="U628" s="6">
        <v>2007</v>
      </c>
      <c r="V628" s="6">
        <v>1</v>
      </c>
      <c r="AD628" s="6" t="s">
        <v>45</v>
      </c>
      <c r="AJ628" s="31" t="s">
        <v>2114</v>
      </c>
      <c r="AK628" s="6">
        <v>1</v>
      </c>
      <c r="AL628" s="26">
        <v>1800000</v>
      </c>
      <c r="AM628" s="26">
        <v>1800000</v>
      </c>
      <c r="AN628" s="26">
        <v>1800000</v>
      </c>
      <c r="AO628" s="6" t="s">
        <v>2003</v>
      </c>
      <c r="AQ628" s="6" t="s">
        <v>830</v>
      </c>
      <c r="AU628" s="6">
        <v>225375</v>
      </c>
    </row>
    <row r="629" spans="1:47" hidden="1" x14ac:dyDescent="0.3">
      <c r="A629" s="28" t="s">
        <v>42</v>
      </c>
      <c r="B629" s="6" t="s">
        <v>2184</v>
      </c>
      <c r="C629" s="6" t="s">
        <v>1972</v>
      </c>
      <c r="E629" s="6">
        <v>1</v>
      </c>
      <c r="F629" s="6" t="s">
        <v>2004</v>
      </c>
      <c r="G629" s="6" t="s">
        <v>2005</v>
      </c>
      <c r="H629" s="6" t="s">
        <v>2005</v>
      </c>
      <c r="I629" s="6" t="str">
        <f t="shared" si="18"/>
        <v>Stone Grapple</v>
      </c>
      <c r="J629" s="6" t="s">
        <v>213</v>
      </c>
      <c r="K629" s="6">
        <v>1</v>
      </c>
      <c r="P629" s="6">
        <f t="shared" si="19"/>
        <v>3700000</v>
      </c>
      <c r="R629" s="6" t="s">
        <v>2003</v>
      </c>
      <c r="T629" s="6" t="s">
        <v>1869</v>
      </c>
      <c r="U629" s="6">
        <v>2010</v>
      </c>
      <c r="V629" s="6">
        <v>1</v>
      </c>
      <c r="AD629" s="6" t="s">
        <v>45</v>
      </c>
      <c r="AJ629" s="31" t="s">
        <v>2117</v>
      </c>
      <c r="AK629" s="6">
        <v>1</v>
      </c>
      <c r="AL629" s="26">
        <v>3500000</v>
      </c>
      <c r="AM629" s="26">
        <v>3500000</v>
      </c>
      <c r="AN629" s="26">
        <v>3500000</v>
      </c>
      <c r="AO629" s="6" t="s">
        <v>2003</v>
      </c>
      <c r="AQ629" s="6" t="s">
        <v>1196</v>
      </c>
      <c r="AU629" s="6">
        <v>225376</v>
      </c>
    </row>
    <row r="630" spans="1:47" x14ac:dyDescent="0.3">
      <c r="A630" s="28" t="s">
        <v>42</v>
      </c>
      <c r="B630" s="6" t="s">
        <v>2183</v>
      </c>
      <c r="D630" s="6" t="s">
        <v>2100</v>
      </c>
      <c r="E630" s="6">
        <v>1</v>
      </c>
      <c r="F630" s="6" t="s">
        <v>2004</v>
      </c>
      <c r="G630" s="6" t="s">
        <v>2005</v>
      </c>
      <c r="H630" s="6" t="s">
        <v>2005</v>
      </c>
      <c r="I630" s="6" t="str">
        <f t="shared" si="18"/>
        <v>ETC</v>
      </c>
      <c r="J630" s="6" t="s">
        <v>640</v>
      </c>
      <c r="K630" s="6">
        <v>1</v>
      </c>
      <c r="P630" s="6">
        <f t="shared" si="19"/>
        <v>300000</v>
      </c>
      <c r="R630" s="6" t="s">
        <v>2003</v>
      </c>
      <c r="T630" s="6" t="s">
        <v>2011</v>
      </c>
      <c r="U630" s="6">
        <v>2015</v>
      </c>
      <c r="V630" s="6">
        <v>6</v>
      </c>
      <c r="AD630" s="6" t="s">
        <v>45</v>
      </c>
      <c r="AJ630" s="31" t="s">
        <v>2123</v>
      </c>
      <c r="AK630" s="6">
        <v>1</v>
      </c>
      <c r="AL630" s="26">
        <v>250000</v>
      </c>
      <c r="AM630" s="26">
        <v>250000</v>
      </c>
      <c r="AN630" s="26">
        <v>250000</v>
      </c>
      <c r="AO630" s="6" t="s">
        <v>2003</v>
      </c>
      <c r="AQ630" s="6" t="s">
        <v>1200</v>
      </c>
      <c r="AU630" s="6">
        <v>225377</v>
      </c>
    </row>
    <row r="631" spans="1:47" x14ac:dyDescent="0.3">
      <c r="A631" s="28" t="s">
        <v>42</v>
      </c>
      <c r="B631" s="6" t="s">
        <v>2200</v>
      </c>
      <c r="D631" s="6" t="s">
        <v>2105</v>
      </c>
      <c r="E631" s="6">
        <v>1</v>
      </c>
      <c r="F631" s="6" t="s">
        <v>2004</v>
      </c>
      <c r="G631" s="6" t="s">
        <v>2005</v>
      </c>
      <c r="H631" s="6" t="s">
        <v>2005</v>
      </c>
      <c r="I631" s="6" t="str">
        <f t="shared" si="18"/>
        <v>Core Drill</v>
      </c>
      <c r="J631" s="6" t="s">
        <v>641</v>
      </c>
      <c r="K631" s="6">
        <v>1</v>
      </c>
      <c r="P631" s="6">
        <f t="shared" si="19"/>
        <v>7500000</v>
      </c>
      <c r="R631" s="6" t="s">
        <v>2003</v>
      </c>
      <c r="T631" s="6" t="s">
        <v>1020</v>
      </c>
      <c r="U631" s="6">
        <v>2010</v>
      </c>
      <c r="V631" s="6">
        <v>6</v>
      </c>
      <c r="AD631" s="6" t="s">
        <v>45</v>
      </c>
      <c r="AJ631" s="31" t="s">
        <v>2122</v>
      </c>
      <c r="AK631" s="6">
        <v>1</v>
      </c>
      <c r="AL631" s="26">
        <v>7000000</v>
      </c>
      <c r="AM631" s="26">
        <v>7000000</v>
      </c>
      <c r="AN631" s="26">
        <v>7000000</v>
      </c>
      <c r="AO631" s="6" t="s">
        <v>2003</v>
      </c>
      <c r="AQ631" s="6" t="s">
        <v>1227</v>
      </c>
      <c r="AU631" s="6">
        <v>225379</v>
      </c>
    </row>
    <row r="632" spans="1:47" x14ac:dyDescent="0.3">
      <c r="A632" s="28" t="s">
        <v>42</v>
      </c>
      <c r="B632" s="6" t="s">
        <v>2183</v>
      </c>
      <c r="D632" s="6" t="s">
        <v>2101</v>
      </c>
      <c r="E632" s="6">
        <v>1</v>
      </c>
      <c r="F632" s="6" t="s">
        <v>2004</v>
      </c>
      <c r="G632" s="6" t="s">
        <v>2005</v>
      </c>
      <c r="H632" s="6" t="s">
        <v>2005</v>
      </c>
      <c r="I632" s="6" t="str">
        <f t="shared" si="18"/>
        <v>ETC</v>
      </c>
      <c r="J632" s="6" t="s">
        <v>342</v>
      </c>
      <c r="K632" s="6">
        <v>1</v>
      </c>
      <c r="P632" s="6">
        <f t="shared" si="19"/>
        <v>4200000</v>
      </c>
      <c r="R632" s="6" t="s">
        <v>2003</v>
      </c>
      <c r="T632" s="6" t="s">
        <v>1021</v>
      </c>
      <c r="U632" s="6">
        <v>2008</v>
      </c>
      <c r="V632" s="6">
        <v>1</v>
      </c>
      <c r="AD632" s="6" t="s">
        <v>45</v>
      </c>
      <c r="AJ632" s="31" t="s">
        <v>2118</v>
      </c>
      <c r="AK632" s="6">
        <v>1</v>
      </c>
      <c r="AL632" s="26">
        <v>4000000</v>
      </c>
      <c r="AM632" s="26">
        <v>4000000</v>
      </c>
      <c r="AN632" s="26">
        <v>4000000</v>
      </c>
      <c r="AO632" s="6" t="s">
        <v>2003</v>
      </c>
      <c r="AQ632" s="6" t="s">
        <v>67</v>
      </c>
      <c r="AU632" s="6">
        <v>225380</v>
      </c>
    </row>
    <row r="633" spans="1:47" x14ac:dyDescent="0.3">
      <c r="A633" s="28" t="s">
        <v>42</v>
      </c>
      <c r="B633" s="6" t="s">
        <v>2174</v>
      </c>
      <c r="C633" s="6" t="s">
        <v>1975</v>
      </c>
      <c r="D633" s="6" t="s">
        <v>2100</v>
      </c>
      <c r="E633" s="6">
        <v>1</v>
      </c>
      <c r="F633" s="6" t="s">
        <v>2004</v>
      </c>
      <c r="G633" s="6" t="s">
        <v>2005</v>
      </c>
      <c r="H633" s="6" t="s">
        <v>2005</v>
      </c>
      <c r="I633" s="6" t="str">
        <f t="shared" si="18"/>
        <v>Side Breaker</v>
      </c>
      <c r="J633" s="6" t="s">
        <v>571</v>
      </c>
      <c r="K633" s="6">
        <v>1</v>
      </c>
      <c r="P633" s="6">
        <f t="shared" si="19"/>
        <v>1400000</v>
      </c>
      <c r="R633" s="6" t="s">
        <v>2003</v>
      </c>
      <c r="T633" s="6" t="s">
        <v>803</v>
      </c>
      <c r="U633" s="6">
        <v>2002</v>
      </c>
      <c r="V633" s="6">
        <v>1</v>
      </c>
      <c r="AD633" s="6" t="s">
        <v>45</v>
      </c>
      <c r="AJ633" s="31" t="s">
        <v>2123</v>
      </c>
      <c r="AK633" s="6">
        <v>1</v>
      </c>
      <c r="AL633" s="26">
        <v>1300000</v>
      </c>
      <c r="AM633" s="26">
        <v>1300000</v>
      </c>
      <c r="AN633" s="26">
        <v>1300000</v>
      </c>
      <c r="AO633" s="6" t="s">
        <v>2003</v>
      </c>
      <c r="AQ633" s="6" t="s">
        <v>1181</v>
      </c>
      <c r="AU633" s="6">
        <v>225381</v>
      </c>
    </row>
    <row r="634" spans="1:47" x14ac:dyDescent="0.3">
      <c r="A634" s="28" t="s">
        <v>42</v>
      </c>
      <c r="B634" s="6" t="s">
        <v>2174</v>
      </c>
      <c r="C634" s="6" t="s">
        <v>1975</v>
      </c>
      <c r="D634" s="6" t="s">
        <v>2105</v>
      </c>
      <c r="E634" s="6">
        <v>1</v>
      </c>
      <c r="F634" s="6" t="s">
        <v>2004</v>
      </c>
      <c r="G634" s="6" t="s">
        <v>2005</v>
      </c>
      <c r="H634" s="6" t="s">
        <v>2005</v>
      </c>
      <c r="I634" s="6" t="str">
        <f t="shared" si="18"/>
        <v>Side Breaker</v>
      </c>
      <c r="J634" s="6" t="s">
        <v>164</v>
      </c>
      <c r="K634" s="6">
        <v>1</v>
      </c>
      <c r="P634" s="6">
        <f t="shared" si="19"/>
        <v>6000000</v>
      </c>
      <c r="R634" s="6" t="s">
        <v>2003</v>
      </c>
      <c r="T634" s="6" t="s">
        <v>54</v>
      </c>
      <c r="U634" s="6">
        <v>2009</v>
      </c>
      <c r="V634" s="6">
        <v>1</v>
      </c>
      <c r="AD634" s="6" t="s">
        <v>45</v>
      </c>
      <c r="AJ634" s="31" t="s">
        <v>2114</v>
      </c>
      <c r="AK634" s="6">
        <v>1</v>
      </c>
      <c r="AL634" s="26">
        <v>5500000</v>
      </c>
      <c r="AM634" s="26">
        <v>5500000</v>
      </c>
      <c r="AN634" s="26">
        <v>5500000</v>
      </c>
      <c r="AO634" s="6" t="s">
        <v>2003</v>
      </c>
      <c r="AQ634" s="6" t="s">
        <v>54</v>
      </c>
      <c r="AU634" s="6">
        <v>225382</v>
      </c>
    </row>
    <row r="635" spans="1:47" x14ac:dyDescent="0.3">
      <c r="A635" s="28" t="s">
        <v>42</v>
      </c>
      <c r="B635" s="6" t="s">
        <v>2184</v>
      </c>
      <c r="C635" s="6" t="s">
        <v>1973</v>
      </c>
      <c r="D635" s="6" t="s">
        <v>2100</v>
      </c>
      <c r="E635" s="6">
        <v>1</v>
      </c>
      <c r="F635" s="6" t="s">
        <v>2004</v>
      </c>
      <c r="G635" s="6" t="s">
        <v>2005</v>
      </c>
      <c r="H635" s="6" t="s">
        <v>2005</v>
      </c>
      <c r="I635" s="6" t="str">
        <f t="shared" si="18"/>
        <v>Wood Grapple</v>
      </c>
      <c r="J635" s="6" t="s">
        <v>127</v>
      </c>
      <c r="K635" s="6">
        <v>1</v>
      </c>
      <c r="P635" s="6">
        <f t="shared" si="19"/>
        <v>2200000</v>
      </c>
      <c r="R635" s="6" t="s">
        <v>2003</v>
      </c>
      <c r="T635" s="6" t="s">
        <v>830</v>
      </c>
      <c r="U635" s="6">
        <v>2009</v>
      </c>
      <c r="V635" s="6">
        <v>1</v>
      </c>
      <c r="AD635" s="6" t="s">
        <v>45</v>
      </c>
      <c r="AJ635" s="31" t="s">
        <v>2114</v>
      </c>
      <c r="AK635" s="6">
        <v>1</v>
      </c>
      <c r="AL635" s="26">
        <v>2000000</v>
      </c>
      <c r="AM635" s="26">
        <v>2000000</v>
      </c>
      <c r="AN635" s="26">
        <v>2000000</v>
      </c>
      <c r="AO635" s="6" t="s">
        <v>2003</v>
      </c>
      <c r="AQ635" s="6" t="s">
        <v>830</v>
      </c>
      <c r="AU635" s="6">
        <v>225384</v>
      </c>
    </row>
    <row r="636" spans="1:47" hidden="1" x14ac:dyDescent="0.3">
      <c r="A636" s="28" t="s">
        <v>42</v>
      </c>
      <c r="B636" s="6" t="s">
        <v>2175</v>
      </c>
      <c r="E636" s="6">
        <v>1</v>
      </c>
      <c r="F636" s="6" t="s">
        <v>2004</v>
      </c>
      <c r="G636" s="6" t="s">
        <v>2005</v>
      </c>
      <c r="H636" s="6" t="s">
        <v>2005</v>
      </c>
      <c r="I636" s="6" t="str">
        <f t="shared" si="18"/>
        <v>Crusher</v>
      </c>
      <c r="J636" s="6" t="s">
        <v>182</v>
      </c>
      <c r="K636" s="6">
        <v>1</v>
      </c>
      <c r="P636" s="6">
        <f t="shared" si="19"/>
        <v>2700000</v>
      </c>
      <c r="R636" s="6" t="s">
        <v>2003</v>
      </c>
      <c r="T636" s="6" t="s">
        <v>794</v>
      </c>
      <c r="U636" s="6">
        <v>2015</v>
      </c>
      <c r="V636" s="6">
        <v>1</v>
      </c>
      <c r="AD636" s="6" t="s">
        <v>45</v>
      </c>
      <c r="AJ636" s="31" t="s">
        <v>2122</v>
      </c>
      <c r="AK636" s="6">
        <v>1</v>
      </c>
      <c r="AL636" s="26">
        <v>2500000</v>
      </c>
      <c r="AM636" s="26">
        <v>2500000</v>
      </c>
      <c r="AN636" s="26">
        <v>2500000</v>
      </c>
      <c r="AO636" s="6" t="s">
        <v>2003</v>
      </c>
      <c r="AQ636" s="6" t="s">
        <v>1154</v>
      </c>
      <c r="AU636" s="6">
        <v>225387</v>
      </c>
    </row>
    <row r="637" spans="1:47" x14ac:dyDescent="0.3">
      <c r="A637" s="28" t="s">
        <v>42</v>
      </c>
      <c r="B637" s="6" t="s">
        <v>2201</v>
      </c>
      <c r="C637" s="19" t="s">
        <v>2207</v>
      </c>
      <c r="D637" s="6" t="s">
        <v>2100</v>
      </c>
      <c r="E637" s="6">
        <v>1</v>
      </c>
      <c r="F637" s="6" t="s">
        <v>2004</v>
      </c>
      <c r="G637" s="6" t="s">
        <v>2005</v>
      </c>
      <c r="H637" s="6" t="s">
        <v>2005</v>
      </c>
      <c r="I637" s="6" t="str">
        <f t="shared" si="18"/>
        <v>Hydraulic Crusher</v>
      </c>
      <c r="J637" s="6" t="s">
        <v>642</v>
      </c>
      <c r="K637" s="6">
        <v>1</v>
      </c>
      <c r="P637" s="6">
        <f t="shared" si="19"/>
        <v>8500000</v>
      </c>
      <c r="R637" s="6" t="s">
        <v>2003</v>
      </c>
      <c r="T637" s="6" t="s">
        <v>1022</v>
      </c>
      <c r="U637" s="6">
        <v>2014</v>
      </c>
      <c r="V637" s="6">
        <v>1</v>
      </c>
      <c r="AD637" s="6" t="s">
        <v>45</v>
      </c>
      <c r="AJ637" s="31" t="s">
        <v>2111</v>
      </c>
      <c r="AK637" s="6">
        <v>1</v>
      </c>
      <c r="AL637" s="26">
        <v>8000000</v>
      </c>
      <c r="AM637" s="26">
        <v>8000000</v>
      </c>
      <c r="AN637" s="26">
        <v>8000000</v>
      </c>
      <c r="AO637" s="6" t="s">
        <v>2003</v>
      </c>
      <c r="AQ637" s="6" t="s">
        <v>54</v>
      </c>
      <c r="AU637" s="6">
        <v>225389</v>
      </c>
    </row>
    <row r="638" spans="1:47" x14ac:dyDescent="0.3">
      <c r="A638" s="28" t="s">
        <v>42</v>
      </c>
      <c r="B638" s="6" t="s">
        <v>2198</v>
      </c>
      <c r="D638" s="6" t="s">
        <v>2104</v>
      </c>
      <c r="E638" s="6">
        <v>1</v>
      </c>
      <c r="F638" s="6" t="s">
        <v>2004</v>
      </c>
      <c r="G638" s="6" t="s">
        <v>2005</v>
      </c>
      <c r="H638" s="6" t="s">
        <v>2005</v>
      </c>
      <c r="I638" s="6" t="str">
        <f t="shared" si="18"/>
        <v>Ripper</v>
      </c>
      <c r="J638" s="6" t="s">
        <v>643</v>
      </c>
      <c r="K638" s="6">
        <v>1</v>
      </c>
      <c r="P638" s="6">
        <f t="shared" si="19"/>
        <v>750000</v>
      </c>
      <c r="R638" s="6" t="s">
        <v>2003</v>
      </c>
      <c r="T638" s="6" t="s">
        <v>2009</v>
      </c>
      <c r="U638" s="6">
        <v>2010</v>
      </c>
      <c r="V638" s="6">
        <v>1</v>
      </c>
      <c r="AD638" s="6" t="s">
        <v>45</v>
      </c>
      <c r="AJ638" s="31" t="s">
        <v>2110</v>
      </c>
      <c r="AK638" s="6">
        <v>1</v>
      </c>
      <c r="AL638" s="26">
        <v>650000</v>
      </c>
      <c r="AM638" s="26">
        <v>650000</v>
      </c>
      <c r="AN638" s="26">
        <v>650000</v>
      </c>
      <c r="AO638" s="6" t="s">
        <v>2003</v>
      </c>
      <c r="AQ638" s="6" t="s">
        <v>1152</v>
      </c>
      <c r="AU638" s="6">
        <v>225392</v>
      </c>
    </row>
    <row r="639" spans="1:47" x14ac:dyDescent="0.3">
      <c r="A639" s="28" t="s">
        <v>42</v>
      </c>
      <c r="B639" s="6" t="s">
        <v>2174</v>
      </c>
      <c r="C639" s="6" t="s">
        <v>1975</v>
      </c>
      <c r="D639" s="6" t="s">
        <v>2104</v>
      </c>
      <c r="E639" s="6">
        <v>1</v>
      </c>
      <c r="F639" s="6" t="s">
        <v>2004</v>
      </c>
      <c r="G639" s="6" t="s">
        <v>2005</v>
      </c>
      <c r="H639" s="6" t="s">
        <v>2005</v>
      </c>
      <c r="I639" s="6" t="str">
        <f t="shared" si="18"/>
        <v>Side Breaker</v>
      </c>
      <c r="J639" s="6" t="s">
        <v>644</v>
      </c>
      <c r="K639" s="6">
        <v>1</v>
      </c>
      <c r="P639" s="6">
        <f t="shared" si="19"/>
        <v>2900000</v>
      </c>
      <c r="R639" s="6" t="s">
        <v>2003</v>
      </c>
      <c r="T639" s="6" t="s">
        <v>806</v>
      </c>
      <c r="U639" s="6">
        <v>2010</v>
      </c>
      <c r="V639" s="6">
        <v>1</v>
      </c>
      <c r="AD639" s="6" t="s">
        <v>45</v>
      </c>
      <c r="AJ639" s="31" t="s">
        <v>2110</v>
      </c>
      <c r="AK639" s="6">
        <v>1</v>
      </c>
      <c r="AL639" s="26">
        <v>2700000</v>
      </c>
      <c r="AM639" s="26">
        <v>2700000</v>
      </c>
      <c r="AN639" s="26">
        <v>2700000</v>
      </c>
      <c r="AO639" s="6" t="s">
        <v>2003</v>
      </c>
      <c r="AQ639" s="6" t="s">
        <v>1171</v>
      </c>
      <c r="AU639" s="6">
        <v>225400</v>
      </c>
    </row>
    <row r="640" spans="1:47" hidden="1" x14ac:dyDescent="0.3">
      <c r="A640" s="28" t="s">
        <v>42</v>
      </c>
      <c r="B640" s="6" t="s">
        <v>2182</v>
      </c>
      <c r="C640" s="6" t="s">
        <v>1976</v>
      </c>
      <c r="E640" s="6">
        <v>1</v>
      </c>
      <c r="F640" s="6" t="s">
        <v>2004</v>
      </c>
      <c r="G640" s="6" t="s">
        <v>2005</v>
      </c>
      <c r="H640" s="6" t="s">
        <v>2005</v>
      </c>
      <c r="I640" s="6" t="str">
        <f t="shared" si="18"/>
        <v>Skeleton Bucket</v>
      </c>
      <c r="J640" s="6" t="s">
        <v>645</v>
      </c>
      <c r="K640" s="6">
        <v>1</v>
      </c>
      <c r="P640" s="6">
        <f t="shared" si="19"/>
        <v>800000</v>
      </c>
      <c r="R640" s="6" t="s">
        <v>2003</v>
      </c>
      <c r="T640" s="6" t="s">
        <v>1023</v>
      </c>
      <c r="U640" s="6">
        <v>2009</v>
      </c>
      <c r="V640" s="6">
        <v>1</v>
      </c>
      <c r="AD640" s="6" t="s">
        <v>45</v>
      </c>
      <c r="AJ640" s="31" t="s">
        <v>2111</v>
      </c>
      <c r="AK640" s="6">
        <v>1</v>
      </c>
      <c r="AL640" s="26">
        <v>700000</v>
      </c>
      <c r="AM640" s="26">
        <v>700000</v>
      </c>
      <c r="AN640" s="26">
        <v>700000</v>
      </c>
      <c r="AO640" s="6" t="s">
        <v>2003</v>
      </c>
      <c r="AQ640" s="6" t="s">
        <v>1293</v>
      </c>
      <c r="AU640" s="6">
        <v>225402</v>
      </c>
    </row>
    <row r="641" spans="1:47" hidden="1" x14ac:dyDescent="0.3">
      <c r="A641" s="28" t="s">
        <v>42</v>
      </c>
      <c r="B641" s="6" t="s">
        <v>2174</v>
      </c>
      <c r="C641" s="6" t="s">
        <v>1975</v>
      </c>
      <c r="E641" s="6">
        <v>1</v>
      </c>
      <c r="F641" s="6" t="s">
        <v>2004</v>
      </c>
      <c r="G641" s="6" t="s">
        <v>2005</v>
      </c>
      <c r="H641" s="6" t="s">
        <v>2005</v>
      </c>
      <c r="I641" s="6" t="str">
        <f t="shared" si="18"/>
        <v>Side Breaker</v>
      </c>
      <c r="J641" s="6" t="s">
        <v>303</v>
      </c>
      <c r="K641" s="6">
        <v>1</v>
      </c>
      <c r="P641" s="6">
        <f t="shared" si="19"/>
        <v>3700000</v>
      </c>
      <c r="R641" s="6" t="s">
        <v>2003</v>
      </c>
      <c r="T641" s="6" t="s">
        <v>1024</v>
      </c>
      <c r="U641" s="6">
        <v>2012</v>
      </c>
      <c r="V641" s="6">
        <v>5</v>
      </c>
      <c r="AD641" s="6" t="s">
        <v>45</v>
      </c>
      <c r="AJ641" s="31" t="s">
        <v>2111</v>
      </c>
      <c r="AK641" s="6">
        <v>1</v>
      </c>
      <c r="AL641" s="26">
        <v>3500000</v>
      </c>
      <c r="AM641" s="26">
        <v>3500000</v>
      </c>
      <c r="AN641" s="26">
        <v>3500000</v>
      </c>
      <c r="AO641" s="6" t="s">
        <v>2003</v>
      </c>
      <c r="AQ641" s="6" t="s">
        <v>1293</v>
      </c>
      <c r="AU641" s="6">
        <v>225403</v>
      </c>
    </row>
    <row r="642" spans="1:47" x14ac:dyDescent="0.3">
      <c r="A642" s="28" t="s">
        <v>42</v>
      </c>
      <c r="B642" s="6" t="s">
        <v>2182</v>
      </c>
      <c r="C642" s="6" t="s">
        <v>1982</v>
      </c>
      <c r="D642" s="6" t="s">
        <v>2104</v>
      </c>
      <c r="E642" s="6">
        <v>1</v>
      </c>
      <c r="F642" s="6" t="s">
        <v>2004</v>
      </c>
      <c r="G642" s="6" t="s">
        <v>2005</v>
      </c>
      <c r="H642" s="6" t="s">
        <v>2005</v>
      </c>
      <c r="I642" s="6" t="str">
        <f t="shared" ref="I642:I705" si="20">IF(ISBLANK(C642),B642,C642)</f>
        <v>Standard Bucket</v>
      </c>
      <c r="J642" s="6" t="s">
        <v>324</v>
      </c>
      <c r="K642" s="6">
        <v>1</v>
      </c>
      <c r="P642" s="6">
        <f t="shared" si="19"/>
        <v>1100000</v>
      </c>
      <c r="R642" s="6" t="s">
        <v>2003</v>
      </c>
      <c r="T642" s="6" t="s">
        <v>801</v>
      </c>
      <c r="U642" s="6">
        <v>2013</v>
      </c>
      <c r="V642" s="6">
        <v>1</v>
      </c>
      <c r="AD642" s="6" t="s">
        <v>45</v>
      </c>
      <c r="AJ642" s="31" t="s">
        <v>2110</v>
      </c>
      <c r="AK642" s="6">
        <v>1</v>
      </c>
      <c r="AL642" s="26">
        <v>1000000</v>
      </c>
      <c r="AM642" s="26">
        <v>1000000</v>
      </c>
      <c r="AN642" s="26">
        <v>1000000</v>
      </c>
      <c r="AO642" s="6" t="s">
        <v>2003</v>
      </c>
      <c r="AQ642" s="6" t="s">
        <v>1182</v>
      </c>
      <c r="AU642" s="6">
        <v>225405</v>
      </c>
    </row>
    <row r="643" spans="1:47" x14ac:dyDescent="0.3">
      <c r="A643" s="28" t="s">
        <v>42</v>
      </c>
      <c r="B643" s="6" t="s">
        <v>2183</v>
      </c>
      <c r="D643" s="6" t="s">
        <v>2002</v>
      </c>
      <c r="E643" s="6">
        <v>1</v>
      </c>
      <c r="F643" s="6" t="s">
        <v>2004</v>
      </c>
      <c r="G643" s="6" t="s">
        <v>2005</v>
      </c>
      <c r="H643" s="6" t="s">
        <v>2005</v>
      </c>
      <c r="I643" s="6" t="str">
        <f t="shared" si="20"/>
        <v>ETC</v>
      </c>
      <c r="J643" s="6" t="s">
        <v>647</v>
      </c>
      <c r="K643" s="6">
        <v>1</v>
      </c>
      <c r="P643" s="6">
        <f t="shared" ref="P643:P706" si="21">IF(AM643&lt;500000,AM643+50000,IF(AND(AM643&gt;=500000,AM643&lt;2000000),AM643+100000,IF(AND(AM643&gt;=2000000,AM643&lt;5000000),AM643+200000,IF(AM643&gt;=5000000,AM643+500000,AM643))))</f>
        <v>350000</v>
      </c>
      <c r="R643" s="6" t="s">
        <v>2003</v>
      </c>
      <c r="T643" s="6" t="s">
        <v>1025</v>
      </c>
      <c r="U643" s="6">
        <v>2016</v>
      </c>
      <c r="V643" s="6">
        <v>1</v>
      </c>
      <c r="AD643" s="6" t="s">
        <v>45</v>
      </c>
      <c r="AJ643" s="31" t="s">
        <v>2123</v>
      </c>
      <c r="AK643" s="6">
        <v>1</v>
      </c>
      <c r="AL643" s="26">
        <v>300000</v>
      </c>
      <c r="AM643" s="26">
        <v>300000</v>
      </c>
      <c r="AN643" s="26">
        <v>300000</v>
      </c>
      <c r="AO643" s="6" t="s">
        <v>2003</v>
      </c>
      <c r="AQ643" s="6" t="s">
        <v>69</v>
      </c>
      <c r="AU643" s="6">
        <v>225407</v>
      </c>
    </row>
    <row r="644" spans="1:47" hidden="1" x14ac:dyDescent="0.3">
      <c r="A644" s="28" t="s">
        <v>42</v>
      </c>
      <c r="B644" s="6" t="s">
        <v>2183</v>
      </c>
      <c r="E644" s="6">
        <v>1</v>
      </c>
      <c r="F644" s="6" t="s">
        <v>2004</v>
      </c>
      <c r="G644" s="6" t="s">
        <v>2005</v>
      </c>
      <c r="H644" s="6" t="s">
        <v>2005</v>
      </c>
      <c r="I644" s="6" t="str">
        <f t="shared" si="20"/>
        <v>ETC</v>
      </c>
      <c r="J644" s="6" t="s">
        <v>648</v>
      </c>
      <c r="K644" s="6">
        <v>1</v>
      </c>
      <c r="P644" s="6">
        <f t="shared" si="21"/>
        <v>9800000</v>
      </c>
      <c r="R644" s="6" t="s">
        <v>2003</v>
      </c>
      <c r="T644" s="6" t="s">
        <v>1026</v>
      </c>
      <c r="U644" s="6">
        <v>2013</v>
      </c>
      <c r="V644" s="6">
        <v>1</v>
      </c>
      <c r="AD644" s="6" t="s">
        <v>45</v>
      </c>
      <c r="AJ644" s="31" t="s">
        <v>2122</v>
      </c>
      <c r="AK644" s="6">
        <v>1</v>
      </c>
      <c r="AL644" s="26">
        <v>9300000</v>
      </c>
      <c r="AM644" s="26">
        <v>9300000</v>
      </c>
      <c r="AN644" s="26">
        <v>9300000</v>
      </c>
      <c r="AO644" s="6" t="s">
        <v>2003</v>
      </c>
      <c r="AQ644" s="6" t="s">
        <v>1202</v>
      </c>
      <c r="AU644" s="6">
        <v>225410</v>
      </c>
    </row>
    <row r="645" spans="1:47" x14ac:dyDescent="0.3">
      <c r="A645" s="28" t="s">
        <v>42</v>
      </c>
      <c r="B645" s="6" t="s">
        <v>2174</v>
      </c>
      <c r="C645" s="6" t="s">
        <v>1975</v>
      </c>
      <c r="D645" s="6" t="s">
        <v>2100</v>
      </c>
      <c r="E645" s="6">
        <v>1</v>
      </c>
      <c r="F645" s="6" t="s">
        <v>2004</v>
      </c>
      <c r="G645" s="6" t="s">
        <v>2005</v>
      </c>
      <c r="H645" s="6" t="s">
        <v>2005</v>
      </c>
      <c r="I645" s="6" t="str">
        <f t="shared" si="20"/>
        <v>Side Breaker</v>
      </c>
      <c r="J645" s="6" t="s">
        <v>649</v>
      </c>
      <c r="K645" s="6">
        <v>1</v>
      </c>
      <c r="P645" s="6">
        <f t="shared" si="21"/>
        <v>18500000</v>
      </c>
      <c r="R645" s="6" t="s">
        <v>2003</v>
      </c>
      <c r="T645" s="6" t="s">
        <v>107</v>
      </c>
      <c r="U645" s="6">
        <v>2015</v>
      </c>
      <c r="V645" s="6">
        <v>5</v>
      </c>
      <c r="AD645" s="6" t="s">
        <v>45</v>
      </c>
      <c r="AJ645" s="31" t="s">
        <v>2120</v>
      </c>
      <c r="AK645" s="6">
        <v>1</v>
      </c>
      <c r="AL645" s="26">
        <v>18000000</v>
      </c>
      <c r="AM645" s="26">
        <v>18000000</v>
      </c>
      <c r="AN645" s="26">
        <v>18000000</v>
      </c>
      <c r="AO645" s="6" t="s">
        <v>2003</v>
      </c>
      <c r="AQ645" s="6" t="s">
        <v>1294</v>
      </c>
      <c r="AU645" s="6">
        <v>225415</v>
      </c>
    </row>
    <row r="646" spans="1:47" x14ac:dyDescent="0.3">
      <c r="A646" s="28" t="s">
        <v>42</v>
      </c>
      <c r="B646" s="6" t="s">
        <v>2182</v>
      </c>
      <c r="C646" s="6" t="s">
        <v>1980</v>
      </c>
      <c r="D646" s="6" t="s">
        <v>2001</v>
      </c>
      <c r="E646" s="6">
        <v>1</v>
      </c>
      <c r="F646" s="6" t="s">
        <v>2004</v>
      </c>
      <c r="G646" s="6" t="s">
        <v>2005</v>
      </c>
      <c r="H646" s="6" t="s">
        <v>2005</v>
      </c>
      <c r="I646" s="6" t="str">
        <f t="shared" si="20"/>
        <v>Small Bucket</v>
      </c>
      <c r="J646" s="6" t="s">
        <v>650</v>
      </c>
      <c r="K646" s="6">
        <v>1</v>
      </c>
      <c r="P646" s="6">
        <f t="shared" si="21"/>
        <v>1200000</v>
      </c>
      <c r="R646" s="6" t="s">
        <v>2003</v>
      </c>
      <c r="T646" s="6" t="s">
        <v>1027</v>
      </c>
      <c r="U646" s="6">
        <v>2010</v>
      </c>
      <c r="V646" s="6">
        <v>1</v>
      </c>
      <c r="AD646" s="6" t="s">
        <v>45</v>
      </c>
      <c r="AJ646" s="31" t="s">
        <v>2122</v>
      </c>
      <c r="AK646" s="6">
        <v>1</v>
      </c>
      <c r="AL646" s="26">
        <v>1100000</v>
      </c>
      <c r="AM646" s="26">
        <v>1100000</v>
      </c>
      <c r="AN646" s="26">
        <v>1100000</v>
      </c>
      <c r="AO646" s="6" t="s">
        <v>2003</v>
      </c>
      <c r="AQ646" s="6" t="s">
        <v>1202</v>
      </c>
      <c r="AU646" s="6">
        <v>225416</v>
      </c>
    </row>
    <row r="647" spans="1:47" x14ac:dyDescent="0.3">
      <c r="A647" s="28" t="s">
        <v>42</v>
      </c>
      <c r="B647" s="6" t="s">
        <v>2184</v>
      </c>
      <c r="C647" s="6" t="s">
        <v>1974</v>
      </c>
      <c r="D647" s="6" t="s">
        <v>2104</v>
      </c>
      <c r="E647" s="6">
        <v>1</v>
      </c>
      <c r="F647" s="6" t="s">
        <v>2004</v>
      </c>
      <c r="G647" s="6" t="s">
        <v>2005</v>
      </c>
      <c r="H647" s="6" t="s">
        <v>2005</v>
      </c>
      <c r="I647" s="6" t="str">
        <f t="shared" si="20"/>
        <v>Etc Grapple</v>
      </c>
      <c r="J647" s="6" t="s">
        <v>125</v>
      </c>
      <c r="K647" s="6">
        <v>1</v>
      </c>
      <c r="P647" s="6">
        <f t="shared" si="21"/>
        <v>5500000</v>
      </c>
      <c r="R647" s="6" t="s">
        <v>2003</v>
      </c>
      <c r="T647" s="6" t="s">
        <v>1870</v>
      </c>
      <c r="U647" s="6">
        <v>2016</v>
      </c>
      <c r="V647" s="6">
        <v>2</v>
      </c>
      <c r="AD647" s="6" t="s">
        <v>45</v>
      </c>
      <c r="AJ647" s="31" t="s">
        <v>2122</v>
      </c>
      <c r="AK647" s="6">
        <v>1</v>
      </c>
      <c r="AL647" s="26">
        <v>5000000</v>
      </c>
      <c r="AM647" s="26">
        <v>5000000</v>
      </c>
      <c r="AN647" s="26">
        <v>5000000</v>
      </c>
      <c r="AO647" s="6" t="s">
        <v>2003</v>
      </c>
      <c r="AQ647" s="6" t="s">
        <v>1283</v>
      </c>
      <c r="AU647" s="6">
        <v>225419</v>
      </c>
    </row>
    <row r="648" spans="1:47" x14ac:dyDescent="0.3">
      <c r="A648" s="28" t="s">
        <v>42</v>
      </c>
      <c r="B648" s="6" t="s">
        <v>2184</v>
      </c>
      <c r="C648" s="6" t="s">
        <v>1979</v>
      </c>
      <c r="D648" s="6" t="s">
        <v>2104</v>
      </c>
      <c r="E648" s="6">
        <v>1</v>
      </c>
      <c r="F648" s="6" t="s">
        <v>2004</v>
      </c>
      <c r="G648" s="6" t="s">
        <v>2005</v>
      </c>
      <c r="H648" s="6" t="s">
        <v>2005</v>
      </c>
      <c r="I648" s="6" t="str">
        <f t="shared" si="20"/>
        <v>Thumb Grapple</v>
      </c>
      <c r="J648" s="6" t="s">
        <v>59</v>
      </c>
      <c r="K648" s="6">
        <v>1</v>
      </c>
      <c r="P648" s="6">
        <f t="shared" si="21"/>
        <v>800000</v>
      </c>
      <c r="R648" s="6" t="s">
        <v>2003</v>
      </c>
      <c r="T648" s="6" t="s">
        <v>2012</v>
      </c>
      <c r="U648" s="6">
        <v>2013</v>
      </c>
      <c r="V648" s="6">
        <v>1</v>
      </c>
      <c r="AD648" s="6" t="s">
        <v>45</v>
      </c>
      <c r="AJ648" s="31" t="s">
        <v>2113</v>
      </c>
      <c r="AK648" s="6">
        <v>1</v>
      </c>
      <c r="AL648" s="26">
        <v>700000</v>
      </c>
      <c r="AM648" s="26">
        <v>700000</v>
      </c>
      <c r="AN648" s="26">
        <v>700000</v>
      </c>
      <c r="AO648" s="6" t="s">
        <v>2003</v>
      </c>
      <c r="AQ648" s="6" t="s">
        <v>49</v>
      </c>
      <c r="AU648" s="6">
        <v>225430</v>
      </c>
    </row>
    <row r="649" spans="1:47" x14ac:dyDescent="0.3">
      <c r="A649" s="28" t="s">
        <v>42</v>
      </c>
      <c r="B649" s="6" t="s">
        <v>2184</v>
      </c>
      <c r="C649" s="6" t="s">
        <v>1972</v>
      </c>
      <c r="D649" s="6" t="s">
        <v>2100</v>
      </c>
      <c r="E649" s="6">
        <v>1</v>
      </c>
      <c r="F649" s="6" t="s">
        <v>2004</v>
      </c>
      <c r="G649" s="6" t="s">
        <v>2005</v>
      </c>
      <c r="H649" s="6" t="s">
        <v>2005</v>
      </c>
      <c r="I649" s="6" t="str">
        <f t="shared" si="20"/>
        <v>Stone Grapple</v>
      </c>
      <c r="J649" s="6" t="s">
        <v>252</v>
      </c>
      <c r="K649" s="6">
        <v>1</v>
      </c>
      <c r="P649" s="6">
        <f t="shared" si="21"/>
        <v>3000000</v>
      </c>
      <c r="R649" s="6" t="s">
        <v>2003</v>
      </c>
      <c r="T649" s="6" t="s">
        <v>2007</v>
      </c>
      <c r="U649" s="6">
        <v>2014</v>
      </c>
      <c r="V649" s="6">
        <v>1</v>
      </c>
      <c r="AD649" s="6" t="s">
        <v>45</v>
      </c>
      <c r="AJ649" s="31" t="s">
        <v>2113</v>
      </c>
      <c r="AK649" s="6">
        <v>1</v>
      </c>
      <c r="AL649" s="26">
        <v>2800000</v>
      </c>
      <c r="AM649" s="26">
        <v>2800000</v>
      </c>
      <c r="AN649" s="26">
        <v>2800000</v>
      </c>
      <c r="AO649" s="6" t="s">
        <v>2003</v>
      </c>
      <c r="AQ649" s="6" t="s">
        <v>49</v>
      </c>
      <c r="AU649" s="6">
        <v>225431</v>
      </c>
    </row>
    <row r="650" spans="1:47" x14ac:dyDescent="0.3">
      <c r="A650" s="28" t="s">
        <v>42</v>
      </c>
      <c r="B650" s="6" t="s">
        <v>2183</v>
      </c>
      <c r="C650" s="6" t="s">
        <v>1979</v>
      </c>
      <c r="D650" s="6" t="s">
        <v>2104</v>
      </c>
      <c r="E650" s="6">
        <v>1</v>
      </c>
      <c r="F650" s="6" t="s">
        <v>2004</v>
      </c>
      <c r="G650" s="6" t="s">
        <v>2005</v>
      </c>
      <c r="H650" s="6" t="s">
        <v>2005</v>
      </c>
      <c r="I650" s="6" t="str">
        <f t="shared" si="20"/>
        <v>Thumb Grapple</v>
      </c>
      <c r="J650" s="6" t="s">
        <v>251</v>
      </c>
      <c r="K650" s="6">
        <v>1</v>
      </c>
      <c r="P650" s="6">
        <f t="shared" si="21"/>
        <v>1200000</v>
      </c>
      <c r="R650" s="6" t="s">
        <v>2003</v>
      </c>
      <c r="T650" s="6" t="s">
        <v>2012</v>
      </c>
      <c r="U650" s="6">
        <v>2014</v>
      </c>
      <c r="V650" s="6">
        <v>1</v>
      </c>
      <c r="AD650" s="6" t="s">
        <v>45</v>
      </c>
      <c r="AJ650" s="31" t="s">
        <v>2116</v>
      </c>
      <c r="AK650" s="6">
        <v>1</v>
      </c>
      <c r="AL650" s="26">
        <v>1100000</v>
      </c>
      <c r="AM650" s="26">
        <v>1100000</v>
      </c>
      <c r="AN650" s="26">
        <v>1100000</v>
      </c>
      <c r="AO650" s="6" t="s">
        <v>2003</v>
      </c>
      <c r="AQ650" s="6" t="s">
        <v>49</v>
      </c>
      <c r="AU650" s="6">
        <v>225433</v>
      </c>
    </row>
    <row r="651" spans="1:47" x14ac:dyDescent="0.3">
      <c r="A651" s="28" t="s">
        <v>42</v>
      </c>
      <c r="B651" s="6" t="s">
        <v>2184</v>
      </c>
      <c r="C651" s="6" t="s">
        <v>1972</v>
      </c>
      <c r="D651" s="6" t="s">
        <v>2100</v>
      </c>
      <c r="E651" s="6">
        <v>1</v>
      </c>
      <c r="F651" s="6" t="s">
        <v>2004</v>
      </c>
      <c r="G651" s="6" t="s">
        <v>2005</v>
      </c>
      <c r="H651" s="6" t="s">
        <v>2005</v>
      </c>
      <c r="I651" s="6" t="str">
        <f t="shared" si="20"/>
        <v>Stone Grapple</v>
      </c>
      <c r="J651" s="6" t="s">
        <v>415</v>
      </c>
      <c r="K651" s="6">
        <v>1</v>
      </c>
      <c r="P651" s="6">
        <f t="shared" si="21"/>
        <v>1400000</v>
      </c>
      <c r="R651" s="6" t="s">
        <v>2003</v>
      </c>
      <c r="T651" s="6" t="s">
        <v>2007</v>
      </c>
      <c r="U651" s="6">
        <v>2015</v>
      </c>
      <c r="V651" s="6">
        <v>1</v>
      </c>
      <c r="AD651" s="6" t="s">
        <v>45</v>
      </c>
      <c r="AJ651" s="31" t="s">
        <v>2113</v>
      </c>
      <c r="AK651" s="6">
        <v>1</v>
      </c>
      <c r="AL651" s="26">
        <v>1300000</v>
      </c>
      <c r="AM651" s="26">
        <v>1300000</v>
      </c>
      <c r="AN651" s="26">
        <v>1300000</v>
      </c>
      <c r="AO651" s="6" t="s">
        <v>2003</v>
      </c>
      <c r="AQ651" s="6" t="s">
        <v>49</v>
      </c>
      <c r="AU651" s="6">
        <v>225437</v>
      </c>
    </row>
    <row r="652" spans="1:47" hidden="1" x14ac:dyDescent="0.3">
      <c r="A652" s="28" t="s">
        <v>42</v>
      </c>
      <c r="B652" s="6" t="s">
        <v>2183</v>
      </c>
      <c r="E652" s="6">
        <v>1</v>
      </c>
      <c r="F652" s="6" t="s">
        <v>2004</v>
      </c>
      <c r="G652" s="6" t="s">
        <v>2005</v>
      </c>
      <c r="H652" s="6" t="s">
        <v>2005</v>
      </c>
      <c r="I652" s="6" t="str">
        <f t="shared" si="20"/>
        <v>ETC</v>
      </c>
      <c r="J652" s="6" t="s">
        <v>2146</v>
      </c>
      <c r="K652" s="6">
        <v>1</v>
      </c>
      <c r="P652" s="6">
        <f t="shared" si="21"/>
        <v>7500000</v>
      </c>
      <c r="R652" s="6" t="s">
        <v>2003</v>
      </c>
      <c r="T652" s="6" t="s">
        <v>1871</v>
      </c>
      <c r="U652" s="6">
        <v>2010</v>
      </c>
      <c r="V652" s="6">
        <v>10</v>
      </c>
      <c r="AD652" s="6" t="s">
        <v>45</v>
      </c>
      <c r="AJ652" s="31" t="s">
        <v>2110</v>
      </c>
      <c r="AK652" s="6">
        <v>1</v>
      </c>
      <c r="AL652" s="26">
        <v>7000000</v>
      </c>
      <c r="AM652" s="26">
        <v>7000000</v>
      </c>
      <c r="AN652" s="26">
        <v>7000000</v>
      </c>
      <c r="AO652" s="6" t="s">
        <v>2003</v>
      </c>
      <c r="AQ652" s="6" t="s">
        <v>1147</v>
      </c>
      <c r="AU652" s="6">
        <v>225441</v>
      </c>
    </row>
    <row r="653" spans="1:47" x14ac:dyDescent="0.3">
      <c r="A653" s="28" t="s">
        <v>42</v>
      </c>
      <c r="B653" s="6" t="s">
        <v>2182</v>
      </c>
      <c r="C653" s="6" t="s">
        <v>1980</v>
      </c>
      <c r="D653" s="6" t="s">
        <v>2100</v>
      </c>
      <c r="E653" s="6">
        <v>1</v>
      </c>
      <c r="F653" s="6" t="s">
        <v>2004</v>
      </c>
      <c r="G653" s="6" t="s">
        <v>2005</v>
      </c>
      <c r="H653" s="6" t="s">
        <v>2005</v>
      </c>
      <c r="I653" s="6" t="str">
        <f t="shared" si="20"/>
        <v>Small Bucket</v>
      </c>
      <c r="J653" s="6" t="s">
        <v>85</v>
      </c>
      <c r="K653" s="6">
        <v>1</v>
      </c>
      <c r="P653" s="6">
        <f t="shared" si="21"/>
        <v>290000</v>
      </c>
      <c r="R653" s="6" t="s">
        <v>2003</v>
      </c>
      <c r="T653" s="6" t="s">
        <v>2007</v>
      </c>
      <c r="U653" s="6">
        <v>2013</v>
      </c>
      <c r="V653" s="6">
        <v>1</v>
      </c>
      <c r="AD653" s="6" t="s">
        <v>45</v>
      </c>
      <c r="AJ653" s="31" t="s">
        <v>2113</v>
      </c>
      <c r="AK653" s="6">
        <v>1</v>
      </c>
      <c r="AL653" s="26">
        <v>240000</v>
      </c>
      <c r="AM653" s="26">
        <v>240000</v>
      </c>
      <c r="AN653" s="26">
        <v>240000</v>
      </c>
      <c r="AO653" s="6" t="s">
        <v>2003</v>
      </c>
      <c r="AQ653" s="6" t="s">
        <v>49</v>
      </c>
      <c r="AU653" s="6">
        <v>225442</v>
      </c>
    </row>
    <row r="654" spans="1:47" x14ac:dyDescent="0.3">
      <c r="A654" s="28" t="s">
        <v>42</v>
      </c>
      <c r="B654" s="6" t="s">
        <v>2174</v>
      </c>
      <c r="C654" s="6" t="s">
        <v>1975</v>
      </c>
      <c r="D654" s="6" t="s">
        <v>2106</v>
      </c>
      <c r="E654" s="6">
        <v>1</v>
      </c>
      <c r="F654" s="6" t="s">
        <v>2004</v>
      </c>
      <c r="G654" s="6" t="s">
        <v>2005</v>
      </c>
      <c r="H654" s="6" t="s">
        <v>2005</v>
      </c>
      <c r="I654" s="6" t="str">
        <f t="shared" si="20"/>
        <v>Side Breaker</v>
      </c>
      <c r="J654" s="6" t="s">
        <v>172</v>
      </c>
      <c r="K654" s="6">
        <v>1</v>
      </c>
      <c r="P654" s="6">
        <f t="shared" si="21"/>
        <v>1700000</v>
      </c>
      <c r="R654" s="6" t="s">
        <v>2003</v>
      </c>
      <c r="T654" s="6" t="s">
        <v>1028</v>
      </c>
      <c r="U654" s="6">
        <v>2014</v>
      </c>
      <c r="V654" s="6">
        <v>5</v>
      </c>
      <c r="AD654" s="6" t="s">
        <v>45</v>
      </c>
      <c r="AJ654" s="31" t="s">
        <v>2113</v>
      </c>
      <c r="AK654" s="6">
        <v>1</v>
      </c>
      <c r="AL654" s="26">
        <v>1600000</v>
      </c>
      <c r="AM654" s="26">
        <v>1600000</v>
      </c>
      <c r="AN654" s="26">
        <v>1600000</v>
      </c>
      <c r="AO654" s="6" t="s">
        <v>2003</v>
      </c>
      <c r="AQ654" s="6" t="s">
        <v>71</v>
      </c>
      <c r="AU654" s="6">
        <v>225450</v>
      </c>
    </row>
    <row r="655" spans="1:47" x14ac:dyDescent="0.3">
      <c r="A655" s="28" t="s">
        <v>42</v>
      </c>
      <c r="B655" s="6" t="s">
        <v>2184</v>
      </c>
      <c r="C655" s="6" t="s">
        <v>1973</v>
      </c>
      <c r="D655" s="6" t="s">
        <v>2100</v>
      </c>
      <c r="E655" s="6">
        <v>1</v>
      </c>
      <c r="F655" s="6" t="s">
        <v>2004</v>
      </c>
      <c r="G655" s="6" t="s">
        <v>2005</v>
      </c>
      <c r="H655" s="6" t="s">
        <v>2005</v>
      </c>
      <c r="I655" s="6" t="str">
        <f t="shared" si="20"/>
        <v>Wood Grapple</v>
      </c>
      <c r="J655" s="6" t="s">
        <v>127</v>
      </c>
      <c r="K655" s="6">
        <v>1</v>
      </c>
      <c r="P655" s="6">
        <f t="shared" si="21"/>
        <v>2200000</v>
      </c>
      <c r="R655" s="6" t="s">
        <v>2003</v>
      </c>
      <c r="T655" s="6" t="s">
        <v>830</v>
      </c>
      <c r="U655" s="6">
        <v>2010</v>
      </c>
      <c r="V655" s="6">
        <v>1</v>
      </c>
      <c r="AD655" s="6" t="s">
        <v>45</v>
      </c>
      <c r="AJ655" s="31" t="s">
        <v>2114</v>
      </c>
      <c r="AK655" s="6">
        <v>1</v>
      </c>
      <c r="AL655" s="26">
        <v>2000000</v>
      </c>
      <c r="AM655" s="26">
        <v>2000000</v>
      </c>
      <c r="AN655" s="26">
        <v>2000000</v>
      </c>
      <c r="AO655" s="6" t="s">
        <v>2003</v>
      </c>
      <c r="AQ655" s="6" t="s">
        <v>830</v>
      </c>
      <c r="AU655" s="6">
        <v>225453</v>
      </c>
    </row>
    <row r="656" spans="1:47" x14ac:dyDescent="0.3">
      <c r="A656" s="28" t="s">
        <v>42</v>
      </c>
      <c r="B656" s="6" t="s">
        <v>2199</v>
      </c>
      <c r="D656" s="6" t="s">
        <v>2104</v>
      </c>
      <c r="E656" s="6">
        <v>1</v>
      </c>
      <c r="F656" s="6" t="s">
        <v>2004</v>
      </c>
      <c r="G656" s="6" t="s">
        <v>2005</v>
      </c>
      <c r="H656" s="6" t="s">
        <v>2005</v>
      </c>
      <c r="I656" s="6" t="str">
        <f t="shared" si="20"/>
        <v>Quick Coupler</v>
      </c>
      <c r="J656" s="6" t="s">
        <v>147</v>
      </c>
      <c r="K656" s="6">
        <v>1</v>
      </c>
      <c r="P656" s="6">
        <f t="shared" si="21"/>
        <v>850000</v>
      </c>
      <c r="R656" s="6" t="s">
        <v>2003</v>
      </c>
      <c r="T656" s="6" t="s">
        <v>2012</v>
      </c>
      <c r="U656" s="6">
        <v>2014</v>
      </c>
      <c r="V656" s="6">
        <v>1</v>
      </c>
      <c r="AD656" s="6" t="s">
        <v>45</v>
      </c>
      <c r="AJ656" s="31" t="s">
        <v>2113</v>
      </c>
      <c r="AK656" s="6">
        <v>1</v>
      </c>
      <c r="AL656" s="26">
        <v>750000</v>
      </c>
      <c r="AM656" s="26">
        <v>750000</v>
      </c>
      <c r="AN656" s="26">
        <v>750000</v>
      </c>
      <c r="AO656" s="6" t="s">
        <v>2003</v>
      </c>
      <c r="AQ656" s="6" t="s">
        <v>49</v>
      </c>
      <c r="AU656" s="6">
        <v>225455</v>
      </c>
    </row>
    <row r="657" spans="1:47" x14ac:dyDescent="0.3">
      <c r="A657" s="28" t="s">
        <v>42</v>
      </c>
      <c r="B657" s="6" t="s">
        <v>2199</v>
      </c>
      <c r="D657" s="6" t="s">
        <v>2104</v>
      </c>
      <c r="E657" s="6">
        <v>1</v>
      </c>
      <c r="F657" s="6" t="s">
        <v>2004</v>
      </c>
      <c r="G657" s="6" t="s">
        <v>2005</v>
      </c>
      <c r="H657" s="6" t="s">
        <v>2005</v>
      </c>
      <c r="I657" s="6" t="str">
        <f t="shared" si="20"/>
        <v>Quick Coupler</v>
      </c>
      <c r="J657" s="6" t="s">
        <v>140</v>
      </c>
      <c r="K657" s="6">
        <v>1</v>
      </c>
      <c r="P657" s="6">
        <f t="shared" si="21"/>
        <v>800000</v>
      </c>
      <c r="R657" s="6" t="s">
        <v>2003</v>
      </c>
      <c r="T657" s="6" t="s">
        <v>823</v>
      </c>
      <c r="U657" s="6">
        <v>2014</v>
      </c>
      <c r="V657" s="6">
        <v>1</v>
      </c>
      <c r="AD657" s="6" t="s">
        <v>45</v>
      </c>
      <c r="AJ657" s="31" t="s">
        <v>2113</v>
      </c>
      <c r="AK657" s="6">
        <v>1</v>
      </c>
      <c r="AL657" s="26">
        <v>700000</v>
      </c>
      <c r="AM657" s="26">
        <v>700000</v>
      </c>
      <c r="AN657" s="26">
        <v>700000</v>
      </c>
      <c r="AO657" s="6" t="s">
        <v>2003</v>
      </c>
      <c r="AQ657" s="6" t="s">
        <v>49</v>
      </c>
      <c r="AU657" s="6">
        <v>225456</v>
      </c>
    </row>
    <row r="658" spans="1:47" x14ac:dyDescent="0.3">
      <c r="A658" s="28" t="s">
        <v>42</v>
      </c>
      <c r="B658" s="6" t="s">
        <v>2175</v>
      </c>
      <c r="C658" s="19" t="s">
        <v>2207</v>
      </c>
      <c r="D658" s="6" t="s">
        <v>2106</v>
      </c>
      <c r="E658" s="6">
        <v>1</v>
      </c>
      <c r="F658" s="6" t="s">
        <v>2004</v>
      </c>
      <c r="G658" s="6" t="s">
        <v>2005</v>
      </c>
      <c r="H658" s="6" t="s">
        <v>2005</v>
      </c>
      <c r="I658" s="6" t="str">
        <f t="shared" si="20"/>
        <v>Hydraulic Crusher</v>
      </c>
      <c r="J658" s="6" t="s">
        <v>76</v>
      </c>
      <c r="K658" s="6">
        <v>1</v>
      </c>
      <c r="P658" s="6">
        <f t="shared" si="21"/>
        <v>5800000</v>
      </c>
      <c r="R658" s="6" t="s">
        <v>2003</v>
      </c>
      <c r="T658" s="6" t="s">
        <v>70</v>
      </c>
      <c r="U658" s="6">
        <v>2016</v>
      </c>
      <c r="V658" s="6">
        <v>1</v>
      </c>
      <c r="AD658" s="6" t="s">
        <v>45</v>
      </c>
      <c r="AJ658" s="31" t="s">
        <v>2113</v>
      </c>
      <c r="AK658" s="6">
        <v>1</v>
      </c>
      <c r="AL658" s="26">
        <v>5300000</v>
      </c>
      <c r="AM658" s="26">
        <v>5300000</v>
      </c>
      <c r="AN658" s="26">
        <v>5300000</v>
      </c>
      <c r="AO658" s="6" t="s">
        <v>2003</v>
      </c>
      <c r="AQ658" s="6" t="s">
        <v>71</v>
      </c>
      <c r="AU658" s="6">
        <v>225457</v>
      </c>
    </row>
    <row r="659" spans="1:47" x14ac:dyDescent="0.3">
      <c r="A659" s="28" t="s">
        <v>42</v>
      </c>
      <c r="B659" s="6" t="s">
        <v>2178</v>
      </c>
      <c r="C659" s="6" t="s">
        <v>1975</v>
      </c>
      <c r="D659" s="6" t="s">
        <v>2105</v>
      </c>
      <c r="E659" s="6">
        <v>1</v>
      </c>
      <c r="F659" s="6" t="s">
        <v>2004</v>
      </c>
      <c r="G659" s="6" t="s">
        <v>2005</v>
      </c>
      <c r="H659" s="6" t="s">
        <v>2005</v>
      </c>
      <c r="I659" s="6" t="str">
        <f t="shared" si="20"/>
        <v>Side Breaker</v>
      </c>
      <c r="J659" s="6" t="s">
        <v>483</v>
      </c>
      <c r="K659" s="6">
        <v>1</v>
      </c>
      <c r="P659" s="6">
        <f t="shared" si="21"/>
        <v>6500000</v>
      </c>
      <c r="R659" s="6" t="s">
        <v>2003</v>
      </c>
      <c r="T659" s="6" t="s">
        <v>822</v>
      </c>
      <c r="U659" s="6">
        <v>2013</v>
      </c>
      <c r="V659" s="6">
        <v>7</v>
      </c>
      <c r="AD659" s="6" t="s">
        <v>45</v>
      </c>
      <c r="AJ659" s="31" t="s">
        <v>2123</v>
      </c>
      <c r="AK659" s="6">
        <v>1</v>
      </c>
      <c r="AL659" s="26">
        <v>6000000</v>
      </c>
      <c r="AM659" s="26">
        <v>6000000</v>
      </c>
      <c r="AN659" s="26">
        <v>6000000</v>
      </c>
      <c r="AO659" s="6" t="s">
        <v>2003</v>
      </c>
      <c r="AQ659" s="6" t="s">
        <v>92</v>
      </c>
      <c r="AU659" s="6">
        <v>225459</v>
      </c>
    </row>
    <row r="660" spans="1:47" x14ac:dyDescent="0.3">
      <c r="A660" s="28" t="s">
        <v>42</v>
      </c>
      <c r="B660" s="6" t="s">
        <v>2177</v>
      </c>
      <c r="C660" s="6" t="s">
        <v>1972</v>
      </c>
      <c r="D660" s="6" t="s">
        <v>2104</v>
      </c>
      <c r="E660" s="6">
        <v>1</v>
      </c>
      <c r="F660" s="6" t="s">
        <v>2004</v>
      </c>
      <c r="G660" s="6" t="s">
        <v>2005</v>
      </c>
      <c r="H660" s="6" t="s">
        <v>2005</v>
      </c>
      <c r="I660" s="6" t="str">
        <f t="shared" si="20"/>
        <v>Stone Grapple</v>
      </c>
      <c r="J660" s="6" t="s">
        <v>197</v>
      </c>
      <c r="K660" s="6">
        <v>1</v>
      </c>
      <c r="P660" s="6">
        <f t="shared" si="21"/>
        <v>2500000</v>
      </c>
      <c r="R660" s="6" t="s">
        <v>2003</v>
      </c>
      <c r="T660" s="6" t="s">
        <v>2007</v>
      </c>
      <c r="U660" s="6">
        <v>2014</v>
      </c>
      <c r="V660" s="6">
        <v>1</v>
      </c>
      <c r="AD660" s="6" t="s">
        <v>45</v>
      </c>
      <c r="AJ660" s="31" t="s">
        <v>2113</v>
      </c>
      <c r="AK660" s="6">
        <v>1</v>
      </c>
      <c r="AL660" s="26">
        <v>2300000</v>
      </c>
      <c r="AM660" s="26">
        <v>2300000</v>
      </c>
      <c r="AN660" s="26">
        <v>2300000</v>
      </c>
      <c r="AO660" s="6" t="s">
        <v>2003</v>
      </c>
      <c r="AQ660" s="6" t="s">
        <v>49</v>
      </c>
      <c r="AU660" s="6">
        <v>225462</v>
      </c>
    </row>
    <row r="661" spans="1:47" x14ac:dyDescent="0.3">
      <c r="A661" s="28" t="s">
        <v>42</v>
      </c>
      <c r="B661" s="6" t="s">
        <v>2201</v>
      </c>
      <c r="C661" s="19" t="s">
        <v>2207</v>
      </c>
      <c r="D661" s="6" t="s">
        <v>2106</v>
      </c>
      <c r="E661" s="6">
        <v>1</v>
      </c>
      <c r="F661" s="6" t="s">
        <v>2004</v>
      </c>
      <c r="G661" s="6" t="s">
        <v>2005</v>
      </c>
      <c r="H661" s="6" t="s">
        <v>2005</v>
      </c>
      <c r="I661" s="6" t="str">
        <f t="shared" si="20"/>
        <v>Hydraulic Crusher</v>
      </c>
      <c r="J661" s="6" t="s">
        <v>651</v>
      </c>
      <c r="K661" s="6">
        <v>1</v>
      </c>
      <c r="P661" s="6">
        <f t="shared" si="21"/>
        <v>4500000</v>
      </c>
      <c r="R661" s="6" t="s">
        <v>2003</v>
      </c>
      <c r="T661" s="6" t="s">
        <v>798</v>
      </c>
      <c r="U661" s="6">
        <v>2014</v>
      </c>
      <c r="V661" s="6">
        <v>1</v>
      </c>
      <c r="AD661" s="6" t="s">
        <v>45</v>
      </c>
      <c r="AJ661" s="31" t="s">
        <v>2113</v>
      </c>
      <c r="AK661" s="6">
        <v>1</v>
      </c>
      <c r="AL661" s="26">
        <v>4300000</v>
      </c>
      <c r="AM661" s="26">
        <v>4300000</v>
      </c>
      <c r="AN661" s="26">
        <v>4300000</v>
      </c>
      <c r="AO661" s="6" t="s">
        <v>2003</v>
      </c>
      <c r="AQ661" s="6" t="s">
        <v>71</v>
      </c>
      <c r="AU661" s="6">
        <v>225467</v>
      </c>
    </row>
    <row r="662" spans="1:47" x14ac:dyDescent="0.3">
      <c r="A662" s="28" t="s">
        <v>42</v>
      </c>
      <c r="B662" s="6" t="s">
        <v>2177</v>
      </c>
      <c r="C662" s="6" t="s">
        <v>1972</v>
      </c>
      <c r="D662" s="6" t="s">
        <v>2100</v>
      </c>
      <c r="E662" s="6">
        <v>1</v>
      </c>
      <c r="F662" s="6" t="s">
        <v>2004</v>
      </c>
      <c r="G662" s="6" t="s">
        <v>2005</v>
      </c>
      <c r="H662" s="6" t="s">
        <v>2005</v>
      </c>
      <c r="I662" s="6" t="str">
        <f t="shared" si="20"/>
        <v>Stone Grapple</v>
      </c>
      <c r="J662" s="6" t="s">
        <v>375</v>
      </c>
      <c r="K662" s="6">
        <v>1</v>
      </c>
      <c r="P662" s="6">
        <f t="shared" si="21"/>
        <v>2200000</v>
      </c>
      <c r="R662" s="6" t="s">
        <v>2003</v>
      </c>
      <c r="T662" s="6" t="s">
        <v>802</v>
      </c>
      <c r="U662" s="6">
        <v>2016</v>
      </c>
      <c r="V662" s="6">
        <v>10</v>
      </c>
      <c r="AD662" s="6" t="s">
        <v>45</v>
      </c>
      <c r="AJ662" s="31" t="s">
        <v>2122</v>
      </c>
      <c r="AK662" s="6">
        <v>1</v>
      </c>
      <c r="AL662" s="26">
        <v>2000000</v>
      </c>
      <c r="AM662" s="26">
        <v>2000000</v>
      </c>
      <c r="AN662" s="26">
        <v>2000000</v>
      </c>
      <c r="AO662" s="6" t="s">
        <v>2003</v>
      </c>
      <c r="AQ662" s="6" t="s">
        <v>1172</v>
      </c>
      <c r="AU662" s="6">
        <v>225469</v>
      </c>
    </row>
    <row r="663" spans="1:47" x14ac:dyDescent="0.3">
      <c r="A663" s="28" t="s">
        <v>42</v>
      </c>
      <c r="B663" s="6" t="s">
        <v>2179</v>
      </c>
      <c r="C663" s="19" t="s">
        <v>2205</v>
      </c>
      <c r="D663" s="6" t="s">
        <v>2101</v>
      </c>
      <c r="E663" s="6">
        <v>1</v>
      </c>
      <c r="F663" s="6" t="s">
        <v>2004</v>
      </c>
      <c r="G663" s="6" t="s">
        <v>2005</v>
      </c>
      <c r="H663" s="6" t="s">
        <v>2005</v>
      </c>
      <c r="I663" s="6" t="str">
        <f t="shared" si="20"/>
        <v>Standard Bucket</v>
      </c>
      <c r="J663" s="6" t="s">
        <v>187</v>
      </c>
      <c r="K663" s="6">
        <v>1</v>
      </c>
      <c r="P663" s="6">
        <f t="shared" si="21"/>
        <v>1600000</v>
      </c>
      <c r="R663" s="6" t="s">
        <v>2003</v>
      </c>
      <c r="T663" s="6" t="s">
        <v>813</v>
      </c>
      <c r="U663" s="6">
        <v>2013</v>
      </c>
      <c r="V663" s="6">
        <v>1</v>
      </c>
      <c r="AD663" s="6" t="s">
        <v>45</v>
      </c>
      <c r="AJ663" s="31" t="s">
        <v>2113</v>
      </c>
      <c r="AK663" s="6">
        <v>1</v>
      </c>
      <c r="AL663" s="26">
        <v>1500000</v>
      </c>
      <c r="AM663" s="26">
        <v>1500000</v>
      </c>
      <c r="AN663" s="26">
        <v>1500000</v>
      </c>
      <c r="AO663" s="6" t="s">
        <v>2003</v>
      </c>
      <c r="AQ663" s="6" t="s">
        <v>79</v>
      </c>
      <c r="AU663" s="6">
        <v>225474</v>
      </c>
    </row>
    <row r="664" spans="1:47" x14ac:dyDescent="0.3">
      <c r="A664" s="28" t="s">
        <v>42</v>
      </c>
      <c r="B664" s="6" t="s">
        <v>2184</v>
      </c>
      <c r="C664" s="6" t="s">
        <v>1972</v>
      </c>
      <c r="D664" s="6" t="s">
        <v>2104</v>
      </c>
      <c r="E664" s="6">
        <v>1</v>
      </c>
      <c r="F664" s="6" t="s">
        <v>2004</v>
      </c>
      <c r="G664" s="6" t="s">
        <v>2005</v>
      </c>
      <c r="H664" s="6" t="s">
        <v>2005</v>
      </c>
      <c r="I664" s="6" t="str">
        <f t="shared" si="20"/>
        <v>Stone Grapple</v>
      </c>
      <c r="J664" s="6" t="s">
        <v>399</v>
      </c>
      <c r="K664" s="6">
        <v>1</v>
      </c>
      <c r="P664" s="6">
        <f t="shared" si="21"/>
        <v>2600000</v>
      </c>
      <c r="R664" s="6" t="s">
        <v>2003</v>
      </c>
      <c r="T664" s="6" t="s">
        <v>2007</v>
      </c>
      <c r="U664" s="6">
        <v>2014</v>
      </c>
      <c r="V664" s="6">
        <v>1</v>
      </c>
      <c r="AD664" s="6" t="s">
        <v>45</v>
      </c>
      <c r="AJ664" s="31" t="s">
        <v>2113</v>
      </c>
      <c r="AK664" s="6">
        <v>1</v>
      </c>
      <c r="AL664" s="26">
        <v>2400000</v>
      </c>
      <c r="AM664" s="26">
        <v>2400000</v>
      </c>
      <c r="AN664" s="26">
        <v>2400000</v>
      </c>
      <c r="AO664" s="6" t="s">
        <v>2003</v>
      </c>
      <c r="AQ664" s="6" t="s">
        <v>49</v>
      </c>
      <c r="AU664" s="6">
        <v>225480</v>
      </c>
    </row>
    <row r="665" spans="1:47" x14ac:dyDescent="0.3">
      <c r="A665" s="28" t="s">
        <v>42</v>
      </c>
      <c r="B665" s="6" t="s">
        <v>2182</v>
      </c>
      <c r="C665" s="6" t="s">
        <v>1976</v>
      </c>
      <c r="D665" s="6" t="s">
        <v>2105</v>
      </c>
      <c r="E665" s="6">
        <v>1</v>
      </c>
      <c r="F665" s="6" t="s">
        <v>2004</v>
      </c>
      <c r="G665" s="6" t="s">
        <v>2005</v>
      </c>
      <c r="H665" s="6" t="s">
        <v>2005</v>
      </c>
      <c r="I665" s="6" t="str">
        <f t="shared" si="20"/>
        <v>Skeleton Bucket</v>
      </c>
      <c r="J665" s="6" t="s">
        <v>124</v>
      </c>
      <c r="K665" s="6">
        <v>1</v>
      </c>
      <c r="P665" s="6">
        <f t="shared" si="21"/>
        <v>1600000</v>
      </c>
      <c r="R665" s="6" t="s">
        <v>2003</v>
      </c>
      <c r="T665" s="6" t="s">
        <v>813</v>
      </c>
      <c r="U665" s="6">
        <v>2013</v>
      </c>
      <c r="V665" s="6">
        <v>1</v>
      </c>
      <c r="AD665" s="6" t="s">
        <v>45</v>
      </c>
      <c r="AJ665" s="31" t="s">
        <v>2113</v>
      </c>
      <c r="AK665" s="6">
        <v>1</v>
      </c>
      <c r="AL665" s="26">
        <v>1500000</v>
      </c>
      <c r="AM665" s="26">
        <v>1500000</v>
      </c>
      <c r="AN665" s="26">
        <v>1500000</v>
      </c>
      <c r="AO665" s="6" t="s">
        <v>2003</v>
      </c>
      <c r="AQ665" s="6" t="s">
        <v>79</v>
      </c>
      <c r="AU665" s="6">
        <v>225482</v>
      </c>
    </row>
    <row r="666" spans="1:47" x14ac:dyDescent="0.3">
      <c r="A666" s="28" t="s">
        <v>42</v>
      </c>
      <c r="B666" s="6" t="s">
        <v>2199</v>
      </c>
      <c r="D666" s="6" t="s">
        <v>2105</v>
      </c>
      <c r="E666" s="6">
        <v>1</v>
      </c>
      <c r="F666" s="6" t="s">
        <v>2004</v>
      </c>
      <c r="G666" s="6" t="s">
        <v>2005</v>
      </c>
      <c r="H666" s="6" t="s">
        <v>2005</v>
      </c>
      <c r="I666" s="6" t="str">
        <f t="shared" si="20"/>
        <v>Quick Coupler</v>
      </c>
      <c r="J666" s="6" t="s">
        <v>290</v>
      </c>
      <c r="K666" s="6">
        <v>1</v>
      </c>
      <c r="P666" s="6">
        <f t="shared" si="21"/>
        <v>1200000</v>
      </c>
      <c r="R666" s="6" t="s">
        <v>2003</v>
      </c>
      <c r="T666" s="6" t="s">
        <v>813</v>
      </c>
      <c r="U666" s="6">
        <v>2013</v>
      </c>
      <c r="V666" s="6">
        <v>1</v>
      </c>
      <c r="AD666" s="6" t="s">
        <v>45</v>
      </c>
      <c r="AJ666" s="31" t="s">
        <v>2113</v>
      </c>
      <c r="AK666" s="6">
        <v>1</v>
      </c>
      <c r="AL666" s="26">
        <v>1100000</v>
      </c>
      <c r="AM666" s="26">
        <v>1100000</v>
      </c>
      <c r="AN666" s="26">
        <v>1100000</v>
      </c>
      <c r="AO666" s="6" t="s">
        <v>2003</v>
      </c>
      <c r="AQ666" s="6" t="s">
        <v>49</v>
      </c>
      <c r="AU666" s="6">
        <v>225483</v>
      </c>
    </row>
    <row r="667" spans="1:47" hidden="1" x14ac:dyDescent="0.3">
      <c r="A667" s="28" t="s">
        <v>42</v>
      </c>
      <c r="B667" s="6" t="s">
        <v>2183</v>
      </c>
      <c r="E667" s="6">
        <v>1</v>
      </c>
      <c r="F667" s="6" t="s">
        <v>2004</v>
      </c>
      <c r="G667" s="6" t="s">
        <v>2005</v>
      </c>
      <c r="H667" s="6" t="s">
        <v>2005</v>
      </c>
      <c r="I667" s="6" t="str">
        <f t="shared" si="20"/>
        <v>ETC</v>
      </c>
      <c r="J667" s="6" t="s">
        <v>601</v>
      </c>
      <c r="K667" s="6">
        <v>1</v>
      </c>
      <c r="P667" s="6">
        <f t="shared" si="21"/>
        <v>1800000</v>
      </c>
      <c r="R667" s="6" t="s">
        <v>2003</v>
      </c>
      <c r="T667" s="6" t="s">
        <v>1872</v>
      </c>
      <c r="U667" s="6">
        <v>2017</v>
      </c>
      <c r="V667" s="6">
        <v>1</v>
      </c>
      <c r="AD667" s="6" t="s">
        <v>45</v>
      </c>
      <c r="AJ667" s="31" t="s">
        <v>2112</v>
      </c>
      <c r="AK667" s="6">
        <v>1</v>
      </c>
      <c r="AL667" s="26">
        <v>1700000</v>
      </c>
      <c r="AM667" s="26">
        <v>1700000</v>
      </c>
      <c r="AN667" s="26">
        <v>1700000</v>
      </c>
      <c r="AO667" s="6" t="s">
        <v>2003</v>
      </c>
      <c r="AQ667" s="6" t="s">
        <v>1239</v>
      </c>
      <c r="AU667" s="6">
        <v>225484</v>
      </c>
    </row>
    <row r="668" spans="1:47" hidden="1" x14ac:dyDescent="0.3">
      <c r="A668" s="28" t="s">
        <v>42</v>
      </c>
      <c r="B668" s="6" t="s">
        <v>2183</v>
      </c>
      <c r="E668" s="6">
        <v>1</v>
      </c>
      <c r="F668" s="6" t="s">
        <v>2004</v>
      </c>
      <c r="G668" s="6" t="s">
        <v>2005</v>
      </c>
      <c r="H668" s="6" t="s">
        <v>2005</v>
      </c>
      <c r="I668" s="6" t="str">
        <f t="shared" si="20"/>
        <v>ETC</v>
      </c>
      <c r="J668" s="6" t="s">
        <v>652</v>
      </c>
      <c r="K668" s="6">
        <v>1</v>
      </c>
      <c r="P668" s="6">
        <f t="shared" si="21"/>
        <v>500000</v>
      </c>
      <c r="R668" s="6" t="s">
        <v>2003</v>
      </c>
      <c r="T668" s="6" t="s">
        <v>2066</v>
      </c>
      <c r="U668" s="6">
        <v>2017</v>
      </c>
      <c r="V668" s="6">
        <v>1</v>
      </c>
      <c r="AD668" s="6" t="s">
        <v>45</v>
      </c>
      <c r="AJ668" s="31" t="s">
        <v>2119</v>
      </c>
      <c r="AK668" s="6">
        <v>1</v>
      </c>
      <c r="AL668" s="26">
        <v>450000</v>
      </c>
      <c r="AM668" s="26">
        <v>450000</v>
      </c>
      <c r="AN668" s="26">
        <v>450000</v>
      </c>
      <c r="AO668" s="6" t="s">
        <v>2003</v>
      </c>
      <c r="AQ668" s="6" t="s">
        <v>1277</v>
      </c>
      <c r="AU668" s="6">
        <v>225486</v>
      </c>
    </row>
    <row r="669" spans="1:47" x14ac:dyDescent="0.3">
      <c r="A669" s="28" t="s">
        <v>42</v>
      </c>
      <c r="B669" s="6" t="s">
        <v>2183</v>
      </c>
      <c r="D669" s="6" t="s">
        <v>2101</v>
      </c>
      <c r="E669" s="6">
        <v>1</v>
      </c>
      <c r="F669" s="6" t="s">
        <v>2004</v>
      </c>
      <c r="G669" s="6" t="s">
        <v>2005</v>
      </c>
      <c r="H669" s="6" t="s">
        <v>2005</v>
      </c>
      <c r="I669" s="6" t="str">
        <f t="shared" si="20"/>
        <v>ETC</v>
      </c>
      <c r="J669" s="6" t="s">
        <v>126</v>
      </c>
      <c r="K669" s="6">
        <v>1</v>
      </c>
      <c r="P669" s="6">
        <f t="shared" si="21"/>
        <v>10500000</v>
      </c>
      <c r="R669" s="6" t="s">
        <v>2003</v>
      </c>
      <c r="T669" s="6" t="s">
        <v>813</v>
      </c>
      <c r="U669" s="6">
        <v>2013</v>
      </c>
      <c r="V669" s="6">
        <v>1</v>
      </c>
      <c r="AD669" s="6" t="s">
        <v>45</v>
      </c>
      <c r="AJ669" s="31" t="s">
        <v>2113</v>
      </c>
      <c r="AK669" s="6">
        <v>1</v>
      </c>
      <c r="AL669" s="26">
        <v>10000000</v>
      </c>
      <c r="AM669" s="26">
        <v>10000000</v>
      </c>
      <c r="AN669" s="26">
        <v>10000000</v>
      </c>
      <c r="AO669" s="6" t="s">
        <v>2003</v>
      </c>
      <c r="AQ669" s="6" t="s">
        <v>49</v>
      </c>
      <c r="AU669" s="6">
        <v>225491</v>
      </c>
    </row>
    <row r="670" spans="1:47" x14ac:dyDescent="0.3">
      <c r="A670" s="28" t="s">
        <v>42</v>
      </c>
      <c r="B670" s="6" t="s">
        <v>2184</v>
      </c>
      <c r="C670" s="6" t="s">
        <v>1974</v>
      </c>
      <c r="D670" s="6" t="s">
        <v>2104</v>
      </c>
      <c r="E670" s="6">
        <v>1</v>
      </c>
      <c r="F670" s="6" t="s">
        <v>2004</v>
      </c>
      <c r="G670" s="6" t="s">
        <v>2005</v>
      </c>
      <c r="H670" s="6" t="s">
        <v>2005</v>
      </c>
      <c r="I670" s="6" t="str">
        <f t="shared" si="20"/>
        <v>Etc Grapple</v>
      </c>
      <c r="J670" s="6" t="s">
        <v>125</v>
      </c>
      <c r="K670" s="6">
        <v>1</v>
      </c>
      <c r="P670" s="6">
        <f t="shared" si="21"/>
        <v>4700000</v>
      </c>
      <c r="R670" s="6" t="s">
        <v>2003</v>
      </c>
      <c r="T670" s="6" t="s">
        <v>54</v>
      </c>
      <c r="U670" s="6">
        <v>2010</v>
      </c>
      <c r="V670" s="6">
        <v>1</v>
      </c>
      <c r="AD670" s="6" t="s">
        <v>45</v>
      </c>
      <c r="AJ670" s="31" t="s">
        <v>2114</v>
      </c>
      <c r="AK670" s="6">
        <v>1</v>
      </c>
      <c r="AL670" s="26">
        <v>4500000</v>
      </c>
      <c r="AM670" s="26">
        <v>4500000</v>
      </c>
      <c r="AN670" s="26">
        <v>4500000</v>
      </c>
      <c r="AO670" s="6" t="s">
        <v>2003</v>
      </c>
      <c r="AQ670" s="6" t="s">
        <v>54</v>
      </c>
      <c r="AU670" s="6">
        <v>225495</v>
      </c>
    </row>
    <row r="671" spans="1:47" x14ac:dyDescent="0.3">
      <c r="A671" s="28" t="s">
        <v>42</v>
      </c>
      <c r="B671" s="6" t="s">
        <v>2175</v>
      </c>
      <c r="C671" s="6" t="s">
        <v>2212</v>
      </c>
      <c r="D671" s="6" t="s">
        <v>2104</v>
      </c>
      <c r="E671" s="6">
        <v>1</v>
      </c>
      <c r="F671" s="6" t="s">
        <v>2004</v>
      </c>
      <c r="G671" s="6" t="s">
        <v>2005</v>
      </c>
      <c r="H671" s="6" t="s">
        <v>2005</v>
      </c>
      <c r="I671" s="6" t="str">
        <f t="shared" si="20"/>
        <v>Hydraulic Multi Processor</v>
      </c>
      <c r="J671" s="6" t="s">
        <v>192</v>
      </c>
      <c r="K671" s="6">
        <v>1</v>
      </c>
      <c r="P671" s="6">
        <f t="shared" si="21"/>
        <v>11500000</v>
      </c>
      <c r="R671" s="6" t="s">
        <v>2003</v>
      </c>
      <c r="T671" s="6" t="s">
        <v>2007</v>
      </c>
      <c r="U671" s="6">
        <v>2015</v>
      </c>
      <c r="V671" s="6">
        <v>1</v>
      </c>
      <c r="AD671" s="6" t="s">
        <v>45</v>
      </c>
      <c r="AJ671" s="31" t="s">
        <v>2113</v>
      </c>
      <c r="AK671" s="6">
        <v>1</v>
      </c>
      <c r="AL671" s="26">
        <v>11000000</v>
      </c>
      <c r="AM671" s="26">
        <v>11000000</v>
      </c>
      <c r="AN671" s="26">
        <v>11000000</v>
      </c>
      <c r="AO671" s="6" t="s">
        <v>2003</v>
      </c>
      <c r="AQ671" s="6" t="s">
        <v>49</v>
      </c>
      <c r="AU671" s="6">
        <v>225496</v>
      </c>
    </row>
    <row r="672" spans="1:47" x14ac:dyDescent="0.3">
      <c r="A672" s="28" t="s">
        <v>42</v>
      </c>
      <c r="B672" s="6" t="s">
        <v>2177</v>
      </c>
      <c r="C672" s="6" t="s">
        <v>2206</v>
      </c>
      <c r="D672" s="6" t="s">
        <v>2106</v>
      </c>
      <c r="E672" s="6">
        <v>1</v>
      </c>
      <c r="F672" s="6" t="s">
        <v>2004</v>
      </c>
      <c r="G672" s="6" t="s">
        <v>2005</v>
      </c>
      <c r="H672" s="6" t="s">
        <v>2005</v>
      </c>
      <c r="I672" s="6" t="str">
        <f t="shared" si="20"/>
        <v>Etc Grapple</v>
      </c>
      <c r="J672" s="6" t="s">
        <v>368</v>
      </c>
      <c r="K672" s="6">
        <v>1</v>
      </c>
      <c r="P672" s="6">
        <f t="shared" si="21"/>
        <v>2250000</v>
      </c>
      <c r="R672" s="6" t="s">
        <v>2003</v>
      </c>
      <c r="T672" s="6" t="s">
        <v>2007</v>
      </c>
      <c r="U672" s="6">
        <v>2016</v>
      </c>
      <c r="V672" s="6">
        <v>1</v>
      </c>
      <c r="AD672" s="6" t="s">
        <v>45</v>
      </c>
      <c r="AJ672" s="31" t="s">
        <v>2113</v>
      </c>
      <c r="AK672" s="6">
        <v>1</v>
      </c>
      <c r="AL672" s="26">
        <v>2050000</v>
      </c>
      <c r="AM672" s="26">
        <v>2050000</v>
      </c>
      <c r="AN672" s="26">
        <v>2050000</v>
      </c>
      <c r="AO672" s="6" t="s">
        <v>2003</v>
      </c>
      <c r="AQ672" s="6" t="s">
        <v>49</v>
      </c>
      <c r="AU672" s="6">
        <v>225498</v>
      </c>
    </row>
    <row r="673" spans="1:47" x14ac:dyDescent="0.3">
      <c r="A673" s="28" t="s">
        <v>42</v>
      </c>
      <c r="B673" s="6" t="s">
        <v>2186</v>
      </c>
      <c r="C673" s="6" t="s">
        <v>1977</v>
      </c>
      <c r="D673" s="6" t="s">
        <v>2104</v>
      </c>
      <c r="E673" s="6">
        <v>1</v>
      </c>
      <c r="F673" s="6" t="s">
        <v>2004</v>
      </c>
      <c r="G673" s="6" t="s">
        <v>2005</v>
      </c>
      <c r="H673" s="6" t="s">
        <v>2005</v>
      </c>
      <c r="I673" s="6" t="str">
        <f t="shared" si="20"/>
        <v>Wide Bucket</v>
      </c>
      <c r="J673" s="6" t="s">
        <v>123</v>
      </c>
      <c r="K673" s="6">
        <v>1</v>
      </c>
      <c r="P673" s="6">
        <f t="shared" si="21"/>
        <v>1000000</v>
      </c>
      <c r="R673" s="6" t="s">
        <v>2003</v>
      </c>
      <c r="T673" s="6" t="s">
        <v>797</v>
      </c>
      <c r="U673" s="6">
        <v>2015</v>
      </c>
      <c r="V673" s="6">
        <v>7</v>
      </c>
      <c r="AD673" s="6" t="s">
        <v>45</v>
      </c>
      <c r="AJ673" s="31" t="s">
        <v>2120</v>
      </c>
      <c r="AK673" s="6">
        <v>1</v>
      </c>
      <c r="AL673" s="26">
        <v>900000</v>
      </c>
      <c r="AM673" s="26">
        <v>900000</v>
      </c>
      <c r="AN673" s="26">
        <v>900000</v>
      </c>
      <c r="AO673" s="6" t="s">
        <v>2003</v>
      </c>
      <c r="AQ673" s="6" t="s">
        <v>1162</v>
      </c>
      <c r="AU673" s="6">
        <v>225499</v>
      </c>
    </row>
    <row r="674" spans="1:47" x14ac:dyDescent="0.3">
      <c r="A674" s="28" t="s">
        <v>42</v>
      </c>
      <c r="B674" s="6" t="s">
        <v>2195</v>
      </c>
      <c r="C674" s="19" t="s">
        <v>2207</v>
      </c>
      <c r="D674" s="6" t="s">
        <v>2105</v>
      </c>
      <c r="E674" s="6">
        <v>1</v>
      </c>
      <c r="F674" s="6" t="s">
        <v>2004</v>
      </c>
      <c r="G674" s="6" t="s">
        <v>2005</v>
      </c>
      <c r="H674" s="6" t="s">
        <v>2005</v>
      </c>
      <c r="I674" s="6" t="str">
        <f t="shared" si="20"/>
        <v>Hydraulic Crusher</v>
      </c>
      <c r="J674" s="6" t="s">
        <v>525</v>
      </c>
      <c r="K674" s="6">
        <v>1</v>
      </c>
      <c r="P674" s="6">
        <f t="shared" si="21"/>
        <v>17000000</v>
      </c>
      <c r="R674" s="6" t="s">
        <v>2003</v>
      </c>
      <c r="T674" s="6" t="s">
        <v>813</v>
      </c>
      <c r="U674" s="6">
        <v>2014</v>
      </c>
      <c r="V674" s="6">
        <v>1</v>
      </c>
      <c r="AD674" s="6" t="s">
        <v>45</v>
      </c>
      <c r="AJ674" s="31" t="s">
        <v>2113</v>
      </c>
      <c r="AK674" s="6">
        <v>1</v>
      </c>
      <c r="AL674" s="26">
        <v>16500000</v>
      </c>
      <c r="AM674" s="26">
        <v>16500000</v>
      </c>
      <c r="AN674" s="26">
        <v>16500000</v>
      </c>
      <c r="AO674" s="6" t="s">
        <v>2003</v>
      </c>
      <c r="AQ674" s="6" t="s">
        <v>49</v>
      </c>
      <c r="AU674" s="6">
        <v>225502</v>
      </c>
    </row>
    <row r="675" spans="1:47" x14ac:dyDescent="0.3">
      <c r="A675" s="28" t="s">
        <v>42</v>
      </c>
      <c r="B675" s="6" t="s">
        <v>2201</v>
      </c>
      <c r="C675" s="19" t="s">
        <v>2207</v>
      </c>
      <c r="D675" s="6" t="s">
        <v>2104</v>
      </c>
      <c r="E675" s="6">
        <v>1</v>
      </c>
      <c r="F675" s="6" t="s">
        <v>2004</v>
      </c>
      <c r="G675" s="6" t="s">
        <v>2005</v>
      </c>
      <c r="H675" s="6" t="s">
        <v>2005</v>
      </c>
      <c r="I675" s="6" t="str">
        <f t="shared" si="20"/>
        <v>Hydraulic Crusher</v>
      </c>
      <c r="J675" s="6" t="s">
        <v>653</v>
      </c>
      <c r="K675" s="6">
        <v>1</v>
      </c>
      <c r="P675" s="6">
        <f t="shared" si="21"/>
        <v>7500000</v>
      </c>
      <c r="R675" s="6" t="s">
        <v>2003</v>
      </c>
      <c r="T675" s="6" t="s">
        <v>2007</v>
      </c>
      <c r="U675" s="6">
        <v>2012</v>
      </c>
      <c r="V675" s="6">
        <v>1</v>
      </c>
      <c r="AD675" s="6" t="s">
        <v>45</v>
      </c>
      <c r="AJ675" s="31" t="s">
        <v>2113</v>
      </c>
      <c r="AK675" s="6">
        <v>1</v>
      </c>
      <c r="AL675" s="26">
        <v>7000000</v>
      </c>
      <c r="AM675" s="26">
        <v>7000000</v>
      </c>
      <c r="AN675" s="26">
        <v>7000000</v>
      </c>
      <c r="AO675" s="6" t="s">
        <v>2003</v>
      </c>
      <c r="AQ675" s="6" t="s">
        <v>49</v>
      </c>
      <c r="AU675" s="6">
        <v>225505</v>
      </c>
    </row>
    <row r="676" spans="1:47" x14ac:dyDescent="0.3">
      <c r="A676" s="28" t="s">
        <v>42</v>
      </c>
      <c r="B676" s="6" t="s">
        <v>2181</v>
      </c>
      <c r="C676" s="6" t="s">
        <v>1979</v>
      </c>
      <c r="D676" s="6" t="s">
        <v>2103</v>
      </c>
      <c r="E676" s="6">
        <v>1</v>
      </c>
      <c r="F676" s="6" t="s">
        <v>2004</v>
      </c>
      <c r="G676" s="6" t="s">
        <v>2005</v>
      </c>
      <c r="H676" s="6" t="s">
        <v>2005</v>
      </c>
      <c r="I676" s="6" t="str">
        <f t="shared" si="20"/>
        <v>Thumb Grapple</v>
      </c>
      <c r="J676" s="6" t="s">
        <v>654</v>
      </c>
      <c r="K676" s="6">
        <v>1</v>
      </c>
      <c r="P676" s="6">
        <f t="shared" si="21"/>
        <v>2200000</v>
      </c>
      <c r="R676" s="6" t="s">
        <v>2003</v>
      </c>
      <c r="T676" s="6" t="s">
        <v>813</v>
      </c>
      <c r="U676" s="6">
        <v>2014</v>
      </c>
      <c r="V676" s="6">
        <v>1</v>
      </c>
      <c r="AD676" s="6" t="s">
        <v>45</v>
      </c>
      <c r="AJ676" s="31" t="s">
        <v>2113</v>
      </c>
      <c r="AK676" s="6">
        <v>1</v>
      </c>
      <c r="AL676" s="26">
        <v>2000000</v>
      </c>
      <c r="AM676" s="26">
        <v>2000000</v>
      </c>
      <c r="AN676" s="26">
        <v>2000000</v>
      </c>
      <c r="AO676" s="6" t="s">
        <v>2003</v>
      </c>
      <c r="AQ676" s="6" t="s">
        <v>49</v>
      </c>
      <c r="AU676" s="6">
        <v>225508</v>
      </c>
    </row>
    <row r="677" spans="1:47" x14ac:dyDescent="0.3">
      <c r="A677" s="28" t="s">
        <v>42</v>
      </c>
      <c r="B677" s="6" t="s">
        <v>2201</v>
      </c>
      <c r="C677" s="6" t="s">
        <v>1978</v>
      </c>
      <c r="D677" s="6" t="s">
        <v>2103</v>
      </c>
      <c r="E677" s="6">
        <v>1</v>
      </c>
      <c r="F677" s="6" t="s">
        <v>2004</v>
      </c>
      <c r="G677" s="6" t="s">
        <v>2005</v>
      </c>
      <c r="H677" s="6" t="s">
        <v>2005</v>
      </c>
      <c r="I677" s="6" t="str">
        <f t="shared" si="20"/>
        <v>Hydraulic Pulverizer</v>
      </c>
      <c r="J677" s="6" t="s">
        <v>409</v>
      </c>
      <c r="K677" s="6">
        <v>1</v>
      </c>
      <c r="P677" s="6">
        <f t="shared" si="21"/>
        <v>6500000</v>
      </c>
      <c r="R677" s="6" t="s">
        <v>2003</v>
      </c>
      <c r="T677" s="6" t="s">
        <v>813</v>
      </c>
      <c r="U677" s="6">
        <v>2013</v>
      </c>
      <c r="V677" s="6">
        <v>1</v>
      </c>
      <c r="AD677" s="6" t="s">
        <v>45</v>
      </c>
      <c r="AJ677" s="31" t="s">
        <v>2113</v>
      </c>
      <c r="AK677" s="6">
        <v>1</v>
      </c>
      <c r="AL677" s="26">
        <v>6000000</v>
      </c>
      <c r="AM677" s="26">
        <v>6000000</v>
      </c>
      <c r="AN677" s="26">
        <v>6000000</v>
      </c>
      <c r="AO677" s="6" t="s">
        <v>2003</v>
      </c>
      <c r="AQ677" s="6" t="s">
        <v>49</v>
      </c>
      <c r="AU677" s="6">
        <v>225512</v>
      </c>
    </row>
    <row r="678" spans="1:47" x14ac:dyDescent="0.3">
      <c r="A678" s="28" t="s">
        <v>42</v>
      </c>
      <c r="B678" s="6" t="s">
        <v>2178</v>
      </c>
      <c r="C678" s="6" t="s">
        <v>1975</v>
      </c>
      <c r="D678" s="6" t="s">
        <v>2103</v>
      </c>
      <c r="E678" s="6">
        <v>1</v>
      </c>
      <c r="F678" s="6" t="s">
        <v>2004</v>
      </c>
      <c r="G678" s="6" t="s">
        <v>2005</v>
      </c>
      <c r="H678" s="6" t="s">
        <v>2005</v>
      </c>
      <c r="I678" s="6" t="str">
        <f t="shared" si="20"/>
        <v>Side Breaker</v>
      </c>
      <c r="J678" s="6" t="s">
        <v>655</v>
      </c>
      <c r="K678" s="6">
        <v>1</v>
      </c>
      <c r="P678" s="6">
        <f t="shared" si="21"/>
        <v>6500000</v>
      </c>
      <c r="R678" s="6" t="s">
        <v>2003</v>
      </c>
      <c r="T678" s="6" t="s">
        <v>1029</v>
      </c>
      <c r="U678" s="6">
        <v>2013</v>
      </c>
      <c r="V678" s="6">
        <v>1</v>
      </c>
      <c r="AD678" s="6" t="s">
        <v>45</v>
      </c>
      <c r="AJ678" s="31" t="s">
        <v>2119</v>
      </c>
      <c r="AK678" s="6">
        <v>1</v>
      </c>
      <c r="AL678" s="26">
        <v>6000000</v>
      </c>
      <c r="AM678" s="26">
        <v>6000000</v>
      </c>
      <c r="AN678" s="26">
        <v>6000000</v>
      </c>
      <c r="AO678" s="6" t="s">
        <v>2003</v>
      </c>
      <c r="AQ678" s="6" t="s">
        <v>1277</v>
      </c>
      <c r="AU678" s="6">
        <v>225515</v>
      </c>
    </row>
    <row r="679" spans="1:47" x14ac:dyDescent="0.3">
      <c r="A679" s="28" t="s">
        <v>42</v>
      </c>
      <c r="B679" s="6" t="s">
        <v>2177</v>
      </c>
      <c r="C679" s="19" t="s">
        <v>2215</v>
      </c>
      <c r="D679" s="6" t="s">
        <v>2105</v>
      </c>
      <c r="E679" s="6">
        <v>1</v>
      </c>
      <c r="F679" s="6" t="s">
        <v>2004</v>
      </c>
      <c r="G679" s="6" t="s">
        <v>2005</v>
      </c>
      <c r="H679" s="6" t="s">
        <v>2005</v>
      </c>
      <c r="I679" s="6" t="str">
        <f t="shared" si="20"/>
        <v>ClamShell Grapple</v>
      </c>
      <c r="J679" s="6" t="s">
        <v>656</v>
      </c>
      <c r="K679" s="6">
        <v>1</v>
      </c>
      <c r="P679" s="6">
        <f t="shared" si="21"/>
        <v>4200000</v>
      </c>
      <c r="R679" s="6" t="s">
        <v>2003</v>
      </c>
      <c r="T679" s="6" t="s">
        <v>54</v>
      </c>
      <c r="U679" s="6">
        <v>2012</v>
      </c>
      <c r="V679" s="6">
        <v>1</v>
      </c>
      <c r="AD679" s="6" t="s">
        <v>45</v>
      </c>
      <c r="AJ679" s="31" t="s">
        <v>2114</v>
      </c>
      <c r="AK679" s="6">
        <v>1</v>
      </c>
      <c r="AL679" s="26">
        <v>4000000</v>
      </c>
      <c r="AM679" s="26">
        <v>4000000</v>
      </c>
      <c r="AN679" s="26">
        <v>4000000</v>
      </c>
      <c r="AO679" s="6" t="s">
        <v>2003</v>
      </c>
      <c r="AQ679" s="6" t="s">
        <v>54</v>
      </c>
      <c r="AU679" s="6">
        <v>225516</v>
      </c>
    </row>
    <row r="680" spans="1:47" x14ac:dyDescent="0.3">
      <c r="A680" s="28" t="s">
        <v>42</v>
      </c>
      <c r="B680" s="6" t="s">
        <v>2195</v>
      </c>
      <c r="C680" s="19" t="s">
        <v>2207</v>
      </c>
      <c r="D680" s="6" t="s">
        <v>2103</v>
      </c>
      <c r="E680" s="6">
        <v>1</v>
      </c>
      <c r="F680" s="6" t="s">
        <v>2004</v>
      </c>
      <c r="G680" s="6" t="s">
        <v>2005</v>
      </c>
      <c r="H680" s="6" t="s">
        <v>2005</v>
      </c>
      <c r="I680" s="6" t="str">
        <f t="shared" si="20"/>
        <v>Hydraulic Crusher</v>
      </c>
      <c r="J680" s="6" t="s">
        <v>223</v>
      </c>
      <c r="K680" s="6">
        <v>1</v>
      </c>
      <c r="P680" s="6">
        <f t="shared" si="21"/>
        <v>10500000</v>
      </c>
      <c r="R680" s="6" t="s">
        <v>2003</v>
      </c>
      <c r="T680" s="6" t="s">
        <v>813</v>
      </c>
      <c r="U680" s="6">
        <v>2014</v>
      </c>
      <c r="V680" s="6">
        <v>1</v>
      </c>
      <c r="AD680" s="6" t="s">
        <v>45</v>
      </c>
      <c r="AJ680" s="31" t="s">
        <v>2113</v>
      </c>
      <c r="AK680" s="6">
        <v>1</v>
      </c>
      <c r="AL680" s="26">
        <v>10000000</v>
      </c>
      <c r="AM680" s="26">
        <v>10000000</v>
      </c>
      <c r="AN680" s="26">
        <v>10000000</v>
      </c>
      <c r="AO680" s="6" t="s">
        <v>2003</v>
      </c>
      <c r="AQ680" s="6" t="s">
        <v>49</v>
      </c>
      <c r="AU680" s="6">
        <v>225519</v>
      </c>
    </row>
    <row r="681" spans="1:47" x14ac:dyDescent="0.3">
      <c r="A681" s="28" t="s">
        <v>42</v>
      </c>
      <c r="B681" s="6" t="s">
        <v>2181</v>
      </c>
      <c r="C681" s="6" t="s">
        <v>1979</v>
      </c>
      <c r="D681" s="6" t="s">
        <v>2104</v>
      </c>
      <c r="E681" s="6">
        <v>1</v>
      </c>
      <c r="F681" s="6" t="s">
        <v>2004</v>
      </c>
      <c r="G681" s="6" t="s">
        <v>2005</v>
      </c>
      <c r="H681" s="6" t="s">
        <v>2005</v>
      </c>
      <c r="I681" s="6" t="str">
        <f t="shared" si="20"/>
        <v>Thumb Grapple</v>
      </c>
      <c r="J681" s="6" t="s">
        <v>176</v>
      </c>
      <c r="K681" s="6">
        <v>1</v>
      </c>
      <c r="P681" s="6">
        <f t="shared" si="21"/>
        <v>800000</v>
      </c>
      <c r="R681" s="6" t="s">
        <v>2003</v>
      </c>
      <c r="T681" s="6" t="s">
        <v>813</v>
      </c>
      <c r="U681" s="6">
        <v>2013</v>
      </c>
      <c r="V681" s="6">
        <v>1</v>
      </c>
      <c r="AD681" s="6" t="s">
        <v>45</v>
      </c>
      <c r="AJ681" s="31" t="s">
        <v>2113</v>
      </c>
      <c r="AK681" s="6">
        <v>1</v>
      </c>
      <c r="AL681" s="26">
        <v>700000</v>
      </c>
      <c r="AM681" s="26">
        <v>700000</v>
      </c>
      <c r="AN681" s="26">
        <v>700000</v>
      </c>
      <c r="AO681" s="6" t="s">
        <v>2003</v>
      </c>
      <c r="AQ681" s="6" t="s">
        <v>79</v>
      </c>
      <c r="AU681" s="6">
        <v>225521</v>
      </c>
    </row>
    <row r="682" spans="1:47" x14ac:dyDescent="0.3">
      <c r="A682" s="28" t="s">
        <v>42</v>
      </c>
      <c r="B682" s="6" t="s">
        <v>2177</v>
      </c>
      <c r="C682" s="19" t="s">
        <v>2206</v>
      </c>
      <c r="D682" s="6" t="s">
        <v>2104</v>
      </c>
      <c r="E682" s="6">
        <v>1</v>
      </c>
      <c r="F682" s="6" t="s">
        <v>2004</v>
      </c>
      <c r="G682" s="6" t="s">
        <v>2005</v>
      </c>
      <c r="H682" s="6" t="s">
        <v>2005</v>
      </c>
      <c r="I682" s="6" t="str">
        <f t="shared" si="20"/>
        <v>Etc Grapple</v>
      </c>
      <c r="J682" s="6" t="s">
        <v>657</v>
      </c>
      <c r="K682" s="6">
        <v>1</v>
      </c>
      <c r="P682" s="6">
        <f t="shared" si="21"/>
        <v>4800000</v>
      </c>
      <c r="R682" s="6" t="s">
        <v>2003</v>
      </c>
      <c r="T682" s="6" t="s">
        <v>2007</v>
      </c>
      <c r="U682" s="6">
        <v>2014</v>
      </c>
      <c r="V682" s="6">
        <v>1</v>
      </c>
      <c r="AD682" s="6" t="s">
        <v>45</v>
      </c>
      <c r="AJ682" s="31" t="s">
        <v>2113</v>
      </c>
      <c r="AK682" s="6">
        <v>1</v>
      </c>
      <c r="AL682" s="26">
        <v>4600000</v>
      </c>
      <c r="AM682" s="26">
        <v>4600000</v>
      </c>
      <c r="AN682" s="26">
        <v>4600000</v>
      </c>
      <c r="AO682" s="6" t="s">
        <v>2003</v>
      </c>
      <c r="AQ682" s="6" t="s">
        <v>49</v>
      </c>
      <c r="AU682" s="6">
        <v>225527</v>
      </c>
    </row>
    <row r="683" spans="1:47" x14ac:dyDescent="0.3">
      <c r="A683" s="28" t="s">
        <v>42</v>
      </c>
      <c r="B683" s="6" t="s">
        <v>2191</v>
      </c>
      <c r="C683" s="6" t="s">
        <v>1975</v>
      </c>
      <c r="D683" s="6" t="s">
        <v>2106</v>
      </c>
      <c r="E683" s="6">
        <v>1</v>
      </c>
      <c r="F683" s="6" t="s">
        <v>2004</v>
      </c>
      <c r="G683" s="6" t="s">
        <v>2005</v>
      </c>
      <c r="H683" s="6" t="s">
        <v>2005</v>
      </c>
      <c r="I683" s="6" t="str">
        <f t="shared" si="20"/>
        <v>Side Breaker</v>
      </c>
      <c r="J683" s="6" t="s">
        <v>205</v>
      </c>
      <c r="K683" s="6">
        <v>1</v>
      </c>
      <c r="P683" s="6">
        <f t="shared" si="21"/>
        <v>1450000</v>
      </c>
      <c r="R683" s="6" t="s">
        <v>2003</v>
      </c>
      <c r="T683" s="6" t="s">
        <v>2007</v>
      </c>
      <c r="U683" s="6">
        <v>2014</v>
      </c>
      <c r="V683" s="6">
        <v>1</v>
      </c>
      <c r="AD683" s="6" t="s">
        <v>45</v>
      </c>
      <c r="AJ683" s="31" t="s">
        <v>2113</v>
      </c>
      <c r="AK683" s="6">
        <v>1</v>
      </c>
      <c r="AL683" s="26">
        <v>1350000</v>
      </c>
      <c r="AM683" s="26">
        <v>1350000</v>
      </c>
      <c r="AN683" s="26">
        <v>1350000</v>
      </c>
      <c r="AO683" s="6" t="s">
        <v>2003</v>
      </c>
      <c r="AQ683" s="6" t="s">
        <v>49</v>
      </c>
      <c r="AU683" s="6">
        <v>225528</v>
      </c>
    </row>
    <row r="684" spans="1:47" x14ac:dyDescent="0.3">
      <c r="A684" s="28" t="s">
        <v>42</v>
      </c>
      <c r="B684" s="6" t="s">
        <v>2191</v>
      </c>
      <c r="C684" s="6" t="s">
        <v>1975</v>
      </c>
      <c r="D684" s="6" t="s">
        <v>2104</v>
      </c>
      <c r="E684" s="6">
        <v>1</v>
      </c>
      <c r="F684" s="6" t="s">
        <v>2004</v>
      </c>
      <c r="G684" s="6" t="s">
        <v>2005</v>
      </c>
      <c r="H684" s="6" t="s">
        <v>2005</v>
      </c>
      <c r="I684" s="6" t="str">
        <f t="shared" si="20"/>
        <v>Side Breaker</v>
      </c>
      <c r="J684" s="6" t="s">
        <v>119</v>
      </c>
      <c r="K684" s="6">
        <v>1</v>
      </c>
      <c r="P684" s="6">
        <f t="shared" si="21"/>
        <v>4500000</v>
      </c>
      <c r="R684" s="6" t="s">
        <v>2003</v>
      </c>
      <c r="T684" s="6" t="s">
        <v>862</v>
      </c>
      <c r="U684" s="6">
        <v>2015</v>
      </c>
      <c r="V684" s="6">
        <v>8</v>
      </c>
      <c r="AD684" s="6" t="s">
        <v>45</v>
      </c>
      <c r="AJ684" s="31" t="s">
        <v>2118</v>
      </c>
      <c r="AK684" s="6">
        <v>1</v>
      </c>
      <c r="AL684" s="26">
        <v>4300000</v>
      </c>
      <c r="AM684" s="26">
        <v>4300000</v>
      </c>
      <c r="AN684" s="26">
        <v>4300000</v>
      </c>
      <c r="AO684" s="6" t="s">
        <v>2003</v>
      </c>
      <c r="AQ684" s="6" t="s">
        <v>67</v>
      </c>
      <c r="AU684" s="6">
        <v>225529</v>
      </c>
    </row>
    <row r="685" spans="1:47" x14ac:dyDescent="0.3">
      <c r="A685" s="28" t="s">
        <v>42</v>
      </c>
      <c r="B685" s="6" t="s">
        <v>2189</v>
      </c>
      <c r="D685" s="6" t="s">
        <v>2104</v>
      </c>
      <c r="E685" s="6">
        <v>1</v>
      </c>
      <c r="F685" s="6" t="s">
        <v>2004</v>
      </c>
      <c r="G685" s="6" t="s">
        <v>2005</v>
      </c>
      <c r="H685" s="6" t="s">
        <v>2005</v>
      </c>
      <c r="I685" s="6" t="str">
        <f t="shared" si="20"/>
        <v>Quick Coupler</v>
      </c>
      <c r="J685" s="6" t="s">
        <v>147</v>
      </c>
      <c r="K685" s="6">
        <v>1</v>
      </c>
      <c r="P685" s="6">
        <f t="shared" si="21"/>
        <v>850000</v>
      </c>
      <c r="R685" s="6" t="s">
        <v>2003</v>
      </c>
      <c r="T685" s="6" t="s">
        <v>813</v>
      </c>
      <c r="U685" s="6">
        <v>2014</v>
      </c>
      <c r="V685" s="6">
        <v>1</v>
      </c>
      <c r="AD685" s="6" t="s">
        <v>45</v>
      </c>
      <c r="AJ685" s="31" t="s">
        <v>2113</v>
      </c>
      <c r="AK685" s="6">
        <v>1</v>
      </c>
      <c r="AL685" s="26">
        <v>750000</v>
      </c>
      <c r="AM685" s="26">
        <v>750000</v>
      </c>
      <c r="AN685" s="26">
        <v>750000</v>
      </c>
      <c r="AO685" s="6" t="s">
        <v>2003</v>
      </c>
      <c r="AQ685" s="6" t="s">
        <v>80</v>
      </c>
      <c r="AU685" s="6">
        <v>225533</v>
      </c>
    </row>
    <row r="686" spans="1:47" x14ac:dyDescent="0.3">
      <c r="A686" s="28" t="s">
        <v>42</v>
      </c>
      <c r="B686" s="6" t="s">
        <v>2185</v>
      </c>
      <c r="D686" s="6" t="s">
        <v>2105</v>
      </c>
      <c r="E686" s="6">
        <v>1</v>
      </c>
      <c r="F686" s="6" t="s">
        <v>2004</v>
      </c>
      <c r="G686" s="6" t="s">
        <v>2005</v>
      </c>
      <c r="H686" s="6" t="s">
        <v>2005</v>
      </c>
      <c r="I686" s="6" t="str">
        <f t="shared" si="20"/>
        <v>ETC</v>
      </c>
      <c r="J686" s="6" t="s">
        <v>639</v>
      </c>
      <c r="K686" s="6">
        <v>1</v>
      </c>
      <c r="P686" s="6">
        <f t="shared" si="21"/>
        <v>9500000</v>
      </c>
      <c r="R686" s="6" t="s">
        <v>2003</v>
      </c>
      <c r="T686" s="6" t="s">
        <v>1873</v>
      </c>
      <c r="U686" s="6">
        <v>2014</v>
      </c>
      <c r="V686" s="6">
        <v>1</v>
      </c>
      <c r="AD686" s="6" t="s">
        <v>45</v>
      </c>
      <c r="AJ686" s="31" t="s">
        <v>2121</v>
      </c>
      <c r="AK686" s="6">
        <v>1</v>
      </c>
      <c r="AL686" s="26">
        <v>9000000</v>
      </c>
      <c r="AM686" s="26">
        <v>9000000</v>
      </c>
      <c r="AN686" s="26">
        <v>9000000</v>
      </c>
      <c r="AO686" s="6" t="s">
        <v>2003</v>
      </c>
      <c r="AQ686" s="6" t="s">
        <v>1265</v>
      </c>
      <c r="AU686" s="6">
        <v>225534</v>
      </c>
    </row>
    <row r="687" spans="1:47" x14ac:dyDescent="0.3">
      <c r="A687" s="28" t="s">
        <v>42</v>
      </c>
      <c r="B687" s="6" t="s">
        <v>2204</v>
      </c>
      <c r="C687" s="6" t="s">
        <v>1979</v>
      </c>
      <c r="D687" s="6" t="s">
        <v>2104</v>
      </c>
      <c r="E687" s="6">
        <v>1</v>
      </c>
      <c r="F687" s="6" t="s">
        <v>2004</v>
      </c>
      <c r="G687" s="6" t="s">
        <v>2005</v>
      </c>
      <c r="H687" s="6" t="s">
        <v>2005</v>
      </c>
      <c r="I687" s="6" t="str">
        <f t="shared" si="20"/>
        <v>Thumb Grapple</v>
      </c>
      <c r="J687" s="6" t="s">
        <v>195</v>
      </c>
      <c r="K687" s="6">
        <v>1</v>
      </c>
      <c r="P687" s="6">
        <f t="shared" si="21"/>
        <v>800000</v>
      </c>
      <c r="R687" s="6" t="s">
        <v>2003</v>
      </c>
      <c r="T687" s="6" t="s">
        <v>2007</v>
      </c>
      <c r="U687" s="6">
        <v>2014</v>
      </c>
      <c r="V687" s="6">
        <v>1</v>
      </c>
      <c r="AD687" s="6" t="s">
        <v>45</v>
      </c>
      <c r="AJ687" s="31" t="s">
        <v>2113</v>
      </c>
      <c r="AK687" s="6">
        <v>1</v>
      </c>
      <c r="AL687" s="26">
        <v>700000</v>
      </c>
      <c r="AM687" s="26">
        <v>700000</v>
      </c>
      <c r="AN687" s="26">
        <v>700000</v>
      </c>
      <c r="AO687" s="6" t="s">
        <v>2003</v>
      </c>
      <c r="AQ687" s="6" t="s">
        <v>49</v>
      </c>
      <c r="AU687" s="6">
        <v>225537</v>
      </c>
    </row>
    <row r="688" spans="1:47" hidden="1" x14ac:dyDescent="0.3">
      <c r="A688" s="28" t="s">
        <v>42</v>
      </c>
      <c r="B688" s="6" t="s">
        <v>2185</v>
      </c>
      <c r="E688" s="6">
        <v>1</v>
      </c>
      <c r="F688" s="6" t="s">
        <v>2004</v>
      </c>
      <c r="G688" s="6" t="s">
        <v>2005</v>
      </c>
      <c r="H688" s="6" t="s">
        <v>2005</v>
      </c>
      <c r="I688" s="6" t="str">
        <f t="shared" si="20"/>
        <v>ETC</v>
      </c>
      <c r="J688" s="6" t="s">
        <v>228</v>
      </c>
      <c r="K688" s="6">
        <v>1</v>
      </c>
      <c r="P688" s="6">
        <f t="shared" si="21"/>
        <v>6000000</v>
      </c>
      <c r="R688" s="6" t="s">
        <v>2003</v>
      </c>
      <c r="T688" s="6" t="s">
        <v>1874</v>
      </c>
      <c r="U688" s="6">
        <v>2009</v>
      </c>
      <c r="V688" s="6">
        <v>1</v>
      </c>
      <c r="AD688" s="6" t="s">
        <v>45</v>
      </c>
      <c r="AJ688" s="31" t="s">
        <v>2118</v>
      </c>
      <c r="AK688" s="6">
        <v>1</v>
      </c>
      <c r="AL688" s="26">
        <v>5500000</v>
      </c>
      <c r="AM688" s="26">
        <v>5500000</v>
      </c>
      <c r="AN688" s="26">
        <v>5500000</v>
      </c>
      <c r="AO688" s="6" t="s">
        <v>2003</v>
      </c>
      <c r="AQ688" s="6" t="s">
        <v>63</v>
      </c>
      <c r="AU688" s="6">
        <v>225539</v>
      </c>
    </row>
    <row r="689" spans="1:47" x14ac:dyDescent="0.3">
      <c r="A689" s="28" t="s">
        <v>42</v>
      </c>
      <c r="B689" s="6" t="s">
        <v>2191</v>
      </c>
      <c r="C689" s="6" t="s">
        <v>1975</v>
      </c>
      <c r="D689" s="6" t="s">
        <v>2100</v>
      </c>
      <c r="E689" s="6">
        <v>1</v>
      </c>
      <c r="F689" s="6" t="s">
        <v>2004</v>
      </c>
      <c r="G689" s="6" t="s">
        <v>2005</v>
      </c>
      <c r="H689" s="6" t="s">
        <v>2005</v>
      </c>
      <c r="I689" s="6" t="str">
        <f t="shared" si="20"/>
        <v>Side Breaker</v>
      </c>
      <c r="J689" s="6" t="s">
        <v>266</v>
      </c>
      <c r="K689" s="6">
        <v>1</v>
      </c>
      <c r="P689" s="6">
        <f t="shared" si="21"/>
        <v>2400000</v>
      </c>
      <c r="R689" s="6" t="s">
        <v>2003</v>
      </c>
      <c r="T689" s="6" t="s">
        <v>2011</v>
      </c>
      <c r="U689" s="6">
        <v>2016</v>
      </c>
      <c r="V689" s="6">
        <v>6</v>
      </c>
      <c r="AD689" s="6" t="s">
        <v>45</v>
      </c>
      <c r="AJ689" s="31" t="s">
        <v>2123</v>
      </c>
      <c r="AK689" s="6">
        <v>1</v>
      </c>
      <c r="AL689" s="26">
        <v>2200000</v>
      </c>
      <c r="AM689" s="26">
        <v>2200000</v>
      </c>
      <c r="AN689" s="26">
        <v>2200000</v>
      </c>
      <c r="AO689" s="6" t="s">
        <v>2003</v>
      </c>
      <c r="AQ689" s="6" t="s">
        <v>1200</v>
      </c>
      <c r="AU689" s="6">
        <v>225540</v>
      </c>
    </row>
    <row r="690" spans="1:47" x14ac:dyDescent="0.3">
      <c r="A690" s="28" t="s">
        <v>42</v>
      </c>
      <c r="B690" s="6" t="s">
        <v>2216</v>
      </c>
      <c r="C690" s="6" t="s">
        <v>2212</v>
      </c>
      <c r="D690" s="6" t="s">
        <v>2103</v>
      </c>
      <c r="E690" s="6">
        <v>1</v>
      </c>
      <c r="F690" s="6" t="s">
        <v>2004</v>
      </c>
      <c r="G690" s="6" t="s">
        <v>2005</v>
      </c>
      <c r="H690" s="6" t="s">
        <v>2005</v>
      </c>
      <c r="I690" s="6" t="str">
        <f t="shared" si="20"/>
        <v>Hydraulic Multi Processor</v>
      </c>
      <c r="J690" s="6" t="s">
        <v>658</v>
      </c>
      <c r="K690" s="6">
        <v>1</v>
      </c>
      <c r="P690" s="6">
        <f t="shared" si="21"/>
        <v>8500000</v>
      </c>
      <c r="R690" s="6" t="s">
        <v>2003</v>
      </c>
      <c r="T690" s="6" t="s">
        <v>1030</v>
      </c>
      <c r="U690" s="6">
        <v>2002</v>
      </c>
      <c r="V690" s="6">
        <v>1</v>
      </c>
      <c r="AD690" s="6" t="s">
        <v>45</v>
      </c>
      <c r="AJ690" s="31" t="s">
        <v>2125</v>
      </c>
      <c r="AK690" s="6">
        <v>1</v>
      </c>
      <c r="AL690" s="26">
        <v>8000000</v>
      </c>
      <c r="AM690" s="26">
        <v>8000000</v>
      </c>
      <c r="AN690" s="26">
        <v>8000000</v>
      </c>
      <c r="AO690" s="6" t="s">
        <v>2003</v>
      </c>
      <c r="AQ690" s="6" t="s">
        <v>105</v>
      </c>
      <c r="AU690" s="6">
        <v>225544</v>
      </c>
    </row>
    <row r="691" spans="1:47" x14ac:dyDescent="0.3">
      <c r="A691" s="28" t="s">
        <v>42</v>
      </c>
      <c r="B691" s="6" t="s">
        <v>2185</v>
      </c>
      <c r="D691" s="6" t="s">
        <v>2104</v>
      </c>
      <c r="E691" s="6">
        <v>1</v>
      </c>
      <c r="F691" s="6" t="s">
        <v>2004</v>
      </c>
      <c r="G691" s="6" t="s">
        <v>2005</v>
      </c>
      <c r="H691" s="6" t="s">
        <v>2005</v>
      </c>
      <c r="I691" s="6" t="str">
        <f t="shared" si="20"/>
        <v>ETC</v>
      </c>
      <c r="J691" s="6" t="s">
        <v>530</v>
      </c>
      <c r="K691" s="6">
        <v>1</v>
      </c>
      <c r="P691" s="6">
        <f t="shared" si="21"/>
        <v>3400000</v>
      </c>
      <c r="R691" s="6" t="s">
        <v>2003</v>
      </c>
      <c r="T691" s="6" t="s">
        <v>813</v>
      </c>
      <c r="U691" s="6">
        <v>2014</v>
      </c>
      <c r="V691" s="6">
        <v>1</v>
      </c>
      <c r="AD691" s="6" t="s">
        <v>45</v>
      </c>
      <c r="AJ691" s="31" t="s">
        <v>2113</v>
      </c>
      <c r="AK691" s="6">
        <v>1</v>
      </c>
      <c r="AL691" s="26">
        <v>3200000</v>
      </c>
      <c r="AM691" s="26">
        <v>3200000</v>
      </c>
      <c r="AN691" s="26">
        <v>3200000</v>
      </c>
      <c r="AO691" s="6" t="s">
        <v>2003</v>
      </c>
      <c r="AQ691" s="6" t="s">
        <v>79</v>
      </c>
      <c r="AU691" s="6">
        <v>225547</v>
      </c>
    </row>
    <row r="692" spans="1:47" x14ac:dyDescent="0.3">
      <c r="A692" s="28" t="s">
        <v>42</v>
      </c>
      <c r="B692" s="6" t="s">
        <v>2191</v>
      </c>
      <c r="C692" s="6" t="s">
        <v>1975</v>
      </c>
      <c r="D692" s="6" t="s">
        <v>2100</v>
      </c>
      <c r="E692" s="6">
        <v>1</v>
      </c>
      <c r="F692" s="6" t="s">
        <v>2004</v>
      </c>
      <c r="G692" s="6" t="s">
        <v>2005</v>
      </c>
      <c r="H692" s="6" t="s">
        <v>2005</v>
      </c>
      <c r="I692" s="6" t="str">
        <f t="shared" si="20"/>
        <v>Side Breaker</v>
      </c>
      <c r="J692" s="6" t="s">
        <v>160</v>
      </c>
      <c r="K692" s="6">
        <v>1</v>
      </c>
      <c r="P692" s="6">
        <f t="shared" si="21"/>
        <v>1400000</v>
      </c>
      <c r="R692" s="6" t="s">
        <v>2003</v>
      </c>
      <c r="T692" s="6" t="s">
        <v>842</v>
      </c>
      <c r="U692" s="6">
        <v>2012</v>
      </c>
      <c r="V692" s="6">
        <v>1</v>
      </c>
      <c r="AD692" s="6" t="s">
        <v>45</v>
      </c>
      <c r="AJ692" s="31" t="s">
        <v>2118</v>
      </c>
      <c r="AK692" s="6">
        <v>1</v>
      </c>
      <c r="AL692" s="26">
        <v>1300000</v>
      </c>
      <c r="AM692" s="26">
        <v>1300000</v>
      </c>
      <c r="AN692" s="26">
        <v>1300000</v>
      </c>
      <c r="AO692" s="6" t="s">
        <v>2003</v>
      </c>
      <c r="AQ692" s="6" t="s">
        <v>63</v>
      </c>
      <c r="AU692" s="6">
        <v>225548</v>
      </c>
    </row>
    <row r="693" spans="1:47" x14ac:dyDescent="0.3">
      <c r="A693" s="28" t="s">
        <v>42</v>
      </c>
      <c r="B693" s="6" t="s">
        <v>2186</v>
      </c>
      <c r="C693" s="6" t="s">
        <v>1980</v>
      </c>
      <c r="D693" s="6" t="s">
        <v>2104</v>
      </c>
      <c r="E693" s="6">
        <v>1</v>
      </c>
      <c r="F693" s="6" t="s">
        <v>2004</v>
      </c>
      <c r="G693" s="6" t="s">
        <v>2005</v>
      </c>
      <c r="H693" s="6" t="s">
        <v>2005</v>
      </c>
      <c r="I693" s="6" t="str">
        <f t="shared" si="20"/>
        <v>Small Bucket</v>
      </c>
      <c r="J693" s="6" t="s">
        <v>636</v>
      </c>
      <c r="K693" s="6">
        <v>1</v>
      </c>
      <c r="P693" s="6">
        <f t="shared" si="21"/>
        <v>750000</v>
      </c>
      <c r="R693" s="6" t="s">
        <v>2003</v>
      </c>
      <c r="T693" s="6" t="s">
        <v>813</v>
      </c>
      <c r="U693" s="6">
        <v>2013</v>
      </c>
      <c r="V693" s="6">
        <v>1</v>
      </c>
      <c r="AD693" s="6" t="s">
        <v>45</v>
      </c>
      <c r="AJ693" s="31" t="s">
        <v>2113</v>
      </c>
      <c r="AK693" s="6">
        <v>1</v>
      </c>
      <c r="AL693" s="26">
        <v>650000</v>
      </c>
      <c r="AM693" s="26">
        <v>650000</v>
      </c>
      <c r="AN693" s="26">
        <v>650000</v>
      </c>
      <c r="AO693" s="6" t="s">
        <v>2003</v>
      </c>
      <c r="AQ693" s="6" t="s">
        <v>80</v>
      </c>
      <c r="AU693" s="6">
        <v>225551</v>
      </c>
    </row>
    <row r="694" spans="1:47" x14ac:dyDescent="0.3">
      <c r="A694" s="28" t="s">
        <v>42</v>
      </c>
      <c r="B694" s="6" t="s">
        <v>2186</v>
      </c>
      <c r="C694" s="6" t="s">
        <v>1976</v>
      </c>
      <c r="D694" s="6" t="s">
        <v>2100</v>
      </c>
      <c r="E694" s="6">
        <v>1</v>
      </c>
      <c r="F694" s="6" t="s">
        <v>2004</v>
      </c>
      <c r="G694" s="6" t="s">
        <v>2005</v>
      </c>
      <c r="H694" s="6" t="s">
        <v>2005</v>
      </c>
      <c r="I694" s="6" t="str">
        <f t="shared" si="20"/>
        <v>Skeleton Bucket</v>
      </c>
      <c r="J694" s="6" t="s">
        <v>557</v>
      </c>
      <c r="K694" s="6">
        <v>1</v>
      </c>
      <c r="P694" s="6">
        <f t="shared" si="21"/>
        <v>700000</v>
      </c>
      <c r="R694" s="6" t="s">
        <v>2003</v>
      </c>
      <c r="T694" s="6" t="s">
        <v>2011</v>
      </c>
      <c r="U694" s="6">
        <v>2017</v>
      </c>
      <c r="V694" s="6">
        <v>2</v>
      </c>
      <c r="AD694" s="6" t="s">
        <v>45</v>
      </c>
      <c r="AJ694" s="31" t="s">
        <v>2123</v>
      </c>
      <c r="AK694" s="6">
        <v>1</v>
      </c>
      <c r="AL694" s="26">
        <v>600000</v>
      </c>
      <c r="AM694" s="26">
        <v>600000</v>
      </c>
      <c r="AN694" s="26">
        <v>600000</v>
      </c>
      <c r="AO694" s="6" t="s">
        <v>2003</v>
      </c>
      <c r="AQ694" s="6" t="s">
        <v>1200</v>
      </c>
      <c r="AU694" s="6">
        <v>225555</v>
      </c>
    </row>
    <row r="695" spans="1:47" x14ac:dyDescent="0.3">
      <c r="A695" s="28" t="s">
        <v>42</v>
      </c>
      <c r="B695" s="6" t="s">
        <v>2195</v>
      </c>
      <c r="C695" s="19" t="s">
        <v>2207</v>
      </c>
      <c r="D695" s="6" t="s">
        <v>2104</v>
      </c>
      <c r="E695" s="6">
        <v>1</v>
      </c>
      <c r="F695" s="6" t="s">
        <v>2004</v>
      </c>
      <c r="G695" s="6" t="s">
        <v>2005</v>
      </c>
      <c r="H695" s="6" t="s">
        <v>2005</v>
      </c>
      <c r="I695" s="6" t="str">
        <f t="shared" si="20"/>
        <v>Hydraulic Crusher</v>
      </c>
      <c r="J695" s="6" t="s">
        <v>103</v>
      </c>
      <c r="K695" s="6">
        <v>1</v>
      </c>
      <c r="P695" s="6">
        <f t="shared" si="21"/>
        <v>12500000</v>
      </c>
      <c r="R695" s="6" t="s">
        <v>2003</v>
      </c>
      <c r="T695" s="6" t="s">
        <v>813</v>
      </c>
      <c r="U695" s="6">
        <v>2013</v>
      </c>
      <c r="V695" s="6">
        <v>1</v>
      </c>
      <c r="AD695" s="6" t="s">
        <v>45</v>
      </c>
      <c r="AJ695" s="31" t="s">
        <v>2113</v>
      </c>
      <c r="AK695" s="6">
        <v>1</v>
      </c>
      <c r="AL695" s="26">
        <v>12000000</v>
      </c>
      <c r="AM695" s="26">
        <v>12000000</v>
      </c>
      <c r="AN695" s="26">
        <v>12000000</v>
      </c>
      <c r="AO695" s="6" t="s">
        <v>2003</v>
      </c>
      <c r="AQ695" s="6" t="s">
        <v>79</v>
      </c>
      <c r="AU695" s="6">
        <v>225561</v>
      </c>
    </row>
    <row r="696" spans="1:47" x14ac:dyDescent="0.3">
      <c r="A696" s="28" t="s">
        <v>42</v>
      </c>
      <c r="B696" s="6" t="s">
        <v>2181</v>
      </c>
      <c r="C696" s="6" t="s">
        <v>1979</v>
      </c>
      <c r="D696" s="6" t="s">
        <v>2104</v>
      </c>
      <c r="E696" s="6">
        <v>1</v>
      </c>
      <c r="F696" s="6" t="s">
        <v>2004</v>
      </c>
      <c r="G696" s="6" t="s">
        <v>2005</v>
      </c>
      <c r="H696" s="6" t="s">
        <v>2005</v>
      </c>
      <c r="I696" s="6" t="str">
        <f t="shared" si="20"/>
        <v>Thumb Grapple</v>
      </c>
      <c r="J696" s="6" t="s">
        <v>659</v>
      </c>
      <c r="K696" s="6">
        <v>1</v>
      </c>
      <c r="P696" s="6">
        <f t="shared" si="21"/>
        <v>800000</v>
      </c>
      <c r="R696" s="6" t="s">
        <v>2003</v>
      </c>
      <c r="T696" s="6" t="s">
        <v>2007</v>
      </c>
      <c r="U696" s="6">
        <v>2013</v>
      </c>
      <c r="V696" s="6">
        <v>1</v>
      </c>
      <c r="AD696" s="6" t="s">
        <v>45</v>
      </c>
      <c r="AJ696" s="31" t="s">
        <v>2113</v>
      </c>
      <c r="AK696" s="6">
        <v>1</v>
      </c>
      <c r="AL696" s="26">
        <v>700000</v>
      </c>
      <c r="AM696" s="26">
        <v>700000</v>
      </c>
      <c r="AN696" s="26">
        <v>700000</v>
      </c>
      <c r="AO696" s="6" t="s">
        <v>2003</v>
      </c>
      <c r="AQ696" s="6" t="s">
        <v>49</v>
      </c>
      <c r="AU696" s="6">
        <v>225562</v>
      </c>
    </row>
    <row r="697" spans="1:47" x14ac:dyDescent="0.3">
      <c r="A697" s="28" t="s">
        <v>42</v>
      </c>
      <c r="B697" s="6" t="s">
        <v>2177</v>
      </c>
      <c r="C697" s="6" t="s">
        <v>1972</v>
      </c>
      <c r="D697" s="6" t="s">
        <v>2104</v>
      </c>
      <c r="E697" s="6">
        <v>1</v>
      </c>
      <c r="F697" s="6" t="s">
        <v>2004</v>
      </c>
      <c r="G697" s="6" t="s">
        <v>2005</v>
      </c>
      <c r="H697" s="6" t="s">
        <v>2005</v>
      </c>
      <c r="I697" s="6" t="str">
        <f t="shared" si="20"/>
        <v>Stone Grapple</v>
      </c>
      <c r="J697" s="6" t="s">
        <v>120</v>
      </c>
      <c r="K697" s="6">
        <v>1</v>
      </c>
      <c r="P697" s="6">
        <f t="shared" si="21"/>
        <v>5500000</v>
      </c>
      <c r="R697" s="6" t="s">
        <v>2003</v>
      </c>
      <c r="T697" s="6" t="s">
        <v>813</v>
      </c>
      <c r="U697" s="6">
        <v>2014</v>
      </c>
      <c r="V697" s="6">
        <v>1</v>
      </c>
      <c r="AD697" s="6" t="s">
        <v>45</v>
      </c>
      <c r="AJ697" s="31" t="s">
        <v>2113</v>
      </c>
      <c r="AK697" s="6">
        <v>1</v>
      </c>
      <c r="AL697" s="26">
        <v>5000000</v>
      </c>
      <c r="AM697" s="26">
        <v>5000000</v>
      </c>
      <c r="AN697" s="26">
        <v>5000000</v>
      </c>
      <c r="AO697" s="6" t="s">
        <v>2003</v>
      </c>
      <c r="AQ697" s="6" t="s">
        <v>79</v>
      </c>
      <c r="AU697" s="6">
        <v>225565</v>
      </c>
    </row>
    <row r="698" spans="1:47" hidden="1" x14ac:dyDescent="0.3">
      <c r="A698" s="28" t="s">
        <v>42</v>
      </c>
      <c r="B698" s="6" t="s">
        <v>2179</v>
      </c>
      <c r="E698" s="6">
        <v>1</v>
      </c>
      <c r="F698" s="6" t="s">
        <v>2004</v>
      </c>
      <c r="G698" s="6" t="s">
        <v>2005</v>
      </c>
      <c r="H698" s="6" t="s">
        <v>2005</v>
      </c>
      <c r="I698" s="6" t="str">
        <f t="shared" si="20"/>
        <v>Bucket</v>
      </c>
      <c r="J698" s="6" t="s">
        <v>356</v>
      </c>
      <c r="K698" s="6">
        <v>1</v>
      </c>
      <c r="P698" s="6">
        <f t="shared" si="21"/>
        <v>1600000</v>
      </c>
      <c r="R698" s="6" t="s">
        <v>2003</v>
      </c>
      <c r="T698" s="6" t="s">
        <v>2067</v>
      </c>
      <c r="U698" s="6">
        <v>2017</v>
      </c>
      <c r="V698" s="6">
        <v>1</v>
      </c>
      <c r="AD698" s="6" t="s">
        <v>45</v>
      </c>
      <c r="AJ698" s="31" t="s">
        <v>2110</v>
      </c>
      <c r="AK698" s="6">
        <v>1</v>
      </c>
      <c r="AL698" s="26">
        <v>1500000</v>
      </c>
      <c r="AM698" s="26">
        <v>1500000</v>
      </c>
      <c r="AN698" s="26">
        <v>1500000</v>
      </c>
      <c r="AO698" s="6" t="s">
        <v>2003</v>
      </c>
      <c r="AQ698" s="6" t="s">
        <v>1155</v>
      </c>
      <c r="AU698" s="6">
        <v>225566</v>
      </c>
    </row>
    <row r="699" spans="1:47" x14ac:dyDescent="0.3">
      <c r="A699" s="28" t="s">
        <v>42</v>
      </c>
      <c r="B699" s="6" t="s">
        <v>2184</v>
      </c>
      <c r="C699" s="6" t="s">
        <v>1972</v>
      </c>
      <c r="D699" s="6" t="s">
        <v>2104</v>
      </c>
      <c r="E699" s="6">
        <v>1</v>
      </c>
      <c r="F699" s="6" t="s">
        <v>2004</v>
      </c>
      <c r="G699" s="6" t="s">
        <v>2005</v>
      </c>
      <c r="H699" s="6" t="s">
        <v>2005</v>
      </c>
      <c r="I699" s="6" t="str">
        <f t="shared" si="20"/>
        <v>Stone Grapple</v>
      </c>
      <c r="J699" s="6" t="s">
        <v>106</v>
      </c>
      <c r="K699" s="6">
        <v>1</v>
      </c>
      <c r="P699" s="6">
        <f t="shared" si="21"/>
        <v>5500000</v>
      </c>
      <c r="R699" s="6" t="s">
        <v>2003</v>
      </c>
      <c r="T699" s="6" t="s">
        <v>813</v>
      </c>
      <c r="U699" s="6">
        <v>2014</v>
      </c>
      <c r="V699" s="6">
        <v>1</v>
      </c>
      <c r="AD699" s="6" t="s">
        <v>45</v>
      </c>
      <c r="AJ699" s="31" t="s">
        <v>2113</v>
      </c>
      <c r="AK699" s="6">
        <v>1</v>
      </c>
      <c r="AL699" s="26">
        <v>5000000</v>
      </c>
      <c r="AM699" s="26">
        <v>5000000</v>
      </c>
      <c r="AN699" s="26">
        <v>5000000</v>
      </c>
      <c r="AO699" s="6" t="s">
        <v>2003</v>
      </c>
      <c r="AQ699" s="6" t="s">
        <v>79</v>
      </c>
      <c r="AU699" s="6">
        <v>225569</v>
      </c>
    </row>
    <row r="700" spans="1:47" x14ac:dyDescent="0.3">
      <c r="A700" s="28" t="s">
        <v>42</v>
      </c>
      <c r="B700" s="6" t="s">
        <v>2183</v>
      </c>
      <c r="D700" s="6" t="s">
        <v>2100</v>
      </c>
      <c r="E700" s="6">
        <v>1</v>
      </c>
      <c r="F700" s="6" t="s">
        <v>2004</v>
      </c>
      <c r="G700" s="6" t="s">
        <v>2005</v>
      </c>
      <c r="H700" s="6" t="s">
        <v>2005</v>
      </c>
      <c r="I700" s="6" t="str">
        <f t="shared" si="20"/>
        <v>ETC</v>
      </c>
      <c r="J700" s="6" t="s">
        <v>661</v>
      </c>
      <c r="K700" s="6">
        <v>1</v>
      </c>
      <c r="P700" s="6">
        <f t="shared" si="21"/>
        <v>900000</v>
      </c>
      <c r="R700" s="6" t="s">
        <v>2003</v>
      </c>
      <c r="T700" s="6" t="s">
        <v>2011</v>
      </c>
      <c r="U700" s="6">
        <v>2017</v>
      </c>
      <c r="V700" s="6">
        <v>2</v>
      </c>
      <c r="AD700" s="6" t="s">
        <v>45</v>
      </c>
      <c r="AJ700" s="31" t="s">
        <v>2123</v>
      </c>
      <c r="AK700" s="6">
        <v>1</v>
      </c>
      <c r="AL700" s="26">
        <v>800000</v>
      </c>
      <c r="AM700" s="26">
        <v>800000</v>
      </c>
      <c r="AN700" s="26">
        <v>800000</v>
      </c>
      <c r="AO700" s="6" t="s">
        <v>2003</v>
      </c>
      <c r="AQ700" s="6" t="s">
        <v>1200</v>
      </c>
      <c r="AU700" s="6">
        <v>225571</v>
      </c>
    </row>
    <row r="701" spans="1:47" x14ac:dyDescent="0.3">
      <c r="A701" s="28" t="s">
        <v>42</v>
      </c>
      <c r="B701" s="6" t="s">
        <v>2174</v>
      </c>
      <c r="C701" s="6" t="s">
        <v>1975</v>
      </c>
      <c r="D701" s="6" t="s">
        <v>2105</v>
      </c>
      <c r="E701" s="6">
        <v>1</v>
      </c>
      <c r="F701" s="6" t="s">
        <v>2004</v>
      </c>
      <c r="G701" s="6" t="s">
        <v>2005</v>
      </c>
      <c r="H701" s="6" t="s">
        <v>2005</v>
      </c>
      <c r="I701" s="6" t="str">
        <f t="shared" si="20"/>
        <v>Side Breaker</v>
      </c>
      <c r="J701" s="6" t="s">
        <v>306</v>
      </c>
      <c r="K701" s="6">
        <v>1</v>
      </c>
      <c r="P701" s="6">
        <f t="shared" si="21"/>
        <v>6000000</v>
      </c>
      <c r="R701" s="6" t="s">
        <v>2003</v>
      </c>
      <c r="T701" s="6" t="s">
        <v>2033</v>
      </c>
      <c r="U701" s="6">
        <v>2009</v>
      </c>
      <c r="V701" s="6">
        <v>1</v>
      </c>
      <c r="AD701" s="6" t="s">
        <v>45</v>
      </c>
      <c r="AJ701" s="31" t="s">
        <v>2121</v>
      </c>
      <c r="AK701" s="6">
        <v>1</v>
      </c>
      <c r="AL701" s="26">
        <v>5500000</v>
      </c>
      <c r="AM701" s="26">
        <v>5500000</v>
      </c>
      <c r="AN701" s="26">
        <v>5500000</v>
      </c>
      <c r="AO701" s="6" t="s">
        <v>2003</v>
      </c>
      <c r="AQ701" s="6" t="s">
        <v>1219</v>
      </c>
      <c r="AU701" s="6">
        <v>225573</v>
      </c>
    </row>
    <row r="702" spans="1:47" x14ac:dyDescent="0.3">
      <c r="A702" s="28" t="s">
        <v>42</v>
      </c>
      <c r="B702" s="6" t="s">
        <v>2184</v>
      </c>
      <c r="C702" s="6" t="s">
        <v>1972</v>
      </c>
      <c r="D702" s="6" t="s">
        <v>2105</v>
      </c>
      <c r="E702" s="6">
        <v>1</v>
      </c>
      <c r="F702" s="6" t="s">
        <v>2004</v>
      </c>
      <c r="G702" s="6" t="s">
        <v>2005</v>
      </c>
      <c r="H702" s="6" t="s">
        <v>2005</v>
      </c>
      <c r="I702" s="6" t="str">
        <f t="shared" si="20"/>
        <v>Stone Grapple</v>
      </c>
      <c r="J702" s="6" t="s">
        <v>191</v>
      </c>
      <c r="K702" s="6">
        <v>1</v>
      </c>
      <c r="P702" s="6">
        <f t="shared" si="21"/>
        <v>6800000</v>
      </c>
      <c r="R702" s="6" t="s">
        <v>2003</v>
      </c>
      <c r="T702" s="6" t="s">
        <v>2058</v>
      </c>
      <c r="U702" s="6">
        <v>2017</v>
      </c>
      <c r="V702" s="6">
        <v>1</v>
      </c>
      <c r="AD702" s="6" t="s">
        <v>45</v>
      </c>
      <c r="AJ702" s="31" t="s">
        <v>2110</v>
      </c>
      <c r="AK702" s="6">
        <v>1</v>
      </c>
      <c r="AL702" s="26">
        <v>6300000</v>
      </c>
      <c r="AM702" s="26">
        <v>6300000</v>
      </c>
      <c r="AN702" s="26">
        <v>6300000</v>
      </c>
      <c r="AO702" s="6" t="s">
        <v>2003</v>
      </c>
      <c r="AQ702" s="6" t="s">
        <v>1155</v>
      </c>
      <c r="AU702" s="6">
        <v>225576</v>
      </c>
    </row>
    <row r="703" spans="1:47" x14ac:dyDescent="0.3">
      <c r="A703" s="28" t="s">
        <v>42</v>
      </c>
      <c r="B703" s="6" t="s">
        <v>2184</v>
      </c>
      <c r="C703" s="6" t="s">
        <v>1972</v>
      </c>
      <c r="D703" s="6" t="s">
        <v>2100</v>
      </c>
      <c r="E703" s="6">
        <v>1</v>
      </c>
      <c r="F703" s="6" t="s">
        <v>2004</v>
      </c>
      <c r="G703" s="6" t="s">
        <v>2005</v>
      </c>
      <c r="H703" s="6" t="s">
        <v>2005</v>
      </c>
      <c r="I703" s="6" t="str">
        <f t="shared" si="20"/>
        <v>Stone Grapple</v>
      </c>
      <c r="J703" s="6" t="s">
        <v>470</v>
      </c>
      <c r="K703" s="6">
        <v>1</v>
      </c>
      <c r="P703" s="6">
        <f t="shared" si="21"/>
        <v>1700000</v>
      </c>
      <c r="R703" s="6" t="s">
        <v>2003</v>
      </c>
      <c r="T703" s="6" t="s">
        <v>2033</v>
      </c>
      <c r="U703" s="6">
        <v>2010</v>
      </c>
      <c r="V703" s="6">
        <v>5</v>
      </c>
      <c r="AD703" s="6" t="s">
        <v>45</v>
      </c>
      <c r="AJ703" s="31" t="s">
        <v>2122</v>
      </c>
      <c r="AK703" s="6">
        <v>1</v>
      </c>
      <c r="AL703" s="26">
        <v>1600000</v>
      </c>
      <c r="AM703" s="26">
        <v>1600000</v>
      </c>
      <c r="AN703" s="26">
        <v>1600000</v>
      </c>
      <c r="AO703" s="6" t="s">
        <v>2003</v>
      </c>
      <c r="AQ703" s="6" t="s">
        <v>1219</v>
      </c>
      <c r="AU703" s="6">
        <v>225577</v>
      </c>
    </row>
    <row r="704" spans="1:47" x14ac:dyDescent="0.3">
      <c r="A704" s="28" t="s">
        <v>42</v>
      </c>
      <c r="B704" s="6" t="s">
        <v>2199</v>
      </c>
      <c r="D704" s="6" t="s">
        <v>2105</v>
      </c>
      <c r="E704" s="6">
        <v>1</v>
      </c>
      <c r="F704" s="6" t="s">
        <v>2004</v>
      </c>
      <c r="G704" s="6" t="s">
        <v>2005</v>
      </c>
      <c r="H704" s="6" t="s">
        <v>2005</v>
      </c>
      <c r="I704" s="6" t="str">
        <f t="shared" si="20"/>
        <v>Quick Coupler</v>
      </c>
      <c r="J704" s="6" t="s">
        <v>219</v>
      </c>
      <c r="K704" s="6">
        <v>1</v>
      </c>
      <c r="P704" s="6">
        <f t="shared" si="21"/>
        <v>1200000</v>
      </c>
      <c r="R704" s="6" t="s">
        <v>2003</v>
      </c>
      <c r="T704" s="6" t="s">
        <v>813</v>
      </c>
      <c r="U704" s="6">
        <v>2013</v>
      </c>
      <c r="V704" s="6">
        <v>1</v>
      </c>
      <c r="AD704" s="6" t="s">
        <v>45</v>
      </c>
      <c r="AJ704" s="31" t="s">
        <v>2113</v>
      </c>
      <c r="AK704" s="6">
        <v>1</v>
      </c>
      <c r="AL704" s="26">
        <v>1100000</v>
      </c>
      <c r="AM704" s="26">
        <v>1100000</v>
      </c>
      <c r="AN704" s="26">
        <v>1100000</v>
      </c>
      <c r="AO704" s="6" t="s">
        <v>2003</v>
      </c>
      <c r="AQ704" s="6" t="s">
        <v>79</v>
      </c>
      <c r="AU704" s="6">
        <v>225578</v>
      </c>
    </row>
    <row r="705" spans="1:47" x14ac:dyDescent="0.3">
      <c r="A705" s="28" t="s">
        <v>42</v>
      </c>
      <c r="B705" s="6" t="s">
        <v>2192</v>
      </c>
      <c r="D705" s="6" t="s">
        <v>2104</v>
      </c>
      <c r="E705" s="6">
        <v>1</v>
      </c>
      <c r="F705" s="6" t="s">
        <v>2004</v>
      </c>
      <c r="G705" s="6" t="s">
        <v>2005</v>
      </c>
      <c r="H705" s="6" t="s">
        <v>2005</v>
      </c>
      <c r="I705" s="6" t="str">
        <f t="shared" si="20"/>
        <v>Lift Fork</v>
      </c>
      <c r="J705" s="6" t="s">
        <v>449</v>
      </c>
      <c r="K705" s="6">
        <v>1</v>
      </c>
      <c r="P705" s="6">
        <f t="shared" si="21"/>
        <v>400000</v>
      </c>
      <c r="R705" s="6" t="s">
        <v>2003</v>
      </c>
      <c r="T705" s="6" t="s">
        <v>2012</v>
      </c>
      <c r="U705" s="6">
        <v>2013</v>
      </c>
      <c r="V705" s="6">
        <v>1</v>
      </c>
      <c r="AD705" s="6" t="s">
        <v>45</v>
      </c>
      <c r="AJ705" s="31" t="s">
        <v>2113</v>
      </c>
      <c r="AK705" s="6">
        <v>1</v>
      </c>
      <c r="AL705" s="26">
        <v>350000</v>
      </c>
      <c r="AM705" s="26">
        <v>350000</v>
      </c>
      <c r="AN705" s="26">
        <v>350000</v>
      </c>
      <c r="AO705" s="6" t="s">
        <v>2003</v>
      </c>
      <c r="AQ705" s="6" t="s">
        <v>49</v>
      </c>
      <c r="AU705" s="6">
        <v>225579</v>
      </c>
    </row>
    <row r="706" spans="1:47" x14ac:dyDescent="0.3">
      <c r="A706" s="28" t="s">
        <v>42</v>
      </c>
      <c r="B706" s="6" t="s">
        <v>2184</v>
      </c>
      <c r="C706" s="6" t="s">
        <v>1972</v>
      </c>
      <c r="D706" s="6" t="s">
        <v>2100</v>
      </c>
      <c r="E706" s="6">
        <v>1</v>
      </c>
      <c r="F706" s="6" t="s">
        <v>2004</v>
      </c>
      <c r="G706" s="6" t="s">
        <v>2005</v>
      </c>
      <c r="H706" s="6" t="s">
        <v>2005</v>
      </c>
      <c r="I706" s="6" t="str">
        <f t="shared" ref="I706:I769" si="22">IF(ISBLANK(C706),B706,C706)</f>
        <v>Stone Grapple</v>
      </c>
      <c r="J706" s="6" t="s">
        <v>302</v>
      </c>
      <c r="K706" s="6">
        <v>1</v>
      </c>
      <c r="P706" s="6">
        <f t="shared" si="21"/>
        <v>3700000</v>
      </c>
      <c r="R706" s="6" t="s">
        <v>2003</v>
      </c>
      <c r="T706" s="6" t="s">
        <v>2068</v>
      </c>
      <c r="U706" s="6">
        <v>2016</v>
      </c>
      <c r="V706" s="6">
        <v>1</v>
      </c>
      <c r="AD706" s="6" t="s">
        <v>45</v>
      </c>
      <c r="AJ706" s="31" t="s">
        <v>2113</v>
      </c>
      <c r="AK706" s="6">
        <v>1</v>
      </c>
      <c r="AL706" s="26">
        <v>3500000</v>
      </c>
      <c r="AM706" s="26">
        <v>3500000</v>
      </c>
      <c r="AN706" s="26">
        <v>3500000</v>
      </c>
      <c r="AO706" s="6" t="s">
        <v>2003</v>
      </c>
      <c r="AQ706" s="6" t="s">
        <v>49</v>
      </c>
      <c r="AU706" s="6">
        <v>225582</v>
      </c>
    </row>
    <row r="707" spans="1:47" x14ac:dyDescent="0.3">
      <c r="A707" s="28" t="s">
        <v>42</v>
      </c>
      <c r="B707" s="6" t="s">
        <v>2184</v>
      </c>
      <c r="C707" s="6" t="s">
        <v>1972</v>
      </c>
      <c r="D707" s="6" t="s">
        <v>2104</v>
      </c>
      <c r="E707" s="6">
        <v>1</v>
      </c>
      <c r="F707" s="6" t="s">
        <v>2004</v>
      </c>
      <c r="G707" s="6" t="s">
        <v>2005</v>
      </c>
      <c r="H707" s="6" t="s">
        <v>2005</v>
      </c>
      <c r="I707" s="6" t="str">
        <f t="shared" si="22"/>
        <v>Stone Grapple</v>
      </c>
      <c r="J707" s="6" t="s">
        <v>207</v>
      </c>
      <c r="K707" s="6">
        <v>1</v>
      </c>
      <c r="P707" s="6">
        <f t="shared" ref="P707:P770" si="23">IF(AM707&lt;500000,AM707+50000,IF(AND(AM707&gt;=500000,AM707&lt;2000000),AM707+100000,IF(AND(AM707&gt;=2000000,AM707&lt;5000000),AM707+200000,IF(AM707&gt;=5000000,AM707+500000,AM707))))</f>
        <v>3200000</v>
      </c>
      <c r="R707" s="6" t="s">
        <v>2003</v>
      </c>
      <c r="T707" s="6" t="s">
        <v>794</v>
      </c>
      <c r="U707" s="6">
        <v>2015</v>
      </c>
      <c r="V707" s="6">
        <v>1</v>
      </c>
      <c r="AD707" s="6" t="s">
        <v>45</v>
      </c>
      <c r="AJ707" s="31" t="s">
        <v>2122</v>
      </c>
      <c r="AK707" s="6">
        <v>1</v>
      </c>
      <c r="AL707" s="26">
        <v>3000000</v>
      </c>
      <c r="AM707" s="26">
        <v>3000000</v>
      </c>
      <c r="AN707" s="26">
        <v>3000000</v>
      </c>
      <c r="AO707" s="6" t="s">
        <v>2003</v>
      </c>
      <c r="AQ707" s="6" t="s">
        <v>1154</v>
      </c>
      <c r="AU707" s="6">
        <v>225586</v>
      </c>
    </row>
    <row r="708" spans="1:47" hidden="1" x14ac:dyDescent="0.3">
      <c r="A708" s="28" t="s">
        <v>42</v>
      </c>
      <c r="B708" s="6" t="s">
        <v>2183</v>
      </c>
      <c r="E708" s="6">
        <v>1</v>
      </c>
      <c r="F708" s="6" t="s">
        <v>2004</v>
      </c>
      <c r="G708" s="6" t="s">
        <v>2005</v>
      </c>
      <c r="H708" s="6" t="s">
        <v>2005</v>
      </c>
      <c r="I708" s="6" t="str">
        <f t="shared" si="22"/>
        <v>ETC</v>
      </c>
      <c r="J708" s="6" t="s">
        <v>227</v>
      </c>
      <c r="K708" s="6">
        <v>1</v>
      </c>
      <c r="P708" s="6">
        <f t="shared" si="23"/>
        <v>250000</v>
      </c>
      <c r="R708" s="6" t="s">
        <v>2003</v>
      </c>
      <c r="T708" s="6" t="s">
        <v>1032</v>
      </c>
      <c r="U708" s="6">
        <v>2017</v>
      </c>
      <c r="V708" s="6">
        <v>1</v>
      </c>
      <c r="AD708" s="6" t="s">
        <v>45</v>
      </c>
      <c r="AJ708" s="31" t="s">
        <v>2119</v>
      </c>
      <c r="AK708" s="6">
        <v>1</v>
      </c>
      <c r="AL708" s="26">
        <v>200000</v>
      </c>
      <c r="AM708" s="26">
        <v>200000</v>
      </c>
      <c r="AN708" s="26">
        <v>200000</v>
      </c>
      <c r="AO708" s="6" t="s">
        <v>2003</v>
      </c>
      <c r="AQ708" s="6" t="s">
        <v>1277</v>
      </c>
      <c r="AU708" s="6">
        <v>225587</v>
      </c>
    </row>
    <row r="709" spans="1:47" x14ac:dyDescent="0.3">
      <c r="A709" s="28" t="s">
        <v>42</v>
      </c>
      <c r="B709" s="6" t="s">
        <v>2184</v>
      </c>
      <c r="C709" s="6" t="s">
        <v>1972</v>
      </c>
      <c r="D709" s="6" t="s">
        <v>2100</v>
      </c>
      <c r="E709" s="6">
        <v>1</v>
      </c>
      <c r="F709" s="6" t="s">
        <v>2004</v>
      </c>
      <c r="G709" s="6" t="s">
        <v>2005</v>
      </c>
      <c r="H709" s="6" t="s">
        <v>2005</v>
      </c>
      <c r="I709" s="6" t="str">
        <f t="shared" si="22"/>
        <v>Stone Grapple</v>
      </c>
      <c r="J709" s="6" t="s">
        <v>252</v>
      </c>
      <c r="K709" s="6">
        <v>1</v>
      </c>
      <c r="P709" s="6">
        <f t="shared" si="23"/>
        <v>3100000</v>
      </c>
      <c r="R709" s="6" t="s">
        <v>2003</v>
      </c>
      <c r="T709" s="6" t="s">
        <v>54</v>
      </c>
      <c r="U709" s="6">
        <v>2010</v>
      </c>
      <c r="V709" s="6">
        <v>1</v>
      </c>
      <c r="AD709" s="6" t="s">
        <v>45</v>
      </c>
      <c r="AJ709" s="31" t="s">
        <v>2114</v>
      </c>
      <c r="AK709" s="6">
        <v>1</v>
      </c>
      <c r="AL709" s="26">
        <v>2900000</v>
      </c>
      <c r="AM709" s="26">
        <v>2900000</v>
      </c>
      <c r="AN709" s="26">
        <v>2900000</v>
      </c>
      <c r="AO709" s="6" t="s">
        <v>2003</v>
      </c>
      <c r="AQ709" s="6" t="s">
        <v>54</v>
      </c>
      <c r="AU709" s="6">
        <v>225591</v>
      </c>
    </row>
    <row r="710" spans="1:47" hidden="1" x14ac:dyDescent="0.3">
      <c r="A710" s="28" t="s">
        <v>42</v>
      </c>
      <c r="B710" s="6" t="s">
        <v>2174</v>
      </c>
      <c r="C710" s="6" t="s">
        <v>1975</v>
      </c>
      <c r="E710" s="6">
        <v>1</v>
      </c>
      <c r="F710" s="6" t="s">
        <v>2004</v>
      </c>
      <c r="G710" s="6" t="s">
        <v>2005</v>
      </c>
      <c r="H710" s="6" t="s">
        <v>2005</v>
      </c>
      <c r="I710" s="6" t="str">
        <f t="shared" si="22"/>
        <v>Side Breaker</v>
      </c>
      <c r="J710" s="6" t="s">
        <v>662</v>
      </c>
      <c r="K710" s="6">
        <v>1</v>
      </c>
      <c r="P710" s="6">
        <f t="shared" si="23"/>
        <v>3700000</v>
      </c>
      <c r="R710" s="6" t="s">
        <v>2003</v>
      </c>
      <c r="T710" s="6" t="s">
        <v>1033</v>
      </c>
      <c r="U710" s="6">
        <v>2005</v>
      </c>
      <c r="V710" s="6">
        <v>1</v>
      </c>
      <c r="AD710" s="6" t="s">
        <v>45</v>
      </c>
      <c r="AJ710" s="31" t="s">
        <v>2123</v>
      </c>
      <c r="AK710" s="6">
        <v>1</v>
      </c>
      <c r="AL710" s="26">
        <v>3500000</v>
      </c>
      <c r="AM710" s="26">
        <v>3500000</v>
      </c>
      <c r="AN710" s="26">
        <v>3500000</v>
      </c>
      <c r="AO710" s="6" t="s">
        <v>2003</v>
      </c>
      <c r="AQ710" s="6" t="s">
        <v>1296</v>
      </c>
      <c r="AU710" s="6">
        <v>225592</v>
      </c>
    </row>
    <row r="711" spans="1:47" x14ac:dyDescent="0.3">
      <c r="A711" s="28" t="s">
        <v>42</v>
      </c>
      <c r="B711" s="6" t="s">
        <v>2196</v>
      </c>
      <c r="D711" s="6" t="s">
        <v>2105</v>
      </c>
      <c r="E711" s="6">
        <v>1</v>
      </c>
      <c r="F711" s="6" t="s">
        <v>2004</v>
      </c>
      <c r="G711" s="6" t="s">
        <v>2005</v>
      </c>
      <c r="H711" s="6" t="s">
        <v>2005</v>
      </c>
      <c r="I711" s="6" t="str">
        <f t="shared" si="22"/>
        <v>Shear&amp;Cutter</v>
      </c>
      <c r="J711" s="6" t="s">
        <v>663</v>
      </c>
      <c r="K711" s="6">
        <v>1</v>
      </c>
      <c r="P711" s="6">
        <f t="shared" si="23"/>
        <v>10500000</v>
      </c>
      <c r="R711" s="6" t="s">
        <v>2003</v>
      </c>
      <c r="T711" s="6" t="s">
        <v>1034</v>
      </c>
      <c r="U711" s="6">
        <v>2012</v>
      </c>
      <c r="V711" s="6">
        <v>1</v>
      </c>
      <c r="AD711" s="6" t="s">
        <v>45</v>
      </c>
      <c r="AJ711" s="31" t="s">
        <v>2125</v>
      </c>
      <c r="AK711" s="6">
        <v>1</v>
      </c>
      <c r="AL711" s="26">
        <v>10000000</v>
      </c>
      <c r="AM711" s="26">
        <v>10000000</v>
      </c>
      <c r="AN711" s="26">
        <v>10000000</v>
      </c>
      <c r="AO711" s="6" t="s">
        <v>2003</v>
      </c>
      <c r="AQ711" s="6" t="s">
        <v>105</v>
      </c>
      <c r="AU711" s="6">
        <v>225594</v>
      </c>
    </row>
    <row r="712" spans="1:47" x14ac:dyDescent="0.3">
      <c r="A712" s="28" t="s">
        <v>42</v>
      </c>
      <c r="B712" s="6" t="s">
        <v>2184</v>
      </c>
      <c r="C712" s="19" t="s">
        <v>2206</v>
      </c>
      <c r="D712" s="6" t="s">
        <v>2104</v>
      </c>
      <c r="E712" s="6">
        <v>1</v>
      </c>
      <c r="F712" s="6" t="s">
        <v>2004</v>
      </c>
      <c r="G712" s="6" t="s">
        <v>2005</v>
      </c>
      <c r="H712" s="6" t="s">
        <v>2005</v>
      </c>
      <c r="I712" s="6" t="str">
        <f t="shared" si="22"/>
        <v>Etc Grapple</v>
      </c>
      <c r="J712" s="6" t="s">
        <v>196</v>
      </c>
      <c r="K712" s="6">
        <v>1</v>
      </c>
      <c r="P712" s="6">
        <f t="shared" si="23"/>
        <v>2700000</v>
      </c>
      <c r="R712" s="6" t="s">
        <v>2003</v>
      </c>
      <c r="T712" s="6" t="s">
        <v>789</v>
      </c>
      <c r="U712" s="6">
        <v>2012</v>
      </c>
      <c r="V712" s="6">
        <v>5</v>
      </c>
      <c r="AD712" s="6" t="s">
        <v>45</v>
      </c>
      <c r="AJ712" s="31" t="s">
        <v>2122</v>
      </c>
      <c r="AK712" s="6">
        <v>1</v>
      </c>
      <c r="AL712" s="26">
        <v>2500000</v>
      </c>
      <c r="AM712" s="26">
        <v>2500000</v>
      </c>
      <c r="AN712" s="26">
        <v>2500000</v>
      </c>
      <c r="AO712" s="6" t="s">
        <v>2003</v>
      </c>
      <c r="AQ712" s="6" t="s">
        <v>65</v>
      </c>
      <c r="AU712" s="6">
        <v>225597</v>
      </c>
    </row>
    <row r="713" spans="1:47" x14ac:dyDescent="0.3">
      <c r="A713" s="28" t="s">
        <v>42</v>
      </c>
      <c r="B713" s="6" t="s">
        <v>2187</v>
      </c>
      <c r="C713" s="6" t="s">
        <v>1974</v>
      </c>
      <c r="D713" s="6" t="s">
        <v>2104</v>
      </c>
      <c r="E713" s="6">
        <v>1</v>
      </c>
      <c r="F713" s="6" t="s">
        <v>2004</v>
      </c>
      <c r="G713" s="6" t="s">
        <v>2005</v>
      </c>
      <c r="H713" s="6" t="s">
        <v>2005</v>
      </c>
      <c r="I713" s="6" t="str">
        <f t="shared" si="22"/>
        <v>Etc Grapple</v>
      </c>
      <c r="J713" s="6" t="s">
        <v>125</v>
      </c>
      <c r="K713" s="6">
        <v>1</v>
      </c>
      <c r="P713" s="6">
        <f t="shared" si="23"/>
        <v>4900000</v>
      </c>
      <c r="R713" s="6" t="s">
        <v>2003</v>
      </c>
      <c r="T713" s="6" t="s">
        <v>1035</v>
      </c>
      <c r="U713" s="6">
        <v>2016</v>
      </c>
      <c r="V713" s="6">
        <v>2</v>
      </c>
      <c r="AD713" s="6" t="s">
        <v>45</v>
      </c>
      <c r="AJ713" s="31" t="s">
        <v>2122</v>
      </c>
      <c r="AK713" s="6">
        <v>1</v>
      </c>
      <c r="AL713" s="26">
        <v>4700000</v>
      </c>
      <c r="AM713" s="26">
        <v>4700000</v>
      </c>
      <c r="AN713" s="26">
        <v>4700000</v>
      </c>
      <c r="AO713" s="6" t="s">
        <v>2003</v>
      </c>
      <c r="AQ713" s="6" t="s">
        <v>1283</v>
      </c>
      <c r="AU713" s="6">
        <v>225605</v>
      </c>
    </row>
    <row r="714" spans="1:47" x14ac:dyDescent="0.3">
      <c r="A714" s="28" t="s">
        <v>42</v>
      </c>
      <c r="B714" s="6" t="s">
        <v>2185</v>
      </c>
      <c r="D714" s="6" t="s">
        <v>2105</v>
      </c>
      <c r="E714" s="6">
        <v>1</v>
      </c>
      <c r="F714" s="6" t="s">
        <v>2004</v>
      </c>
      <c r="G714" s="6" t="s">
        <v>2005</v>
      </c>
      <c r="H714" s="6" t="s">
        <v>2005</v>
      </c>
      <c r="I714" s="6" t="str">
        <f t="shared" si="22"/>
        <v>ETC</v>
      </c>
      <c r="J714" s="6" t="s">
        <v>678</v>
      </c>
      <c r="K714" s="6">
        <v>1</v>
      </c>
      <c r="P714" s="6">
        <f t="shared" si="23"/>
        <v>13500000</v>
      </c>
      <c r="R714" s="6" t="s">
        <v>2003</v>
      </c>
      <c r="T714" s="6" t="s">
        <v>2069</v>
      </c>
      <c r="U714" s="6">
        <v>2012</v>
      </c>
      <c r="V714" s="6">
        <v>1</v>
      </c>
      <c r="AD714" s="6" t="s">
        <v>45</v>
      </c>
      <c r="AJ714" s="31" t="s">
        <v>2122</v>
      </c>
      <c r="AK714" s="6">
        <v>1</v>
      </c>
      <c r="AL714" s="26">
        <v>13000000</v>
      </c>
      <c r="AM714" s="26">
        <v>13000000</v>
      </c>
      <c r="AN714" s="26">
        <v>13000000</v>
      </c>
      <c r="AO714" s="6" t="s">
        <v>2003</v>
      </c>
      <c r="AQ714" s="6" t="s">
        <v>1167</v>
      </c>
      <c r="AU714" s="6">
        <v>225610</v>
      </c>
    </row>
    <row r="715" spans="1:47" hidden="1" x14ac:dyDescent="0.3">
      <c r="A715" s="28" t="s">
        <v>42</v>
      </c>
      <c r="B715" s="6" t="s">
        <v>2185</v>
      </c>
      <c r="E715" s="6">
        <v>1</v>
      </c>
      <c r="F715" s="6" t="s">
        <v>2004</v>
      </c>
      <c r="G715" s="6" t="s">
        <v>2005</v>
      </c>
      <c r="H715" s="6" t="s">
        <v>2005</v>
      </c>
      <c r="I715" s="6" t="str">
        <f t="shared" si="22"/>
        <v>ETC</v>
      </c>
      <c r="J715" s="6" t="s">
        <v>237</v>
      </c>
      <c r="K715" s="6">
        <v>1</v>
      </c>
      <c r="P715" s="6">
        <f t="shared" si="23"/>
        <v>350000</v>
      </c>
      <c r="R715" s="6" t="s">
        <v>2003</v>
      </c>
      <c r="T715" s="6" t="s">
        <v>789</v>
      </c>
      <c r="U715" s="6">
        <v>2013</v>
      </c>
      <c r="V715" s="6">
        <v>5</v>
      </c>
      <c r="AD715" s="6" t="s">
        <v>45</v>
      </c>
      <c r="AJ715" s="31" t="s">
        <v>2122</v>
      </c>
      <c r="AK715" s="6">
        <v>1</v>
      </c>
      <c r="AL715" s="26">
        <v>300000</v>
      </c>
      <c r="AM715" s="26">
        <v>300000</v>
      </c>
      <c r="AN715" s="26">
        <v>300000</v>
      </c>
      <c r="AO715" s="6" t="s">
        <v>2003</v>
      </c>
      <c r="AQ715" s="6" t="s">
        <v>65</v>
      </c>
      <c r="AU715" s="6">
        <v>225613</v>
      </c>
    </row>
    <row r="716" spans="1:47" hidden="1" x14ac:dyDescent="0.3">
      <c r="A716" s="28" t="s">
        <v>42</v>
      </c>
      <c r="B716" s="6" t="s">
        <v>2187</v>
      </c>
      <c r="C716" s="6" t="s">
        <v>1972</v>
      </c>
      <c r="E716" s="6">
        <v>1</v>
      </c>
      <c r="F716" s="6" t="s">
        <v>2004</v>
      </c>
      <c r="G716" s="6" t="s">
        <v>2005</v>
      </c>
      <c r="H716" s="6" t="s">
        <v>2005</v>
      </c>
      <c r="I716" s="6" t="str">
        <f t="shared" si="22"/>
        <v>Stone Grapple</v>
      </c>
      <c r="J716" s="6" t="s">
        <v>148</v>
      </c>
      <c r="K716" s="6">
        <v>1</v>
      </c>
      <c r="P716" s="6">
        <f t="shared" si="23"/>
        <v>2200000</v>
      </c>
      <c r="R716" s="6" t="s">
        <v>2003</v>
      </c>
      <c r="T716" s="6" t="s">
        <v>1036</v>
      </c>
      <c r="U716" s="6">
        <v>2012</v>
      </c>
      <c r="V716" s="6">
        <v>1</v>
      </c>
      <c r="AD716" s="6" t="s">
        <v>45</v>
      </c>
      <c r="AJ716" s="31" t="s">
        <v>2117</v>
      </c>
      <c r="AK716" s="6">
        <v>1</v>
      </c>
      <c r="AL716" s="26">
        <v>2000000</v>
      </c>
      <c r="AM716" s="26">
        <v>2000000</v>
      </c>
      <c r="AN716" s="26">
        <v>2000000</v>
      </c>
      <c r="AO716" s="6" t="s">
        <v>2003</v>
      </c>
      <c r="AQ716" s="6" t="s">
        <v>1297</v>
      </c>
      <c r="AU716" s="6">
        <v>225615</v>
      </c>
    </row>
    <row r="717" spans="1:47" x14ac:dyDescent="0.3">
      <c r="A717" s="28" t="s">
        <v>42</v>
      </c>
      <c r="B717" s="6" t="s">
        <v>2187</v>
      </c>
      <c r="C717" s="6" t="s">
        <v>1985</v>
      </c>
      <c r="D717" s="6" t="s">
        <v>2104</v>
      </c>
      <c r="E717" s="6">
        <v>1</v>
      </c>
      <c r="F717" s="6" t="s">
        <v>2004</v>
      </c>
      <c r="G717" s="6" t="s">
        <v>2005</v>
      </c>
      <c r="H717" s="6" t="s">
        <v>2005</v>
      </c>
      <c r="I717" s="6" t="str">
        <f t="shared" si="22"/>
        <v>Multi Grapple</v>
      </c>
      <c r="J717" s="6" t="s">
        <v>296</v>
      </c>
      <c r="K717" s="6">
        <v>1</v>
      </c>
      <c r="P717" s="6">
        <f t="shared" si="23"/>
        <v>2900000</v>
      </c>
      <c r="R717" s="6" t="s">
        <v>2003</v>
      </c>
      <c r="T717" s="6" t="s">
        <v>823</v>
      </c>
      <c r="U717" s="6">
        <v>2014</v>
      </c>
      <c r="V717" s="6">
        <v>1</v>
      </c>
      <c r="AD717" s="6" t="s">
        <v>45</v>
      </c>
      <c r="AJ717" s="31" t="s">
        <v>2113</v>
      </c>
      <c r="AK717" s="6">
        <v>1</v>
      </c>
      <c r="AL717" s="26">
        <v>2700000</v>
      </c>
      <c r="AM717" s="26">
        <v>2700000</v>
      </c>
      <c r="AN717" s="26">
        <v>2700000</v>
      </c>
      <c r="AO717" s="6" t="s">
        <v>2003</v>
      </c>
      <c r="AQ717" s="6" t="s">
        <v>49</v>
      </c>
      <c r="AU717" s="6">
        <v>225616</v>
      </c>
    </row>
    <row r="718" spans="1:47" x14ac:dyDescent="0.3">
      <c r="A718" s="28" t="s">
        <v>42</v>
      </c>
      <c r="B718" s="6" t="s">
        <v>2187</v>
      </c>
      <c r="C718" s="6" t="s">
        <v>1972</v>
      </c>
      <c r="D718" s="6" t="s">
        <v>2104</v>
      </c>
      <c r="E718" s="6">
        <v>1</v>
      </c>
      <c r="F718" s="6" t="s">
        <v>2004</v>
      </c>
      <c r="G718" s="6" t="s">
        <v>2005</v>
      </c>
      <c r="H718" s="6" t="s">
        <v>2005</v>
      </c>
      <c r="I718" s="6" t="str">
        <f t="shared" si="22"/>
        <v>Stone Grapple</v>
      </c>
      <c r="J718" s="6" t="s">
        <v>120</v>
      </c>
      <c r="K718" s="6">
        <v>1</v>
      </c>
      <c r="P718" s="6">
        <f t="shared" si="23"/>
        <v>7200000</v>
      </c>
      <c r="R718" s="6" t="s">
        <v>2003</v>
      </c>
      <c r="T718" s="6" t="s">
        <v>1037</v>
      </c>
      <c r="U718" s="6">
        <v>2017</v>
      </c>
      <c r="V718" s="6">
        <v>1</v>
      </c>
      <c r="AD718" s="6" t="s">
        <v>45</v>
      </c>
      <c r="AJ718" s="31" t="s">
        <v>2110</v>
      </c>
      <c r="AK718" s="6">
        <v>1</v>
      </c>
      <c r="AL718" s="26">
        <v>6700000</v>
      </c>
      <c r="AM718" s="26">
        <v>6700000</v>
      </c>
      <c r="AN718" s="26">
        <v>6700000</v>
      </c>
      <c r="AO718" s="6" t="s">
        <v>2003</v>
      </c>
      <c r="AQ718" s="6" t="s">
        <v>1284</v>
      </c>
      <c r="AU718" s="6">
        <v>225625</v>
      </c>
    </row>
    <row r="719" spans="1:47" x14ac:dyDescent="0.3">
      <c r="A719" s="28" t="s">
        <v>42</v>
      </c>
      <c r="B719" s="6" t="s">
        <v>2195</v>
      </c>
      <c r="C719" s="19" t="s">
        <v>2207</v>
      </c>
      <c r="D719" s="6" t="s">
        <v>2106</v>
      </c>
      <c r="E719" s="6">
        <v>1</v>
      </c>
      <c r="F719" s="6" t="s">
        <v>2004</v>
      </c>
      <c r="G719" s="6" t="s">
        <v>2005</v>
      </c>
      <c r="H719" s="6" t="s">
        <v>2005</v>
      </c>
      <c r="I719" s="6" t="str">
        <f t="shared" si="22"/>
        <v>Hydraulic Crusher</v>
      </c>
      <c r="J719" s="6" t="s">
        <v>651</v>
      </c>
      <c r="K719" s="6">
        <v>1</v>
      </c>
      <c r="P719" s="6">
        <f t="shared" si="23"/>
        <v>5800000</v>
      </c>
      <c r="R719" s="6" t="s">
        <v>2003</v>
      </c>
      <c r="T719" s="6" t="s">
        <v>70</v>
      </c>
      <c r="U719" s="6">
        <v>2016</v>
      </c>
      <c r="V719" s="6">
        <v>1</v>
      </c>
      <c r="AD719" s="6" t="s">
        <v>45</v>
      </c>
      <c r="AJ719" s="31" t="s">
        <v>2113</v>
      </c>
      <c r="AK719" s="6">
        <v>1</v>
      </c>
      <c r="AL719" s="26">
        <v>5300000</v>
      </c>
      <c r="AM719" s="26">
        <v>5300000</v>
      </c>
      <c r="AN719" s="26">
        <v>5300000</v>
      </c>
      <c r="AO719" s="6" t="s">
        <v>2003</v>
      </c>
      <c r="AQ719" s="6" t="s">
        <v>71</v>
      </c>
      <c r="AU719" s="6">
        <v>225626</v>
      </c>
    </row>
    <row r="720" spans="1:47" x14ac:dyDescent="0.3">
      <c r="A720" s="28" t="s">
        <v>42</v>
      </c>
      <c r="B720" s="6" t="s">
        <v>2177</v>
      </c>
      <c r="C720" s="6" t="s">
        <v>1979</v>
      </c>
      <c r="D720" s="6" t="s">
        <v>2104</v>
      </c>
      <c r="E720" s="6">
        <v>1</v>
      </c>
      <c r="F720" s="6" t="s">
        <v>2004</v>
      </c>
      <c r="G720" s="6" t="s">
        <v>2005</v>
      </c>
      <c r="H720" s="6" t="s">
        <v>2005</v>
      </c>
      <c r="I720" s="6" t="str">
        <f t="shared" si="22"/>
        <v>Thumb Grapple</v>
      </c>
      <c r="J720" s="6" t="s">
        <v>59</v>
      </c>
      <c r="K720" s="6">
        <v>1</v>
      </c>
      <c r="P720" s="6">
        <f t="shared" si="23"/>
        <v>1200000</v>
      </c>
      <c r="R720" s="6" t="s">
        <v>2003</v>
      </c>
      <c r="T720" s="6" t="s">
        <v>2012</v>
      </c>
      <c r="U720" s="6">
        <v>2014</v>
      </c>
      <c r="V720" s="6">
        <v>1</v>
      </c>
      <c r="AD720" s="6" t="s">
        <v>45</v>
      </c>
      <c r="AJ720" s="31" t="s">
        <v>2113</v>
      </c>
      <c r="AK720" s="6">
        <v>1</v>
      </c>
      <c r="AL720" s="26">
        <v>1100000</v>
      </c>
      <c r="AM720" s="26">
        <v>1100000</v>
      </c>
      <c r="AN720" s="26">
        <v>1100000</v>
      </c>
      <c r="AO720" s="6" t="s">
        <v>2003</v>
      </c>
      <c r="AQ720" s="6" t="s">
        <v>49</v>
      </c>
      <c r="AU720" s="6">
        <v>225627</v>
      </c>
    </row>
    <row r="721" spans="1:47" x14ac:dyDescent="0.3">
      <c r="A721" s="28" t="s">
        <v>42</v>
      </c>
      <c r="B721" s="6" t="s">
        <v>2181</v>
      </c>
      <c r="D721" s="6" t="s">
        <v>2101</v>
      </c>
      <c r="E721" s="6">
        <v>1</v>
      </c>
      <c r="F721" s="6" t="s">
        <v>2004</v>
      </c>
      <c r="G721" s="6" t="s">
        <v>2005</v>
      </c>
      <c r="H721" s="6" t="s">
        <v>2005</v>
      </c>
      <c r="I721" s="6" t="str">
        <f t="shared" si="22"/>
        <v>ETC</v>
      </c>
      <c r="J721" s="6" t="s">
        <v>116</v>
      </c>
      <c r="K721" s="6">
        <v>1</v>
      </c>
      <c r="P721" s="6">
        <f t="shared" si="23"/>
        <v>8500000</v>
      </c>
      <c r="R721" s="6" t="s">
        <v>2003</v>
      </c>
      <c r="T721" s="6" t="s">
        <v>792</v>
      </c>
      <c r="U721" s="6">
        <v>2007</v>
      </c>
      <c r="V721" s="6">
        <v>1</v>
      </c>
      <c r="AD721" s="6" t="s">
        <v>45</v>
      </c>
      <c r="AJ721" s="31" t="s">
        <v>2117</v>
      </c>
      <c r="AK721" s="6">
        <v>1</v>
      </c>
      <c r="AL721" s="26">
        <v>8000000</v>
      </c>
      <c r="AM721" s="26">
        <v>8000000</v>
      </c>
      <c r="AN721" s="26">
        <v>8000000</v>
      </c>
      <c r="AO721" s="6" t="s">
        <v>2003</v>
      </c>
      <c r="AQ721" s="6" t="s">
        <v>1145</v>
      </c>
      <c r="AU721" s="6">
        <v>225634</v>
      </c>
    </row>
    <row r="722" spans="1:47" x14ac:dyDescent="0.3">
      <c r="A722" s="28" t="s">
        <v>42</v>
      </c>
      <c r="B722" s="6" t="s">
        <v>2201</v>
      </c>
      <c r="C722" s="19" t="s">
        <v>2207</v>
      </c>
      <c r="D722" s="6" t="s">
        <v>2106</v>
      </c>
      <c r="E722" s="6">
        <v>1</v>
      </c>
      <c r="F722" s="6" t="s">
        <v>2004</v>
      </c>
      <c r="G722" s="6" t="s">
        <v>2005</v>
      </c>
      <c r="H722" s="6" t="s">
        <v>2005</v>
      </c>
      <c r="I722" s="6" t="str">
        <f t="shared" si="22"/>
        <v>Hydraulic Crusher</v>
      </c>
      <c r="J722" s="6" t="s">
        <v>651</v>
      </c>
      <c r="K722" s="6">
        <v>1</v>
      </c>
      <c r="P722" s="6">
        <f t="shared" si="23"/>
        <v>4500000</v>
      </c>
      <c r="R722" s="6" t="s">
        <v>2003</v>
      </c>
      <c r="T722" s="6" t="s">
        <v>798</v>
      </c>
      <c r="U722" s="6">
        <v>2014</v>
      </c>
      <c r="V722" s="6">
        <v>1</v>
      </c>
      <c r="AD722" s="6" t="s">
        <v>45</v>
      </c>
      <c r="AJ722" s="31" t="s">
        <v>2113</v>
      </c>
      <c r="AK722" s="6">
        <v>1</v>
      </c>
      <c r="AL722" s="26">
        <v>4300000</v>
      </c>
      <c r="AM722" s="26">
        <v>4300000</v>
      </c>
      <c r="AN722" s="26">
        <v>4300000</v>
      </c>
      <c r="AO722" s="6" t="s">
        <v>2003</v>
      </c>
      <c r="AQ722" s="6" t="s">
        <v>71</v>
      </c>
      <c r="AU722" s="6">
        <v>225638</v>
      </c>
    </row>
    <row r="723" spans="1:47" x14ac:dyDescent="0.3">
      <c r="A723" s="28" t="s">
        <v>42</v>
      </c>
      <c r="B723" s="6" t="s">
        <v>2180</v>
      </c>
      <c r="D723" s="6" t="s">
        <v>2104</v>
      </c>
      <c r="E723" s="6">
        <v>1</v>
      </c>
      <c r="F723" s="6" t="s">
        <v>2004</v>
      </c>
      <c r="G723" s="6" t="s">
        <v>2005</v>
      </c>
      <c r="H723" s="6" t="s">
        <v>2005</v>
      </c>
      <c r="I723" s="6" t="str">
        <f t="shared" si="22"/>
        <v>Quick Coupler</v>
      </c>
      <c r="J723" s="6" t="s">
        <v>147</v>
      </c>
      <c r="K723" s="6">
        <v>1</v>
      </c>
      <c r="P723" s="6">
        <f t="shared" si="23"/>
        <v>800000</v>
      </c>
      <c r="R723" s="6" t="s">
        <v>2003</v>
      </c>
      <c r="T723" s="6" t="s">
        <v>2012</v>
      </c>
      <c r="U723" s="6">
        <v>2014</v>
      </c>
      <c r="V723" s="6">
        <v>1</v>
      </c>
      <c r="AD723" s="6" t="s">
        <v>45</v>
      </c>
      <c r="AJ723" s="31" t="s">
        <v>2113</v>
      </c>
      <c r="AK723" s="6">
        <v>1</v>
      </c>
      <c r="AL723" s="26">
        <v>700000</v>
      </c>
      <c r="AM723" s="26">
        <v>700000</v>
      </c>
      <c r="AN723" s="26">
        <v>700000</v>
      </c>
      <c r="AO723" s="6" t="s">
        <v>2003</v>
      </c>
      <c r="AQ723" s="6" t="s">
        <v>49</v>
      </c>
      <c r="AU723" s="6">
        <v>225640</v>
      </c>
    </row>
    <row r="724" spans="1:47" x14ac:dyDescent="0.3">
      <c r="A724" s="28" t="s">
        <v>42</v>
      </c>
      <c r="B724" s="6" t="s">
        <v>2178</v>
      </c>
      <c r="C724" s="6" t="s">
        <v>1975</v>
      </c>
      <c r="D724" s="6" t="s">
        <v>2103</v>
      </c>
      <c r="E724" s="6">
        <v>1</v>
      </c>
      <c r="F724" s="6" t="s">
        <v>2004</v>
      </c>
      <c r="G724" s="6" t="s">
        <v>2005</v>
      </c>
      <c r="H724" s="6" t="s">
        <v>2005</v>
      </c>
      <c r="I724" s="6" t="str">
        <f t="shared" si="22"/>
        <v>Side Breaker</v>
      </c>
      <c r="J724" s="6" t="s">
        <v>229</v>
      </c>
      <c r="K724" s="6">
        <v>1</v>
      </c>
      <c r="P724" s="6">
        <f t="shared" si="23"/>
        <v>5500000</v>
      </c>
      <c r="R724" s="6" t="s">
        <v>2003</v>
      </c>
      <c r="T724" s="6" t="s">
        <v>2070</v>
      </c>
      <c r="U724" s="6">
        <v>2011</v>
      </c>
      <c r="V724" s="6">
        <v>1</v>
      </c>
      <c r="AD724" s="6" t="s">
        <v>45</v>
      </c>
      <c r="AJ724" s="31" t="s">
        <v>2111</v>
      </c>
      <c r="AK724" s="6">
        <v>1</v>
      </c>
      <c r="AL724" s="26">
        <v>5000000</v>
      </c>
      <c r="AM724" s="26">
        <v>5000000</v>
      </c>
      <c r="AN724" s="26">
        <v>5000000</v>
      </c>
      <c r="AO724" s="6" t="s">
        <v>2003</v>
      </c>
      <c r="AQ724" s="6" t="s">
        <v>1277</v>
      </c>
      <c r="AU724" s="6">
        <v>225644</v>
      </c>
    </row>
    <row r="725" spans="1:47" x14ac:dyDescent="0.3">
      <c r="A725" s="28" t="s">
        <v>42</v>
      </c>
      <c r="B725" s="6" t="s">
        <v>2176</v>
      </c>
      <c r="D725" s="6" t="s">
        <v>2105</v>
      </c>
      <c r="E725" s="6">
        <v>1</v>
      </c>
      <c r="F725" s="6" t="s">
        <v>2004</v>
      </c>
      <c r="G725" s="6" t="s">
        <v>2005</v>
      </c>
      <c r="H725" s="6" t="s">
        <v>2005</v>
      </c>
      <c r="I725" s="6" t="str">
        <f t="shared" si="22"/>
        <v>Shear&amp;Cutter</v>
      </c>
      <c r="J725" s="6" t="s">
        <v>665</v>
      </c>
      <c r="K725" s="6">
        <v>1</v>
      </c>
      <c r="P725" s="6">
        <f t="shared" si="23"/>
        <v>7500000</v>
      </c>
      <c r="R725" s="6" t="s">
        <v>2003</v>
      </c>
      <c r="T725" s="6" t="s">
        <v>1038</v>
      </c>
      <c r="U725" s="6">
        <v>2010</v>
      </c>
      <c r="V725" s="6">
        <v>6</v>
      </c>
      <c r="AD725" s="6" t="s">
        <v>45</v>
      </c>
      <c r="AJ725" s="31" t="s">
        <v>2122</v>
      </c>
      <c r="AK725" s="6">
        <v>1</v>
      </c>
      <c r="AL725" s="26">
        <v>7000000</v>
      </c>
      <c r="AM725" s="26">
        <v>7000000</v>
      </c>
      <c r="AN725" s="26">
        <v>7000000</v>
      </c>
      <c r="AO725" s="6" t="s">
        <v>2003</v>
      </c>
      <c r="AQ725" s="6" t="s">
        <v>1227</v>
      </c>
      <c r="AU725" s="6">
        <v>225648</v>
      </c>
    </row>
    <row r="726" spans="1:47" x14ac:dyDescent="0.3">
      <c r="A726" s="28" t="s">
        <v>42</v>
      </c>
      <c r="B726" s="6" t="s">
        <v>2177</v>
      </c>
      <c r="C726" s="6" t="s">
        <v>1972</v>
      </c>
      <c r="D726" s="6" t="s">
        <v>2104</v>
      </c>
      <c r="E726" s="6">
        <v>1</v>
      </c>
      <c r="F726" s="6" t="s">
        <v>2004</v>
      </c>
      <c r="G726" s="6" t="s">
        <v>2005</v>
      </c>
      <c r="H726" s="6" t="s">
        <v>2005</v>
      </c>
      <c r="I726" s="6" t="str">
        <f t="shared" si="22"/>
        <v>Stone Grapple</v>
      </c>
      <c r="J726" s="6" t="s">
        <v>44</v>
      </c>
      <c r="K726" s="6">
        <v>1</v>
      </c>
      <c r="P726" s="6">
        <f t="shared" si="23"/>
        <v>3000000</v>
      </c>
      <c r="R726" s="6" t="s">
        <v>2003</v>
      </c>
      <c r="T726" s="6" t="s">
        <v>1039</v>
      </c>
      <c r="U726" s="6">
        <v>2016</v>
      </c>
      <c r="V726" s="6">
        <v>1</v>
      </c>
      <c r="AD726" s="6" t="s">
        <v>45</v>
      </c>
      <c r="AJ726" s="31" t="s">
        <v>2110</v>
      </c>
      <c r="AK726" s="6">
        <v>1</v>
      </c>
      <c r="AL726" s="26">
        <v>2800000</v>
      </c>
      <c r="AM726" s="26">
        <v>2800000</v>
      </c>
      <c r="AN726" s="26">
        <v>2800000</v>
      </c>
      <c r="AO726" s="6" t="s">
        <v>2003</v>
      </c>
      <c r="AQ726" s="6" t="s">
        <v>1150</v>
      </c>
      <c r="AU726" s="6">
        <v>225651</v>
      </c>
    </row>
    <row r="727" spans="1:47" x14ac:dyDescent="0.3">
      <c r="A727" s="28" t="s">
        <v>42</v>
      </c>
      <c r="B727" s="6" t="s">
        <v>2177</v>
      </c>
      <c r="C727" s="19" t="s">
        <v>2206</v>
      </c>
      <c r="D727" s="6" t="s">
        <v>2002</v>
      </c>
      <c r="E727" s="6">
        <v>1</v>
      </c>
      <c r="F727" s="6" t="s">
        <v>2004</v>
      </c>
      <c r="G727" s="6" t="s">
        <v>2005</v>
      </c>
      <c r="H727" s="6" t="s">
        <v>2005</v>
      </c>
      <c r="I727" s="6" t="str">
        <f t="shared" si="22"/>
        <v>Etc Grapple</v>
      </c>
      <c r="J727" s="6" t="s">
        <v>374</v>
      </c>
      <c r="K727" s="6">
        <v>1</v>
      </c>
      <c r="P727" s="6">
        <f t="shared" si="23"/>
        <v>1950000</v>
      </c>
      <c r="R727" s="6" t="s">
        <v>2003</v>
      </c>
      <c r="T727" s="6" t="s">
        <v>2007</v>
      </c>
      <c r="U727" s="6">
        <v>2014</v>
      </c>
      <c r="V727" s="6">
        <v>1</v>
      </c>
      <c r="AD727" s="6" t="s">
        <v>45</v>
      </c>
      <c r="AJ727" s="31" t="s">
        <v>2113</v>
      </c>
      <c r="AK727" s="6">
        <v>1</v>
      </c>
      <c r="AL727" s="26">
        <v>1850000</v>
      </c>
      <c r="AM727" s="26">
        <v>1850000</v>
      </c>
      <c r="AN727" s="26">
        <v>1850000</v>
      </c>
      <c r="AO727" s="6" t="s">
        <v>2003</v>
      </c>
      <c r="AQ727" s="6" t="s">
        <v>49</v>
      </c>
      <c r="AU727" s="6">
        <v>225653</v>
      </c>
    </row>
    <row r="728" spans="1:47" x14ac:dyDescent="0.3">
      <c r="A728" s="28" t="s">
        <v>42</v>
      </c>
      <c r="B728" s="6" t="s">
        <v>2185</v>
      </c>
      <c r="D728" s="6" t="s">
        <v>2104</v>
      </c>
      <c r="E728" s="6">
        <v>1</v>
      </c>
      <c r="F728" s="6" t="s">
        <v>2004</v>
      </c>
      <c r="G728" s="6" t="s">
        <v>2005</v>
      </c>
      <c r="H728" s="6" t="s">
        <v>2005</v>
      </c>
      <c r="I728" s="6" t="str">
        <f t="shared" si="22"/>
        <v>ETC</v>
      </c>
      <c r="J728" s="6" t="s">
        <v>418</v>
      </c>
      <c r="K728" s="6">
        <v>1</v>
      </c>
      <c r="P728" s="6">
        <f t="shared" si="23"/>
        <v>6000000</v>
      </c>
      <c r="R728" s="6" t="s">
        <v>2003</v>
      </c>
      <c r="T728" s="6" t="s">
        <v>823</v>
      </c>
      <c r="U728" s="6">
        <v>2016</v>
      </c>
      <c r="V728" s="6">
        <v>1</v>
      </c>
      <c r="AD728" s="6" t="s">
        <v>45</v>
      </c>
      <c r="AJ728" s="31" t="s">
        <v>2113</v>
      </c>
      <c r="AK728" s="6">
        <v>1</v>
      </c>
      <c r="AL728" s="26">
        <v>5500000</v>
      </c>
      <c r="AM728" s="26">
        <v>5500000</v>
      </c>
      <c r="AN728" s="26">
        <v>5500000</v>
      </c>
      <c r="AO728" s="6" t="s">
        <v>2003</v>
      </c>
      <c r="AQ728" s="6" t="s">
        <v>49</v>
      </c>
      <c r="AU728" s="6">
        <v>225655</v>
      </c>
    </row>
    <row r="729" spans="1:47" x14ac:dyDescent="0.3">
      <c r="A729" s="28" t="s">
        <v>42</v>
      </c>
      <c r="B729" s="6" t="s">
        <v>2185</v>
      </c>
      <c r="D729" s="6" t="s">
        <v>2104</v>
      </c>
      <c r="E729" s="6">
        <v>1</v>
      </c>
      <c r="F729" s="6" t="s">
        <v>2004</v>
      </c>
      <c r="G729" s="6" t="s">
        <v>2005</v>
      </c>
      <c r="H729" s="6" t="s">
        <v>2005</v>
      </c>
      <c r="I729" s="6" t="str">
        <f t="shared" si="22"/>
        <v>ETC</v>
      </c>
      <c r="J729" s="6" t="s">
        <v>530</v>
      </c>
      <c r="K729" s="6">
        <v>1</v>
      </c>
      <c r="P729" s="6">
        <f t="shared" si="23"/>
        <v>3400000</v>
      </c>
      <c r="R729" s="6" t="s">
        <v>2003</v>
      </c>
      <c r="T729" s="6" t="s">
        <v>2012</v>
      </c>
      <c r="U729" s="6">
        <v>2014</v>
      </c>
      <c r="V729" s="6">
        <v>1</v>
      </c>
      <c r="AD729" s="6" t="s">
        <v>45</v>
      </c>
      <c r="AJ729" s="31" t="s">
        <v>2113</v>
      </c>
      <c r="AK729" s="6">
        <v>1</v>
      </c>
      <c r="AL729" s="26">
        <v>3200000</v>
      </c>
      <c r="AM729" s="26">
        <v>3200000</v>
      </c>
      <c r="AN729" s="26">
        <v>3200000</v>
      </c>
      <c r="AO729" s="6" t="s">
        <v>2003</v>
      </c>
      <c r="AQ729" s="6" t="s">
        <v>49</v>
      </c>
      <c r="AU729" s="6">
        <v>225656</v>
      </c>
    </row>
    <row r="730" spans="1:47" x14ac:dyDescent="0.3">
      <c r="A730" s="28" t="s">
        <v>42</v>
      </c>
      <c r="B730" s="6" t="s">
        <v>2191</v>
      </c>
      <c r="C730" s="6" t="s">
        <v>1975</v>
      </c>
      <c r="D730" s="6" t="s">
        <v>2101</v>
      </c>
      <c r="E730" s="6">
        <v>1</v>
      </c>
      <c r="F730" s="6" t="s">
        <v>2004</v>
      </c>
      <c r="G730" s="6" t="s">
        <v>2005</v>
      </c>
      <c r="H730" s="6" t="s">
        <v>2005</v>
      </c>
      <c r="I730" s="6" t="str">
        <f t="shared" si="22"/>
        <v>Side Breaker</v>
      </c>
      <c r="J730" s="6" t="s">
        <v>199</v>
      </c>
      <c r="K730" s="6">
        <v>1</v>
      </c>
      <c r="P730" s="6">
        <f t="shared" si="23"/>
        <v>8000000</v>
      </c>
      <c r="R730" s="6" t="s">
        <v>2003</v>
      </c>
      <c r="T730" s="6" t="s">
        <v>810</v>
      </c>
      <c r="U730" s="6">
        <v>2015</v>
      </c>
      <c r="V730" s="6">
        <v>5</v>
      </c>
      <c r="AD730" s="6" t="s">
        <v>45</v>
      </c>
      <c r="AJ730" s="31" t="s">
        <v>2123</v>
      </c>
      <c r="AK730" s="6">
        <v>1</v>
      </c>
      <c r="AL730" s="26">
        <v>7500000</v>
      </c>
      <c r="AM730" s="26">
        <v>7500000</v>
      </c>
      <c r="AN730" s="26">
        <v>7500000</v>
      </c>
      <c r="AO730" s="6" t="s">
        <v>2003</v>
      </c>
      <c r="AQ730" s="6" t="s">
        <v>1189</v>
      </c>
      <c r="AU730" s="6">
        <v>225657</v>
      </c>
    </row>
    <row r="731" spans="1:47" x14ac:dyDescent="0.3">
      <c r="A731" s="28" t="s">
        <v>42</v>
      </c>
      <c r="B731" s="6" t="s">
        <v>2191</v>
      </c>
      <c r="C731" s="6" t="s">
        <v>1975</v>
      </c>
      <c r="D731" s="6" t="s">
        <v>2100</v>
      </c>
      <c r="E731" s="6">
        <v>1</v>
      </c>
      <c r="F731" s="6" t="s">
        <v>2004</v>
      </c>
      <c r="G731" s="6" t="s">
        <v>2005</v>
      </c>
      <c r="H731" s="6" t="s">
        <v>2005</v>
      </c>
      <c r="I731" s="6" t="str">
        <f t="shared" si="22"/>
        <v>Side Breaker</v>
      </c>
      <c r="J731" s="6" t="s">
        <v>649</v>
      </c>
      <c r="K731" s="6">
        <v>1</v>
      </c>
      <c r="P731" s="6">
        <f t="shared" si="23"/>
        <v>1900000</v>
      </c>
      <c r="R731" s="6" t="s">
        <v>2003</v>
      </c>
      <c r="T731" s="6" t="s">
        <v>1040</v>
      </c>
      <c r="U731" s="6">
        <v>2016</v>
      </c>
      <c r="V731" s="6">
        <v>1</v>
      </c>
      <c r="AD731" s="6" t="s">
        <v>45</v>
      </c>
      <c r="AJ731" s="31" t="s">
        <v>2120</v>
      </c>
      <c r="AK731" s="6">
        <v>1</v>
      </c>
      <c r="AL731" s="26">
        <v>1800000</v>
      </c>
      <c r="AM731" s="26">
        <v>1800000</v>
      </c>
      <c r="AN731" s="26">
        <v>1800000</v>
      </c>
      <c r="AO731" s="6" t="s">
        <v>2003</v>
      </c>
      <c r="AQ731" s="6" t="s">
        <v>1294</v>
      </c>
      <c r="AU731" s="6">
        <v>225663</v>
      </c>
    </row>
    <row r="732" spans="1:47" hidden="1" x14ac:dyDescent="0.3">
      <c r="A732" s="28" t="s">
        <v>42</v>
      </c>
      <c r="B732" s="6" t="s">
        <v>2195</v>
      </c>
      <c r="E732" s="6">
        <v>1</v>
      </c>
      <c r="F732" s="6" t="s">
        <v>2004</v>
      </c>
      <c r="G732" s="6" t="s">
        <v>2005</v>
      </c>
      <c r="H732" s="6" t="s">
        <v>2005</v>
      </c>
      <c r="I732" s="6" t="str">
        <f t="shared" si="22"/>
        <v>Crusher</v>
      </c>
      <c r="J732" s="6" t="s">
        <v>666</v>
      </c>
      <c r="K732" s="6">
        <v>1</v>
      </c>
      <c r="P732" s="6">
        <f t="shared" si="23"/>
        <v>6000000</v>
      </c>
      <c r="R732" s="6" t="s">
        <v>2003</v>
      </c>
      <c r="T732" s="6" t="s">
        <v>793</v>
      </c>
      <c r="U732" s="6">
        <v>2009</v>
      </c>
      <c r="V732" s="6">
        <v>1</v>
      </c>
      <c r="AD732" s="6" t="s">
        <v>45</v>
      </c>
      <c r="AJ732" s="31" t="s">
        <v>2116</v>
      </c>
      <c r="AK732" s="6">
        <v>1</v>
      </c>
      <c r="AL732" s="26">
        <v>5500000</v>
      </c>
      <c r="AM732" s="26">
        <v>5500000</v>
      </c>
      <c r="AN732" s="26">
        <v>5500000</v>
      </c>
      <c r="AO732" s="6" t="s">
        <v>2003</v>
      </c>
      <c r="AQ732" s="6" t="s">
        <v>1298</v>
      </c>
      <c r="AU732" s="6">
        <v>225677</v>
      </c>
    </row>
    <row r="733" spans="1:47" x14ac:dyDescent="0.3">
      <c r="A733" s="28" t="s">
        <v>42</v>
      </c>
      <c r="B733" s="6" t="s">
        <v>2201</v>
      </c>
      <c r="C733" s="6" t="s">
        <v>1978</v>
      </c>
      <c r="D733" s="6" t="s">
        <v>2105</v>
      </c>
      <c r="E733" s="6">
        <v>1</v>
      </c>
      <c r="F733" s="6" t="s">
        <v>2004</v>
      </c>
      <c r="G733" s="6" t="s">
        <v>2005</v>
      </c>
      <c r="H733" s="6" t="s">
        <v>2005</v>
      </c>
      <c r="I733" s="6" t="str">
        <f t="shared" si="22"/>
        <v>Hydraulic Pulverizer</v>
      </c>
      <c r="J733" s="6" t="s">
        <v>667</v>
      </c>
      <c r="K733" s="6">
        <v>1</v>
      </c>
      <c r="P733" s="6">
        <f t="shared" si="23"/>
        <v>16500000</v>
      </c>
      <c r="R733" s="6" t="s">
        <v>2003</v>
      </c>
      <c r="T733" s="6" t="s">
        <v>813</v>
      </c>
      <c r="U733" s="6">
        <v>2014</v>
      </c>
      <c r="V733" s="6">
        <v>1</v>
      </c>
      <c r="AD733" s="6" t="s">
        <v>45</v>
      </c>
      <c r="AJ733" s="31" t="s">
        <v>2113</v>
      </c>
      <c r="AK733" s="6">
        <v>1</v>
      </c>
      <c r="AL733" s="26">
        <v>16000000</v>
      </c>
      <c r="AM733" s="26">
        <v>16000000</v>
      </c>
      <c r="AN733" s="26">
        <v>16000000</v>
      </c>
      <c r="AO733" s="6" t="s">
        <v>2003</v>
      </c>
      <c r="AQ733" s="6" t="s">
        <v>80</v>
      </c>
      <c r="AU733" s="6">
        <v>225684</v>
      </c>
    </row>
    <row r="734" spans="1:47" x14ac:dyDescent="0.3">
      <c r="A734" s="28" t="s">
        <v>42</v>
      </c>
      <c r="B734" s="6" t="s">
        <v>2178</v>
      </c>
      <c r="C734" s="6" t="s">
        <v>1975</v>
      </c>
      <c r="D734" s="6" t="s">
        <v>2105</v>
      </c>
      <c r="E734" s="6">
        <v>1</v>
      </c>
      <c r="F734" s="6" t="s">
        <v>2004</v>
      </c>
      <c r="G734" s="6" t="s">
        <v>2005</v>
      </c>
      <c r="H734" s="6" t="s">
        <v>2005</v>
      </c>
      <c r="I734" s="6" t="str">
        <f t="shared" si="22"/>
        <v>Side Breaker</v>
      </c>
      <c r="J734" s="6" t="s">
        <v>668</v>
      </c>
      <c r="K734" s="6">
        <v>1</v>
      </c>
      <c r="P734" s="6">
        <f t="shared" si="23"/>
        <v>9500000</v>
      </c>
      <c r="R734" s="6" t="s">
        <v>2003</v>
      </c>
      <c r="T734" s="6" t="s">
        <v>814</v>
      </c>
      <c r="U734" s="6">
        <v>2015</v>
      </c>
      <c r="V734" s="6">
        <v>10</v>
      </c>
      <c r="AD734" s="6" t="s">
        <v>45</v>
      </c>
      <c r="AJ734" s="31" t="s">
        <v>2119</v>
      </c>
      <c r="AK734" s="6">
        <v>1</v>
      </c>
      <c r="AL734" s="26">
        <v>9000000</v>
      </c>
      <c r="AM734" s="26">
        <v>9000000</v>
      </c>
      <c r="AN734" s="26">
        <v>9000000</v>
      </c>
      <c r="AO734" s="6" t="s">
        <v>2003</v>
      </c>
      <c r="AQ734" s="6" t="s">
        <v>1194</v>
      </c>
      <c r="AU734" s="6">
        <v>225688</v>
      </c>
    </row>
    <row r="735" spans="1:47" x14ac:dyDescent="0.3">
      <c r="A735" s="28" t="s">
        <v>42</v>
      </c>
      <c r="B735" s="6" t="s">
        <v>2201</v>
      </c>
      <c r="C735" s="19" t="s">
        <v>2207</v>
      </c>
      <c r="D735" s="6" t="s">
        <v>2105</v>
      </c>
      <c r="E735" s="6">
        <v>1</v>
      </c>
      <c r="F735" s="6" t="s">
        <v>2004</v>
      </c>
      <c r="G735" s="6" t="s">
        <v>2005</v>
      </c>
      <c r="H735" s="6" t="s">
        <v>2005</v>
      </c>
      <c r="I735" s="6" t="str">
        <f t="shared" si="22"/>
        <v>Hydraulic Crusher</v>
      </c>
      <c r="J735" s="6" t="s">
        <v>181</v>
      </c>
      <c r="K735" s="6">
        <v>1</v>
      </c>
      <c r="P735" s="6">
        <f t="shared" si="23"/>
        <v>17000000</v>
      </c>
      <c r="R735" s="6" t="s">
        <v>2003</v>
      </c>
      <c r="T735" s="6" t="s">
        <v>813</v>
      </c>
      <c r="U735" s="6">
        <v>2014</v>
      </c>
      <c r="V735" s="6">
        <v>1</v>
      </c>
      <c r="AD735" s="6" t="s">
        <v>45</v>
      </c>
      <c r="AJ735" s="31" t="s">
        <v>2113</v>
      </c>
      <c r="AK735" s="6">
        <v>1</v>
      </c>
      <c r="AL735" s="26">
        <v>16500000</v>
      </c>
      <c r="AM735" s="26">
        <v>16500000</v>
      </c>
      <c r="AN735" s="26">
        <v>16500000</v>
      </c>
      <c r="AO735" s="6" t="s">
        <v>2003</v>
      </c>
      <c r="AQ735" s="6" t="s">
        <v>80</v>
      </c>
      <c r="AU735" s="6">
        <v>225689</v>
      </c>
    </row>
    <row r="736" spans="1:47" x14ac:dyDescent="0.3">
      <c r="A736" s="28" t="s">
        <v>42</v>
      </c>
      <c r="B736" s="6" t="s">
        <v>2181</v>
      </c>
      <c r="D736" s="6" t="s">
        <v>2105</v>
      </c>
      <c r="E736" s="6">
        <v>1</v>
      </c>
      <c r="F736" s="6" t="s">
        <v>2004</v>
      </c>
      <c r="G736" s="6" t="s">
        <v>2005</v>
      </c>
      <c r="H736" s="6" t="s">
        <v>2005</v>
      </c>
      <c r="I736" s="6" t="str">
        <f t="shared" si="22"/>
        <v>ETC</v>
      </c>
      <c r="J736" s="6" t="s">
        <v>400</v>
      </c>
      <c r="K736" s="6">
        <v>1</v>
      </c>
      <c r="P736" s="6">
        <f t="shared" si="23"/>
        <v>11000000</v>
      </c>
      <c r="R736" s="6" t="s">
        <v>2003</v>
      </c>
      <c r="T736" s="6" t="s">
        <v>813</v>
      </c>
      <c r="U736" s="6">
        <v>2014</v>
      </c>
      <c r="V736" s="6">
        <v>1</v>
      </c>
      <c r="AD736" s="6" t="s">
        <v>45</v>
      </c>
      <c r="AJ736" s="31" t="s">
        <v>2113</v>
      </c>
      <c r="AK736" s="6">
        <v>1</v>
      </c>
      <c r="AL736" s="26">
        <v>10500000</v>
      </c>
      <c r="AM736" s="26">
        <v>10500000</v>
      </c>
      <c r="AN736" s="26">
        <v>10500000</v>
      </c>
      <c r="AO736" s="6" t="s">
        <v>2003</v>
      </c>
      <c r="AQ736" s="6" t="s">
        <v>80</v>
      </c>
      <c r="AU736" s="6">
        <v>225692</v>
      </c>
    </row>
    <row r="737" spans="1:47" x14ac:dyDescent="0.3">
      <c r="A737" s="28" t="s">
        <v>42</v>
      </c>
      <c r="B737" s="6" t="s">
        <v>2177</v>
      </c>
      <c r="C737" s="6" t="s">
        <v>1972</v>
      </c>
      <c r="D737" s="6" t="s">
        <v>2105</v>
      </c>
      <c r="E737" s="6">
        <v>1</v>
      </c>
      <c r="F737" s="6" t="s">
        <v>2004</v>
      </c>
      <c r="G737" s="6" t="s">
        <v>2005</v>
      </c>
      <c r="H737" s="6" t="s">
        <v>2005</v>
      </c>
      <c r="I737" s="6" t="str">
        <f t="shared" si="22"/>
        <v>Stone Grapple</v>
      </c>
      <c r="J737" s="6" t="s">
        <v>174</v>
      </c>
      <c r="K737" s="6">
        <v>1</v>
      </c>
      <c r="P737" s="6">
        <f t="shared" si="23"/>
        <v>7500000</v>
      </c>
      <c r="R737" s="6" t="s">
        <v>2003</v>
      </c>
      <c r="T737" s="6" t="s">
        <v>2033</v>
      </c>
      <c r="U737" s="6">
        <v>2015</v>
      </c>
      <c r="V737" s="6">
        <v>5</v>
      </c>
      <c r="AD737" s="6" t="s">
        <v>45</v>
      </c>
      <c r="AJ737" s="31" t="s">
        <v>2123</v>
      </c>
      <c r="AK737" s="6">
        <v>1</v>
      </c>
      <c r="AL737" s="26">
        <v>7000000</v>
      </c>
      <c r="AM737" s="26">
        <v>7000000</v>
      </c>
      <c r="AN737" s="26">
        <v>7000000</v>
      </c>
      <c r="AO737" s="6" t="s">
        <v>2003</v>
      </c>
      <c r="AQ737" s="6" t="s">
        <v>1219</v>
      </c>
      <c r="AU737" s="6">
        <v>225694</v>
      </c>
    </row>
    <row r="738" spans="1:47" x14ac:dyDescent="0.3">
      <c r="A738" s="28" t="s">
        <v>42</v>
      </c>
      <c r="B738" s="6" t="s">
        <v>2177</v>
      </c>
      <c r="C738" s="6" t="s">
        <v>1973</v>
      </c>
      <c r="D738" s="6" t="s">
        <v>2104</v>
      </c>
      <c r="E738" s="6">
        <v>1</v>
      </c>
      <c r="F738" s="6" t="s">
        <v>2004</v>
      </c>
      <c r="G738" s="6" t="s">
        <v>2005</v>
      </c>
      <c r="H738" s="6" t="s">
        <v>2005</v>
      </c>
      <c r="I738" s="6" t="str">
        <f t="shared" si="22"/>
        <v>Wood Grapple</v>
      </c>
      <c r="J738" s="6" t="s">
        <v>669</v>
      </c>
      <c r="K738" s="6">
        <v>1</v>
      </c>
      <c r="P738" s="6">
        <f t="shared" si="23"/>
        <v>4800000</v>
      </c>
      <c r="R738" s="6" t="s">
        <v>2003</v>
      </c>
      <c r="T738" s="6" t="s">
        <v>2007</v>
      </c>
      <c r="U738" s="6">
        <v>2014</v>
      </c>
      <c r="V738" s="6">
        <v>1</v>
      </c>
      <c r="AD738" s="6" t="s">
        <v>45</v>
      </c>
      <c r="AJ738" s="31" t="s">
        <v>2113</v>
      </c>
      <c r="AK738" s="6">
        <v>1</v>
      </c>
      <c r="AL738" s="26">
        <v>4600000</v>
      </c>
      <c r="AM738" s="26">
        <v>4600000</v>
      </c>
      <c r="AN738" s="26">
        <v>4600000</v>
      </c>
      <c r="AO738" s="6" t="s">
        <v>2003</v>
      </c>
      <c r="AQ738" s="6" t="s">
        <v>49</v>
      </c>
      <c r="AU738" s="6">
        <v>225695</v>
      </c>
    </row>
    <row r="739" spans="1:47" x14ac:dyDescent="0.3">
      <c r="A739" s="28" t="s">
        <v>42</v>
      </c>
      <c r="B739" s="6" t="s">
        <v>2181</v>
      </c>
      <c r="C739" s="6" t="s">
        <v>1979</v>
      </c>
      <c r="D739" s="6" t="s">
        <v>2103</v>
      </c>
      <c r="E739" s="6">
        <v>1</v>
      </c>
      <c r="F739" s="6" t="s">
        <v>2004</v>
      </c>
      <c r="G739" s="6" t="s">
        <v>2005</v>
      </c>
      <c r="H739" s="6" t="s">
        <v>2005</v>
      </c>
      <c r="I739" s="6" t="str">
        <f t="shared" si="22"/>
        <v>Thumb Grapple</v>
      </c>
      <c r="J739" s="6" t="s">
        <v>654</v>
      </c>
      <c r="K739" s="6">
        <v>1</v>
      </c>
      <c r="P739" s="6">
        <f t="shared" si="23"/>
        <v>2200000</v>
      </c>
      <c r="R739" s="6" t="s">
        <v>2003</v>
      </c>
      <c r="T739" s="6" t="s">
        <v>813</v>
      </c>
      <c r="U739" s="6">
        <v>2014</v>
      </c>
      <c r="V739" s="6">
        <v>1</v>
      </c>
      <c r="AD739" s="6" t="s">
        <v>45</v>
      </c>
      <c r="AJ739" s="31" t="s">
        <v>2113</v>
      </c>
      <c r="AK739" s="6">
        <v>1</v>
      </c>
      <c r="AL739" s="26">
        <v>2000000</v>
      </c>
      <c r="AM739" s="26">
        <v>2000000</v>
      </c>
      <c r="AN739" s="26">
        <v>2000000</v>
      </c>
      <c r="AO739" s="6" t="s">
        <v>2003</v>
      </c>
      <c r="AQ739" s="6" t="s">
        <v>80</v>
      </c>
      <c r="AU739" s="6">
        <v>225696</v>
      </c>
    </row>
    <row r="740" spans="1:47" x14ac:dyDescent="0.3">
      <c r="A740" s="28" t="s">
        <v>42</v>
      </c>
      <c r="B740" s="6" t="s">
        <v>2177</v>
      </c>
      <c r="C740" s="6" t="s">
        <v>1972</v>
      </c>
      <c r="D740" s="6" t="s">
        <v>2100</v>
      </c>
      <c r="E740" s="6">
        <v>1</v>
      </c>
      <c r="F740" s="6" t="s">
        <v>2004</v>
      </c>
      <c r="G740" s="6" t="s">
        <v>2005</v>
      </c>
      <c r="H740" s="6" t="s">
        <v>2005</v>
      </c>
      <c r="I740" s="6" t="str">
        <f t="shared" si="22"/>
        <v>Stone Grapple</v>
      </c>
      <c r="J740" s="6" t="s">
        <v>252</v>
      </c>
      <c r="K740" s="6">
        <v>1</v>
      </c>
      <c r="P740" s="6">
        <f t="shared" si="23"/>
        <v>3700000</v>
      </c>
      <c r="R740" s="6" t="s">
        <v>2003</v>
      </c>
      <c r="T740" s="6" t="s">
        <v>2071</v>
      </c>
      <c r="U740" s="6">
        <v>2016</v>
      </c>
      <c r="V740" s="6">
        <v>1</v>
      </c>
      <c r="AD740" s="6" t="s">
        <v>45</v>
      </c>
      <c r="AJ740" s="31" t="s">
        <v>2113</v>
      </c>
      <c r="AK740" s="6">
        <v>1</v>
      </c>
      <c r="AL740" s="26">
        <v>3500000</v>
      </c>
      <c r="AM740" s="26">
        <v>3500000</v>
      </c>
      <c r="AN740" s="26">
        <v>3500000</v>
      </c>
      <c r="AO740" s="6" t="s">
        <v>2003</v>
      </c>
      <c r="AQ740" s="6" t="s">
        <v>49</v>
      </c>
      <c r="AU740" s="6">
        <v>225698</v>
      </c>
    </row>
    <row r="741" spans="1:47" x14ac:dyDescent="0.3">
      <c r="A741" s="28" t="s">
        <v>42</v>
      </c>
      <c r="B741" s="6" t="s">
        <v>2181</v>
      </c>
      <c r="D741" s="6" t="s">
        <v>2104</v>
      </c>
      <c r="E741" s="6">
        <v>1</v>
      </c>
      <c r="F741" s="6" t="s">
        <v>2004</v>
      </c>
      <c r="G741" s="6" t="s">
        <v>2005</v>
      </c>
      <c r="H741" s="6" t="s">
        <v>2005</v>
      </c>
      <c r="I741" s="6" t="str">
        <f t="shared" si="22"/>
        <v>ETC</v>
      </c>
      <c r="J741" s="6" t="s">
        <v>476</v>
      </c>
      <c r="K741" s="6">
        <v>1</v>
      </c>
      <c r="P741" s="6">
        <f t="shared" si="23"/>
        <v>11500000</v>
      </c>
      <c r="R741" s="6" t="s">
        <v>2003</v>
      </c>
      <c r="T741" s="6" t="s">
        <v>2033</v>
      </c>
      <c r="U741" s="6">
        <v>2014</v>
      </c>
      <c r="V741" s="6">
        <v>9</v>
      </c>
      <c r="AD741" s="6" t="s">
        <v>45</v>
      </c>
      <c r="AJ741" s="31" t="s">
        <v>2121</v>
      </c>
      <c r="AK741" s="6">
        <v>1</v>
      </c>
      <c r="AL741" s="26">
        <v>11000000</v>
      </c>
      <c r="AM741" s="26">
        <v>11000000</v>
      </c>
      <c r="AN741" s="26">
        <v>11000000</v>
      </c>
      <c r="AO741" s="6" t="s">
        <v>2003</v>
      </c>
      <c r="AQ741" s="6" t="s">
        <v>1218</v>
      </c>
      <c r="AU741" s="6">
        <v>225699</v>
      </c>
    </row>
    <row r="742" spans="1:47" x14ac:dyDescent="0.3">
      <c r="A742" s="28" t="s">
        <v>42</v>
      </c>
      <c r="B742" s="6" t="s">
        <v>2201</v>
      </c>
      <c r="C742" s="6" t="s">
        <v>1978</v>
      </c>
      <c r="D742" s="6" t="s">
        <v>2103</v>
      </c>
      <c r="E742" s="6">
        <v>1</v>
      </c>
      <c r="F742" s="6" t="s">
        <v>2004</v>
      </c>
      <c r="G742" s="6" t="s">
        <v>2005</v>
      </c>
      <c r="H742" s="6" t="s">
        <v>2005</v>
      </c>
      <c r="I742" s="6" t="str">
        <f t="shared" si="22"/>
        <v>Hydraulic Pulverizer</v>
      </c>
      <c r="J742" s="6" t="s">
        <v>409</v>
      </c>
      <c r="K742" s="6">
        <v>1</v>
      </c>
      <c r="P742" s="6">
        <f t="shared" si="23"/>
        <v>6500000</v>
      </c>
      <c r="R742" s="6" t="s">
        <v>2003</v>
      </c>
      <c r="T742" s="6" t="s">
        <v>813</v>
      </c>
      <c r="U742" s="6">
        <v>2014</v>
      </c>
      <c r="V742" s="6">
        <v>1</v>
      </c>
      <c r="AD742" s="6" t="s">
        <v>45</v>
      </c>
      <c r="AJ742" s="31" t="s">
        <v>2113</v>
      </c>
      <c r="AK742" s="6">
        <v>1</v>
      </c>
      <c r="AL742" s="26">
        <v>6000000</v>
      </c>
      <c r="AM742" s="26">
        <v>6000000</v>
      </c>
      <c r="AN742" s="26">
        <v>6000000</v>
      </c>
      <c r="AO742" s="6" t="s">
        <v>2003</v>
      </c>
      <c r="AQ742" s="6" t="s">
        <v>80</v>
      </c>
      <c r="AU742" s="6">
        <v>225700</v>
      </c>
    </row>
    <row r="743" spans="1:47" x14ac:dyDescent="0.3">
      <c r="A743" s="28" t="s">
        <v>42</v>
      </c>
      <c r="B743" s="6" t="s">
        <v>2177</v>
      </c>
      <c r="C743" s="6" t="s">
        <v>1972</v>
      </c>
      <c r="D743" s="6" t="s">
        <v>2100</v>
      </c>
      <c r="E743" s="6">
        <v>1</v>
      </c>
      <c r="F743" s="6" t="s">
        <v>2004</v>
      </c>
      <c r="G743" s="6" t="s">
        <v>2005</v>
      </c>
      <c r="H743" s="6" t="s">
        <v>2005</v>
      </c>
      <c r="I743" s="6" t="str">
        <f t="shared" si="22"/>
        <v>Stone Grapple</v>
      </c>
      <c r="J743" s="6" t="s">
        <v>109</v>
      </c>
      <c r="K743" s="6">
        <v>1</v>
      </c>
      <c r="P743" s="6">
        <f t="shared" si="23"/>
        <v>3700000</v>
      </c>
      <c r="R743" s="6" t="s">
        <v>2003</v>
      </c>
      <c r="T743" s="6" t="s">
        <v>2007</v>
      </c>
      <c r="U743" s="6">
        <v>2016</v>
      </c>
      <c r="V743" s="6">
        <v>1</v>
      </c>
      <c r="AD743" s="6" t="s">
        <v>45</v>
      </c>
      <c r="AJ743" s="31" t="s">
        <v>2113</v>
      </c>
      <c r="AK743" s="6">
        <v>1</v>
      </c>
      <c r="AL743" s="26">
        <v>3500000</v>
      </c>
      <c r="AM743" s="26">
        <v>3500000</v>
      </c>
      <c r="AN743" s="26">
        <v>3500000</v>
      </c>
      <c r="AO743" s="6" t="s">
        <v>2003</v>
      </c>
      <c r="AQ743" s="6" t="s">
        <v>49</v>
      </c>
      <c r="AU743" s="6">
        <v>225702</v>
      </c>
    </row>
    <row r="744" spans="1:47" hidden="1" x14ac:dyDescent="0.3">
      <c r="A744" s="28" t="s">
        <v>42</v>
      </c>
      <c r="B744" s="6" t="s">
        <v>2181</v>
      </c>
      <c r="E744" s="6">
        <v>1</v>
      </c>
      <c r="F744" s="6" t="s">
        <v>2004</v>
      </c>
      <c r="G744" s="6" t="s">
        <v>2005</v>
      </c>
      <c r="H744" s="6" t="s">
        <v>2005</v>
      </c>
      <c r="I744" s="6" t="str">
        <f t="shared" si="22"/>
        <v>ETC</v>
      </c>
      <c r="J744" s="6" t="s">
        <v>670</v>
      </c>
      <c r="K744" s="6">
        <v>1</v>
      </c>
      <c r="P744" s="6">
        <f t="shared" si="23"/>
        <v>60500000</v>
      </c>
      <c r="R744" s="6" t="s">
        <v>2003</v>
      </c>
      <c r="T744" s="6" t="s">
        <v>2072</v>
      </c>
      <c r="U744" s="6">
        <v>2010</v>
      </c>
      <c r="V744" s="6">
        <v>1</v>
      </c>
      <c r="AD744" s="6" t="s">
        <v>45</v>
      </c>
      <c r="AJ744" s="31" t="s">
        <v>2122</v>
      </c>
      <c r="AK744" s="6">
        <v>1</v>
      </c>
      <c r="AL744" s="26">
        <v>60000000</v>
      </c>
      <c r="AM744" s="26">
        <v>60000000</v>
      </c>
      <c r="AN744" s="26">
        <v>60000000</v>
      </c>
      <c r="AO744" s="6" t="s">
        <v>2003</v>
      </c>
      <c r="AQ744" s="6" t="s">
        <v>1218</v>
      </c>
      <c r="AU744" s="6">
        <v>225708</v>
      </c>
    </row>
    <row r="745" spans="1:47" x14ac:dyDescent="0.3">
      <c r="A745" s="28" t="s">
        <v>42</v>
      </c>
      <c r="B745" s="6" t="s">
        <v>2178</v>
      </c>
      <c r="C745" s="6" t="s">
        <v>1975</v>
      </c>
      <c r="D745" s="6" t="s">
        <v>2100</v>
      </c>
      <c r="E745" s="6">
        <v>1</v>
      </c>
      <c r="F745" s="6" t="s">
        <v>2004</v>
      </c>
      <c r="G745" s="6" t="s">
        <v>2005</v>
      </c>
      <c r="H745" s="6" t="s">
        <v>2005</v>
      </c>
      <c r="I745" s="6" t="str">
        <f t="shared" si="22"/>
        <v>Side Breaker</v>
      </c>
      <c r="J745" s="6" t="s">
        <v>266</v>
      </c>
      <c r="K745" s="6">
        <v>1</v>
      </c>
      <c r="P745" s="6">
        <f t="shared" si="23"/>
        <v>2400000</v>
      </c>
      <c r="R745" s="6" t="s">
        <v>2003</v>
      </c>
      <c r="T745" s="6" t="s">
        <v>2011</v>
      </c>
      <c r="U745" s="6">
        <v>2016</v>
      </c>
      <c r="V745" s="6">
        <v>6</v>
      </c>
      <c r="AD745" s="6" t="s">
        <v>45</v>
      </c>
      <c r="AJ745" s="31" t="s">
        <v>2123</v>
      </c>
      <c r="AK745" s="6">
        <v>1</v>
      </c>
      <c r="AL745" s="26">
        <v>2200000</v>
      </c>
      <c r="AM745" s="26">
        <v>2200000</v>
      </c>
      <c r="AN745" s="26">
        <v>2200000</v>
      </c>
      <c r="AO745" s="6" t="s">
        <v>2003</v>
      </c>
      <c r="AQ745" s="6" t="s">
        <v>1200</v>
      </c>
      <c r="AU745" s="6">
        <v>225709</v>
      </c>
    </row>
    <row r="746" spans="1:47" x14ac:dyDescent="0.3">
      <c r="A746" s="28" t="s">
        <v>42</v>
      </c>
      <c r="B746" s="6" t="s">
        <v>2201</v>
      </c>
      <c r="C746" s="19" t="s">
        <v>2212</v>
      </c>
      <c r="D746" s="6" t="s">
        <v>2104</v>
      </c>
      <c r="E746" s="6">
        <v>1</v>
      </c>
      <c r="F746" s="6" t="s">
        <v>2004</v>
      </c>
      <c r="G746" s="6" t="s">
        <v>2005</v>
      </c>
      <c r="H746" s="6" t="s">
        <v>2005</v>
      </c>
      <c r="I746" s="6" t="str">
        <f t="shared" si="22"/>
        <v>Hydraulic Multi Processor</v>
      </c>
      <c r="J746" s="6" t="s">
        <v>192</v>
      </c>
      <c r="K746" s="6">
        <v>1</v>
      </c>
      <c r="P746" s="6">
        <f t="shared" si="23"/>
        <v>7500000</v>
      </c>
      <c r="R746" s="6" t="s">
        <v>2003</v>
      </c>
      <c r="T746" s="6" t="s">
        <v>2007</v>
      </c>
      <c r="U746" s="6">
        <v>2012</v>
      </c>
      <c r="V746" s="6">
        <v>1</v>
      </c>
      <c r="AD746" s="6" t="s">
        <v>45</v>
      </c>
      <c r="AJ746" s="31" t="s">
        <v>2113</v>
      </c>
      <c r="AK746" s="6">
        <v>1</v>
      </c>
      <c r="AL746" s="26">
        <v>7000000</v>
      </c>
      <c r="AM746" s="26">
        <v>7000000</v>
      </c>
      <c r="AN746" s="26">
        <v>7000000</v>
      </c>
      <c r="AO746" s="6" t="s">
        <v>2003</v>
      </c>
      <c r="AQ746" s="6" t="s">
        <v>49</v>
      </c>
      <c r="AU746" s="6">
        <v>225713</v>
      </c>
    </row>
    <row r="747" spans="1:47" x14ac:dyDescent="0.3">
      <c r="A747" s="28" t="s">
        <v>42</v>
      </c>
      <c r="B747" s="6" t="s">
        <v>2177</v>
      </c>
      <c r="C747" s="6" t="s">
        <v>1979</v>
      </c>
      <c r="D747" s="6" t="s">
        <v>2104</v>
      </c>
      <c r="E747" s="6">
        <v>1</v>
      </c>
      <c r="F747" s="6" t="s">
        <v>2004</v>
      </c>
      <c r="G747" s="6" t="s">
        <v>2005</v>
      </c>
      <c r="H747" s="6" t="s">
        <v>2005</v>
      </c>
      <c r="I747" s="6" t="str">
        <f t="shared" si="22"/>
        <v>Thumb Grapple</v>
      </c>
      <c r="J747" s="6" t="s">
        <v>59</v>
      </c>
      <c r="K747" s="6">
        <v>1</v>
      </c>
      <c r="P747" s="6">
        <f t="shared" si="23"/>
        <v>800000</v>
      </c>
      <c r="R747" s="6" t="s">
        <v>2003</v>
      </c>
      <c r="T747" s="6" t="s">
        <v>813</v>
      </c>
      <c r="U747" s="6">
        <v>2013</v>
      </c>
      <c r="V747" s="6">
        <v>1</v>
      </c>
      <c r="AD747" s="6" t="s">
        <v>45</v>
      </c>
      <c r="AJ747" s="31" t="s">
        <v>2113</v>
      </c>
      <c r="AK747" s="6">
        <v>1</v>
      </c>
      <c r="AL747" s="26">
        <v>700000</v>
      </c>
      <c r="AM747" s="26">
        <v>700000</v>
      </c>
      <c r="AN747" s="26">
        <v>700000</v>
      </c>
      <c r="AO747" s="6" t="s">
        <v>2003</v>
      </c>
      <c r="AQ747" s="6" t="s">
        <v>79</v>
      </c>
      <c r="AU747" s="6">
        <v>225715</v>
      </c>
    </row>
    <row r="748" spans="1:47" x14ac:dyDescent="0.3">
      <c r="A748" s="28" t="s">
        <v>42</v>
      </c>
      <c r="B748" s="6" t="s">
        <v>2177</v>
      </c>
      <c r="C748" s="6" t="s">
        <v>1974</v>
      </c>
      <c r="D748" s="6" t="s">
        <v>2100</v>
      </c>
      <c r="E748" s="6">
        <v>1</v>
      </c>
      <c r="F748" s="6" t="s">
        <v>2004</v>
      </c>
      <c r="G748" s="6" t="s">
        <v>2005</v>
      </c>
      <c r="H748" s="6" t="s">
        <v>2005</v>
      </c>
      <c r="I748" s="6" t="str">
        <f t="shared" si="22"/>
        <v>Etc Grapple</v>
      </c>
      <c r="J748" s="6" t="s">
        <v>136</v>
      </c>
      <c r="K748" s="6">
        <v>1</v>
      </c>
      <c r="P748" s="6">
        <f t="shared" si="23"/>
        <v>2700000</v>
      </c>
      <c r="R748" s="6" t="s">
        <v>2003</v>
      </c>
      <c r="T748" s="6" t="s">
        <v>1041</v>
      </c>
      <c r="U748" s="6">
        <v>2010</v>
      </c>
      <c r="V748" s="6">
        <v>1</v>
      </c>
      <c r="AD748" s="6" t="s">
        <v>45</v>
      </c>
      <c r="AJ748" s="31" t="s">
        <v>2120</v>
      </c>
      <c r="AK748" s="6">
        <v>1</v>
      </c>
      <c r="AL748" s="26">
        <v>2500000</v>
      </c>
      <c r="AM748" s="26">
        <v>2500000</v>
      </c>
      <c r="AN748" s="26">
        <v>2500000</v>
      </c>
      <c r="AO748" s="6" t="s">
        <v>2003</v>
      </c>
      <c r="AQ748" s="6" t="s">
        <v>1299</v>
      </c>
      <c r="AU748" s="6">
        <v>225717</v>
      </c>
    </row>
    <row r="749" spans="1:47" x14ac:dyDescent="0.3">
      <c r="A749" s="28" t="s">
        <v>42</v>
      </c>
      <c r="B749" s="6" t="s">
        <v>2178</v>
      </c>
      <c r="C749" s="6" t="s">
        <v>1975</v>
      </c>
      <c r="D749" s="6" t="s">
        <v>2103</v>
      </c>
      <c r="E749" s="6">
        <v>1</v>
      </c>
      <c r="F749" s="6" t="s">
        <v>2004</v>
      </c>
      <c r="G749" s="6" t="s">
        <v>2005</v>
      </c>
      <c r="H749" s="6" t="s">
        <v>2005</v>
      </c>
      <c r="I749" s="6" t="str">
        <f t="shared" si="22"/>
        <v>Side Breaker</v>
      </c>
      <c r="J749" s="6" t="s">
        <v>671</v>
      </c>
      <c r="K749" s="6">
        <v>1</v>
      </c>
      <c r="P749" s="6">
        <f t="shared" si="23"/>
        <v>2600000</v>
      </c>
      <c r="R749" s="6" t="s">
        <v>2003</v>
      </c>
      <c r="T749" s="6" t="s">
        <v>1042</v>
      </c>
      <c r="U749" s="6">
        <v>2017</v>
      </c>
      <c r="V749" s="6">
        <v>1</v>
      </c>
      <c r="AD749" s="6" t="s">
        <v>45</v>
      </c>
      <c r="AJ749" s="31" t="s">
        <v>2119</v>
      </c>
      <c r="AK749" s="6">
        <v>1</v>
      </c>
      <c r="AL749" s="26">
        <v>2400000</v>
      </c>
      <c r="AM749" s="26">
        <v>2400000</v>
      </c>
      <c r="AN749" s="26">
        <v>2400000</v>
      </c>
      <c r="AO749" s="6" t="s">
        <v>2003</v>
      </c>
      <c r="AQ749" s="6" t="s">
        <v>1277</v>
      </c>
      <c r="AU749" s="6">
        <v>225718</v>
      </c>
    </row>
    <row r="750" spans="1:47" x14ac:dyDescent="0.3">
      <c r="A750" s="28" t="s">
        <v>42</v>
      </c>
      <c r="B750" s="6" t="s">
        <v>2180</v>
      </c>
      <c r="D750" s="6" t="s">
        <v>2104</v>
      </c>
      <c r="E750" s="6">
        <v>1</v>
      </c>
      <c r="F750" s="6" t="s">
        <v>2004</v>
      </c>
      <c r="G750" s="6" t="s">
        <v>2005</v>
      </c>
      <c r="H750" s="6" t="s">
        <v>2005</v>
      </c>
      <c r="I750" s="6" t="str">
        <f t="shared" si="22"/>
        <v>Quick Coupler</v>
      </c>
      <c r="J750" s="6" t="s">
        <v>259</v>
      </c>
      <c r="K750" s="6">
        <v>1</v>
      </c>
      <c r="P750" s="6">
        <f t="shared" si="23"/>
        <v>900000</v>
      </c>
      <c r="R750" s="6" t="s">
        <v>2003</v>
      </c>
      <c r="T750" s="6" t="s">
        <v>2007</v>
      </c>
      <c r="U750" s="6">
        <v>2014</v>
      </c>
      <c r="V750" s="6">
        <v>1</v>
      </c>
      <c r="AD750" s="6" t="s">
        <v>45</v>
      </c>
      <c r="AJ750" s="31" t="s">
        <v>2113</v>
      </c>
      <c r="AK750" s="6">
        <v>1</v>
      </c>
      <c r="AL750" s="26">
        <v>800000</v>
      </c>
      <c r="AM750" s="26">
        <v>800000</v>
      </c>
      <c r="AN750" s="26">
        <v>800000</v>
      </c>
      <c r="AO750" s="6" t="s">
        <v>2003</v>
      </c>
      <c r="AQ750" s="6" t="s">
        <v>49</v>
      </c>
      <c r="AU750" s="6">
        <v>225722</v>
      </c>
    </row>
    <row r="751" spans="1:47" hidden="1" x14ac:dyDescent="0.3">
      <c r="A751" s="28" t="s">
        <v>42</v>
      </c>
      <c r="B751" s="6" t="s">
        <v>2201</v>
      </c>
      <c r="E751" s="6">
        <v>1</v>
      </c>
      <c r="F751" s="6" t="s">
        <v>2004</v>
      </c>
      <c r="G751" s="6" t="s">
        <v>2005</v>
      </c>
      <c r="H751" s="6" t="s">
        <v>2005</v>
      </c>
      <c r="I751" s="6" t="str">
        <f t="shared" si="22"/>
        <v>Crusher</v>
      </c>
      <c r="J751" s="6" t="s">
        <v>684</v>
      </c>
      <c r="K751" s="6">
        <v>1</v>
      </c>
      <c r="P751" s="6">
        <f t="shared" si="23"/>
        <v>6300000</v>
      </c>
      <c r="R751" s="6" t="s">
        <v>2003</v>
      </c>
      <c r="T751" s="6" t="s">
        <v>1875</v>
      </c>
      <c r="U751" s="6">
        <v>2016</v>
      </c>
      <c r="V751" s="6">
        <v>3</v>
      </c>
      <c r="AD751" s="6" t="s">
        <v>45</v>
      </c>
      <c r="AJ751" s="31" t="s">
        <v>2124</v>
      </c>
      <c r="AK751" s="6">
        <v>1</v>
      </c>
      <c r="AL751" s="26">
        <v>5800000</v>
      </c>
      <c r="AM751" s="26">
        <v>5800000</v>
      </c>
      <c r="AN751" s="26">
        <v>5800000</v>
      </c>
      <c r="AO751" s="6" t="s">
        <v>2003</v>
      </c>
      <c r="AQ751" s="6" t="s">
        <v>1920</v>
      </c>
      <c r="AU751" s="6">
        <v>225728</v>
      </c>
    </row>
    <row r="752" spans="1:47" x14ac:dyDescent="0.3">
      <c r="A752" s="28" t="s">
        <v>42</v>
      </c>
      <c r="B752" s="6" t="s">
        <v>2177</v>
      </c>
      <c r="C752" s="6" t="s">
        <v>1972</v>
      </c>
      <c r="D752" s="6" t="s">
        <v>2104</v>
      </c>
      <c r="E752" s="6">
        <v>1</v>
      </c>
      <c r="F752" s="6" t="s">
        <v>2004</v>
      </c>
      <c r="G752" s="6" t="s">
        <v>2005</v>
      </c>
      <c r="H752" s="6" t="s">
        <v>2005</v>
      </c>
      <c r="I752" s="6" t="str">
        <f t="shared" si="22"/>
        <v>Stone Grapple</v>
      </c>
      <c r="J752" s="6" t="s">
        <v>197</v>
      </c>
      <c r="K752" s="6">
        <v>1</v>
      </c>
      <c r="P752" s="6">
        <f t="shared" si="23"/>
        <v>3700000</v>
      </c>
      <c r="R752" s="6" t="s">
        <v>2003</v>
      </c>
      <c r="T752" s="6" t="s">
        <v>2046</v>
      </c>
      <c r="U752" s="6">
        <v>2017</v>
      </c>
      <c r="V752" s="6">
        <v>1</v>
      </c>
      <c r="AD752" s="6" t="s">
        <v>45</v>
      </c>
      <c r="AJ752" s="31" t="s">
        <v>2110</v>
      </c>
      <c r="AK752" s="6">
        <v>1</v>
      </c>
      <c r="AL752" s="26">
        <v>3500000</v>
      </c>
      <c r="AM752" s="26">
        <v>3500000</v>
      </c>
      <c r="AN752" s="26">
        <v>3500000</v>
      </c>
      <c r="AO752" s="6" t="s">
        <v>2003</v>
      </c>
      <c r="AQ752" s="6" t="s">
        <v>1155</v>
      </c>
      <c r="AU752" s="6">
        <v>225729</v>
      </c>
    </row>
    <row r="753" spans="1:47" x14ac:dyDescent="0.3">
      <c r="A753" s="28" t="s">
        <v>42</v>
      </c>
      <c r="B753" s="6" t="s">
        <v>2177</v>
      </c>
      <c r="C753" s="6" t="s">
        <v>1972</v>
      </c>
      <c r="D753" s="6" t="s">
        <v>2103</v>
      </c>
      <c r="E753" s="6">
        <v>1</v>
      </c>
      <c r="F753" s="6" t="s">
        <v>2004</v>
      </c>
      <c r="G753" s="6" t="s">
        <v>2005</v>
      </c>
      <c r="H753" s="6" t="s">
        <v>2005</v>
      </c>
      <c r="I753" s="6" t="str">
        <f t="shared" si="22"/>
        <v>Stone Grapple</v>
      </c>
      <c r="J753" s="6" t="s">
        <v>94</v>
      </c>
      <c r="K753" s="6">
        <v>1</v>
      </c>
      <c r="P753" s="6">
        <f t="shared" si="23"/>
        <v>3200000</v>
      </c>
      <c r="R753" s="6" t="s">
        <v>2003</v>
      </c>
      <c r="T753" s="6" t="s">
        <v>1043</v>
      </c>
      <c r="U753" s="6">
        <v>2015</v>
      </c>
      <c r="V753" s="6">
        <v>6</v>
      </c>
      <c r="AD753" s="6" t="s">
        <v>45</v>
      </c>
      <c r="AJ753" s="31" t="s">
        <v>2123</v>
      </c>
      <c r="AK753" s="6">
        <v>1</v>
      </c>
      <c r="AL753" s="26">
        <v>3000000</v>
      </c>
      <c r="AM753" s="26">
        <v>3000000</v>
      </c>
      <c r="AN753" s="26">
        <v>3000000</v>
      </c>
      <c r="AO753" s="6" t="s">
        <v>2003</v>
      </c>
      <c r="AQ753" s="6" t="s">
        <v>1187</v>
      </c>
      <c r="AU753" s="6">
        <v>225732</v>
      </c>
    </row>
    <row r="754" spans="1:47" x14ac:dyDescent="0.3">
      <c r="A754" s="28" t="s">
        <v>42</v>
      </c>
      <c r="B754" s="6" t="s">
        <v>2190</v>
      </c>
      <c r="D754" s="6" t="s">
        <v>2100</v>
      </c>
      <c r="E754" s="6">
        <v>1</v>
      </c>
      <c r="F754" s="6" t="s">
        <v>2004</v>
      </c>
      <c r="G754" s="6" t="s">
        <v>2005</v>
      </c>
      <c r="H754" s="6" t="s">
        <v>2005</v>
      </c>
      <c r="I754" s="6" t="str">
        <f t="shared" si="22"/>
        <v>Lift Fork</v>
      </c>
      <c r="J754" s="6" t="s">
        <v>673</v>
      </c>
      <c r="K754" s="6">
        <v>1</v>
      </c>
      <c r="P754" s="6">
        <f t="shared" si="23"/>
        <v>400000</v>
      </c>
      <c r="R754" s="6" t="s">
        <v>2003</v>
      </c>
      <c r="T754" s="6" t="s">
        <v>2007</v>
      </c>
      <c r="U754" s="6">
        <v>2013</v>
      </c>
      <c r="V754" s="6">
        <v>1</v>
      </c>
      <c r="AD754" s="6" t="s">
        <v>45</v>
      </c>
      <c r="AJ754" s="31" t="s">
        <v>2113</v>
      </c>
      <c r="AK754" s="6">
        <v>1</v>
      </c>
      <c r="AL754" s="26">
        <v>350000</v>
      </c>
      <c r="AM754" s="26">
        <v>350000</v>
      </c>
      <c r="AN754" s="26">
        <v>350000</v>
      </c>
      <c r="AO754" s="6" t="s">
        <v>2003</v>
      </c>
      <c r="AQ754" s="6" t="s">
        <v>49</v>
      </c>
      <c r="AU754" s="6">
        <v>225733</v>
      </c>
    </row>
    <row r="755" spans="1:47" x14ac:dyDescent="0.3">
      <c r="A755" s="28" t="s">
        <v>42</v>
      </c>
      <c r="B755" s="6" t="s">
        <v>2179</v>
      </c>
      <c r="C755" s="6" t="s">
        <v>1980</v>
      </c>
      <c r="D755" s="6" t="s">
        <v>2104</v>
      </c>
      <c r="E755" s="6">
        <v>1</v>
      </c>
      <c r="F755" s="6" t="s">
        <v>2004</v>
      </c>
      <c r="G755" s="6" t="s">
        <v>2005</v>
      </c>
      <c r="H755" s="6" t="s">
        <v>2005</v>
      </c>
      <c r="I755" s="6" t="str">
        <f t="shared" si="22"/>
        <v>Small Bucket</v>
      </c>
      <c r="J755" s="6" t="s">
        <v>636</v>
      </c>
      <c r="K755" s="6">
        <v>1</v>
      </c>
      <c r="P755" s="6">
        <f t="shared" si="23"/>
        <v>750000</v>
      </c>
      <c r="R755" s="6" t="s">
        <v>2003</v>
      </c>
      <c r="T755" s="6" t="s">
        <v>813</v>
      </c>
      <c r="U755" s="6">
        <v>2013</v>
      </c>
      <c r="V755" s="6">
        <v>1</v>
      </c>
      <c r="AD755" s="6" t="s">
        <v>45</v>
      </c>
      <c r="AJ755" s="31" t="s">
        <v>2113</v>
      </c>
      <c r="AK755" s="6">
        <v>1</v>
      </c>
      <c r="AL755" s="26">
        <v>650000</v>
      </c>
      <c r="AM755" s="26">
        <v>650000</v>
      </c>
      <c r="AN755" s="26">
        <v>650000</v>
      </c>
      <c r="AO755" s="6" t="s">
        <v>2003</v>
      </c>
      <c r="AQ755" s="6" t="s">
        <v>79</v>
      </c>
      <c r="AU755" s="6">
        <v>225735</v>
      </c>
    </row>
    <row r="756" spans="1:47" x14ac:dyDescent="0.3">
      <c r="A756" s="28" t="s">
        <v>42</v>
      </c>
      <c r="B756" s="6" t="s">
        <v>2201</v>
      </c>
      <c r="C756" s="19" t="s">
        <v>2212</v>
      </c>
      <c r="D756" s="6" t="s">
        <v>2104</v>
      </c>
      <c r="E756" s="6">
        <v>1</v>
      </c>
      <c r="F756" s="6" t="s">
        <v>2004</v>
      </c>
      <c r="G756" s="6" t="s">
        <v>2005</v>
      </c>
      <c r="H756" s="6" t="s">
        <v>2005</v>
      </c>
      <c r="I756" s="6" t="str">
        <f t="shared" si="22"/>
        <v>Hydraulic Multi Processor</v>
      </c>
      <c r="J756" s="6" t="s">
        <v>192</v>
      </c>
      <c r="K756" s="6">
        <v>1</v>
      </c>
      <c r="P756" s="6">
        <f t="shared" si="23"/>
        <v>7500000</v>
      </c>
      <c r="R756" s="6" t="s">
        <v>2003</v>
      </c>
      <c r="T756" s="6" t="s">
        <v>813</v>
      </c>
      <c r="U756" s="6">
        <v>2014</v>
      </c>
      <c r="V756" s="6">
        <v>1</v>
      </c>
      <c r="AD756" s="6" t="s">
        <v>45</v>
      </c>
      <c r="AJ756" s="31" t="s">
        <v>2113</v>
      </c>
      <c r="AK756" s="6">
        <v>1</v>
      </c>
      <c r="AL756" s="26">
        <v>7000000</v>
      </c>
      <c r="AM756" s="26">
        <v>7000000</v>
      </c>
      <c r="AN756" s="26">
        <v>7000000</v>
      </c>
      <c r="AO756" s="6" t="s">
        <v>2003</v>
      </c>
      <c r="AQ756" s="6" t="s">
        <v>80</v>
      </c>
      <c r="AU756" s="6">
        <v>225736</v>
      </c>
    </row>
    <row r="757" spans="1:47" x14ac:dyDescent="0.3">
      <c r="A757" s="28" t="s">
        <v>42</v>
      </c>
      <c r="B757" s="6" t="s">
        <v>2179</v>
      </c>
      <c r="C757" s="6" t="s">
        <v>1976</v>
      </c>
      <c r="D757" s="6" t="s">
        <v>2104</v>
      </c>
      <c r="E757" s="6">
        <v>1</v>
      </c>
      <c r="F757" s="6" t="s">
        <v>2004</v>
      </c>
      <c r="G757" s="6" t="s">
        <v>2005</v>
      </c>
      <c r="H757" s="6" t="s">
        <v>2005</v>
      </c>
      <c r="I757" s="6" t="str">
        <f t="shared" si="22"/>
        <v>Skeleton Bucket</v>
      </c>
      <c r="J757" s="6" t="s">
        <v>110</v>
      </c>
      <c r="K757" s="6">
        <v>1</v>
      </c>
      <c r="P757" s="6">
        <f t="shared" si="23"/>
        <v>900000</v>
      </c>
      <c r="R757" s="6" t="s">
        <v>2003</v>
      </c>
      <c r="T757" s="6" t="s">
        <v>2007</v>
      </c>
      <c r="U757" s="6">
        <v>2013</v>
      </c>
      <c r="V757" s="6">
        <v>1</v>
      </c>
      <c r="AD757" s="6" t="s">
        <v>45</v>
      </c>
      <c r="AJ757" s="31" t="s">
        <v>2113</v>
      </c>
      <c r="AK757" s="6">
        <v>1</v>
      </c>
      <c r="AL757" s="26">
        <v>800000</v>
      </c>
      <c r="AM757" s="26">
        <v>800000</v>
      </c>
      <c r="AN757" s="26">
        <v>800000</v>
      </c>
      <c r="AO757" s="6" t="s">
        <v>2003</v>
      </c>
      <c r="AQ757" s="6" t="s">
        <v>49</v>
      </c>
      <c r="AU757" s="6">
        <v>225737</v>
      </c>
    </row>
    <row r="758" spans="1:47" x14ac:dyDescent="0.3">
      <c r="A758" s="28" t="s">
        <v>42</v>
      </c>
      <c r="B758" s="6" t="s">
        <v>2178</v>
      </c>
      <c r="C758" s="6" t="s">
        <v>1975</v>
      </c>
      <c r="D758" s="6" t="s">
        <v>2100</v>
      </c>
      <c r="E758" s="6">
        <v>1</v>
      </c>
      <c r="F758" s="6" t="s">
        <v>2004</v>
      </c>
      <c r="G758" s="6" t="s">
        <v>2005</v>
      </c>
      <c r="H758" s="6" t="s">
        <v>2005</v>
      </c>
      <c r="I758" s="6" t="str">
        <f t="shared" si="22"/>
        <v>Side Breaker</v>
      </c>
      <c r="J758" s="6" t="s">
        <v>751</v>
      </c>
      <c r="K758" s="6">
        <v>1</v>
      </c>
      <c r="P758" s="6">
        <f t="shared" si="23"/>
        <v>1450000</v>
      </c>
      <c r="R758" s="6" t="s">
        <v>2003</v>
      </c>
      <c r="T758" s="6" t="s">
        <v>822</v>
      </c>
      <c r="U758" s="6">
        <v>2013</v>
      </c>
      <c r="V758" s="6">
        <v>6</v>
      </c>
      <c r="AD758" s="6" t="s">
        <v>45</v>
      </c>
      <c r="AJ758" s="31" t="s">
        <v>2123</v>
      </c>
      <c r="AK758" s="6">
        <v>1</v>
      </c>
      <c r="AL758" s="26">
        <v>1350000</v>
      </c>
      <c r="AM758" s="26">
        <v>1350000</v>
      </c>
      <c r="AN758" s="26">
        <v>1350000</v>
      </c>
      <c r="AO758" s="6" t="s">
        <v>2003</v>
      </c>
      <c r="AQ758" s="6" t="s">
        <v>92</v>
      </c>
      <c r="AU758" s="6">
        <v>225738</v>
      </c>
    </row>
    <row r="759" spans="1:47" x14ac:dyDescent="0.3">
      <c r="A759" s="28" t="s">
        <v>42</v>
      </c>
      <c r="B759" s="6" t="s">
        <v>2179</v>
      </c>
      <c r="C759" s="6" t="s">
        <v>1971</v>
      </c>
      <c r="D759" s="6" t="s">
        <v>2101</v>
      </c>
      <c r="E759" s="6">
        <v>1</v>
      </c>
      <c r="F759" s="6" t="s">
        <v>2004</v>
      </c>
      <c r="G759" s="6" t="s">
        <v>2005</v>
      </c>
      <c r="H759" s="6" t="s">
        <v>2005</v>
      </c>
      <c r="I759" s="6" t="str">
        <f t="shared" si="22"/>
        <v>Special Bucket</v>
      </c>
      <c r="J759" s="6" t="s">
        <v>674</v>
      </c>
      <c r="K759" s="6">
        <v>1</v>
      </c>
      <c r="P759" s="6">
        <f t="shared" si="23"/>
        <v>4700000</v>
      </c>
      <c r="R759" s="6" t="s">
        <v>2003</v>
      </c>
      <c r="T759" s="6" t="s">
        <v>1045</v>
      </c>
      <c r="U759" s="6">
        <v>2013</v>
      </c>
      <c r="V759" s="6">
        <v>6</v>
      </c>
      <c r="AD759" s="6" t="s">
        <v>45</v>
      </c>
      <c r="AJ759" s="31" t="s">
        <v>2120</v>
      </c>
      <c r="AK759" s="6">
        <v>1</v>
      </c>
      <c r="AL759" s="26">
        <v>4500000</v>
      </c>
      <c r="AM759" s="26">
        <v>4500000</v>
      </c>
      <c r="AN759" s="26">
        <v>4500000</v>
      </c>
      <c r="AO759" s="6" t="s">
        <v>2003</v>
      </c>
      <c r="AQ759" s="6" t="s">
        <v>1205</v>
      </c>
      <c r="AU759" s="6">
        <v>225741</v>
      </c>
    </row>
    <row r="760" spans="1:47" x14ac:dyDescent="0.3">
      <c r="A760" s="28" t="s">
        <v>42</v>
      </c>
      <c r="B760" s="6" t="s">
        <v>2181</v>
      </c>
      <c r="D760" s="6" t="s">
        <v>2101</v>
      </c>
      <c r="E760" s="6">
        <v>1</v>
      </c>
      <c r="F760" s="6" t="s">
        <v>2004</v>
      </c>
      <c r="G760" s="6" t="s">
        <v>2005</v>
      </c>
      <c r="H760" s="6" t="s">
        <v>2005</v>
      </c>
      <c r="I760" s="6" t="str">
        <f t="shared" si="22"/>
        <v>ETC</v>
      </c>
      <c r="J760" s="6" t="s">
        <v>675</v>
      </c>
      <c r="K760" s="6">
        <v>1</v>
      </c>
      <c r="P760" s="6">
        <f t="shared" si="23"/>
        <v>3500000</v>
      </c>
      <c r="R760" s="6" t="s">
        <v>2003</v>
      </c>
      <c r="T760" s="6" t="s">
        <v>1046</v>
      </c>
      <c r="U760" s="6">
        <v>2005</v>
      </c>
      <c r="V760" s="6">
        <v>12</v>
      </c>
      <c r="AD760" s="6" t="s">
        <v>45</v>
      </c>
      <c r="AJ760" s="31" t="s">
        <v>2117</v>
      </c>
      <c r="AK760" s="6">
        <v>1</v>
      </c>
      <c r="AL760" s="26">
        <v>3300000</v>
      </c>
      <c r="AM760" s="26">
        <v>3300000</v>
      </c>
      <c r="AN760" s="26">
        <v>3300000</v>
      </c>
      <c r="AO760" s="6" t="s">
        <v>2003</v>
      </c>
      <c r="AQ760" s="6" t="s">
        <v>1300</v>
      </c>
      <c r="AU760" s="6">
        <v>225744</v>
      </c>
    </row>
    <row r="761" spans="1:47" x14ac:dyDescent="0.3">
      <c r="A761" s="28" t="s">
        <v>42</v>
      </c>
      <c r="B761" s="6" t="s">
        <v>2179</v>
      </c>
      <c r="C761" s="6" t="s">
        <v>1980</v>
      </c>
      <c r="D761" s="6" t="s">
        <v>2104</v>
      </c>
      <c r="E761" s="6">
        <v>1</v>
      </c>
      <c r="F761" s="6" t="s">
        <v>2004</v>
      </c>
      <c r="G761" s="6" t="s">
        <v>2005</v>
      </c>
      <c r="H761" s="6" t="s">
        <v>2005</v>
      </c>
      <c r="I761" s="6" t="str">
        <f t="shared" si="22"/>
        <v>Small Bucket</v>
      </c>
      <c r="J761" s="6" t="s">
        <v>676</v>
      </c>
      <c r="K761" s="6">
        <v>1</v>
      </c>
      <c r="P761" s="6">
        <f t="shared" si="23"/>
        <v>600000</v>
      </c>
      <c r="R761" s="6" t="s">
        <v>2003</v>
      </c>
      <c r="T761" s="6" t="s">
        <v>2012</v>
      </c>
      <c r="U761" s="6">
        <v>2013</v>
      </c>
      <c r="V761" s="6">
        <v>1</v>
      </c>
      <c r="AD761" s="6" t="s">
        <v>45</v>
      </c>
      <c r="AJ761" s="31" t="s">
        <v>2113</v>
      </c>
      <c r="AK761" s="6">
        <v>1</v>
      </c>
      <c r="AL761" s="26">
        <v>500000</v>
      </c>
      <c r="AM761" s="26">
        <v>500000</v>
      </c>
      <c r="AN761" s="26">
        <v>500000</v>
      </c>
      <c r="AO761" s="6" t="s">
        <v>2003</v>
      </c>
      <c r="AQ761" s="6" t="s">
        <v>49</v>
      </c>
      <c r="AU761" s="6">
        <v>225747</v>
      </c>
    </row>
    <row r="762" spans="1:47" x14ac:dyDescent="0.3">
      <c r="A762" s="28" t="s">
        <v>42</v>
      </c>
      <c r="B762" s="6" t="s">
        <v>2179</v>
      </c>
      <c r="C762" s="6" t="s">
        <v>1980</v>
      </c>
      <c r="D762" s="6" t="s">
        <v>2104</v>
      </c>
      <c r="E762" s="6">
        <v>1</v>
      </c>
      <c r="F762" s="6" t="s">
        <v>2004</v>
      </c>
      <c r="G762" s="6" t="s">
        <v>2005</v>
      </c>
      <c r="H762" s="6" t="s">
        <v>2005</v>
      </c>
      <c r="I762" s="6" t="str">
        <f t="shared" si="22"/>
        <v>Small Bucket</v>
      </c>
      <c r="J762" s="6" t="s">
        <v>636</v>
      </c>
      <c r="K762" s="6">
        <v>1</v>
      </c>
      <c r="P762" s="6">
        <f t="shared" si="23"/>
        <v>750000</v>
      </c>
      <c r="R762" s="6" t="s">
        <v>2003</v>
      </c>
      <c r="T762" s="6" t="s">
        <v>2012</v>
      </c>
      <c r="U762" s="6">
        <v>2013</v>
      </c>
      <c r="V762" s="6">
        <v>1</v>
      </c>
      <c r="AD762" s="6" t="s">
        <v>45</v>
      </c>
      <c r="AJ762" s="31" t="s">
        <v>2113</v>
      </c>
      <c r="AK762" s="6">
        <v>1</v>
      </c>
      <c r="AL762" s="26">
        <v>650000</v>
      </c>
      <c r="AM762" s="26">
        <v>650000</v>
      </c>
      <c r="AN762" s="26">
        <v>650000</v>
      </c>
      <c r="AO762" s="6" t="s">
        <v>2003</v>
      </c>
      <c r="AQ762" s="6" t="s">
        <v>49</v>
      </c>
      <c r="AU762" s="6">
        <v>225751</v>
      </c>
    </row>
    <row r="763" spans="1:47" x14ac:dyDescent="0.3">
      <c r="A763" s="28" t="s">
        <v>42</v>
      </c>
      <c r="B763" s="6" t="s">
        <v>2181</v>
      </c>
      <c r="D763" s="6" t="s">
        <v>2101</v>
      </c>
      <c r="E763" s="6">
        <v>1</v>
      </c>
      <c r="F763" s="6" t="s">
        <v>2004</v>
      </c>
      <c r="G763" s="6" t="s">
        <v>2005</v>
      </c>
      <c r="H763" s="6" t="s">
        <v>2005</v>
      </c>
      <c r="I763" s="6" t="str">
        <f t="shared" si="22"/>
        <v>ETC</v>
      </c>
      <c r="J763" s="6" t="s">
        <v>677</v>
      </c>
      <c r="K763" s="6">
        <v>1</v>
      </c>
      <c r="P763" s="6">
        <f t="shared" si="23"/>
        <v>2200000</v>
      </c>
      <c r="R763" s="6" t="s">
        <v>2003</v>
      </c>
      <c r="T763" s="6">
        <v>1</v>
      </c>
      <c r="U763" s="6">
        <v>2015</v>
      </c>
      <c r="V763" s="6">
        <v>1</v>
      </c>
      <c r="AD763" s="6" t="s">
        <v>45</v>
      </c>
      <c r="AJ763" s="31" t="s">
        <v>2116</v>
      </c>
      <c r="AK763" s="6">
        <v>1</v>
      </c>
      <c r="AL763" s="26">
        <v>2000000</v>
      </c>
      <c r="AM763" s="26">
        <v>2000000</v>
      </c>
      <c r="AN763" s="26">
        <v>2000000</v>
      </c>
      <c r="AO763" s="6" t="s">
        <v>2003</v>
      </c>
      <c r="AQ763" s="6" t="s">
        <v>1185</v>
      </c>
      <c r="AU763" s="6">
        <v>225753</v>
      </c>
    </row>
    <row r="764" spans="1:47" x14ac:dyDescent="0.3">
      <c r="A764" s="28" t="s">
        <v>42</v>
      </c>
      <c r="B764" s="6" t="s">
        <v>2204</v>
      </c>
      <c r="C764" s="6" t="s">
        <v>1979</v>
      </c>
      <c r="D764" s="6" t="s">
        <v>2104</v>
      </c>
      <c r="E764" s="6">
        <v>1</v>
      </c>
      <c r="F764" s="6" t="s">
        <v>2004</v>
      </c>
      <c r="G764" s="6" t="s">
        <v>2005</v>
      </c>
      <c r="H764" s="6" t="s">
        <v>2005</v>
      </c>
      <c r="I764" s="6" t="str">
        <f t="shared" si="22"/>
        <v>Thumb Grapple</v>
      </c>
      <c r="J764" s="6" t="s">
        <v>137</v>
      </c>
      <c r="K764" s="6">
        <v>1</v>
      </c>
      <c r="P764" s="6">
        <f t="shared" si="23"/>
        <v>800000</v>
      </c>
      <c r="R764" s="6" t="s">
        <v>2003</v>
      </c>
      <c r="T764" s="6" t="s">
        <v>2007</v>
      </c>
      <c r="U764" s="6">
        <v>2013</v>
      </c>
      <c r="V764" s="6">
        <v>1</v>
      </c>
      <c r="AD764" s="6" t="s">
        <v>45</v>
      </c>
      <c r="AJ764" s="31" t="s">
        <v>2113</v>
      </c>
      <c r="AK764" s="6">
        <v>1</v>
      </c>
      <c r="AL764" s="26">
        <v>700000</v>
      </c>
      <c r="AM764" s="26">
        <v>700000</v>
      </c>
      <c r="AN764" s="26">
        <v>700000</v>
      </c>
      <c r="AO764" s="6" t="s">
        <v>2003</v>
      </c>
      <c r="AQ764" s="6" t="s">
        <v>49</v>
      </c>
      <c r="AU764" s="6">
        <v>225755</v>
      </c>
    </row>
    <row r="765" spans="1:47" x14ac:dyDescent="0.3">
      <c r="A765" s="28" t="s">
        <v>42</v>
      </c>
      <c r="B765" s="6" t="s">
        <v>2179</v>
      </c>
      <c r="C765" s="6" t="s">
        <v>1976</v>
      </c>
      <c r="D765" s="6" t="s">
        <v>2103</v>
      </c>
      <c r="E765" s="6">
        <v>1</v>
      </c>
      <c r="F765" s="6" t="s">
        <v>2004</v>
      </c>
      <c r="G765" s="6" t="s">
        <v>2005</v>
      </c>
      <c r="H765" s="6" t="s">
        <v>2005</v>
      </c>
      <c r="I765" s="6" t="str">
        <f t="shared" si="22"/>
        <v>Skeleton Bucket</v>
      </c>
      <c r="J765" s="6" t="s">
        <v>284</v>
      </c>
      <c r="K765" s="6">
        <v>1</v>
      </c>
      <c r="P765" s="6">
        <f t="shared" si="23"/>
        <v>1400000</v>
      </c>
      <c r="R765" s="6" t="s">
        <v>2003</v>
      </c>
      <c r="T765" s="6" t="s">
        <v>844</v>
      </c>
      <c r="U765" s="6">
        <v>2010</v>
      </c>
      <c r="V765" s="6">
        <v>1</v>
      </c>
      <c r="AD765" s="6" t="s">
        <v>45</v>
      </c>
      <c r="AJ765" s="31" t="s">
        <v>2123</v>
      </c>
      <c r="AK765" s="6">
        <v>1</v>
      </c>
      <c r="AL765" s="26">
        <v>1300000</v>
      </c>
      <c r="AM765" s="26">
        <v>1300000</v>
      </c>
      <c r="AN765" s="26">
        <v>1300000</v>
      </c>
      <c r="AO765" s="6" t="s">
        <v>2003</v>
      </c>
      <c r="AQ765" s="6" t="s">
        <v>1167</v>
      </c>
      <c r="AU765" s="6">
        <v>225760</v>
      </c>
    </row>
    <row r="766" spans="1:47" x14ac:dyDescent="0.3">
      <c r="A766" s="28" t="s">
        <v>42</v>
      </c>
      <c r="B766" s="6" t="s">
        <v>2179</v>
      </c>
      <c r="C766" s="6" t="s">
        <v>1976</v>
      </c>
      <c r="D766" s="6" t="s">
        <v>2104</v>
      </c>
      <c r="E766" s="6">
        <v>1</v>
      </c>
      <c r="F766" s="6" t="s">
        <v>2004</v>
      </c>
      <c r="G766" s="6" t="s">
        <v>2005</v>
      </c>
      <c r="H766" s="6" t="s">
        <v>2005</v>
      </c>
      <c r="I766" s="6" t="str">
        <f t="shared" si="22"/>
        <v>Skeleton Bucket</v>
      </c>
      <c r="J766" s="6" t="s">
        <v>118</v>
      </c>
      <c r="K766" s="6">
        <v>1</v>
      </c>
      <c r="P766" s="6">
        <f t="shared" si="23"/>
        <v>800000</v>
      </c>
      <c r="R766" s="6" t="s">
        <v>2003</v>
      </c>
      <c r="T766" s="6" t="s">
        <v>1024</v>
      </c>
      <c r="U766" s="6">
        <v>2012</v>
      </c>
      <c r="V766" s="6">
        <v>5</v>
      </c>
      <c r="AD766" s="6" t="s">
        <v>45</v>
      </c>
      <c r="AJ766" s="31" t="s">
        <v>2111</v>
      </c>
      <c r="AK766" s="6">
        <v>1</v>
      </c>
      <c r="AL766" s="26">
        <v>700000</v>
      </c>
      <c r="AM766" s="26">
        <v>700000</v>
      </c>
      <c r="AN766" s="26">
        <v>700000</v>
      </c>
      <c r="AO766" s="6" t="s">
        <v>2003</v>
      </c>
      <c r="AQ766" s="6" t="s">
        <v>1301</v>
      </c>
      <c r="AU766" s="6">
        <v>225763</v>
      </c>
    </row>
    <row r="767" spans="1:47" hidden="1" x14ac:dyDescent="0.3">
      <c r="A767" s="28" t="s">
        <v>42</v>
      </c>
      <c r="B767" s="6" t="s">
        <v>2181</v>
      </c>
      <c r="E767" s="6">
        <v>1</v>
      </c>
      <c r="F767" s="6" t="s">
        <v>2004</v>
      </c>
      <c r="G767" s="6" t="s">
        <v>2005</v>
      </c>
      <c r="H767" s="6" t="s">
        <v>2005</v>
      </c>
      <c r="I767" s="6" t="str">
        <f t="shared" si="22"/>
        <v>ETC</v>
      </c>
      <c r="J767" s="6" t="s">
        <v>338</v>
      </c>
      <c r="K767" s="6">
        <v>1</v>
      </c>
      <c r="P767" s="6">
        <f t="shared" si="23"/>
        <v>6000000</v>
      </c>
      <c r="R767" s="6" t="s">
        <v>2003</v>
      </c>
      <c r="T767" s="6" t="s">
        <v>54</v>
      </c>
      <c r="U767" s="6">
        <v>2008</v>
      </c>
      <c r="V767" s="6">
        <v>1</v>
      </c>
      <c r="AD767" s="6" t="s">
        <v>45</v>
      </c>
      <c r="AJ767" s="31" t="s">
        <v>2114</v>
      </c>
      <c r="AK767" s="6">
        <v>1</v>
      </c>
      <c r="AL767" s="26">
        <v>5500000</v>
      </c>
      <c r="AM767" s="26">
        <v>5500000</v>
      </c>
      <c r="AN767" s="26">
        <v>5500000</v>
      </c>
      <c r="AO767" s="6" t="s">
        <v>2003</v>
      </c>
      <c r="AQ767" s="6" t="s">
        <v>54</v>
      </c>
      <c r="AU767" s="6">
        <v>225765</v>
      </c>
    </row>
    <row r="768" spans="1:47" x14ac:dyDescent="0.3">
      <c r="A768" s="28" t="s">
        <v>42</v>
      </c>
      <c r="B768" s="6" t="s">
        <v>2178</v>
      </c>
      <c r="C768" s="6" t="s">
        <v>1975</v>
      </c>
      <c r="D768" s="6" t="s">
        <v>2104</v>
      </c>
      <c r="E768" s="6">
        <v>1</v>
      </c>
      <c r="F768" s="6" t="s">
        <v>2004</v>
      </c>
      <c r="G768" s="6" t="s">
        <v>2005</v>
      </c>
      <c r="H768" s="6" t="s">
        <v>2005</v>
      </c>
      <c r="I768" s="6" t="str">
        <f t="shared" si="22"/>
        <v>Side Breaker</v>
      </c>
      <c r="J768" s="6" t="s">
        <v>177</v>
      </c>
      <c r="K768" s="6">
        <v>1</v>
      </c>
      <c r="P768" s="6">
        <f t="shared" si="23"/>
        <v>3700000</v>
      </c>
      <c r="R768" s="6" t="s">
        <v>2003</v>
      </c>
      <c r="T768" s="6" t="s">
        <v>1047</v>
      </c>
      <c r="U768" s="6">
        <v>2012</v>
      </c>
      <c r="V768" s="6">
        <v>5</v>
      </c>
      <c r="AD768" s="6" t="s">
        <v>45</v>
      </c>
      <c r="AJ768" s="31" t="s">
        <v>2111</v>
      </c>
      <c r="AK768" s="6">
        <v>1</v>
      </c>
      <c r="AL768" s="26">
        <v>3500000</v>
      </c>
      <c r="AM768" s="26">
        <v>3500000</v>
      </c>
      <c r="AN768" s="26">
        <v>3500000</v>
      </c>
      <c r="AO768" s="6" t="s">
        <v>2003</v>
      </c>
      <c r="AQ768" s="6" t="s">
        <v>1301</v>
      </c>
      <c r="AU768" s="6">
        <v>225766</v>
      </c>
    </row>
    <row r="769" spans="1:47" x14ac:dyDescent="0.3">
      <c r="A769" s="28" t="s">
        <v>42</v>
      </c>
      <c r="B769" s="6" t="s">
        <v>2177</v>
      </c>
      <c r="C769" s="6" t="s">
        <v>1972</v>
      </c>
      <c r="D769" s="6" t="s">
        <v>2100</v>
      </c>
      <c r="E769" s="6">
        <v>1</v>
      </c>
      <c r="F769" s="6" t="s">
        <v>2004</v>
      </c>
      <c r="G769" s="6" t="s">
        <v>2005</v>
      </c>
      <c r="H769" s="6" t="s">
        <v>2005</v>
      </c>
      <c r="I769" s="6" t="str">
        <f t="shared" si="22"/>
        <v>Stone Grapple</v>
      </c>
      <c r="J769" s="6" t="s">
        <v>109</v>
      </c>
      <c r="K769" s="6">
        <v>1</v>
      </c>
      <c r="P769" s="6">
        <f t="shared" si="23"/>
        <v>3300000</v>
      </c>
      <c r="R769" s="6" t="s">
        <v>2003</v>
      </c>
      <c r="T769" s="6" t="s">
        <v>830</v>
      </c>
      <c r="U769" s="6">
        <v>2010</v>
      </c>
      <c r="V769" s="6">
        <v>1</v>
      </c>
      <c r="AD769" s="6" t="s">
        <v>45</v>
      </c>
      <c r="AJ769" s="31" t="s">
        <v>2114</v>
      </c>
      <c r="AK769" s="6">
        <v>1</v>
      </c>
      <c r="AL769" s="26">
        <v>3100000</v>
      </c>
      <c r="AM769" s="26">
        <v>3100000</v>
      </c>
      <c r="AN769" s="26">
        <v>3100000</v>
      </c>
      <c r="AO769" s="6" t="s">
        <v>2003</v>
      </c>
      <c r="AQ769" s="6" t="s">
        <v>830</v>
      </c>
      <c r="AU769" s="6">
        <v>225769</v>
      </c>
    </row>
    <row r="770" spans="1:47" x14ac:dyDescent="0.3">
      <c r="A770" s="28" t="s">
        <v>42</v>
      </c>
      <c r="B770" s="6" t="s">
        <v>2181</v>
      </c>
      <c r="D770" s="6" t="s">
        <v>2101</v>
      </c>
      <c r="E770" s="6">
        <v>1</v>
      </c>
      <c r="F770" s="6" t="s">
        <v>2004</v>
      </c>
      <c r="G770" s="6" t="s">
        <v>2005</v>
      </c>
      <c r="H770" s="6" t="s">
        <v>2005</v>
      </c>
      <c r="I770" s="6" t="str">
        <f t="shared" ref="I770:I833" si="24">IF(ISBLANK(C770),B770,C770)</f>
        <v>ETC</v>
      </c>
      <c r="J770" s="6" t="s">
        <v>77</v>
      </c>
      <c r="K770" s="6">
        <v>1</v>
      </c>
      <c r="P770" s="6">
        <f t="shared" si="23"/>
        <v>27500000</v>
      </c>
      <c r="R770" s="6" t="s">
        <v>2003</v>
      </c>
      <c r="T770" s="6" t="s">
        <v>54</v>
      </c>
      <c r="U770" s="6">
        <v>2015</v>
      </c>
      <c r="V770" s="6">
        <v>1</v>
      </c>
      <c r="AD770" s="6" t="s">
        <v>45</v>
      </c>
      <c r="AJ770" s="31" t="s">
        <v>2114</v>
      </c>
      <c r="AK770" s="6">
        <v>1</v>
      </c>
      <c r="AL770" s="26">
        <v>27000000</v>
      </c>
      <c r="AM770" s="26">
        <v>27000000</v>
      </c>
      <c r="AN770" s="26">
        <v>27000000</v>
      </c>
      <c r="AO770" s="6" t="s">
        <v>2003</v>
      </c>
      <c r="AQ770" s="6" t="s">
        <v>54</v>
      </c>
      <c r="AU770" s="6">
        <v>225772</v>
      </c>
    </row>
    <row r="771" spans="1:47" x14ac:dyDescent="0.3">
      <c r="A771" s="28" t="s">
        <v>42</v>
      </c>
      <c r="B771" s="6" t="s">
        <v>2177</v>
      </c>
      <c r="C771" s="6" t="s">
        <v>1972</v>
      </c>
      <c r="D771" s="6" t="s">
        <v>2104</v>
      </c>
      <c r="E771" s="6">
        <v>1</v>
      </c>
      <c r="F771" s="6" t="s">
        <v>2004</v>
      </c>
      <c r="G771" s="6" t="s">
        <v>2005</v>
      </c>
      <c r="H771" s="6" t="s">
        <v>2005</v>
      </c>
      <c r="I771" s="6" t="str">
        <f t="shared" si="24"/>
        <v>Stone Grapple</v>
      </c>
      <c r="J771" s="6" t="s">
        <v>44</v>
      </c>
      <c r="K771" s="6">
        <v>1</v>
      </c>
      <c r="P771" s="6">
        <f t="shared" ref="P771:P834" si="25">IF(AM771&lt;500000,AM771+50000,IF(AND(AM771&gt;=500000,AM771&lt;2000000),AM771+100000,IF(AND(AM771&gt;=2000000,AM771&lt;5000000),AM771+200000,IF(AM771&gt;=5000000,AM771+500000,AM771))))</f>
        <v>2600000</v>
      </c>
      <c r="R771" s="6" t="s">
        <v>2003</v>
      </c>
      <c r="T771" s="6" t="s">
        <v>1048</v>
      </c>
      <c r="U771" s="6">
        <v>2014</v>
      </c>
      <c r="V771" s="6">
        <v>1</v>
      </c>
      <c r="AD771" s="6" t="s">
        <v>45</v>
      </c>
      <c r="AJ771" s="31" t="s">
        <v>2112</v>
      </c>
      <c r="AK771" s="6">
        <v>1</v>
      </c>
      <c r="AL771" s="26">
        <v>2400000</v>
      </c>
      <c r="AM771" s="26">
        <v>2400000</v>
      </c>
      <c r="AN771" s="26">
        <v>2400000</v>
      </c>
      <c r="AO771" s="6" t="s">
        <v>2003</v>
      </c>
      <c r="AQ771" s="6" t="s">
        <v>1192</v>
      </c>
      <c r="AU771" s="6">
        <v>225775</v>
      </c>
    </row>
    <row r="772" spans="1:47" x14ac:dyDescent="0.3">
      <c r="A772" s="28" t="s">
        <v>42</v>
      </c>
      <c r="B772" s="6" t="s">
        <v>2177</v>
      </c>
      <c r="C772" s="6" t="s">
        <v>1972</v>
      </c>
      <c r="D772" s="6" t="s">
        <v>2100</v>
      </c>
      <c r="E772" s="6">
        <v>1</v>
      </c>
      <c r="F772" s="6" t="s">
        <v>2004</v>
      </c>
      <c r="G772" s="6" t="s">
        <v>2005</v>
      </c>
      <c r="H772" s="6" t="s">
        <v>2005</v>
      </c>
      <c r="I772" s="6" t="str">
        <f t="shared" si="24"/>
        <v>Stone Grapple</v>
      </c>
      <c r="J772" s="6" t="s">
        <v>624</v>
      </c>
      <c r="K772" s="6">
        <v>1</v>
      </c>
      <c r="P772" s="6">
        <f t="shared" si="25"/>
        <v>3400000</v>
      </c>
      <c r="R772" s="6" t="s">
        <v>2003</v>
      </c>
      <c r="T772" s="6" t="s">
        <v>789</v>
      </c>
      <c r="U772" s="6">
        <v>2016</v>
      </c>
      <c r="V772" s="6">
        <v>5</v>
      </c>
      <c r="AD772" s="6" t="s">
        <v>45</v>
      </c>
      <c r="AJ772" s="31" t="s">
        <v>2122</v>
      </c>
      <c r="AK772" s="6">
        <v>1</v>
      </c>
      <c r="AL772" s="26">
        <v>3200000</v>
      </c>
      <c r="AM772" s="26">
        <v>3200000</v>
      </c>
      <c r="AN772" s="26">
        <v>3200000</v>
      </c>
      <c r="AO772" s="6" t="s">
        <v>2003</v>
      </c>
      <c r="AQ772" s="6" t="s">
        <v>65</v>
      </c>
      <c r="AU772" s="6">
        <v>225781</v>
      </c>
    </row>
    <row r="773" spans="1:47" x14ac:dyDescent="0.3">
      <c r="A773" s="28" t="s">
        <v>42</v>
      </c>
      <c r="B773" s="6" t="s">
        <v>2179</v>
      </c>
      <c r="C773" s="6" t="s">
        <v>1977</v>
      </c>
      <c r="D773" s="6" t="s">
        <v>2100</v>
      </c>
      <c r="E773" s="6">
        <v>1</v>
      </c>
      <c r="F773" s="6" t="s">
        <v>2004</v>
      </c>
      <c r="G773" s="6" t="s">
        <v>2005</v>
      </c>
      <c r="H773" s="6" t="s">
        <v>2005</v>
      </c>
      <c r="I773" s="6" t="str">
        <f t="shared" si="24"/>
        <v>Wide Bucket</v>
      </c>
      <c r="J773" s="6" t="s">
        <v>64</v>
      </c>
      <c r="K773" s="6">
        <v>1</v>
      </c>
      <c r="P773" s="6">
        <f t="shared" si="25"/>
        <v>480000</v>
      </c>
      <c r="R773" s="6" t="s">
        <v>2003</v>
      </c>
      <c r="T773" s="6" t="s">
        <v>789</v>
      </c>
      <c r="U773" s="6">
        <v>2015</v>
      </c>
      <c r="V773" s="6">
        <v>2</v>
      </c>
      <c r="AD773" s="6" t="s">
        <v>45</v>
      </c>
      <c r="AJ773" s="31" t="s">
        <v>2122</v>
      </c>
      <c r="AK773" s="6">
        <v>1</v>
      </c>
      <c r="AL773" s="26">
        <v>430000</v>
      </c>
      <c r="AM773" s="26">
        <v>430000</v>
      </c>
      <c r="AN773" s="26">
        <v>430000</v>
      </c>
      <c r="AO773" s="6" t="s">
        <v>2003</v>
      </c>
      <c r="AQ773" s="6" t="s">
        <v>65</v>
      </c>
      <c r="AU773" s="6">
        <v>225783</v>
      </c>
    </row>
    <row r="774" spans="1:47" hidden="1" x14ac:dyDescent="0.3">
      <c r="A774" s="28" t="s">
        <v>42</v>
      </c>
      <c r="B774" s="6" t="s">
        <v>2181</v>
      </c>
      <c r="E774" s="6">
        <v>1</v>
      </c>
      <c r="F774" s="6" t="s">
        <v>2004</v>
      </c>
      <c r="G774" s="6" t="s">
        <v>2005</v>
      </c>
      <c r="H774" s="6" t="s">
        <v>2005</v>
      </c>
      <c r="I774" s="6" t="str">
        <f t="shared" si="24"/>
        <v>ETC</v>
      </c>
      <c r="J774" s="6" t="s">
        <v>679</v>
      </c>
      <c r="K774" s="6">
        <v>1</v>
      </c>
      <c r="P774" s="6">
        <f t="shared" si="25"/>
        <v>2700000</v>
      </c>
      <c r="R774" s="6" t="s">
        <v>2003</v>
      </c>
      <c r="T774" s="6" t="s">
        <v>800</v>
      </c>
      <c r="U774" s="6">
        <v>2010</v>
      </c>
      <c r="V774" s="6">
        <v>1</v>
      </c>
      <c r="AD774" s="6" t="s">
        <v>45</v>
      </c>
      <c r="AJ774" s="31" t="s">
        <v>2111</v>
      </c>
      <c r="AK774" s="6">
        <v>1</v>
      </c>
      <c r="AL774" s="26">
        <v>2500000</v>
      </c>
      <c r="AM774" s="26">
        <v>2500000</v>
      </c>
      <c r="AN774" s="26">
        <v>2500000</v>
      </c>
      <c r="AO774" s="6" t="s">
        <v>2003</v>
      </c>
      <c r="AQ774" s="6" t="s">
        <v>1302</v>
      </c>
      <c r="AU774" s="6">
        <v>225784</v>
      </c>
    </row>
    <row r="775" spans="1:47" x14ac:dyDescent="0.3">
      <c r="A775" s="28" t="s">
        <v>42</v>
      </c>
      <c r="B775" s="6" t="s">
        <v>2178</v>
      </c>
      <c r="C775" s="6" t="s">
        <v>1975</v>
      </c>
      <c r="D775" s="6" t="s">
        <v>2104</v>
      </c>
      <c r="E775" s="6">
        <v>1</v>
      </c>
      <c r="F775" s="6" t="s">
        <v>2004</v>
      </c>
      <c r="G775" s="6" t="s">
        <v>2005</v>
      </c>
      <c r="H775" s="6" t="s">
        <v>2005</v>
      </c>
      <c r="I775" s="6" t="str">
        <f t="shared" si="24"/>
        <v>Side Breaker</v>
      </c>
      <c r="J775" s="6" t="s">
        <v>592</v>
      </c>
      <c r="K775" s="6">
        <v>1</v>
      </c>
      <c r="P775" s="6">
        <f t="shared" si="25"/>
        <v>4500000</v>
      </c>
      <c r="R775" s="6" t="s">
        <v>2003</v>
      </c>
      <c r="T775" s="6" t="s">
        <v>70</v>
      </c>
      <c r="U775" s="6">
        <v>2015</v>
      </c>
      <c r="V775" s="6">
        <v>1</v>
      </c>
      <c r="AD775" s="6" t="s">
        <v>45</v>
      </c>
      <c r="AJ775" s="31" t="s">
        <v>2113</v>
      </c>
      <c r="AK775" s="6">
        <v>1</v>
      </c>
      <c r="AL775" s="26">
        <v>4300000</v>
      </c>
      <c r="AM775" s="26">
        <v>4300000</v>
      </c>
      <c r="AN775" s="26">
        <v>4300000</v>
      </c>
      <c r="AO775" s="6" t="s">
        <v>2003</v>
      </c>
      <c r="AQ775" s="6" t="s">
        <v>71</v>
      </c>
      <c r="AU775" s="6">
        <v>225795</v>
      </c>
    </row>
    <row r="776" spans="1:47" x14ac:dyDescent="0.3">
      <c r="A776" s="28" t="s">
        <v>42</v>
      </c>
      <c r="B776" s="6" t="s">
        <v>2178</v>
      </c>
      <c r="C776" s="6" t="s">
        <v>1975</v>
      </c>
      <c r="D776" s="6" t="s">
        <v>2100</v>
      </c>
      <c r="E776" s="6">
        <v>1</v>
      </c>
      <c r="F776" s="6" t="s">
        <v>2004</v>
      </c>
      <c r="G776" s="6" t="s">
        <v>2005</v>
      </c>
      <c r="H776" s="6" t="s">
        <v>2005</v>
      </c>
      <c r="I776" s="6" t="str">
        <f t="shared" si="24"/>
        <v>Side Breaker</v>
      </c>
      <c r="J776" s="6" t="s">
        <v>538</v>
      </c>
      <c r="K776" s="6">
        <v>1</v>
      </c>
      <c r="P776" s="6">
        <f t="shared" si="25"/>
        <v>3000000</v>
      </c>
      <c r="R776" s="6" t="s">
        <v>2003</v>
      </c>
      <c r="T776" s="6" t="s">
        <v>820</v>
      </c>
      <c r="U776" s="6">
        <v>2010</v>
      </c>
      <c r="V776" s="6">
        <v>1</v>
      </c>
      <c r="AD776" s="6" t="s">
        <v>45</v>
      </c>
      <c r="AJ776" s="31" t="s">
        <v>2120</v>
      </c>
      <c r="AK776" s="6">
        <v>1</v>
      </c>
      <c r="AL776" s="26">
        <v>2800000</v>
      </c>
      <c r="AM776" s="26">
        <v>2800000</v>
      </c>
      <c r="AN776" s="26">
        <v>2800000</v>
      </c>
      <c r="AO776" s="6" t="s">
        <v>2003</v>
      </c>
      <c r="AQ776" s="6" t="s">
        <v>1160</v>
      </c>
      <c r="AU776" s="6">
        <v>225799</v>
      </c>
    </row>
    <row r="777" spans="1:47" hidden="1" x14ac:dyDescent="0.3">
      <c r="A777" s="28" t="s">
        <v>42</v>
      </c>
      <c r="B777" s="6" t="s">
        <v>2177</v>
      </c>
      <c r="E777" s="6">
        <v>1</v>
      </c>
      <c r="F777" s="6" t="s">
        <v>2004</v>
      </c>
      <c r="G777" s="6" t="s">
        <v>2005</v>
      </c>
      <c r="H777" s="6" t="s">
        <v>2005</v>
      </c>
      <c r="I777" s="6" t="str">
        <f t="shared" si="24"/>
        <v>Grapple</v>
      </c>
      <c r="J777" s="6" t="s">
        <v>697</v>
      </c>
      <c r="K777" s="6">
        <v>1</v>
      </c>
      <c r="P777" s="6">
        <f t="shared" si="25"/>
        <v>2200000</v>
      </c>
      <c r="R777" s="6" t="s">
        <v>2003</v>
      </c>
      <c r="T777" s="6" t="s">
        <v>51</v>
      </c>
      <c r="U777" s="6">
        <v>2015</v>
      </c>
      <c r="V777" s="6">
        <v>1</v>
      </c>
      <c r="AD777" s="6" t="s">
        <v>45</v>
      </c>
      <c r="AJ777" s="31" t="s">
        <v>2113</v>
      </c>
      <c r="AK777" s="6">
        <v>1</v>
      </c>
      <c r="AL777" s="26">
        <v>2000000</v>
      </c>
      <c r="AM777" s="26">
        <v>2000000</v>
      </c>
      <c r="AN777" s="26">
        <v>2000000</v>
      </c>
      <c r="AO777" s="6" t="s">
        <v>2003</v>
      </c>
      <c r="AQ777" s="6" t="s">
        <v>49</v>
      </c>
      <c r="AU777" s="6">
        <v>225800</v>
      </c>
    </row>
    <row r="778" spans="1:47" x14ac:dyDescent="0.3">
      <c r="A778" s="28" t="s">
        <v>42</v>
      </c>
      <c r="B778" s="6" t="s">
        <v>2186</v>
      </c>
      <c r="C778" s="6" t="s">
        <v>1971</v>
      </c>
      <c r="D778" s="6" t="s">
        <v>2101</v>
      </c>
      <c r="E778" s="6">
        <v>1</v>
      </c>
      <c r="F778" s="6" t="s">
        <v>2004</v>
      </c>
      <c r="G778" s="6" t="s">
        <v>2005</v>
      </c>
      <c r="H778" s="6" t="s">
        <v>2005</v>
      </c>
      <c r="I778" s="6" t="str">
        <f t="shared" si="24"/>
        <v>Special Bucket</v>
      </c>
      <c r="J778" s="6" t="s">
        <v>674</v>
      </c>
      <c r="K778" s="6">
        <v>1</v>
      </c>
      <c r="P778" s="6">
        <f t="shared" si="25"/>
        <v>4700000</v>
      </c>
      <c r="R778" s="6" t="s">
        <v>2003</v>
      </c>
      <c r="T778" s="6" t="s">
        <v>1049</v>
      </c>
      <c r="U778" s="6">
        <v>2013</v>
      </c>
      <c r="V778" s="6">
        <v>6</v>
      </c>
      <c r="AD778" s="6" t="s">
        <v>45</v>
      </c>
      <c r="AJ778" s="31" t="s">
        <v>2120</v>
      </c>
      <c r="AK778" s="6">
        <v>1</v>
      </c>
      <c r="AL778" s="26">
        <v>4500000</v>
      </c>
      <c r="AM778" s="26">
        <v>4500000</v>
      </c>
      <c r="AN778" s="26">
        <v>4500000</v>
      </c>
      <c r="AO778" s="6" t="s">
        <v>2003</v>
      </c>
      <c r="AQ778" s="6" t="s">
        <v>1205</v>
      </c>
      <c r="AU778" s="6">
        <v>225801</v>
      </c>
    </row>
    <row r="779" spans="1:47" x14ac:dyDescent="0.3">
      <c r="A779" s="28" t="s">
        <v>42</v>
      </c>
      <c r="B779" s="6" t="s">
        <v>2186</v>
      </c>
      <c r="C779" s="19" t="s">
        <v>2205</v>
      </c>
      <c r="D779" s="6" t="s">
        <v>2101</v>
      </c>
      <c r="E779" s="6">
        <v>1</v>
      </c>
      <c r="F779" s="6" t="s">
        <v>2004</v>
      </c>
      <c r="G779" s="6" t="s">
        <v>2005</v>
      </c>
      <c r="H779" s="6" t="s">
        <v>2005</v>
      </c>
      <c r="I779" s="6" t="str">
        <f t="shared" si="24"/>
        <v>Standard Bucket</v>
      </c>
      <c r="J779" s="6" t="s">
        <v>680</v>
      </c>
      <c r="K779" s="6">
        <v>1</v>
      </c>
      <c r="P779" s="6">
        <f t="shared" si="25"/>
        <v>4200000</v>
      </c>
      <c r="R779" s="6" t="s">
        <v>2003</v>
      </c>
      <c r="T779" s="6" t="s">
        <v>54</v>
      </c>
      <c r="U779" s="6">
        <v>2010</v>
      </c>
      <c r="V779" s="6">
        <v>1</v>
      </c>
      <c r="AD779" s="6" t="s">
        <v>45</v>
      </c>
      <c r="AJ779" s="31" t="s">
        <v>2114</v>
      </c>
      <c r="AK779" s="6">
        <v>1</v>
      </c>
      <c r="AL779" s="26">
        <v>4000000</v>
      </c>
      <c r="AM779" s="26">
        <v>4000000</v>
      </c>
      <c r="AN779" s="26">
        <v>4000000</v>
      </c>
      <c r="AO779" s="6" t="s">
        <v>2003</v>
      </c>
      <c r="AQ779" s="6" t="s">
        <v>54</v>
      </c>
      <c r="AU779" s="6">
        <v>225807</v>
      </c>
    </row>
    <row r="780" spans="1:47" x14ac:dyDescent="0.3">
      <c r="A780" s="28" t="s">
        <v>42</v>
      </c>
      <c r="B780" s="6" t="s">
        <v>2183</v>
      </c>
      <c r="D780" s="6" t="s">
        <v>2104</v>
      </c>
      <c r="E780" s="6">
        <v>1</v>
      </c>
      <c r="F780" s="6" t="s">
        <v>2004</v>
      </c>
      <c r="G780" s="6" t="s">
        <v>2005</v>
      </c>
      <c r="H780" s="6" t="s">
        <v>2005</v>
      </c>
      <c r="I780" s="6" t="str">
        <f t="shared" si="24"/>
        <v>ETC</v>
      </c>
      <c r="J780" s="6" t="s">
        <v>405</v>
      </c>
      <c r="K780" s="6">
        <v>1</v>
      </c>
      <c r="P780" s="6">
        <f t="shared" si="25"/>
        <v>7500000</v>
      </c>
      <c r="R780" s="6" t="s">
        <v>2003</v>
      </c>
      <c r="T780" s="6" t="s">
        <v>793</v>
      </c>
      <c r="U780" s="6">
        <v>2014</v>
      </c>
      <c r="V780" s="6">
        <v>1</v>
      </c>
      <c r="AD780" s="6" t="s">
        <v>45</v>
      </c>
      <c r="AJ780" s="31" t="s">
        <v>2116</v>
      </c>
      <c r="AK780" s="6">
        <v>1</v>
      </c>
      <c r="AL780" s="26">
        <v>7000000</v>
      </c>
      <c r="AM780" s="26">
        <v>7000000</v>
      </c>
      <c r="AN780" s="26">
        <v>7000000</v>
      </c>
      <c r="AO780" s="6" t="s">
        <v>2003</v>
      </c>
      <c r="AQ780" s="6" t="s">
        <v>1146</v>
      </c>
      <c r="AU780" s="6">
        <v>225816</v>
      </c>
    </row>
    <row r="781" spans="1:47" x14ac:dyDescent="0.3">
      <c r="A781" s="28" t="s">
        <v>42</v>
      </c>
      <c r="B781" s="6" t="s">
        <v>2182</v>
      </c>
      <c r="C781" s="6" t="s">
        <v>1980</v>
      </c>
      <c r="D781" s="6" t="s">
        <v>2100</v>
      </c>
      <c r="E781" s="6">
        <v>1</v>
      </c>
      <c r="F781" s="6" t="s">
        <v>2004</v>
      </c>
      <c r="G781" s="6" t="s">
        <v>2005</v>
      </c>
      <c r="H781" s="6" t="s">
        <v>2005</v>
      </c>
      <c r="I781" s="6" t="str">
        <f t="shared" si="24"/>
        <v>Small Bucket</v>
      </c>
      <c r="J781" s="6" t="s">
        <v>85</v>
      </c>
      <c r="K781" s="6">
        <v>1</v>
      </c>
      <c r="P781" s="6">
        <f t="shared" si="25"/>
        <v>300000</v>
      </c>
      <c r="R781" s="6" t="s">
        <v>2003</v>
      </c>
      <c r="T781" s="6" t="s">
        <v>2007</v>
      </c>
      <c r="U781" s="6">
        <v>2013</v>
      </c>
      <c r="V781" s="6">
        <v>1</v>
      </c>
      <c r="AD781" s="6" t="s">
        <v>45</v>
      </c>
      <c r="AJ781" s="31" t="s">
        <v>2113</v>
      </c>
      <c r="AK781" s="6">
        <v>1</v>
      </c>
      <c r="AL781" s="26">
        <v>250000</v>
      </c>
      <c r="AM781" s="26">
        <v>250000</v>
      </c>
      <c r="AN781" s="26">
        <v>250000</v>
      </c>
      <c r="AO781" s="6" t="s">
        <v>2003</v>
      </c>
      <c r="AQ781" s="6" t="s">
        <v>49</v>
      </c>
      <c r="AU781" s="6">
        <v>225819</v>
      </c>
    </row>
    <row r="782" spans="1:47" hidden="1" x14ac:dyDescent="0.3">
      <c r="A782" s="28" t="s">
        <v>42</v>
      </c>
      <c r="B782" s="6" t="s">
        <v>2183</v>
      </c>
      <c r="E782" s="6">
        <v>1</v>
      </c>
      <c r="F782" s="6" t="s">
        <v>2004</v>
      </c>
      <c r="G782" s="6" t="s">
        <v>2005</v>
      </c>
      <c r="H782" s="6" t="s">
        <v>2005</v>
      </c>
      <c r="I782" s="6" t="str">
        <f t="shared" si="24"/>
        <v>ETC</v>
      </c>
      <c r="J782" s="6" t="s">
        <v>338</v>
      </c>
      <c r="K782" s="6">
        <v>1</v>
      </c>
      <c r="P782" s="6">
        <f t="shared" si="25"/>
        <v>4700000</v>
      </c>
      <c r="R782" s="6" t="s">
        <v>2003</v>
      </c>
      <c r="T782" s="6" t="s">
        <v>1050</v>
      </c>
      <c r="U782" s="6">
        <v>2009</v>
      </c>
      <c r="V782" s="6">
        <v>1</v>
      </c>
      <c r="AD782" s="6" t="s">
        <v>45</v>
      </c>
      <c r="AJ782" s="31" t="s">
        <v>2114</v>
      </c>
      <c r="AK782" s="6">
        <v>1</v>
      </c>
      <c r="AL782" s="26">
        <v>4500000</v>
      </c>
      <c r="AM782" s="26">
        <v>4500000</v>
      </c>
      <c r="AN782" s="26">
        <v>4500000</v>
      </c>
      <c r="AO782" s="6" t="s">
        <v>2003</v>
      </c>
      <c r="AQ782" s="6" t="s">
        <v>54</v>
      </c>
      <c r="AU782" s="6">
        <v>225820</v>
      </c>
    </row>
    <row r="783" spans="1:47" x14ac:dyDescent="0.3">
      <c r="A783" s="28" t="s">
        <v>42</v>
      </c>
      <c r="B783" s="6" t="s">
        <v>2174</v>
      </c>
      <c r="C783" s="6" t="s">
        <v>1975</v>
      </c>
      <c r="D783" s="6" t="s">
        <v>2106</v>
      </c>
      <c r="E783" s="6">
        <v>1</v>
      </c>
      <c r="F783" s="6" t="s">
        <v>2004</v>
      </c>
      <c r="G783" s="6" t="s">
        <v>2005</v>
      </c>
      <c r="H783" s="6" t="s">
        <v>2005</v>
      </c>
      <c r="I783" s="6" t="str">
        <f t="shared" si="24"/>
        <v>Side Breaker</v>
      </c>
      <c r="J783" s="6" t="s">
        <v>282</v>
      </c>
      <c r="K783" s="6">
        <v>1</v>
      </c>
      <c r="P783" s="6">
        <f t="shared" si="25"/>
        <v>1400000</v>
      </c>
      <c r="R783" s="6" t="s">
        <v>2003</v>
      </c>
      <c r="T783" s="6" t="s">
        <v>2007</v>
      </c>
      <c r="U783" s="6">
        <v>2013</v>
      </c>
      <c r="V783" s="6">
        <v>1</v>
      </c>
      <c r="AD783" s="6" t="s">
        <v>45</v>
      </c>
      <c r="AJ783" s="31" t="s">
        <v>2113</v>
      </c>
      <c r="AK783" s="6">
        <v>1</v>
      </c>
      <c r="AL783" s="26">
        <v>1300000</v>
      </c>
      <c r="AM783" s="26">
        <v>1300000</v>
      </c>
      <c r="AN783" s="26">
        <v>1300000</v>
      </c>
      <c r="AO783" s="6" t="s">
        <v>2003</v>
      </c>
      <c r="AQ783" s="6" t="s">
        <v>49</v>
      </c>
      <c r="AU783" s="6">
        <v>225825</v>
      </c>
    </row>
    <row r="784" spans="1:47" x14ac:dyDescent="0.3">
      <c r="A784" s="28" t="s">
        <v>42</v>
      </c>
      <c r="B784" s="6" t="s">
        <v>2182</v>
      </c>
      <c r="C784" s="6" t="s">
        <v>1980</v>
      </c>
      <c r="D784" s="6" t="s">
        <v>2104</v>
      </c>
      <c r="E784" s="6">
        <v>1</v>
      </c>
      <c r="F784" s="6" t="s">
        <v>2004</v>
      </c>
      <c r="G784" s="6" t="s">
        <v>2005</v>
      </c>
      <c r="H784" s="6" t="s">
        <v>2005</v>
      </c>
      <c r="I784" s="6" t="str">
        <f t="shared" si="24"/>
        <v>Small Bucket</v>
      </c>
      <c r="J784" s="6" t="s">
        <v>681</v>
      </c>
      <c r="K784" s="6">
        <v>1</v>
      </c>
      <c r="P784" s="6">
        <f t="shared" si="25"/>
        <v>600000</v>
      </c>
      <c r="R784" s="6" t="s">
        <v>2003</v>
      </c>
      <c r="T784" s="6" t="s">
        <v>2007</v>
      </c>
      <c r="U784" s="6">
        <v>2013</v>
      </c>
      <c r="V784" s="6">
        <v>1</v>
      </c>
      <c r="AD784" s="6" t="s">
        <v>45</v>
      </c>
      <c r="AJ784" s="31" t="s">
        <v>2113</v>
      </c>
      <c r="AK784" s="6">
        <v>1</v>
      </c>
      <c r="AL784" s="26">
        <v>500000</v>
      </c>
      <c r="AM784" s="26">
        <v>500000</v>
      </c>
      <c r="AN784" s="26">
        <v>500000</v>
      </c>
      <c r="AO784" s="6" t="s">
        <v>2003</v>
      </c>
      <c r="AQ784" s="6" t="s">
        <v>49</v>
      </c>
      <c r="AU784" s="6">
        <v>225826</v>
      </c>
    </row>
    <row r="785" spans="1:47" x14ac:dyDescent="0.3">
      <c r="A785" s="28" t="s">
        <v>42</v>
      </c>
      <c r="B785" s="6" t="s">
        <v>2184</v>
      </c>
      <c r="C785" s="6" t="s">
        <v>1972</v>
      </c>
      <c r="D785" s="6" t="s">
        <v>2105</v>
      </c>
      <c r="E785" s="6">
        <v>1</v>
      </c>
      <c r="F785" s="6" t="s">
        <v>2004</v>
      </c>
      <c r="G785" s="6" t="s">
        <v>2005</v>
      </c>
      <c r="H785" s="6" t="s">
        <v>2005</v>
      </c>
      <c r="I785" s="6" t="str">
        <f t="shared" si="24"/>
        <v>Stone Grapple</v>
      </c>
      <c r="J785" s="6" t="s">
        <v>472</v>
      </c>
      <c r="K785" s="6">
        <v>1</v>
      </c>
      <c r="P785" s="6">
        <f t="shared" si="25"/>
        <v>10400000</v>
      </c>
      <c r="R785" s="6" t="s">
        <v>2003</v>
      </c>
      <c r="T785" s="6" t="s">
        <v>1051</v>
      </c>
      <c r="U785" s="6">
        <v>2010</v>
      </c>
      <c r="V785" s="6">
        <v>1</v>
      </c>
      <c r="AD785" s="6" t="s">
        <v>45</v>
      </c>
      <c r="AJ785" s="31" t="s">
        <v>2119</v>
      </c>
      <c r="AK785" s="6">
        <v>1</v>
      </c>
      <c r="AL785" s="26">
        <v>9900000</v>
      </c>
      <c r="AM785" s="26">
        <v>9900000</v>
      </c>
      <c r="AN785" s="26">
        <v>9900000</v>
      </c>
      <c r="AO785" s="6" t="s">
        <v>2003</v>
      </c>
      <c r="AQ785" s="6" t="s">
        <v>1277</v>
      </c>
      <c r="AU785" s="6">
        <v>225827</v>
      </c>
    </row>
    <row r="786" spans="1:47" x14ac:dyDescent="0.3">
      <c r="A786" s="28" t="s">
        <v>42</v>
      </c>
      <c r="B786" s="6" t="s">
        <v>2184</v>
      </c>
      <c r="C786" s="6" t="s">
        <v>1984</v>
      </c>
      <c r="D786" s="6" t="s">
        <v>2101</v>
      </c>
      <c r="E786" s="6">
        <v>1</v>
      </c>
      <c r="F786" s="6" t="s">
        <v>2004</v>
      </c>
      <c r="G786" s="6" t="s">
        <v>2005</v>
      </c>
      <c r="H786" s="6" t="s">
        <v>2005</v>
      </c>
      <c r="I786" s="6" t="str">
        <f t="shared" si="24"/>
        <v>Scrap Grapple</v>
      </c>
      <c r="J786" s="6" t="s">
        <v>301</v>
      </c>
      <c r="K786" s="6">
        <v>1</v>
      </c>
      <c r="P786" s="6">
        <f t="shared" si="25"/>
        <v>3700000</v>
      </c>
      <c r="R786" s="6" t="s">
        <v>2003</v>
      </c>
      <c r="T786" s="6" t="s">
        <v>813</v>
      </c>
      <c r="U786" s="6">
        <v>2013</v>
      </c>
      <c r="V786" s="6">
        <v>1</v>
      </c>
      <c r="AD786" s="6" t="s">
        <v>45</v>
      </c>
      <c r="AJ786" s="31" t="s">
        <v>2113</v>
      </c>
      <c r="AK786" s="6">
        <v>1</v>
      </c>
      <c r="AL786" s="26">
        <v>3500000</v>
      </c>
      <c r="AM786" s="26">
        <v>3500000</v>
      </c>
      <c r="AN786" s="26">
        <v>3500000</v>
      </c>
      <c r="AO786" s="6" t="s">
        <v>2003</v>
      </c>
      <c r="AQ786" s="6" t="s">
        <v>49</v>
      </c>
      <c r="AU786" s="6">
        <v>225829</v>
      </c>
    </row>
    <row r="787" spans="1:47" x14ac:dyDescent="0.3">
      <c r="A787" s="28" t="s">
        <v>42</v>
      </c>
      <c r="B787" s="6" t="s">
        <v>2174</v>
      </c>
      <c r="C787" s="6" t="s">
        <v>1975</v>
      </c>
      <c r="D787" s="6" t="s">
        <v>2106</v>
      </c>
      <c r="E787" s="6">
        <v>1</v>
      </c>
      <c r="F787" s="6" t="s">
        <v>2004</v>
      </c>
      <c r="G787" s="6" t="s">
        <v>2005</v>
      </c>
      <c r="H787" s="6" t="s">
        <v>2005</v>
      </c>
      <c r="I787" s="6" t="str">
        <f t="shared" si="24"/>
        <v>Side Breaker</v>
      </c>
      <c r="J787" s="6" t="s">
        <v>682</v>
      </c>
      <c r="K787" s="6">
        <v>1</v>
      </c>
      <c r="P787" s="6">
        <f t="shared" si="25"/>
        <v>1450000</v>
      </c>
      <c r="R787" s="6" t="s">
        <v>2003</v>
      </c>
      <c r="T787" s="6" t="s">
        <v>2007</v>
      </c>
      <c r="U787" s="6">
        <v>2014</v>
      </c>
      <c r="V787" s="6">
        <v>1</v>
      </c>
      <c r="AD787" s="6" t="s">
        <v>45</v>
      </c>
      <c r="AJ787" s="31" t="s">
        <v>2113</v>
      </c>
      <c r="AK787" s="6">
        <v>1</v>
      </c>
      <c r="AL787" s="26">
        <v>1350000</v>
      </c>
      <c r="AM787" s="26">
        <v>1350000</v>
      </c>
      <c r="AN787" s="26">
        <v>1350000</v>
      </c>
      <c r="AO787" s="6" t="s">
        <v>2003</v>
      </c>
      <c r="AQ787" s="6" t="s">
        <v>49</v>
      </c>
      <c r="AU787" s="6">
        <v>225832</v>
      </c>
    </row>
    <row r="788" spans="1:47" hidden="1" x14ac:dyDescent="0.3">
      <c r="A788" s="28" t="s">
        <v>42</v>
      </c>
      <c r="B788" s="6" t="s">
        <v>2183</v>
      </c>
      <c r="E788" s="6">
        <v>1</v>
      </c>
      <c r="F788" s="6" t="s">
        <v>2004</v>
      </c>
      <c r="G788" s="6" t="s">
        <v>2005</v>
      </c>
      <c r="H788" s="6" t="s">
        <v>2005</v>
      </c>
      <c r="I788" s="6" t="str">
        <f t="shared" si="24"/>
        <v>ETC</v>
      </c>
      <c r="J788" s="6" t="s">
        <v>131</v>
      </c>
      <c r="K788" s="6">
        <v>1</v>
      </c>
      <c r="P788" s="6">
        <f t="shared" si="25"/>
        <v>3800000</v>
      </c>
      <c r="R788" s="6" t="s">
        <v>2003</v>
      </c>
      <c r="T788" s="6" t="s">
        <v>1052</v>
      </c>
      <c r="U788" s="6">
        <v>2011</v>
      </c>
      <c r="V788" s="6">
        <v>1</v>
      </c>
      <c r="AD788" s="6" t="s">
        <v>45</v>
      </c>
      <c r="AJ788" s="31" t="s">
        <v>2119</v>
      </c>
      <c r="AK788" s="6">
        <v>1</v>
      </c>
      <c r="AL788" s="26">
        <v>3600000</v>
      </c>
      <c r="AM788" s="26">
        <v>3600000</v>
      </c>
      <c r="AN788" s="26">
        <v>3600000</v>
      </c>
      <c r="AO788" s="6" t="s">
        <v>2003</v>
      </c>
      <c r="AQ788" s="6" t="s">
        <v>1277</v>
      </c>
      <c r="AU788" s="6">
        <v>225833</v>
      </c>
    </row>
    <row r="789" spans="1:47" x14ac:dyDescent="0.3">
      <c r="A789" s="28" t="s">
        <v>42</v>
      </c>
      <c r="B789" s="6" t="s">
        <v>2175</v>
      </c>
      <c r="C789" s="19" t="s">
        <v>2207</v>
      </c>
      <c r="D789" s="6" t="s">
        <v>2105</v>
      </c>
      <c r="E789" s="6">
        <v>1</v>
      </c>
      <c r="F789" s="6" t="s">
        <v>2004</v>
      </c>
      <c r="G789" s="6" t="s">
        <v>2005</v>
      </c>
      <c r="H789" s="6" t="s">
        <v>2005</v>
      </c>
      <c r="I789" s="6" t="str">
        <f t="shared" si="24"/>
        <v>Hydraulic Crusher</v>
      </c>
      <c r="J789" s="6" t="s">
        <v>525</v>
      </c>
      <c r="K789" s="6">
        <v>1</v>
      </c>
      <c r="P789" s="6">
        <f t="shared" si="25"/>
        <v>17000000</v>
      </c>
      <c r="R789" s="6" t="s">
        <v>2003</v>
      </c>
      <c r="T789" s="6" t="s">
        <v>813</v>
      </c>
      <c r="U789" s="6">
        <v>2014</v>
      </c>
      <c r="V789" s="6">
        <v>1</v>
      </c>
      <c r="AD789" s="6" t="s">
        <v>45</v>
      </c>
      <c r="AJ789" s="31" t="s">
        <v>2113</v>
      </c>
      <c r="AK789" s="6">
        <v>1</v>
      </c>
      <c r="AL789" s="26">
        <v>16500000</v>
      </c>
      <c r="AM789" s="26">
        <v>16500000</v>
      </c>
      <c r="AN789" s="26">
        <v>16500000</v>
      </c>
      <c r="AO789" s="6" t="s">
        <v>2003</v>
      </c>
      <c r="AQ789" s="6" t="s">
        <v>80</v>
      </c>
      <c r="AU789" s="6">
        <v>225848</v>
      </c>
    </row>
    <row r="790" spans="1:47" hidden="1" x14ac:dyDescent="0.3">
      <c r="A790" s="28" t="s">
        <v>42</v>
      </c>
      <c r="B790" s="6" t="s">
        <v>2201</v>
      </c>
      <c r="E790" s="6">
        <v>1</v>
      </c>
      <c r="F790" s="6" t="s">
        <v>2004</v>
      </c>
      <c r="G790" s="6" t="s">
        <v>2005</v>
      </c>
      <c r="H790" s="6" t="s">
        <v>2005</v>
      </c>
      <c r="I790" s="6" t="str">
        <f t="shared" si="24"/>
        <v>Crusher</v>
      </c>
      <c r="J790" s="6" t="s">
        <v>683</v>
      </c>
      <c r="K790" s="6">
        <v>1</v>
      </c>
      <c r="P790" s="6">
        <f t="shared" si="25"/>
        <v>6000000</v>
      </c>
      <c r="R790" s="6" t="s">
        <v>2003</v>
      </c>
      <c r="T790" s="6" t="s">
        <v>1053</v>
      </c>
      <c r="U790" s="6">
        <v>2009</v>
      </c>
      <c r="V790" s="6">
        <v>1</v>
      </c>
      <c r="AD790" s="6" t="s">
        <v>45</v>
      </c>
      <c r="AJ790" s="31" t="s">
        <v>2116</v>
      </c>
      <c r="AK790" s="6">
        <v>1</v>
      </c>
      <c r="AL790" s="26">
        <v>5500000</v>
      </c>
      <c r="AM790" s="26">
        <v>5500000</v>
      </c>
      <c r="AN790" s="26">
        <v>5500000</v>
      </c>
      <c r="AO790" s="6" t="s">
        <v>2003</v>
      </c>
      <c r="AQ790" s="6" t="s">
        <v>1298</v>
      </c>
      <c r="AU790" s="6">
        <v>225850</v>
      </c>
    </row>
    <row r="791" spans="1:47" x14ac:dyDescent="0.3">
      <c r="A791" s="28" t="s">
        <v>42</v>
      </c>
      <c r="B791" s="6" t="s">
        <v>2181</v>
      </c>
      <c r="D791" s="6" t="s">
        <v>2105</v>
      </c>
      <c r="E791" s="6">
        <v>1</v>
      </c>
      <c r="F791" s="6" t="s">
        <v>2004</v>
      </c>
      <c r="G791" s="6" t="s">
        <v>2005</v>
      </c>
      <c r="H791" s="6" t="s">
        <v>2005</v>
      </c>
      <c r="I791" s="6" t="str">
        <f t="shared" si="24"/>
        <v>ETC</v>
      </c>
      <c r="J791" s="6" t="s">
        <v>400</v>
      </c>
      <c r="K791" s="6">
        <v>1</v>
      </c>
      <c r="P791" s="6">
        <f t="shared" si="25"/>
        <v>11000000</v>
      </c>
      <c r="R791" s="6" t="s">
        <v>2003</v>
      </c>
      <c r="T791" s="6" t="s">
        <v>813</v>
      </c>
      <c r="U791" s="6">
        <v>2014</v>
      </c>
      <c r="V791" s="6">
        <v>1</v>
      </c>
      <c r="AD791" s="6" t="s">
        <v>45</v>
      </c>
      <c r="AJ791" s="31" t="s">
        <v>2113</v>
      </c>
      <c r="AK791" s="6">
        <v>1</v>
      </c>
      <c r="AL791" s="26">
        <v>10500000</v>
      </c>
      <c r="AM791" s="26">
        <v>10500000</v>
      </c>
      <c r="AN791" s="26">
        <v>10500000</v>
      </c>
      <c r="AO791" s="6" t="s">
        <v>2003</v>
      </c>
      <c r="AQ791" s="6" t="s">
        <v>79</v>
      </c>
      <c r="AU791" s="6">
        <v>225852</v>
      </c>
    </row>
    <row r="792" spans="1:47" hidden="1" x14ac:dyDescent="0.3">
      <c r="A792" s="28" t="s">
        <v>42</v>
      </c>
      <c r="B792" s="6" t="s">
        <v>2201</v>
      </c>
      <c r="E792" s="6">
        <v>1</v>
      </c>
      <c r="F792" s="6" t="s">
        <v>2004</v>
      </c>
      <c r="G792" s="6" t="s">
        <v>2005</v>
      </c>
      <c r="H792" s="6" t="s">
        <v>2005</v>
      </c>
      <c r="I792" s="6" t="str">
        <f t="shared" si="24"/>
        <v>Crusher</v>
      </c>
      <c r="J792" s="6" t="s">
        <v>684</v>
      </c>
      <c r="K792" s="6">
        <v>1</v>
      </c>
      <c r="P792" s="6">
        <f t="shared" si="25"/>
        <v>6300000</v>
      </c>
      <c r="R792" s="6" t="s">
        <v>2003</v>
      </c>
      <c r="T792" s="6" t="s">
        <v>1054</v>
      </c>
      <c r="U792" s="6">
        <v>2016</v>
      </c>
      <c r="V792" s="6">
        <v>3</v>
      </c>
      <c r="AD792" s="6" t="s">
        <v>45</v>
      </c>
      <c r="AJ792" s="31" t="s">
        <v>2124</v>
      </c>
      <c r="AK792" s="6">
        <v>1</v>
      </c>
      <c r="AL792" s="26">
        <v>5800000</v>
      </c>
      <c r="AM792" s="26">
        <v>5800000</v>
      </c>
      <c r="AN792" s="26">
        <v>5800000</v>
      </c>
      <c r="AO792" s="6" t="s">
        <v>2003</v>
      </c>
      <c r="AQ792" s="6" t="s">
        <v>1303</v>
      </c>
      <c r="AU792" s="6">
        <v>225865</v>
      </c>
    </row>
    <row r="793" spans="1:47" x14ac:dyDescent="0.3">
      <c r="A793" s="28" t="s">
        <v>42</v>
      </c>
      <c r="B793" s="6" t="s">
        <v>2178</v>
      </c>
      <c r="C793" s="6" t="s">
        <v>1975</v>
      </c>
      <c r="D793" s="6" t="s">
        <v>2104</v>
      </c>
      <c r="E793" s="6">
        <v>1</v>
      </c>
      <c r="F793" s="6" t="s">
        <v>2004</v>
      </c>
      <c r="G793" s="6" t="s">
        <v>2005</v>
      </c>
      <c r="H793" s="6" t="s">
        <v>2005</v>
      </c>
      <c r="I793" s="6" t="str">
        <f t="shared" si="24"/>
        <v>Side Breaker</v>
      </c>
      <c r="J793" s="6" t="s">
        <v>119</v>
      </c>
      <c r="K793" s="6">
        <v>1</v>
      </c>
      <c r="P793" s="6">
        <f t="shared" si="25"/>
        <v>3300000</v>
      </c>
      <c r="R793" s="6" t="s">
        <v>2003</v>
      </c>
      <c r="T793" s="6" t="s">
        <v>1055</v>
      </c>
      <c r="U793" s="6">
        <v>2012</v>
      </c>
      <c r="V793" s="6">
        <v>1</v>
      </c>
      <c r="AD793" s="6" t="s">
        <v>45</v>
      </c>
      <c r="AJ793" s="31" t="s">
        <v>2119</v>
      </c>
      <c r="AK793" s="6">
        <v>1</v>
      </c>
      <c r="AL793" s="26">
        <v>3100000</v>
      </c>
      <c r="AM793" s="26">
        <v>3100000</v>
      </c>
      <c r="AN793" s="26">
        <v>3100000</v>
      </c>
      <c r="AO793" s="6" t="s">
        <v>2003</v>
      </c>
      <c r="AQ793" s="6" t="s">
        <v>1277</v>
      </c>
      <c r="AU793" s="6">
        <v>225871</v>
      </c>
    </row>
    <row r="794" spans="1:47" x14ac:dyDescent="0.3">
      <c r="A794" s="28" t="s">
        <v>42</v>
      </c>
      <c r="B794" s="6" t="s">
        <v>2179</v>
      </c>
      <c r="C794" s="6" t="s">
        <v>1972</v>
      </c>
      <c r="D794" s="6" t="s">
        <v>2103</v>
      </c>
      <c r="E794" s="6">
        <v>1</v>
      </c>
      <c r="F794" s="6" t="s">
        <v>2004</v>
      </c>
      <c r="G794" s="6" t="s">
        <v>2005</v>
      </c>
      <c r="H794" s="6" t="s">
        <v>2005</v>
      </c>
      <c r="I794" s="6" t="str">
        <f t="shared" si="24"/>
        <v>Stone Grapple</v>
      </c>
      <c r="J794" s="6" t="s">
        <v>554</v>
      </c>
      <c r="K794" s="6">
        <v>1</v>
      </c>
      <c r="P794" s="6">
        <f t="shared" si="25"/>
        <v>3200000</v>
      </c>
      <c r="R794" s="6" t="s">
        <v>2003</v>
      </c>
      <c r="T794" s="6" t="s">
        <v>2073</v>
      </c>
      <c r="U794" s="6">
        <v>2012</v>
      </c>
      <c r="V794" s="6">
        <v>6</v>
      </c>
      <c r="AD794" s="6" t="s">
        <v>45</v>
      </c>
      <c r="AJ794" s="31" t="s">
        <v>2123</v>
      </c>
      <c r="AK794" s="6">
        <v>1</v>
      </c>
      <c r="AL794" s="26">
        <v>3000000</v>
      </c>
      <c r="AM794" s="26">
        <v>3000000</v>
      </c>
      <c r="AN794" s="26">
        <v>3000000</v>
      </c>
      <c r="AO794" s="6" t="s">
        <v>2003</v>
      </c>
      <c r="AQ794" s="6" t="s">
        <v>1151</v>
      </c>
      <c r="AU794" s="6">
        <v>225872</v>
      </c>
    </row>
    <row r="795" spans="1:47" x14ac:dyDescent="0.3">
      <c r="A795" s="28" t="s">
        <v>42</v>
      </c>
      <c r="B795" s="6" t="s">
        <v>2204</v>
      </c>
      <c r="C795" s="6" t="s">
        <v>1979</v>
      </c>
      <c r="D795" s="6" t="s">
        <v>2104</v>
      </c>
      <c r="E795" s="6">
        <v>1</v>
      </c>
      <c r="F795" s="6" t="s">
        <v>2004</v>
      </c>
      <c r="G795" s="6" t="s">
        <v>2005</v>
      </c>
      <c r="H795" s="6" t="s">
        <v>2005</v>
      </c>
      <c r="I795" s="6" t="str">
        <f t="shared" si="24"/>
        <v>Thumb Grapple</v>
      </c>
      <c r="J795" s="6" t="s">
        <v>117</v>
      </c>
      <c r="K795" s="6">
        <v>1</v>
      </c>
      <c r="P795" s="6">
        <f t="shared" si="25"/>
        <v>800000</v>
      </c>
      <c r="R795" s="6" t="s">
        <v>2003</v>
      </c>
      <c r="T795" s="6" t="s">
        <v>813</v>
      </c>
      <c r="U795" s="6">
        <v>2013</v>
      </c>
      <c r="V795" s="6">
        <v>1</v>
      </c>
      <c r="AD795" s="6" t="s">
        <v>45</v>
      </c>
      <c r="AJ795" s="31" t="s">
        <v>2113</v>
      </c>
      <c r="AK795" s="6">
        <v>1</v>
      </c>
      <c r="AL795" s="26">
        <v>700000</v>
      </c>
      <c r="AM795" s="26">
        <v>700000</v>
      </c>
      <c r="AN795" s="26">
        <v>700000</v>
      </c>
      <c r="AO795" s="6" t="s">
        <v>2003</v>
      </c>
      <c r="AQ795" s="6" t="s">
        <v>80</v>
      </c>
      <c r="AU795" s="6">
        <v>225879</v>
      </c>
    </row>
    <row r="796" spans="1:47" hidden="1" x14ac:dyDescent="0.3">
      <c r="A796" s="28" t="s">
        <v>42</v>
      </c>
      <c r="B796" s="6" t="s">
        <v>2177</v>
      </c>
      <c r="E796" s="6">
        <v>1</v>
      </c>
      <c r="F796" s="6" t="s">
        <v>2004</v>
      </c>
      <c r="G796" s="6" t="s">
        <v>2005</v>
      </c>
      <c r="H796" s="6" t="s">
        <v>2005</v>
      </c>
      <c r="I796" s="6" t="str">
        <f t="shared" si="24"/>
        <v>Grapple</v>
      </c>
      <c r="J796" s="6" t="s">
        <v>298</v>
      </c>
      <c r="K796" s="6">
        <v>1</v>
      </c>
      <c r="P796" s="6">
        <f t="shared" si="25"/>
        <v>1200000</v>
      </c>
      <c r="R796" s="6" t="s">
        <v>2003</v>
      </c>
      <c r="T796" s="6" t="s">
        <v>1876</v>
      </c>
      <c r="U796" s="6">
        <v>2010</v>
      </c>
      <c r="V796" s="6">
        <v>1</v>
      </c>
      <c r="AD796" s="6" t="s">
        <v>45</v>
      </c>
      <c r="AJ796" s="31" t="s">
        <v>2118</v>
      </c>
      <c r="AK796" s="6">
        <v>1</v>
      </c>
      <c r="AL796" s="26">
        <v>1100000</v>
      </c>
      <c r="AM796" s="26">
        <v>1100000</v>
      </c>
      <c r="AN796" s="26">
        <v>1100000</v>
      </c>
      <c r="AO796" s="6" t="s">
        <v>2003</v>
      </c>
      <c r="AQ796" s="6" t="s">
        <v>1214</v>
      </c>
      <c r="AU796" s="6">
        <v>225881</v>
      </c>
    </row>
    <row r="797" spans="1:47" hidden="1" x14ac:dyDescent="0.3">
      <c r="A797" s="28" t="s">
        <v>42</v>
      </c>
      <c r="B797" s="6" t="s">
        <v>2185</v>
      </c>
      <c r="E797" s="6">
        <v>1</v>
      </c>
      <c r="F797" s="6" t="s">
        <v>2004</v>
      </c>
      <c r="G797" s="6" t="s">
        <v>2005</v>
      </c>
      <c r="H797" s="6" t="s">
        <v>2005</v>
      </c>
      <c r="I797" s="6" t="str">
        <f t="shared" si="24"/>
        <v>ETC</v>
      </c>
      <c r="J797" s="6" t="s">
        <v>686</v>
      </c>
      <c r="K797" s="6">
        <v>1</v>
      </c>
      <c r="P797" s="6">
        <f t="shared" si="25"/>
        <v>9700000</v>
      </c>
      <c r="R797" s="6" t="s">
        <v>2003</v>
      </c>
      <c r="T797" s="6" t="s">
        <v>1056</v>
      </c>
      <c r="U797" s="6">
        <v>2012</v>
      </c>
      <c r="V797" s="6">
        <v>1</v>
      </c>
      <c r="AD797" s="6" t="s">
        <v>45</v>
      </c>
      <c r="AJ797" s="31" t="s">
        <v>2119</v>
      </c>
      <c r="AK797" s="6">
        <v>1</v>
      </c>
      <c r="AL797" s="26">
        <v>9200000</v>
      </c>
      <c r="AM797" s="26">
        <v>9200000</v>
      </c>
      <c r="AN797" s="26">
        <v>9200000</v>
      </c>
      <c r="AO797" s="6" t="s">
        <v>2003</v>
      </c>
      <c r="AQ797" s="6" t="s">
        <v>1277</v>
      </c>
      <c r="AU797" s="6">
        <v>225885</v>
      </c>
    </row>
    <row r="798" spans="1:47" x14ac:dyDescent="0.3">
      <c r="A798" s="28" t="s">
        <v>42</v>
      </c>
      <c r="B798" s="6" t="s">
        <v>2191</v>
      </c>
      <c r="C798" s="6" t="s">
        <v>1975</v>
      </c>
      <c r="D798" s="6" t="s">
        <v>2100</v>
      </c>
      <c r="E798" s="6">
        <v>1</v>
      </c>
      <c r="F798" s="6" t="s">
        <v>2004</v>
      </c>
      <c r="G798" s="6" t="s">
        <v>2005</v>
      </c>
      <c r="H798" s="6" t="s">
        <v>2005</v>
      </c>
      <c r="I798" s="6" t="str">
        <f t="shared" si="24"/>
        <v>Side Breaker</v>
      </c>
      <c r="J798" s="6" t="s">
        <v>160</v>
      </c>
      <c r="K798" s="6">
        <v>1</v>
      </c>
      <c r="P798" s="6">
        <f t="shared" si="25"/>
        <v>1600000</v>
      </c>
      <c r="R798" s="6" t="s">
        <v>2003</v>
      </c>
      <c r="T798" s="6" t="s">
        <v>1877</v>
      </c>
      <c r="U798" s="6">
        <v>2010</v>
      </c>
      <c r="V798" s="6">
        <v>1</v>
      </c>
      <c r="AD798" s="6" t="s">
        <v>45</v>
      </c>
      <c r="AJ798" s="31" t="s">
        <v>2114</v>
      </c>
      <c r="AK798" s="6">
        <v>1</v>
      </c>
      <c r="AL798" s="26">
        <v>1500000</v>
      </c>
      <c r="AM798" s="26">
        <v>1500000</v>
      </c>
      <c r="AN798" s="26">
        <v>1500000</v>
      </c>
      <c r="AO798" s="6" t="s">
        <v>2003</v>
      </c>
      <c r="AQ798" s="6" t="s">
        <v>830</v>
      </c>
      <c r="AU798" s="6">
        <v>225886</v>
      </c>
    </row>
    <row r="799" spans="1:47" hidden="1" x14ac:dyDescent="0.3">
      <c r="A799" s="28" t="s">
        <v>42</v>
      </c>
      <c r="B799" s="6" t="s">
        <v>2191</v>
      </c>
      <c r="C799" s="6" t="s">
        <v>1975</v>
      </c>
      <c r="E799" s="6">
        <v>1</v>
      </c>
      <c r="F799" s="6" t="s">
        <v>2004</v>
      </c>
      <c r="G799" s="6" t="s">
        <v>2005</v>
      </c>
      <c r="H799" s="6" t="s">
        <v>2005</v>
      </c>
      <c r="I799" s="6" t="str">
        <f t="shared" si="24"/>
        <v>Side Breaker</v>
      </c>
      <c r="J799" s="6" t="s">
        <v>353</v>
      </c>
      <c r="K799" s="6">
        <v>1</v>
      </c>
      <c r="P799" s="6">
        <f t="shared" si="25"/>
        <v>6000000</v>
      </c>
      <c r="R799" s="6" t="s">
        <v>2003</v>
      </c>
      <c r="T799" s="6" t="s">
        <v>2007</v>
      </c>
      <c r="U799" s="6">
        <v>2015</v>
      </c>
      <c r="V799" s="6">
        <v>1</v>
      </c>
      <c r="AD799" s="6" t="s">
        <v>45</v>
      </c>
      <c r="AJ799" s="31" t="s">
        <v>2113</v>
      </c>
      <c r="AK799" s="6">
        <v>1</v>
      </c>
      <c r="AL799" s="26">
        <v>5500000</v>
      </c>
      <c r="AM799" s="26">
        <v>5500000</v>
      </c>
      <c r="AN799" s="26">
        <v>5500000</v>
      </c>
      <c r="AO799" s="6" t="s">
        <v>2003</v>
      </c>
      <c r="AQ799" s="6" t="s">
        <v>49</v>
      </c>
      <c r="AU799" s="6">
        <v>225896</v>
      </c>
    </row>
    <row r="800" spans="1:47" x14ac:dyDescent="0.3">
      <c r="A800" s="28" t="s">
        <v>42</v>
      </c>
      <c r="B800" s="6" t="s">
        <v>2193</v>
      </c>
      <c r="D800" s="6" t="s">
        <v>2100</v>
      </c>
      <c r="E800" s="6">
        <v>1</v>
      </c>
      <c r="F800" s="6" t="s">
        <v>2004</v>
      </c>
      <c r="G800" s="6" t="s">
        <v>2005</v>
      </c>
      <c r="H800" s="6" t="s">
        <v>2005</v>
      </c>
      <c r="I800" s="6" t="str">
        <f t="shared" si="24"/>
        <v>Ripper</v>
      </c>
      <c r="J800" s="6" t="s">
        <v>371</v>
      </c>
      <c r="K800" s="6">
        <v>1</v>
      </c>
      <c r="P800" s="6">
        <f t="shared" si="25"/>
        <v>500000</v>
      </c>
      <c r="R800" s="6" t="s">
        <v>2003</v>
      </c>
      <c r="T800" s="6" t="s">
        <v>2007</v>
      </c>
      <c r="U800" s="6">
        <v>2017</v>
      </c>
      <c r="V800" s="6">
        <v>1</v>
      </c>
      <c r="AD800" s="6" t="s">
        <v>45</v>
      </c>
      <c r="AJ800" s="31" t="s">
        <v>2113</v>
      </c>
      <c r="AK800" s="6">
        <v>1</v>
      </c>
      <c r="AL800" s="26">
        <v>450000</v>
      </c>
      <c r="AM800" s="26">
        <v>450000</v>
      </c>
      <c r="AN800" s="26">
        <v>450000</v>
      </c>
      <c r="AO800" s="6" t="s">
        <v>2003</v>
      </c>
      <c r="AQ800" s="6" t="s">
        <v>49</v>
      </c>
      <c r="AU800" s="6">
        <v>225899</v>
      </c>
    </row>
    <row r="801" spans="1:47" x14ac:dyDescent="0.3">
      <c r="A801" s="28" t="s">
        <v>42</v>
      </c>
      <c r="B801" s="6" t="s">
        <v>2182</v>
      </c>
      <c r="C801" s="6" t="s">
        <v>2205</v>
      </c>
      <c r="D801" s="6" t="s">
        <v>2101</v>
      </c>
      <c r="E801" s="6">
        <v>1</v>
      </c>
      <c r="F801" s="6" t="s">
        <v>2004</v>
      </c>
      <c r="G801" s="6" t="s">
        <v>2005</v>
      </c>
      <c r="H801" s="6" t="s">
        <v>2005</v>
      </c>
      <c r="I801" s="6" t="str">
        <f t="shared" si="24"/>
        <v>Standard Bucket</v>
      </c>
      <c r="J801" s="6" t="s">
        <v>316</v>
      </c>
      <c r="K801" s="6">
        <v>1</v>
      </c>
      <c r="P801" s="6">
        <f t="shared" si="25"/>
        <v>4700000</v>
      </c>
      <c r="R801" s="6" t="s">
        <v>2003</v>
      </c>
      <c r="T801" s="6" t="s">
        <v>54</v>
      </c>
      <c r="U801" s="6">
        <v>2010</v>
      </c>
      <c r="V801" s="6">
        <v>1</v>
      </c>
      <c r="AD801" s="6" t="s">
        <v>45</v>
      </c>
      <c r="AJ801" s="31" t="s">
        <v>2114</v>
      </c>
      <c r="AK801" s="6">
        <v>1</v>
      </c>
      <c r="AL801" s="26">
        <v>4500000</v>
      </c>
      <c r="AM801" s="26">
        <v>4500000</v>
      </c>
      <c r="AN801" s="26">
        <v>4500000</v>
      </c>
      <c r="AO801" s="6" t="s">
        <v>2003</v>
      </c>
      <c r="AQ801" s="6" t="s">
        <v>54</v>
      </c>
      <c r="AU801" s="6">
        <v>225908</v>
      </c>
    </row>
    <row r="802" spans="1:47" hidden="1" x14ac:dyDescent="0.3">
      <c r="A802" s="28" t="s">
        <v>42</v>
      </c>
      <c r="B802" s="6" t="s">
        <v>2183</v>
      </c>
      <c r="E802" s="6">
        <v>1</v>
      </c>
      <c r="F802" s="6" t="s">
        <v>2004</v>
      </c>
      <c r="G802" s="6" t="s">
        <v>2005</v>
      </c>
      <c r="H802" s="6" t="s">
        <v>2005</v>
      </c>
      <c r="I802" s="6" t="str">
        <f t="shared" si="24"/>
        <v>ETC</v>
      </c>
      <c r="J802" s="6" t="s">
        <v>396</v>
      </c>
      <c r="K802" s="6">
        <v>1</v>
      </c>
      <c r="P802" s="6">
        <f t="shared" si="25"/>
        <v>4700000</v>
      </c>
      <c r="R802" s="6" t="s">
        <v>2003</v>
      </c>
      <c r="T802" s="6" t="s">
        <v>1057</v>
      </c>
      <c r="U802" s="6">
        <v>2008</v>
      </c>
      <c r="V802" s="6">
        <v>1</v>
      </c>
      <c r="AD802" s="6" t="s">
        <v>45</v>
      </c>
      <c r="AJ802" s="31" t="s">
        <v>2118</v>
      </c>
      <c r="AK802" s="6">
        <v>1</v>
      </c>
      <c r="AL802" s="26">
        <v>4500000</v>
      </c>
      <c r="AM802" s="26">
        <v>4500000</v>
      </c>
      <c r="AN802" s="26">
        <v>4500000</v>
      </c>
      <c r="AO802" s="6" t="s">
        <v>2003</v>
      </c>
      <c r="AQ802" s="6" t="s">
        <v>67</v>
      </c>
      <c r="AU802" s="6">
        <v>225911</v>
      </c>
    </row>
    <row r="803" spans="1:47" x14ac:dyDescent="0.3">
      <c r="A803" s="28" t="s">
        <v>42</v>
      </c>
      <c r="B803" s="6" t="s">
        <v>2182</v>
      </c>
      <c r="C803" s="6" t="s">
        <v>1976</v>
      </c>
      <c r="D803" s="6" t="s">
        <v>2104</v>
      </c>
      <c r="E803" s="6">
        <v>1</v>
      </c>
      <c r="F803" s="6" t="s">
        <v>2004</v>
      </c>
      <c r="G803" s="6" t="s">
        <v>2005</v>
      </c>
      <c r="H803" s="6" t="s">
        <v>2005</v>
      </c>
      <c r="I803" s="6" t="str">
        <f t="shared" si="24"/>
        <v>Skeleton Bucket</v>
      </c>
      <c r="J803" s="6" t="s">
        <v>559</v>
      </c>
      <c r="K803" s="6">
        <v>1</v>
      </c>
      <c r="P803" s="6">
        <f t="shared" si="25"/>
        <v>900000</v>
      </c>
      <c r="R803" s="6" t="s">
        <v>2003</v>
      </c>
      <c r="T803" s="6" t="s">
        <v>2007</v>
      </c>
      <c r="U803" s="6">
        <v>2013</v>
      </c>
      <c r="V803" s="6">
        <v>1</v>
      </c>
      <c r="AD803" s="6" t="s">
        <v>45</v>
      </c>
      <c r="AJ803" s="31" t="s">
        <v>2113</v>
      </c>
      <c r="AK803" s="6">
        <v>1</v>
      </c>
      <c r="AL803" s="26">
        <v>800000</v>
      </c>
      <c r="AM803" s="26">
        <v>800000</v>
      </c>
      <c r="AN803" s="26">
        <v>800000</v>
      </c>
      <c r="AO803" s="6" t="s">
        <v>2003</v>
      </c>
      <c r="AQ803" s="6" t="s">
        <v>49</v>
      </c>
      <c r="AU803" s="6">
        <v>225912</v>
      </c>
    </row>
    <row r="804" spans="1:47" x14ac:dyDescent="0.3">
      <c r="A804" s="28" t="s">
        <v>42</v>
      </c>
      <c r="B804" s="6" t="s">
        <v>2184</v>
      </c>
      <c r="C804" s="6" t="s">
        <v>1972</v>
      </c>
      <c r="D804" s="6" t="s">
        <v>2104</v>
      </c>
      <c r="E804" s="6">
        <v>1</v>
      </c>
      <c r="F804" s="6" t="s">
        <v>2004</v>
      </c>
      <c r="G804" s="6" t="s">
        <v>2005</v>
      </c>
      <c r="H804" s="6" t="s">
        <v>2005</v>
      </c>
      <c r="I804" s="6" t="str">
        <f t="shared" si="24"/>
        <v>Stone Grapple</v>
      </c>
      <c r="J804" s="6" t="s">
        <v>166</v>
      </c>
      <c r="K804" s="6">
        <v>1</v>
      </c>
      <c r="P804" s="6">
        <f t="shared" si="25"/>
        <v>2600000</v>
      </c>
      <c r="R804" s="6" t="s">
        <v>2003</v>
      </c>
      <c r="T804" s="6" t="s">
        <v>2007</v>
      </c>
      <c r="U804" s="6">
        <v>2014</v>
      </c>
      <c r="V804" s="6">
        <v>1</v>
      </c>
      <c r="AD804" s="6" t="s">
        <v>45</v>
      </c>
      <c r="AJ804" s="31" t="s">
        <v>2113</v>
      </c>
      <c r="AK804" s="6">
        <v>1</v>
      </c>
      <c r="AL804" s="26">
        <v>2400000</v>
      </c>
      <c r="AM804" s="26">
        <v>2400000</v>
      </c>
      <c r="AN804" s="26">
        <v>2400000</v>
      </c>
      <c r="AO804" s="6" t="s">
        <v>2003</v>
      </c>
      <c r="AQ804" s="6" t="s">
        <v>49</v>
      </c>
      <c r="AU804" s="6">
        <v>225914</v>
      </c>
    </row>
    <row r="805" spans="1:47" x14ac:dyDescent="0.3">
      <c r="A805" s="28" t="s">
        <v>42</v>
      </c>
      <c r="B805" s="6" t="s">
        <v>2197</v>
      </c>
      <c r="D805" s="6" t="s">
        <v>2103</v>
      </c>
      <c r="E805" s="6">
        <v>1</v>
      </c>
      <c r="F805" s="6" t="s">
        <v>2004</v>
      </c>
      <c r="G805" s="6" t="s">
        <v>2005</v>
      </c>
      <c r="H805" s="6" t="s">
        <v>2005</v>
      </c>
      <c r="I805" s="6" t="str">
        <f t="shared" si="24"/>
        <v>Ripper</v>
      </c>
      <c r="J805" s="6" t="s">
        <v>346</v>
      </c>
      <c r="K805" s="6">
        <v>1</v>
      </c>
      <c r="P805" s="6">
        <f t="shared" si="25"/>
        <v>1500000</v>
      </c>
      <c r="R805" s="6" t="s">
        <v>2003</v>
      </c>
      <c r="T805" s="6" t="s">
        <v>2008</v>
      </c>
      <c r="U805" s="6">
        <v>2017</v>
      </c>
      <c r="V805" s="6">
        <v>1</v>
      </c>
      <c r="AD805" s="6" t="s">
        <v>45</v>
      </c>
      <c r="AJ805" s="31" t="s">
        <v>2110</v>
      </c>
      <c r="AK805" s="6">
        <v>1</v>
      </c>
      <c r="AL805" s="26">
        <v>1400000</v>
      </c>
      <c r="AM805" s="26">
        <v>1400000</v>
      </c>
      <c r="AN805" s="26">
        <v>1400000</v>
      </c>
      <c r="AO805" s="6" t="s">
        <v>2003</v>
      </c>
      <c r="AQ805" s="6" t="s">
        <v>1155</v>
      </c>
      <c r="AU805" s="6">
        <v>225920</v>
      </c>
    </row>
    <row r="806" spans="1:47" x14ac:dyDescent="0.3">
      <c r="A806" s="28" t="s">
        <v>42</v>
      </c>
      <c r="B806" s="6" t="s">
        <v>2184</v>
      </c>
      <c r="C806" s="6" t="s">
        <v>1972</v>
      </c>
      <c r="D806" s="6" t="s">
        <v>2105</v>
      </c>
      <c r="E806" s="6">
        <v>1</v>
      </c>
      <c r="F806" s="6" t="s">
        <v>2004</v>
      </c>
      <c r="G806" s="6" t="s">
        <v>2005</v>
      </c>
      <c r="H806" s="6" t="s">
        <v>2005</v>
      </c>
      <c r="I806" s="6" t="str">
        <f t="shared" si="24"/>
        <v>Stone Grapple</v>
      </c>
      <c r="J806" s="6" t="s">
        <v>174</v>
      </c>
      <c r="K806" s="6">
        <v>1</v>
      </c>
      <c r="P806" s="6">
        <f t="shared" si="25"/>
        <v>7500000</v>
      </c>
      <c r="R806" s="6" t="s">
        <v>2003</v>
      </c>
      <c r="T806" s="6" t="s">
        <v>2033</v>
      </c>
      <c r="U806" s="6">
        <v>2015</v>
      </c>
      <c r="V806" s="6">
        <v>5</v>
      </c>
      <c r="AD806" s="6" t="s">
        <v>45</v>
      </c>
      <c r="AJ806" s="31" t="s">
        <v>2123</v>
      </c>
      <c r="AK806" s="6">
        <v>1</v>
      </c>
      <c r="AL806" s="26">
        <v>7000000</v>
      </c>
      <c r="AM806" s="26">
        <v>7000000</v>
      </c>
      <c r="AN806" s="26">
        <v>7000000</v>
      </c>
      <c r="AO806" s="6" t="s">
        <v>2003</v>
      </c>
      <c r="AQ806" s="6" t="s">
        <v>1219</v>
      </c>
      <c r="AU806" s="6">
        <v>225924</v>
      </c>
    </row>
    <row r="807" spans="1:47" x14ac:dyDescent="0.3">
      <c r="A807" s="28" t="s">
        <v>42</v>
      </c>
      <c r="B807" s="6" t="s">
        <v>2174</v>
      </c>
      <c r="C807" s="6" t="s">
        <v>1975</v>
      </c>
      <c r="D807" s="6" t="s">
        <v>2104</v>
      </c>
      <c r="E807" s="6">
        <v>1</v>
      </c>
      <c r="F807" s="6" t="s">
        <v>2004</v>
      </c>
      <c r="G807" s="6" t="s">
        <v>2005</v>
      </c>
      <c r="H807" s="6" t="s">
        <v>2005</v>
      </c>
      <c r="I807" s="6" t="str">
        <f t="shared" si="24"/>
        <v>Side Breaker</v>
      </c>
      <c r="J807" s="6" t="s">
        <v>688</v>
      </c>
      <c r="K807" s="6">
        <v>1</v>
      </c>
      <c r="P807" s="6">
        <f t="shared" si="25"/>
        <v>5000000</v>
      </c>
      <c r="R807" s="6" t="s">
        <v>2003</v>
      </c>
      <c r="T807" s="6" t="s">
        <v>2009</v>
      </c>
      <c r="U807" s="6">
        <v>2017</v>
      </c>
      <c r="V807" s="6">
        <v>2</v>
      </c>
      <c r="AD807" s="6" t="s">
        <v>45</v>
      </c>
      <c r="AJ807" s="31" t="s">
        <v>2110</v>
      </c>
      <c r="AK807" s="6">
        <v>1</v>
      </c>
      <c r="AL807" s="26">
        <v>4800000</v>
      </c>
      <c r="AM807" s="26">
        <v>4800000</v>
      </c>
      <c r="AN807" s="26">
        <v>4800000</v>
      </c>
      <c r="AO807" s="6" t="s">
        <v>2003</v>
      </c>
      <c r="AQ807" s="6" t="s">
        <v>1152</v>
      </c>
      <c r="AU807" s="6">
        <v>225927</v>
      </c>
    </row>
    <row r="808" spans="1:47" x14ac:dyDescent="0.3">
      <c r="A808" s="28" t="s">
        <v>42</v>
      </c>
      <c r="B808" s="6" t="s">
        <v>2184</v>
      </c>
      <c r="C808" s="6" t="s">
        <v>1972</v>
      </c>
      <c r="D808" s="6" t="s">
        <v>2104</v>
      </c>
      <c r="E808" s="6">
        <v>1</v>
      </c>
      <c r="F808" s="6" t="s">
        <v>2004</v>
      </c>
      <c r="G808" s="6" t="s">
        <v>2005</v>
      </c>
      <c r="H808" s="6" t="s">
        <v>2005</v>
      </c>
      <c r="I808" s="6" t="str">
        <f t="shared" si="24"/>
        <v>Stone Grapple</v>
      </c>
      <c r="J808" s="6" t="s">
        <v>317</v>
      </c>
      <c r="K808" s="6">
        <v>1</v>
      </c>
      <c r="P808" s="6">
        <f t="shared" si="25"/>
        <v>1900000</v>
      </c>
      <c r="R808" s="6" t="s">
        <v>2003</v>
      </c>
      <c r="T808" s="6" t="s">
        <v>2074</v>
      </c>
      <c r="U808" s="6">
        <v>2012</v>
      </c>
      <c r="V808" s="6">
        <v>1</v>
      </c>
      <c r="AD808" s="6" t="s">
        <v>45</v>
      </c>
      <c r="AJ808" s="31" t="s">
        <v>2113</v>
      </c>
      <c r="AK808" s="6">
        <v>1</v>
      </c>
      <c r="AL808" s="26">
        <v>1800000</v>
      </c>
      <c r="AM808" s="26">
        <v>1800000</v>
      </c>
      <c r="AN808" s="26">
        <v>1800000</v>
      </c>
      <c r="AO808" s="6" t="s">
        <v>2003</v>
      </c>
      <c r="AQ808" s="6" t="s">
        <v>49</v>
      </c>
      <c r="AU808" s="6">
        <v>225928</v>
      </c>
    </row>
    <row r="809" spans="1:47" x14ac:dyDescent="0.3">
      <c r="A809" s="28" t="s">
        <v>42</v>
      </c>
      <c r="B809" s="6" t="s">
        <v>2204</v>
      </c>
      <c r="C809" s="6" t="s">
        <v>1979</v>
      </c>
      <c r="D809" s="6" t="s">
        <v>2100</v>
      </c>
      <c r="E809" s="6">
        <v>1</v>
      </c>
      <c r="F809" s="6" t="s">
        <v>2004</v>
      </c>
      <c r="G809" s="6" t="s">
        <v>2005</v>
      </c>
      <c r="H809" s="6" t="s">
        <v>2005</v>
      </c>
      <c r="I809" s="6" t="str">
        <f t="shared" si="24"/>
        <v>Thumb Grapple</v>
      </c>
      <c r="J809" s="6" t="s">
        <v>689</v>
      </c>
      <c r="K809" s="6">
        <v>1</v>
      </c>
      <c r="P809" s="6">
        <f t="shared" si="25"/>
        <v>1800000</v>
      </c>
      <c r="R809" s="6" t="s">
        <v>2003</v>
      </c>
      <c r="T809" s="6" t="s">
        <v>846</v>
      </c>
      <c r="U809" s="6">
        <v>2017</v>
      </c>
      <c r="V809" s="6">
        <v>1</v>
      </c>
      <c r="AD809" s="6" t="s">
        <v>45</v>
      </c>
      <c r="AJ809" s="31" t="s">
        <v>2116</v>
      </c>
      <c r="AK809" s="6">
        <v>1</v>
      </c>
      <c r="AL809" s="26">
        <v>1700000</v>
      </c>
      <c r="AM809" s="26">
        <v>1700000</v>
      </c>
      <c r="AN809" s="26">
        <v>1700000</v>
      </c>
      <c r="AO809" s="6" t="s">
        <v>2003</v>
      </c>
      <c r="AQ809" s="6" t="s">
        <v>49</v>
      </c>
      <c r="AU809" s="6">
        <v>225929</v>
      </c>
    </row>
    <row r="810" spans="1:47" x14ac:dyDescent="0.3">
      <c r="A810" s="28" t="s">
        <v>42</v>
      </c>
      <c r="B810" s="6" t="s">
        <v>2174</v>
      </c>
      <c r="C810" s="6" t="s">
        <v>1975</v>
      </c>
      <c r="D810" s="6" t="s">
        <v>2100</v>
      </c>
      <c r="E810" s="6">
        <v>1</v>
      </c>
      <c r="F810" s="6" t="s">
        <v>2004</v>
      </c>
      <c r="G810" s="6" t="s">
        <v>2005</v>
      </c>
      <c r="H810" s="6" t="s">
        <v>2005</v>
      </c>
      <c r="I810" s="6" t="str">
        <f t="shared" si="24"/>
        <v>Side Breaker</v>
      </c>
      <c r="J810" s="6" t="s">
        <v>690</v>
      </c>
      <c r="K810" s="6">
        <v>1</v>
      </c>
      <c r="P810" s="6">
        <f t="shared" si="25"/>
        <v>1600000</v>
      </c>
      <c r="R810" s="6" t="s">
        <v>2003</v>
      </c>
      <c r="T810" s="6" t="s">
        <v>54</v>
      </c>
      <c r="U810" s="6">
        <v>2011</v>
      </c>
      <c r="V810" s="6">
        <v>1</v>
      </c>
      <c r="AD810" s="6" t="s">
        <v>45</v>
      </c>
      <c r="AJ810" s="31" t="s">
        <v>2114</v>
      </c>
      <c r="AK810" s="6">
        <v>1</v>
      </c>
      <c r="AL810" s="26">
        <v>1500000</v>
      </c>
      <c r="AM810" s="26">
        <v>1500000</v>
      </c>
      <c r="AN810" s="26">
        <v>1500000</v>
      </c>
      <c r="AO810" s="6" t="s">
        <v>2003</v>
      </c>
      <c r="AQ810" s="6" t="s">
        <v>54</v>
      </c>
      <c r="AU810" s="6">
        <v>225937</v>
      </c>
    </row>
    <row r="811" spans="1:47" hidden="1" x14ac:dyDescent="0.3">
      <c r="A811" s="28" t="s">
        <v>42</v>
      </c>
      <c r="B811" s="6" t="s">
        <v>2202</v>
      </c>
      <c r="E811" s="6">
        <v>1</v>
      </c>
      <c r="F811" s="6" t="s">
        <v>2004</v>
      </c>
      <c r="G811" s="6" t="s">
        <v>2005</v>
      </c>
      <c r="H811" s="6" t="s">
        <v>2005</v>
      </c>
      <c r="I811" s="6" t="str">
        <f t="shared" si="24"/>
        <v>Compactor</v>
      </c>
      <c r="J811" s="6" t="s">
        <v>691</v>
      </c>
      <c r="K811" s="6">
        <v>1</v>
      </c>
      <c r="P811" s="6">
        <f t="shared" si="25"/>
        <v>4200000</v>
      </c>
      <c r="R811" s="6" t="s">
        <v>2003</v>
      </c>
      <c r="T811" s="6" t="s">
        <v>1058</v>
      </c>
      <c r="U811" s="6">
        <v>2015</v>
      </c>
      <c r="V811" s="6">
        <v>1</v>
      </c>
      <c r="AD811" s="6" t="s">
        <v>45</v>
      </c>
      <c r="AJ811" s="31" t="s">
        <v>2123</v>
      </c>
      <c r="AK811" s="6">
        <v>1</v>
      </c>
      <c r="AL811" s="26">
        <v>4000000</v>
      </c>
      <c r="AM811" s="26">
        <v>4000000</v>
      </c>
      <c r="AN811" s="26">
        <v>4000000</v>
      </c>
      <c r="AO811" s="6" t="s">
        <v>2003</v>
      </c>
      <c r="AQ811" s="6" t="s">
        <v>1304</v>
      </c>
      <c r="AU811" s="6">
        <v>225939</v>
      </c>
    </row>
    <row r="812" spans="1:47" hidden="1" x14ac:dyDescent="0.3">
      <c r="A812" s="28" t="s">
        <v>42</v>
      </c>
      <c r="B812" s="6" t="s">
        <v>2183</v>
      </c>
      <c r="E812" s="6">
        <v>1</v>
      </c>
      <c r="F812" s="6" t="s">
        <v>2004</v>
      </c>
      <c r="G812" s="6" t="s">
        <v>2005</v>
      </c>
      <c r="H812" s="6" t="s">
        <v>2005</v>
      </c>
      <c r="I812" s="6" t="str">
        <f t="shared" si="24"/>
        <v>ETC</v>
      </c>
      <c r="J812" s="6" t="s">
        <v>692</v>
      </c>
      <c r="K812" s="6">
        <v>1</v>
      </c>
      <c r="P812" s="6">
        <f t="shared" si="25"/>
        <v>7500000</v>
      </c>
      <c r="R812" s="6" t="s">
        <v>2003</v>
      </c>
      <c r="T812" s="6" t="s">
        <v>1059</v>
      </c>
      <c r="U812" s="6">
        <v>2010</v>
      </c>
      <c r="V812" s="6">
        <v>10</v>
      </c>
      <c r="AD812" s="6" t="s">
        <v>45</v>
      </c>
      <c r="AJ812" s="31" t="s">
        <v>2110</v>
      </c>
      <c r="AK812" s="6">
        <v>1</v>
      </c>
      <c r="AL812" s="26">
        <v>7000000</v>
      </c>
      <c r="AM812" s="26">
        <v>7000000</v>
      </c>
      <c r="AN812" s="26">
        <v>7000000</v>
      </c>
      <c r="AO812" s="6" t="s">
        <v>2003</v>
      </c>
      <c r="AQ812" s="6" t="s">
        <v>1147</v>
      </c>
      <c r="AU812" s="6">
        <v>225955</v>
      </c>
    </row>
    <row r="813" spans="1:47" x14ac:dyDescent="0.3">
      <c r="A813" s="28" t="s">
        <v>42</v>
      </c>
      <c r="B813" s="6" t="s">
        <v>2192</v>
      </c>
      <c r="D813" s="6" t="s">
        <v>2100</v>
      </c>
      <c r="E813" s="6">
        <v>1</v>
      </c>
      <c r="F813" s="6" t="s">
        <v>2004</v>
      </c>
      <c r="G813" s="6" t="s">
        <v>2005</v>
      </c>
      <c r="H813" s="6" t="s">
        <v>2005</v>
      </c>
      <c r="I813" s="6" t="str">
        <f t="shared" si="24"/>
        <v>Lift Fork</v>
      </c>
      <c r="J813" s="6" t="s">
        <v>391</v>
      </c>
      <c r="K813" s="6">
        <v>1</v>
      </c>
      <c r="P813" s="6">
        <f t="shared" si="25"/>
        <v>900000</v>
      </c>
      <c r="R813" s="6" t="s">
        <v>2003</v>
      </c>
      <c r="T813" s="6" t="s">
        <v>2029</v>
      </c>
      <c r="U813" s="6">
        <v>2016</v>
      </c>
      <c r="V813" s="6">
        <v>12</v>
      </c>
      <c r="AD813" s="6" t="s">
        <v>45</v>
      </c>
      <c r="AJ813" s="31" t="s">
        <v>2123</v>
      </c>
      <c r="AK813" s="6">
        <v>1</v>
      </c>
      <c r="AL813" s="26">
        <v>800000</v>
      </c>
      <c r="AM813" s="26">
        <v>800000</v>
      </c>
      <c r="AN813" s="26">
        <v>800000</v>
      </c>
      <c r="AO813" s="6" t="s">
        <v>2003</v>
      </c>
      <c r="AQ813" s="6" t="s">
        <v>1143</v>
      </c>
      <c r="AU813" s="6">
        <v>225957</v>
      </c>
    </row>
    <row r="814" spans="1:47" x14ac:dyDescent="0.3">
      <c r="A814" s="28" t="s">
        <v>42</v>
      </c>
      <c r="B814" s="6" t="s">
        <v>2182</v>
      </c>
      <c r="C814" s="6" t="s">
        <v>1971</v>
      </c>
      <c r="D814" s="6" t="s">
        <v>2101</v>
      </c>
      <c r="E814" s="6">
        <v>1</v>
      </c>
      <c r="F814" s="6" t="s">
        <v>2004</v>
      </c>
      <c r="G814" s="6" t="s">
        <v>2005</v>
      </c>
      <c r="H814" s="6" t="s">
        <v>2005</v>
      </c>
      <c r="I814" s="6" t="str">
        <f t="shared" si="24"/>
        <v>Special Bucket</v>
      </c>
      <c r="J814" s="6" t="s">
        <v>674</v>
      </c>
      <c r="K814" s="6">
        <v>1</v>
      </c>
      <c r="P814" s="6">
        <f t="shared" si="25"/>
        <v>4700000</v>
      </c>
      <c r="R814" s="6" t="s">
        <v>2003</v>
      </c>
      <c r="T814" s="6" t="s">
        <v>800</v>
      </c>
      <c r="U814" s="6">
        <v>2014</v>
      </c>
      <c r="V814" s="6">
        <v>1</v>
      </c>
      <c r="AD814" s="6" t="s">
        <v>45</v>
      </c>
      <c r="AJ814" s="31" t="s">
        <v>2121</v>
      </c>
      <c r="AK814" s="6">
        <v>1</v>
      </c>
      <c r="AL814" s="26">
        <v>4500000</v>
      </c>
      <c r="AM814" s="26">
        <v>4500000</v>
      </c>
      <c r="AN814" s="26">
        <v>4500000</v>
      </c>
      <c r="AO814" s="6" t="s">
        <v>2003</v>
      </c>
      <c r="AQ814" s="6" t="s">
        <v>1215</v>
      </c>
      <c r="AU814" s="6">
        <v>225959</v>
      </c>
    </row>
    <row r="815" spans="1:47" hidden="1" x14ac:dyDescent="0.3">
      <c r="A815" s="28" t="s">
        <v>42</v>
      </c>
      <c r="B815" s="6" t="s">
        <v>2183</v>
      </c>
      <c r="C815" s="6" t="s">
        <v>1979</v>
      </c>
      <c r="E815" s="6">
        <v>1</v>
      </c>
      <c r="F815" s="6" t="s">
        <v>2004</v>
      </c>
      <c r="G815" s="6" t="s">
        <v>2005</v>
      </c>
      <c r="H815" s="6" t="s">
        <v>2005</v>
      </c>
      <c r="I815" s="6" t="str">
        <f t="shared" si="24"/>
        <v>Thumb Grapple</v>
      </c>
      <c r="J815" s="6" t="s">
        <v>693</v>
      </c>
      <c r="K815" s="6">
        <v>1</v>
      </c>
      <c r="P815" s="6">
        <f t="shared" si="25"/>
        <v>900000</v>
      </c>
      <c r="R815" s="6" t="s">
        <v>2003</v>
      </c>
      <c r="T815" s="6" t="s">
        <v>1060</v>
      </c>
      <c r="U815" s="6">
        <v>2014</v>
      </c>
      <c r="V815" s="6">
        <v>8</v>
      </c>
      <c r="AD815" s="6" t="s">
        <v>45</v>
      </c>
      <c r="AJ815" s="31" t="s">
        <v>2121</v>
      </c>
      <c r="AK815" s="6">
        <v>1</v>
      </c>
      <c r="AL815" s="26">
        <v>800000</v>
      </c>
      <c r="AM815" s="26">
        <v>800000</v>
      </c>
      <c r="AN815" s="26">
        <v>800000</v>
      </c>
      <c r="AO815" s="6" t="s">
        <v>2003</v>
      </c>
      <c r="AQ815" s="6" t="s">
        <v>1205</v>
      </c>
      <c r="AU815" s="6">
        <v>225965</v>
      </c>
    </row>
    <row r="816" spans="1:47" x14ac:dyDescent="0.3">
      <c r="A816" s="28" t="s">
        <v>42</v>
      </c>
      <c r="B816" s="6" t="s">
        <v>2184</v>
      </c>
      <c r="C816" s="6" t="s">
        <v>1972</v>
      </c>
      <c r="D816" s="6" t="s">
        <v>2104</v>
      </c>
      <c r="E816" s="6">
        <v>1</v>
      </c>
      <c r="F816" s="6" t="s">
        <v>2004</v>
      </c>
      <c r="G816" s="6" t="s">
        <v>2005</v>
      </c>
      <c r="H816" s="6" t="s">
        <v>2005</v>
      </c>
      <c r="I816" s="6" t="str">
        <f t="shared" si="24"/>
        <v>Stone Grapple</v>
      </c>
      <c r="J816" s="6" t="s">
        <v>120</v>
      </c>
      <c r="K816" s="6">
        <v>1</v>
      </c>
      <c r="P816" s="6">
        <f t="shared" si="25"/>
        <v>6000000</v>
      </c>
      <c r="R816" s="6" t="s">
        <v>2003</v>
      </c>
      <c r="T816" s="6" t="s">
        <v>1061</v>
      </c>
      <c r="U816" s="6">
        <v>2014</v>
      </c>
      <c r="V816" s="6">
        <v>1</v>
      </c>
      <c r="AD816" s="6" t="s">
        <v>45</v>
      </c>
      <c r="AJ816" s="31" t="s">
        <v>2118</v>
      </c>
      <c r="AK816" s="6">
        <v>1</v>
      </c>
      <c r="AL816" s="26">
        <v>5500000</v>
      </c>
      <c r="AM816" s="26">
        <v>5500000</v>
      </c>
      <c r="AN816" s="26">
        <v>5500000</v>
      </c>
      <c r="AO816" s="6" t="s">
        <v>2003</v>
      </c>
      <c r="AQ816" s="6" t="s">
        <v>67</v>
      </c>
      <c r="AU816" s="6">
        <v>225966</v>
      </c>
    </row>
    <row r="817" spans="1:47" x14ac:dyDescent="0.3">
      <c r="A817" s="28" t="s">
        <v>42</v>
      </c>
      <c r="B817" s="6" t="s">
        <v>2182</v>
      </c>
      <c r="C817" s="6" t="s">
        <v>1980</v>
      </c>
      <c r="D817" s="6" t="s">
        <v>2104</v>
      </c>
      <c r="E817" s="6">
        <v>1</v>
      </c>
      <c r="F817" s="6" t="s">
        <v>2004</v>
      </c>
      <c r="G817" s="6" t="s">
        <v>2005</v>
      </c>
      <c r="H817" s="6" t="s">
        <v>2005</v>
      </c>
      <c r="I817" s="6" t="str">
        <f t="shared" si="24"/>
        <v>Small Bucket</v>
      </c>
      <c r="J817" s="6" t="s">
        <v>97</v>
      </c>
      <c r="K817" s="6">
        <v>1</v>
      </c>
      <c r="P817" s="6">
        <f t="shared" si="25"/>
        <v>900000</v>
      </c>
      <c r="R817" s="6" t="s">
        <v>2003</v>
      </c>
      <c r="T817" s="6" t="s">
        <v>1062</v>
      </c>
      <c r="U817" s="6">
        <v>2015</v>
      </c>
      <c r="V817" s="6">
        <v>1</v>
      </c>
      <c r="AD817" s="6" t="s">
        <v>45</v>
      </c>
      <c r="AJ817" s="31" t="s">
        <v>2118</v>
      </c>
      <c r="AK817" s="6">
        <v>1</v>
      </c>
      <c r="AL817" s="26">
        <v>800000</v>
      </c>
      <c r="AM817" s="26">
        <v>800000</v>
      </c>
      <c r="AN817" s="26">
        <v>800000</v>
      </c>
      <c r="AO817" s="6" t="s">
        <v>2003</v>
      </c>
      <c r="AQ817" s="6" t="s">
        <v>67</v>
      </c>
      <c r="AU817" s="6">
        <v>225968</v>
      </c>
    </row>
    <row r="818" spans="1:47" hidden="1" x14ac:dyDescent="0.3">
      <c r="A818" s="28" t="s">
        <v>42</v>
      </c>
      <c r="B818" s="6" t="s">
        <v>2174</v>
      </c>
      <c r="C818" s="6" t="s">
        <v>1975</v>
      </c>
      <c r="E818" s="6">
        <v>1</v>
      </c>
      <c r="F818" s="6" t="s">
        <v>2004</v>
      </c>
      <c r="G818" s="6" t="s">
        <v>2005</v>
      </c>
      <c r="H818" s="6" t="s">
        <v>2005</v>
      </c>
      <c r="I818" s="6" t="str">
        <f t="shared" si="24"/>
        <v>Side Breaker</v>
      </c>
      <c r="J818" s="6" t="s">
        <v>2143</v>
      </c>
      <c r="K818" s="6">
        <v>1</v>
      </c>
      <c r="P818" s="6">
        <f t="shared" si="25"/>
        <v>8500000</v>
      </c>
      <c r="R818" s="6" t="s">
        <v>2003</v>
      </c>
      <c r="T818" s="6" t="s">
        <v>1878</v>
      </c>
      <c r="U818" s="6">
        <v>2013</v>
      </c>
      <c r="V818" s="6">
        <v>1</v>
      </c>
      <c r="AD818" s="6" t="s">
        <v>45</v>
      </c>
      <c r="AJ818" s="31" t="s">
        <v>2114</v>
      </c>
      <c r="AK818" s="6">
        <v>1</v>
      </c>
      <c r="AL818" s="26">
        <v>8000000</v>
      </c>
      <c r="AM818" s="26">
        <v>8000000</v>
      </c>
      <c r="AN818" s="26">
        <v>8000000</v>
      </c>
      <c r="AO818" s="6" t="s">
        <v>2003</v>
      </c>
      <c r="AQ818" s="6" t="s">
        <v>1230</v>
      </c>
      <c r="AU818" s="6">
        <v>225970</v>
      </c>
    </row>
    <row r="819" spans="1:47" hidden="1" x14ac:dyDescent="0.3">
      <c r="A819" s="28" t="s">
        <v>42</v>
      </c>
      <c r="B819" s="6" t="s">
        <v>2182</v>
      </c>
      <c r="C819" s="6" t="s">
        <v>1976</v>
      </c>
      <c r="E819" s="6">
        <v>1</v>
      </c>
      <c r="F819" s="6" t="s">
        <v>2004</v>
      </c>
      <c r="G819" s="6" t="s">
        <v>2005</v>
      </c>
      <c r="H819" s="6" t="s">
        <v>2005</v>
      </c>
      <c r="I819" s="6" t="str">
        <f t="shared" si="24"/>
        <v>Skeleton Bucket</v>
      </c>
      <c r="J819" s="6" t="s">
        <v>694</v>
      </c>
      <c r="K819" s="6">
        <v>1</v>
      </c>
      <c r="P819" s="6">
        <f t="shared" si="25"/>
        <v>800000</v>
      </c>
      <c r="R819" s="6" t="s">
        <v>2003</v>
      </c>
      <c r="T819" s="6" t="s">
        <v>645</v>
      </c>
      <c r="U819" s="6">
        <v>2007</v>
      </c>
      <c r="V819" s="6">
        <v>1</v>
      </c>
      <c r="AD819" s="6" t="s">
        <v>45</v>
      </c>
      <c r="AJ819" s="31" t="s">
        <v>2116</v>
      </c>
      <c r="AK819" s="6">
        <v>1</v>
      </c>
      <c r="AL819" s="26">
        <v>700000</v>
      </c>
      <c r="AM819" s="26">
        <v>700000</v>
      </c>
      <c r="AN819" s="26">
        <v>700000</v>
      </c>
      <c r="AO819" s="6" t="s">
        <v>2003</v>
      </c>
      <c r="AQ819" s="6" t="s">
        <v>1298</v>
      </c>
      <c r="AU819" s="6">
        <v>225972</v>
      </c>
    </row>
    <row r="820" spans="1:47" x14ac:dyDescent="0.3">
      <c r="A820" s="28" t="s">
        <v>42</v>
      </c>
      <c r="B820" s="6" t="s">
        <v>2182</v>
      </c>
      <c r="C820" s="6" t="s">
        <v>1980</v>
      </c>
      <c r="D820" s="6" t="s">
        <v>2100</v>
      </c>
      <c r="E820" s="6">
        <v>1</v>
      </c>
      <c r="F820" s="6" t="s">
        <v>2004</v>
      </c>
      <c r="G820" s="6" t="s">
        <v>2005</v>
      </c>
      <c r="H820" s="6" t="s">
        <v>2005</v>
      </c>
      <c r="I820" s="6" t="str">
        <f t="shared" si="24"/>
        <v>Small Bucket</v>
      </c>
      <c r="J820" s="6" t="s">
        <v>113</v>
      </c>
      <c r="K820" s="6">
        <v>1</v>
      </c>
      <c r="P820" s="6">
        <f t="shared" si="25"/>
        <v>620000</v>
      </c>
      <c r="R820" s="6" t="s">
        <v>2003</v>
      </c>
      <c r="T820" s="6" t="s">
        <v>1879</v>
      </c>
      <c r="U820" s="6">
        <v>2015</v>
      </c>
      <c r="V820" s="6">
        <v>1</v>
      </c>
      <c r="AD820" s="6" t="s">
        <v>45</v>
      </c>
      <c r="AJ820" s="31" t="s">
        <v>2112</v>
      </c>
      <c r="AK820" s="6">
        <v>1</v>
      </c>
      <c r="AL820" s="26">
        <v>520000</v>
      </c>
      <c r="AM820" s="26">
        <v>520000</v>
      </c>
      <c r="AN820" s="26">
        <v>520000</v>
      </c>
      <c r="AO820" s="6" t="s">
        <v>2003</v>
      </c>
      <c r="AQ820" s="6" t="s">
        <v>1142</v>
      </c>
      <c r="AU820" s="6">
        <v>225973</v>
      </c>
    </row>
    <row r="821" spans="1:47" x14ac:dyDescent="0.3">
      <c r="A821" s="28" t="s">
        <v>42</v>
      </c>
      <c r="B821" s="6" t="s">
        <v>2184</v>
      </c>
      <c r="C821" s="6" t="s">
        <v>1974</v>
      </c>
      <c r="D821" s="6" t="s">
        <v>2104</v>
      </c>
      <c r="E821" s="6">
        <v>1</v>
      </c>
      <c r="F821" s="6" t="s">
        <v>2004</v>
      </c>
      <c r="G821" s="6" t="s">
        <v>2005</v>
      </c>
      <c r="H821" s="6" t="s">
        <v>2005</v>
      </c>
      <c r="I821" s="6" t="str">
        <f t="shared" si="24"/>
        <v>Etc Grapple</v>
      </c>
      <c r="J821" s="6" t="s">
        <v>125</v>
      </c>
      <c r="K821" s="6">
        <v>1</v>
      </c>
      <c r="P821" s="6">
        <f t="shared" si="25"/>
        <v>4800000</v>
      </c>
      <c r="R821" s="6" t="s">
        <v>2003</v>
      </c>
      <c r="T821" s="6" t="s">
        <v>1063</v>
      </c>
      <c r="U821" s="6">
        <v>2016</v>
      </c>
      <c r="V821" s="6">
        <v>5</v>
      </c>
      <c r="AD821" s="6" t="s">
        <v>45</v>
      </c>
      <c r="AJ821" s="31" t="s">
        <v>2120</v>
      </c>
      <c r="AK821" s="6">
        <v>1</v>
      </c>
      <c r="AL821" s="26">
        <v>4600000</v>
      </c>
      <c r="AM821" s="26">
        <v>4600000</v>
      </c>
      <c r="AN821" s="26">
        <v>4600000</v>
      </c>
      <c r="AO821" s="6" t="s">
        <v>2003</v>
      </c>
      <c r="AQ821" s="6" t="s">
        <v>1148</v>
      </c>
      <c r="AU821" s="6">
        <v>225975</v>
      </c>
    </row>
    <row r="822" spans="1:47" x14ac:dyDescent="0.3">
      <c r="A822" s="28" t="s">
        <v>42</v>
      </c>
      <c r="B822" s="6" t="s">
        <v>2184</v>
      </c>
      <c r="C822" s="6" t="s">
        <v>1972</v>
      </c>
      <c r="D822" s="6" t="s">
        <v>2100</v>
      </c>
      <c r="E822" s="6">
        <v>1</v>
      </c>
      <c r="F822" s="6" t="s">
        <v>2004</v>
      </c>
      <c r="G822" s="6" t="s">
        <v>2005</v>
      </c>
      <c r="H822" s="6" t="s">
        <v>2005</v>
      </c>
      <c r="I822" s="6" t="str">
        <f t="shared" si="24"/>
        <v>Stone Grapple</v>
      </c>
      <c r="J822" s="6" t="s">
        <v>381</v>
      </c>
      <c r="K822" s="6">
        <v>1</v>
      </c>
      <c r="P822" s="6">
        <f t="shared" si="25"/>
        <v>1700000</v>
      </c>
      <c r="R822" s="6" t="s">
        <v>2003</v>
      </c>
      <c r="T822" s="6" t="s">
        <v>1880</v>
      </c>
      <c r="U822" s="6">
        <v>2016</v>
      </c>
      <c r="V822" s="6">
        <v>2</v>
      </c>
      <c r="AD822" s="6" t="s">
        <v>45</v>
      </c>
      <c r="AJ822" s="31" t="s">
        <v>2116</v>
      </c>
      <c r="AK822" s="6">
        <v>1</v>
      </c>
      <c r="AL822" s="26">
        <v>1600000</v>
      </c>
      <c r="AM822" s="26">
        <v>1600000</v>
      </c>
      <c r="AN822" s="26">
        <v>1600000</v>
      </c>
      <c r="AO822" s="6" t="s">
        <v>2003</v>
      </c>
      <c r="AQ822" s="6" t="s">
        <v>1233</v>
      </c>
      <c r="AU822" s="6">
        <v>225977</v>
      </c>
    </row>
    <row r="823" spans="1:47" x14ac:dyDescent="0.3">
      <c r="A823" s="28" t="s">
        <v>42</v>
      </c>
      <c r="B823" s="6" t="s">
        <v>2175</v>
      </c>
      <c r="C823" s="19" t="s">
        <v>2207</v>
      </c>
      <c r="D823" s="6" t="s">
        <v>2106</v>
      </c>
      <c r="E823" s="6">
        <v>1</v>
      </c>
      <c r="F823" s="6" t="s">
        <v>2004</v>
      </c>
      <c r="G823" s="6" t="s">
        <v>2005</v>
      </c>
      <c r="H823" s="6" t="s">
        <v>2005</v>
      </c>
      <c r="I823" s="6" t="str">
        <f t="shared" si="24"/>
        <v>Hydraulic Crusher</v>
      </c>
      <c r="J823" s="6" t="s">
        <v>651</v>
      </c>
      <c r="K823" s="6">
        <v>1</v>
      </c>
      <c r="P823" s="6">
        <f t="shared" si="25"/>
        <v>5800000</v>
      </c>
      <c r="R823" s="6" t="s">
        <v>2003</v>
      </c>
      <c r="T823" s="6" t="s">
        <v>837</v>
      </c>
      <c r="U823" s="6">
        <v>2016</v>
      </c>
      <c r="V823" s="6">
        <v>1</v>
      </c>
      <c r="AD823" s="6" t="s">
        <v>45</v>
      </c>
      <c r="AJ823" s="31" t="s">
        <v>2113</v>
      </c>
      <c r="AK823" s="6">
        <v>1</v>
      </c>
      <c r="AL823" s="26">
        <v>5300000</v>
      </c>
      <c r="AM823" s="26">
        <v>5300000</v>
      </c>
      <c r="AN823" s="26">
        <v>5300000</v>
      </c>
      <c r="AO823" s="6" t="s">
        <v>2003</v>
      </c>
      <c r="AQ823" s="6" t="s">
        <v>71</v>
      </c>
      <c r="AU823" s="6">
        <v>225982</v>
      </c>
    </row>
    <row r="824" spans="1:47" x14ac:dyDescent="0.3">
      <c r="A824" s="28" t="s">
        <v>42</v>
      </c>
      <c r="B824" s="6" t="s">
        <v>2177</v>
      </c>
      <c r="C824" s="6" t="s">
        <v>1972</v>
      </c>
      <c r="D824" s="6" t="s">
        <v>2104</v>
      </c>
      <c r="E824" s="6">
        <v>1</v>
      </c>
      <c r="F824" s="6" t="s">
        <v>2004</v>
      </c>
      <c r="G824" s="6" t="s">
        <v>2005</v>
      </c>
      <c r="H824" s="6" t="s">
        <v>2005</v>
      </c>
      <c r="I824" s="6" t="str">
        <f t="shared" si="24"/>
        <v>Stone Grapple</v>
      </c>
      <c r="J824" s="6" t="s">
        <v>44</v>
      </c>
      <c r="K824" s="6">
        <v>1</v>
      </c>
      <c r="P824" s="6">
        <f t="shared" si="25"/>
        <v>2200000</v>
      </c>
      <c r="R824" s="6" t="s">
        <v>2003</v>
      </c>
      <c r="T824" s="6" t="s">
        <v>1064</v>
      </c>
      <c r="U824" s="6">
        <v>2012</v>
      </c>
      <c r="V824" s="6">
        <v>1</v>
      </c>
      <c r="AD824" s="6" t="s">
        <v>45</v>
      </c>
      <c r="AJ824" s="31" t="s">
        <v>2117</v>
      </c>
      <c r="AK824" s="6">
        <v>1</v>
      </c>
      <c r="AL824" s="26">
        <v>2000000</v>
      </c>
      <c r="AM824" s="26">
        <v>2000000</v>
      </c>
      <c r="AN824" s="26">
        <v>2000000</v>
      </c>
      <c r="AO824" s="6" t="s">
        <v>2003</v>
      </c>
      <c r="AQ824" s="6" t="s">
        <v>1297</v>
      </c>
      <c r="AU824" s="6">
        <v>225983</v>
      </c>
    </row>
    <row r="825" spans="1:47" hidden="1" x14ac:dyDescent="0.3">
      <c r="A825" s="28" t="s">
        <v>42</v>
      </c>
      <c r="B825" s="6" t="s">
        <v>2181</v>
      </c>
      <c r="C825" s="6" t="s">
        <v>1979</v>
      </c>
      <c r="E825" s="6">
        <v>1</v>
      </c>
      <c r="F825" s="6" t="s">
        <v>2004</v>
      </c>
      <c r="G825" s="6" t="s">
        <v>2005</v>
      </c>
      <c r="H825" s="6" t="s">
        <v>2005</v>
      </c>
      <c r="I825" s="6" t="str">
        <f t="shared" si="24"/>
        <v>Thumb Grapple</v>
      </c>
      <c r="J825" s="6" t="s">
        <v>693</v>
      </c>
      <c r="K825" s="6">
        <v>1</v>
      </c>
      <c r="P825" s="6">
        <f t="shared" si="25"/>
        <v>900000</v>
      </c>
      <c r="R825" s="6" t="s">
        <v>2003</v>
      </c>
      <c r="T825" s="6" t="s">
        <v>1045</v>
      </c>
      <c r="U825" s="6">
        <v>2013</v>
      </c>
      <c r="V825" s="6">
        <v>6</v>
      </c>
      <c r="AD825" s="6" t="s">
        <v>45</v>
      </c>
      <c r="AJ825" s="31" t="s">
        <v>2121</v>
      </c>
      <c r="AK825" s="6">
        <v>1</v>
      </c>
      <c r="AL825" s="26">
        <v>800000</v>
      </c>
      <c r="AM825" s="26">
        <v>800000</v>
      </c>
      <c r="AN825" s="26">
        <v>800000</v>
      </c>
      <c r="AO825" s="6" t="s">
        <v>2003</v>
      </c>
      <c r="AQ825" s="6" t="s">
        <v>1205</v>
      </c>
      <c r="AU825" s="6">
        <v>225989</v>
      </c>
    </row>
    <row r="826" spans="1:47" x14ac:dyDescent="0.3">
      <c r="A826" s="28" t="s">
        <v>42</v>
      </c>
      <c r="B826" s="6" t="s">
        <v>2178</v>
      </c>
      <c r="C826" s="6" t="s">
        <v>1975</v>
      </c>
      <c r="D826" s="6" t="s">
        <v>2104</v>
      </c>
      <c r="E826" s="6">
        <v>1</v>
      </c>
      <c r="F826" s="6" t="s">
        <v>2004</v>
      </c>
      <c r="G826" s="6" t="s">
        <v>2005</v>
      </c>
      <c r="H826" s="6" t="s">
        <v>2005</v>
      </c>
      <c r="I826" s="6" t="str">
        <f t="shared" si="24"/>
        <v>Side Breaker</v>
      </c>
      <c r="J826" s="6" t="s">
        <v>592</v>
      </c>
      <c r="K826" s="6">
        <v>1</v>
      </c>
      <c r="P826" s="6">
        <f t="shared" si="25"/>
        <v>4400000</v>
      </c>
      <c r="R826" s="6" t="s">
        <v>2003</v>
      </c>
      <c r="T826" s="6" t="s">
        <v>798</v>
      </c>
      <c r="U826" s="6">
        <v>2015</v>
      </c>
      <c r="V826" s="6">
        <v>1</v>
      </c>
      <c r="AD826" s="6" t="s">
        <v>45</v>
      </c>
      <c r="AJ826" s="31" t="s">
        <v>2113</v>
      </c>
      <c r="AK826" s="6">
        <v>1</v>
      </c>
      <c r="AL826" s="26">
        <v>4200000</v>
      </c>
      <c r="AM826" s="26">
        <v>4200000</v>
      </c>
      <c r="AN826" s="26">
        <v>4200000</v>
      </c>
      <c r="AO826" s="6" t="s">
        <v>2003</v>
      </c>
      <c r="AQ826" s="6" t="s">
        <v>71</v>
      </c>
      <c r="AU826" s="6">
        <v>225991</v>
      </c>
    </row>
    <row r="827" spans="1:47" x14ac:dyDescent="0.3">
      <c r="A827" s="28" t="s">
        <v>42</v>
      </c>
      <c r="B827" s="6" t="s">
        <v>2181</v>
      </c>
      <c r="D827" s="6" t="s">
        <v>2104</v>
      </c>
      <c r="E827" s="6">
        <v>1</v>
      </c>
      <c r="F827" s="6" t="s">
        <v>2004</v>
      </c>
      <c r="G827" s="6" t="s">
        <v>2005</v>
      </c>
      <c r="H827" s="6" t="s">
        <v>2005</v>
      </c>
      <c r="I827" s="6" t="str">
        <f t="shared" si="24"/>
        <v>ETC</v>
      </c>
      <c r="J827" s="6" t="s">
        <v>695</v>
      </c>
      <c r="K827" s="6">
        <v>1</v>
      </c>
      <c r="P827" s="6">
        <f t="shared" si="25"/>
        <v>2900000</v>
      </c>
      <c r="R827" s="6" t="s">
        <v>2003</v>
      </c>
      <c r="T827" s="6" t="s">
        <v>1066</v>
      </c>
      <c r="U827" s="6">
        <v>2010</v>
      </c>
      <c r="V827" s="6">
        <v>1</v>
      </c>
      <c r="AD827" s="6" t="s">
        <v>45</v>
      </c>
      <c r="AJ827" s="31" t="s">
        <v>2110</v>
      </c>
      <c r="AK827" s="6">
        <v>1</v>
      </c>
      <c r="AL827" s="26">
        <v>2700000</v>
      </c>
      <c r="AM827" s="26">
        <v>2700000</v>
      </c>
      <c r="AN827" s="26">
        <v>2700000</v>
      </c>
      <c r="AO827" s="6" t="s">
        <v>2003</v>
      </c>
      <c r="AQ827" s="6" t="s">
        <v>1171</v>
      </c>
      <c r="AU827" s="6">
        <v>225992</v>
      </c>
    </row>
    <row r="828" spans="1:47" x14ac:dyDescent="0.3">
      <c r="A828" s="28" t="s">
        <v>42</v>
      </c>
      <c r="B828" s="6" t="s">
        <v>2181</v>
      </c>
      <c r="D828" s="6" t="s">
        <v>2001</v>
      </c>
      <c r="E828" s="6">
        <v>1</v>
      </c>
      <c r="F828" s="6" t="s">
        <v>2004</v>
      </c>
      <c r="G828" s="6" t="s">
        <v>2005</v>
      </c>
      <c r="H828" s="6" t="s">
        <v>2005</v>
      </c>
      <c r="I828" s="6" t="str">
        <f t="shared" si="24"/>
        <v>ETC</v>
      </c>
      <c r="J828" s="6" t="s">
        <v>696</v>
      </c>
      <c r="K828" s="6">
        <v>1</v>
      </c>
      <c r="P828" s="6">
        <f t="shared" si="25"/>
        <v>9400000</v>
      </c>
      <c r="R828" s="6" t="s">
        <v>2003</v>
      </c>
      <c r="T828" s="6" t="s">
        <v>1067</v>
      </c>
      <c r="U828" s="6">
        <v>2012</v>
      </c>
      <c r="V828" s="6">
        <v>1</v>
      </c>
      <c r="AD828" s="6" t="s">
        <v>45</v>
      </c>
      <c r="AJ828" s="31" t="s">
        <v>2122</v>
      </c>
      <c r="AK828" s="6">
        <v>1</v>
      </c>
      <c r="AL828" s="26">
        <v>8900000</v>
      </c>
      <c r="AM828" s="26">
        <v>8900000</v>
      </c>
      <c r="AN828" s="26">
        <v>8900000</v>
      </c>
      <c r="AO828" s="6" t="s">
        <v>2003</v>
      </c>
      <c r="AQ828" s="6" t="s">
        <v>1202</v>
      </c>
      <c r="AU828" s="6">
        <v>225993</v>
      </c>
    </row>
    <row r="829" spans="1:47" hidden="1" x14ac:dyDescent="0.3">
      <c r="A829" s="28" t="s">
        <v>42</v>
      </c>
      <c r="B829" s="6" t="s">
        <v>2177</v>
      </c>
      <c r="C829" s="6" t="s">
        <v>1972</v>
      </c>
      <c r="E829" s="6">
        <v>1</v>
      </c>
      <c r="F829" s="6" t="s">
        <v>2004</v>
      </c>
      <c r="G829" s="6" t="s">
        <v>2005</v>
      </c>
      <c r="H829" s="6" t="s">
        <v>2005</v>
      </c>
      <c r="I829" s="6" t="str">
        <f t="shared" si="24"/>
        <v>Stone Grapple</v>
      </c>
      <c r="J829" s="6" t="s">
        <v>148</v>
      </c>
      <c r="K829" s="6">
        <v>1</v>
      </c>
      <c r="P829" s="6">
        <f t="shared" si="25"/>
        <v>3200000</v>
      </c>
      <c r="R829" s="6" t="s">
        <v>2003</v>
      </c>
      <c r="T829" s="6" t="s">
        <v>1068</v>
      </c>
      <c r="U829" s="6">
        <v>2013</v>
      </c>
      <c r="V829" s="6">
        <v>1</v>
      </c>
      <c r="AD829" s="6" t="s">
        <v>45</v>
      </c>
      <c r="AJ829" s="31" t="s">
        <v>2111</v>
      </c>
      <c r="AK829" s="6">
        <v>1</v>
      </c>
      <c r="AL829" s="26">
        <v>3000000</v>
      </c>
      <c r="AM829" s="26">
        <v>3000000</v>
      </c>
      <c r="AN829" s="26">
        <v>3000000</v>
      </c>
      <c r="AO829" s="6" t="s">
        <v>2003</v>
      </c>
      <c r="AQ829" s="6" t="s">
        <v>1287</v>
      </c>
      <c r="AU829" s="6">
        <v>225994</v>
      </c>
    </row>
    <row r="830" spans="1:47" x14ac:dyDescent="0.3">
      <c r="A830" s="28" t="s">
        <v>42</v>
      </c>
      <c r="B830" s="6" t="s">
        <v>2179</v>
      </c>
      <c r="C830" s="6" t="s">
        <v>1977</v>
      </c>
      <c r="D830" s="6" t="s">
        <v>2104</v>
      </c>
      <c r="E830" s="6">
        <v>1</v>
      </c>
      <c r="F830" s="6" t="s">
        <v>2004</v>
      </c>
      <c r="G830" s="6" t="s">
        <v>2005</v>
      </c>
      <c r="H830" s="6" t="s">
        <v>2005</v>
      </c>
      <c r="I830" s="6" t="str">
        <f t="shared" si="24"/>
        <v>Wide Bucket</v>
      </c>
      <c r="J830" s="6" t="s">
        <v>123</v>
      </c>
      <c r="K830" s="6">
        <v>1</v>
      </c>
      <c r="P830" s="6">
        <f t="shared" si="25"/>
        <v>1200000</v>
      </c>
      <c r="R830" s="6" t="s">
        <v>2003</v>
      </c>
      <c r="T830" s="6" t="s">
        <v>823</v>
      </c>
      <c r="U830" s="6">
        <v>2014</v>
      </c>
      <c r="V830" s="6">
        <v>1</v>
      </c>
      <c r="AD830" s="6" t="s">
        <v>45</v>
      </c>
      <c r="AJ830" s="31" t="s">
        <v>2113</v>
      </c>
      <c r="AK830" s="6">
        <v>1</v>
      </c>
      <c r="AL830" s="26">
        <v>1100000</v>
      </c>
      <c r="AM830" s="26">
        <v>1100000</v>
      </c>
      <c r="AN830" s="26">
        <v>1100000</v>
      </c>
      <c r="AO830" s="6" t="s">
        <v>2003</v>
      </c>
      <c r="AQ830" s="6" t="s">
        <v>49</v>
      </c>
      <c r="AU830" s="6">
        <v>225997</v>
      </c>
    </row>
    <row r="831" spans="1:47" hidden="1" x14ac:dyDescent="0.3">
      <c r="A831" s="28" t="s">
        <v>42</v>
      </c>
      <c r="B831" s="6" t="s">
        <v>2177</v>
      </c>
      <c r="C831" s="6" t="s">
        <v>1974</v>
      </c>
      <c r="E831" s="6">
        <v>1</v>
      </c>
      <c r="F831" s="6" t="s">
        <v>2004</v>
      </c>
      <c r="G831" s="6" t="s">
        <v>2005</v>
      </c>
      <c r="H831" s="6" t="s">
        <v>2005</v>
      </c>
      <c r="I831" s="6" t="str">
        <f t="shared" si="24"/>
        <v>Etc Grapple</v>
      </c>
      <c r="J831" s="6" t="s">
        <v>698</v>
      </c>
      <c r="K831" s="6">
        <v>1</v>
      </c>
      <c r="P831" s="6">
        <f t="shared" si="25"/>
        <v>4900000</v>
      </c>
      <c r="R831" s="6" t="s">
        <v>2003</v>
      </c>
      <c r="T831" s="6" t="s">
        <v>1069</v>
      </c>
      <c r="U831" s="6">
        <v>2016</v>
      </c>
      <c r="V831" s="6">
        <v>2</v>
      </c>
      <c r="AD831" s="6" t="s">
        <v>45</v>
      </c>
      <c r="AJ831" s="31" t="s">
        <v>2122</v>
      </c>
      <c r="AK831" s="6">
        <v>1</v>
      </c>
      <c r="AL831" s="26">
        <v>4700000</v>
      </c>
      <c r="AM831" s="26">
        <v>4700000</v>
      </c>
      <c r="AN831" s="26">
        <v>4700000</v>
      </c>
      <c r="AO831" s="6" t="s">
        <v>2003</v>
      </c>
      <c r="AQ831" s="6" t="s">
        <v>1283</v>
      </c>
      <c r="AU831" s="6">
        <v>226001</v>
      </c>
    </row>
    <row r="832" spans="1:47" x14ac:dyDescent="0.3">
      <c r="A832" s="28" t="s">
        <v>42</v>
      </c>
      <c r="B832" s="6" t="s">
        <v>2179</v>
      </c>
      <c r="C832" s="6" t="s">
        <v>1976</v>
      </c>
      <c r="D832" s="6" t="s">
        <v>2100</v>
      </c>
      <c r="E832" s="6">
        <v>1</v>
      </c>
      <c r="F832" s="6" t="s">
        <v>2004</v>
      </c>
      <c r="G832" s="6" t="s">
        <v>2005</v>
      </c>
      <c r="H832" s="6" t="s">
        <v>2005</v>
      </c>
      <c r="I832" s="6" t="str">
        <f t="shared" si="24"/>
        <v>Skeleton Bucket</v>
      </c>
      <c r="J832" s="6" t="s">
        <v>699</v>
      </c>
      <c r="K832" s="6">
        <v>1</v>
      </c>
      <c r="P832" s="6">
        <f t="shared" si="25"/>
        <v>1000000</v>
      </c>
      <c r="R832" s="6" t="s">
        <v>2003</v>
      </c>
      <c r="T832" s="6" t="s">
        <v>1070</v>
      </c>
      <c r="U832" s="6">
        <v>2016</v>
      </c>
      <c r="V832" s="6">
        <v>4</v>
      </c>
      <c r="AD832" s="6" t="s">
        <v>45</v>
      </c>
      <c r="AJ832" s="31" t="s">
        <v>2120</v>
      </c>
      <c r="AK832" s="6">
        <v>1</v>
      </c>
      <c r="AL832" s="26">
        <v>900000</v>
      </c>
      <c r="AM832" s="26">
        <v>900000</v>
      </c>
      <c r="AN832" s="26">
        <v>900000</v>
      </c>
      <c r="AO832" s="6" t="s">
        <v>2003</v>
      </c>
      <c r="AQ832" s="6" t="s">
        <v>1294</v>
      </c>
      <c r="AU832" s="6">
        <v>226002</v>
      </c>
    </row>
    <row r="833" spans="1:47" x14ac:dyDescent="0.3">
      <c r="A833" s="28" t="s">
        <v>42</v>
      </c>
      <c r="B833" s="6" t="s">
        <v>2179</v>
      </c>
      <c r="C833" s="6" t="s">
        <v>1977</v>
      </c>
      <c r="D833" s="6" t="s">
        <v>2100</v>
      </c>
      <c r="E833" s="6">
        <v>1</v>
      </c>
      <c r="F833" s="6" t="s">
        <v>2004</v>
      </c>
      <c r="G833" s="6" t="s">
        <v>2005</v>
      </c>
      <c r="H833" s="6" t="s">
        <v>2005</v>
      </c>
      <c r="I833" s="6" t="str">
        <f t="shared" si="24"/>
        <v>Wide Bucket</v>
      </c>
      <c r="J833" s="6" t="s">
        <v>202</v>
      </c>
      <c r="K833" s="6">
        <v>1</v>
      </c>
      <c r="P833" s="6">
        <f t="shared" si="25"/>
        <v>350000</v>
      </c>
      <c r="R833" s="6" t="s">
        <v>2003</v>
      </c>
      <c r="T833" s="6" t="s">
        <v>2007</v>
      </c>
      <c r="U833" s="6">
        <v>2014</v>
      </c>
      <c r="V833" s="6">
        <v>1</v>
      </c>
      <c r="AD833" s="6" t="s">
        <v>45</v>
      </c>
      <c r="AJ833" s="31" t="s">
        <v>2113</v>
      </c>
      <c r="AK833" s="6">
        <v>1</v>
      </c>
      <c r="AL833" s="26">
        <v>300000</v>
      </c>
      <c r="AM833" s="26">
        <v>300000</v>
      </c>
      <c r="AN833" s="26">
        <v>300000</v>
      </c>
      <c r="AO833" s="6" t="s">
        <v>2003</v>
      </c>
      <c r="AQ833" s="6" t="s">
        <v>49</v>
      </c>
      <c r="AU833" s="6">
        <v>226012</v>
      </c>
    </row>
    <row r="834" spans="1:47" x14ac:dyDescent="0.3">
      <c r="A834" s="28" t="s">
        <v>42</v>
      </c>
      <c r="B834" s="6" t="s">
        <v>2201</v>
      </c>
      <c r="C834" s="19" t="s">
        <v>2207</v>
      </c>
      <c r="D834" s="6" t="s">
        <v>2106</v>
      </c>
      <c r="E834" s="6">
        <v>1</v>
      </c>
      <c r="F834" s="6" t="s">
        <v>2004</v>
      </c>
      <c r="G834" s="6" t="s">
        <v>2005</v>
      </c>
      <c r="H834" s="6" t="s">
        <v>2005</v>
      </c>
      <c r="I834" s="6" t="str">
        <f t="shared" ref="I834:I897" si="26">IF(ISBLANK(C834),B834,C834)</f>
        <v>Hydraulic Crusher</v>
      </c>
      <c r="J834" s="6" t="s">
        <v>76</v>
      </c>
      <c r="K834" s="6">
        <v>1</v>
      </c>
      <c r="P834" s="6">
        <f t="shared" si="25"/>
        <v>5800000</v>
      </c>
      <c r="R834" s="6" t="s">
        <v>2003</v>
      </c>
      <c r="T834" s="6" t="s">
        <v>798</v>
      </c>
      <c r="U834" s="6">
        <v>2016</v>
      </c>
      <c r="V834" s="6">
        <v>3</v>
      </c>
      <c r="AD834" s="6" t="s">
        <v>45</v>
      </c>
      <c r="AJ834" s="31" t="s">
        <v>2113</v>
      </c>
      <c r="AK834" s="6">
        <v>1</v>
      </c>
      <c r="AL834" s="26">
        <v>5300000</v>
      </c>
      <c r="AM834" s="26">
        <v>5300000</v>
      </c>
      <c r="AN834" s="26">
        <v>5300000</v>
      </c>
      <c r="AO834" s="6" t="s">
        <v>2003</v>
      </c>
      <c r="AQ834" s="6" t="s">
        <v>71</v>
      </c>
      <c r="AU834" s="6">
        <v>226020</v>
      </c>
    </row>
    <row r="835" spans="1:47" hidden="1" x14ac:dyDescent="0.3">
      <c r="A835" s="28" t="s">
        <v>42</v>
      </c>
      <c r="B835" s="6" t="s">
        <v>2177</v>
      </c>
      <c r="E835" s="6">
        <v>1</v>
      </c>
      <c r="F835" s="6" t="s">
        <v>2004</v>
      </c>
      <c r="G835" s="6" t="s">
        <v>2005</v>
      </c>
      <c r="H835" s="6" t="s">
        <v>2005</v>
      </c>
      <c r="I835" s="6" t="str">
        <f t="shared" si="26"/>
        <v>Grapple</v>
      </c>
      <c r="J835" s="6" t="s">
        <v>288</v>
      </c>
      <c r="K835" s="6">
        <v>1</v>
      </c>
      <c r="P835" s="6">
        <f t="shared" ref="P835:P898" si="27">IF(AM835&lt;500000,AM835+50000,IF(AND(AM835&gt;=500000,AM835&lt;2000000),AM835+100000,IF(AND(AM835&gt;=2000000,AM835&lt;5000000),AM835+200000,IF(AM835&gt;=5000000,AM835+500000,AM835))))</f>
        <v>2200000</v>
      </c>
      <c r="R835" s="6" t="s">
        <v>2003</v>
      </c>
      <c r="T835" s="6" t="s">
        <v>2075</v>
      </c>
      <c r="U835" s="6">
        <v>2015</v>
      </c>
      <c r="V835" s="6">
        <v>1</v>
      </c>
      <c r="AD835" s="6" t="s">
        <v>45</v>
      </c>
      <c r="AJ835" s="31" t="s">
        <v>2113</v>
      </c>
      <c r="AK835" s="6">
        <v>1</v>
      </c>
      <c r="AL835" s="26">
        <v>2000000</v>
      </c>
      <c r="AM835" s="26">
        <v>2000000</v>
      </c>
      <c r="AN835" s="26">
        <v>2000000</v>
      </c>
      <c r="AO835" s="6" t="s">
        <v>2003</v>
      </c>
      <c r="AQ835" s="6" t="s">
        <v>49</v>
      </c>
      <c r="AU835" s="6">
        <v>226023</v>
      </c>
    </row>
    <row r="836" spans="1:47" x14ac:dyDescent="0.3">
      <c r="A836" s="28" t="s">
        <v>42</v>
      </c>
      <c r="B836" s="6" t="s">
        <v>2185</v>
      </c>
      <c r="D836" s="6" t="s">
        <v>2101</v>
      </c>
      <c r="E836" s="6">
        <v>1</v>
      </c>
      <c r="F836" s="6" t="s">
        <v>2004</v>
      </c>
      <c r="G836" s="6" t="s">
        <v>2005</v>
      </c>
      <c r="H836" s="6" t="s">
        <v>2005</v>
      </c>
      <c r="I836" s="6" t="str">
        <f t="shared" si="26"/>
        <v>ETC</v>
      </c>
      <c r="J836" s="6" t="s">
        <v>151</v>
      </c>
      <c r="K836" s="6">
        <v>1</v>
      </c>
      <c r="P836" s="6">
        <f t="shared" si="27"/>
        <v>6000000</v>
      </c>
      <c r="R836" s="6" t="s">
        <v>2003</v>
      </c>
      <c r="T836" s="6" t="s">
        <v>832</v>
      </c>
      <c r="U836" s="6">
        <v>2009</v>
      </c>
      <c r="V836" s="6">
        <v>1</v>
      </c>
      <c r="AD836" s="6" t="s">
        <v>45</v>
      </c>
      <c r="AJ836" s="31" t="s">
        <v>2112</v>
      </c>
      <c r="AK836" s="6">
        <v>1</v>
      </c>
      <c r="AL836" s="26">
        <v>5500000</v>
      </c>
      <c r="AM836" s="26">
        <v>5500000</v>
      </c>
      <c r="AN836" s="26">
        <v>5500000</v>
      </c>
      <c r="AO836" s="6" t="s">
        <v>2003</v>
      </c>
      <c r="AQ836" s="6" t="s">
        <v>1224</v>
      </c>
      <c r="AU836" s="6">
        <v>226026</v>
      </c>
    </row>
    <row r="837" spans="1:47" hidden="1" x14ac:dyDescent="0.3">
      <c r="A837" s="28" t="s">
        <v>42</v>
      </c>
      <c r="B837" s="6" t="s">
        <v>2186</v>
      </c>
      <c r="E837" s="6">
        <v>1</v>
      </c>
      <c r="F837" s="6" t="s">
        <v>2004</v>
      </c>
      <c r="G837" s="6" t="s">
        <v>2005</v>
      </c>
      <c r="H837" s="6" t="s">
        <v>2005</v>
      </c>
      <c r="I837" s="6" t="str">
        <f t="shared" si="26"/>
        <v>Bucket</v>
      </c>
      <c r="J837" s="6" t="s">
        <v>315</v>
      </c>
      <c r="K837" s="6">
        <v>1</v>
      </c>
      <c r="P837" s="6">
        <f t="shared" si="27"/>
        <v>350000</v>
      </c>
      <c r="R837" s="6" t="s">
        <v>2003</v>
      </c>
      <c r="T837" s="6" t="s">
        <v>2076</v>
      </c>
      <c r="U837" s="6">
        <v>2017</v>
      </c>
      <c r="V837" s="6">
        <v>1</v>
      </c>
      <c r="AD837" s="6" t="s">
        <v>45</v>
      </c>
      <c r="AJ837" s="31" t="s">
        <v>2113</v>
      </c>
      <c r="AK837" s="6">
        <v>1</v>
      </c>
      <c r="AL837" s="26">
        <v>300000</v>
      </c>
      <c r="AM837" s="26">
        <v>300000</v>
      </c>
      <c r="AN837" s="26">
        <v>300000</v>
      </c>
      <c r="AO837" s="6" t="s">
        <v>2003</v>
      </c>
      <c r="AQ837" s="6" t="s">
        <v>49</v>
      </c>
      <c r="AU837" s="6">
        <v>226029</v>
      </c>
    </row>
    <row r="838" spans="1:47" x14ac:dyDescent="0.3">
      <c r="A838" s="28" t="s">
        <v>42</v>
      </c>
      <c r="B838" s="6" t="s">
        <v>2175</v>
      </c>
      <c r="C838" s="19" t="s">
        <v>2207</v>
      </c>
      <c r="D838" s="6" t="s">
        <v>2106</v>
      </c>
      <c r="E838" s="6">
        <v>1</v>
      </c>
      <c r="F838" s="6" t="s">
        <v>2004</v>
      </c>
      <c r="G838" s="6" t="s">
        <v>2005</v>
      </c>
      <c r="H838" s="6" t="s">
        <v>2005</v>
      </c>
      <c r="I838" s="6" t="str">
        <f t="shared" si="26"/>
        <v>Hydraulic Crusher</v>
      </c>
      <c r="J838" s="6" t="s">
        <v>651</v>
      </c>
      <c r="K838" s="6">
        <v>1</v>
      </c>
      <c r="P838" s="6">
        <f t="shared" si="27"/>
        <v>4500000</v>
      </c>
      <c r="R838" s="6" t="s">
        <v>2003</v>
      </c>
      <c r="T838" s="6" t="s">
        <v>837</v>
      </c>
      <c r="U838" s="6">
        <v>2014</v>
      </c>
      <c r="V838" s="6">
        <v>1</v>
      </c>
      <c r="AD838" s="6" t="s">
        <v>45</v>
      </c>
      <c r="AJ838" s="31" t="s">
        <v>2113</v>
      </c>
      <c r="AK838" s="6">
        <v>1</v>
      </c>
      <c r="AL838" s="26">
        <v>4300000</v>
      </c>
      <c r="AM838" s="26">
        <v>4300000</v>
      </c>
      <c r="AN838" s="26">
        <v>4300000</v>
      </c>
      <c r="AO838" s="6" t="s">
        <v>2003</v>
      </c>
      <c r="AQ838" s="6" t="s">
        <v>71</v>
      </c>
      <c r="AU838" s="6">
        <v>226031</v>
      </c>
    </row>
    <row r="839" spans="1:47" x14ac:dyDescent="0.3">
      <c r="A839" s="28" t="s">
        <v>42</v>
      </c>
      <c r="B839" s="6" t="s">
        <v>2179</v>
      </c>
      <c r="C839" s="6" t="s">
        <v>1976</v>
      </c>
      <c r="D839" s="6" t="s">
        <v>2104</v>
      </c>
      <c r="E839" s="6">
        <v>1</v>
      </c>
      <c r="F839" s="6" t="s">
        <v>2004</v>
      </c>
      <c r="G839" s="6" t="s">
        <v>2005</v>
      </c>
      <c r="H839" s="6" t="s">
        <v>2005</v>
      </c>
      <c r="I839" s="6" t="str">
        <f t="shared" si="26"/>
        <v>Skeleton Bucket</v>
      </c>
      <c r="J839" s="6" t="s">
        <v>118</v>
      </c>
      <c r="K839" s="6">
        <v>1</v>
      </c>
      <c r="P839" s="6">
        <f t="shared" si="27"/>
        <v>1150000</v>
      </c>
      <c r="R839" s="6" t="s">
        <v>2003</v>
      </c>
      <c r="T839" s="6" t="s">
        <v>66</v>
      </c>
      <c r="U839" s="6">
        <v>2014</v>
      </c>
      <c r="V839" s="6">
        <v>5</v>
      </c>
      <c r="AD839" s="6" t="s">
        <v>45</v>
      </c>
      <c r="AJ839" s="31" t="s">
        <v>2112</v>
      </c>
      <c r="AK839" s="6">
        <v>1</v>
      </c>
      <c r="AL839" s="26">
        <v>1050000</v>
      </c>
      <c r="AM839" s="26">
        <v>1050000</v>
      </c>
      <c r="AN839" s="26">
        <v>1050000</v>
      </c>
      <c r="AO839" s="6" t="s">
        <v>2003</v>
      </c>
      <c r="AQ839" s="6" t="s">
        <v>1184</v>
      </c>
      <c r="AU839" s="6">
        <v>226032</v>
      </c>
    </row>
    <row r="840" spans="1:47" x14ac:dyDescent="0.3">
      <c r="A840" s="28" t="s">
        <v>42</v>
      </c>
      <c r="B840" s="6" t="s">
        <v>2190</v>
      </c>
      <c r="D840" s="6" t="s">
        <v>2104</v>
      </c>
      <c r="E840" s="6">
        <v>1</v>
      </c>
      <c r="F840" s="6" t="s">
        <v>2004</v>
      </c>
      <c r="G840" s="6" t="s">
        <v>2005</v>
      </c>
      <c r="H840" s="6" t="s">
        <v>2005</v>
      </c>
      <c r="I840" s="6" t="str">
        <f t="shared" si="26"/>
        <v>Lift Fork</v>
      </c>
      <c r="J840" s="6" t="s">
        <v>102</v>
      </c>
      <c r="K840" s="6">
        <v>1</v>
      </c>
      <c r="P840" s="6">
        <f t="shared" si="27"/>
        <v>750000</v>
      </c>
      <c r="R840" s="6" t="s">
        <v>2003</v>
      </c>
      <c r="T840" s="6" t="s">
        <v>823</v>
      </c>
      <c r="U840" s="6">
        <v>2013</v>
      </c>
      <c r="V840" s="6">
        <v>1</v>
      </c>
      <c r="AD840" s="6" t="s">
        <v>45</v>
      </c>
      <c r="AJ840" s="31" t="s">
        <v>2113</v>
      </c>
      <c r="AK840" s="6">
        <v>1</v>
      </c>
      <c r="AL840" s="26">
        <v>650000</v>
      </c>
      <c r="AM840" s="26">
        <v>650000</v>
      </c>
      <c r="AN840" s="26">
        <v>650000</v>
      </c>
      <c r="AO840" s="6" t="s">
        <v>2003</v>
      </c>
      <c r="AQ840" s="6" t="s">
        <v>49</v>
      </c>
      <c r="AU840" s="6">
        <v>226035</v>
      </c>
    </row>
    <row r="841" spans="1:47" x14ac:dyDescent="0.3">
      <c r="A841" s="28" t="s">
        <v>42</v>
      </c>
      <c r="B841" s="6" t="s">
        <v>2177</v>
      </c>
      <c r="C841" s="6" t="s">
        <v>1972</v>
      </c>
      <c r="D841" s="6" t="s">
        <v>2103</v>
      </c>
      <c r="E841" s="6">
        <v>1</v>
      </c>
      <c r="F841" s="6" t="s">
        <v>2004</v>
      </c>
      <c r="G841" s="6" t="s">
        <v>2005</v>
      </c>
      <c r="H841" s="6" t="s">
        <v>2005</v>
      </c>
      <c r="I841" s="6" t="str">
        <f t="shared" si="26"/>
        <v>Stone Grapple</v>
      </c>
      <c r="J841" s="6" t="s">
        <v>94</v>
      </c>
      <c r="K841" s="6">
        <v>1</v>
      </c>
      <c r="P841" s="6">
        <f t="shared" si="27"/>
        <v>3200000</v>
      </c>
      <c r="R841" s="6" t="s">
        <v>2003</v>
      </c>
      <c r="T841" s="6" t="s">
        <v>2077</v>
      </c>
      <c r="U841" s="6">
        <v>2015</v>
      </c>
      <c r="V841" s="6">
        <v>6</v>
      </c>
      <c r="AD841" s="6" t="s">
        <v>45</v>
      </c>
      <c r="AJ841" s="31" t="s">
        <v>2123</v>
      </c>
      <c r="AK841" s="6">
        <v>1</v>
      </c>
      <c r="AL841" s="26">
        <v>3000000</v>
      </c>
      <c r="AM841" s="26">
        <v>3000000</v>
      </c>
      <c r="AN841" s="26">
        <v>3000000</v>
      </c>
      <c r="AO841" s="6" t="s">
        <v>2003</v>
      </c>
      <c r="AQ841" s="6" t="s">
        <v>1295</v>
      </c>
      <c r="AU841" s="6">
        <v>226036</v>
      </c>
    </row>
    <row r="842" spans="1:47" hidden="1" x14ac:dyDescent="0.3">
      <c r="A842" s="28" t="s">
        <v>42</v>
      </c>
      <c r="B842" s="6" t="s">
        <v>2181</v>
      </c>
      <c r="E842" s="6">
        <v>1</v>
      </c>
      <c r="F842" s="6" t="s">
        <v>2004</v>
      </c>
      <c r="G842" s="6" t="s">
        <v>2005</v>
      </c>
      <c r="H842" s="6" t="s">
        <v>2005</v>
      </c>
      <c r="I842" s="6" t="str">
        <f t="shared" si="26"/>
        <v>ETC</v>
      </c>
      <c r="J842" s="6" t="s">
        <v>700</v>
      </c>
      <c r="K842" s="6">
        <v>1</v>
      </c>
      <c r="P842" s="6">
        <f t="shared" si="27"/>
        <v>5500000</v>
      </c>
      <c r="R842" s="6" t="s">
        <v>2003</v>
      </c>
      <c r="T842" s="6" t="s">
        <v>54</v>
      </c>
      <c r="U842" s="6">
        <v>2008</v>
      </c>
      <c r="V842" s="6">
        <v>1</v>
      </c>
      <c r="AD842" s="6" t="s">
        <v>45</v>
      </c>
      <c r="AJ842" s="31" t="s">
        <v>2114</v>
      </c>
      <c r="AK842" s="6">
        <v>1</v>
      </c>
      <c r="AL842" s="26">
        <v>5000000</v>
      </c>
      <c r="AM842" s="26">
        <v>5000000</v>
      </c>
      <c r="AN842" s="26">
        <v>5000000</v>
      </c>
      <c r="AO842" s="6" t="s">
        <v>2003</v>
      </c>
      <c r="AQ842" s="6" t="s">
        <v>54</v>
      </c>
      <c r="AU842" s="6">
        <v>226041</v>
      </c>
    </row>
    <row r="843" spans="1:47" x14ac:dyDescent="0.3">
      <c r="A843" s="28" t="s">
        <v>42</v>
      </c>
      <c r="B843" s="6" t="s">
        <v>2179</v>
      </c>
      <c r="C843" s="19" t="s">
        <v>2205</v>
      </c>
      <c r="D843" s="6" t="s">
        <v>2100</v>
      </c>
      <c r="E843" s="6">
        <v>1</v>
      </c>
      <c r="F843" s="6" t="s">
        <v>2004</v>
      </c>
      <c r="G843" s="6" t="s">
        <v>2005</v>
      </c>
      <c r="H843" s="6" t="s">
        <v>2005</v>
      </c>
      <c r="I843" s="6" t="str">
        <f t="shared" si="26"/>
        <v>Standard Bucket</v>
      </c>
      <c r="J843" s="6" t="s">
        <v>701</v>
      </c>
      <c r="K843" s="6">
        <v>1</v>
      </c>
      <c r="P843" s="6">
        <f t="shared" si="27"/>
        <v>380000</v>
      </c>
      <c r="R843" s="6" t="s">
        <v>2003</v>
      </c>
      <c r="T843" s="6" t="s">
        <v>2078</v>
      </c>
      <c r="U843" s="6">
        <v>2017</v>
      </c>
      <c r="V843" s="6">
        <v>1</v>
      </c>
      <c r="AD843" s="6" t="s">
        <v>45</v>
      </c>
      <c r="AJ843" s="31" t="s">
        <v>2113</v>
      </c>
      <c r="AK843" s="6">
        <v>1</v>
      </c>
      <c r="AL843" s="26">
        <v>330000</v>
      </c>
      <c r="AM843" s="26">
        <v>330000</v>
      </c>
      <c r="AN843" s="26">
        <v>330000</v>
      </c>
      <c r="AO843" s="6" t="s">
        <v>2003</v>
      </c>
      <c r="AQ843" s="6" t="s">
        <v>49</v>
      </c>
      <c r="AU843" s="6">
        <v>226045</v>
      </c>
    </row>
    <row r="844" spans="1:47" x14ac:dyDescent="0.3">
      <c r="A844" s="28" t="s">
        <v>42</v>
      </c>
      <c r="B844" s="6" t="s">
        <v>2184</v>
      </c>
      <c r="C844" s="6" t="s">
        <v>1972</v>
      </c>
      <c r="D844" s="6" t="s">
        <v>2103</v>
      </c>
      <c r="E844" s="6">
        <v>1</v>
      </c>
      <c r="F844" s="6" t="s">
        <v>2004</v>
      </c>
      <c r="G844" s="6" t="s">
        <v>2005</v>
      </c>
      <c r="H844" s="6" t="s">
        <v>2005</v>
      </c>
      <c r="I844" s="6" t="str">
        <f t="shared" si="26"/>
        <v>Stone Grapple</v>
      </c>
      <c r="J844" s="6" t="s">
        <v>94</v>
      </c>
      <c r="K844" s="6">
        <v>1</v>
      </c>
      <c r="P844" s="6">
        <f t="shared" si="27"/>
        <v>3200000</v>
      </c>
      <c r="R844" s="6" t="s">
        <v>2003</v>
      </c>
      <c r="T844" s="6" t="s">
        <v>91</v>
      </c>
      <c r="U844" s="6">
        <v>2010</v>
      </c>
      <c r="V844" s="6">
        <v>1</v>
      </c>
      <c r="AD844" s="6" t="s">
        <v>45</v>
      </c>
      <c r="AJ844" s="31" t="s">
        <v>2111</v>
      </c>
      <c r="AK844" s="6">
        <v>1</v>
      </c>
      <c r="AL844" s="26">
        <v>3000000</v>
      </c>
      <c r="AM844" s="26">
        <v>3000000</v>
      </c>
      <c r="AN844" s="26">
        <v>3000000</v>
      </c>
      <c r="AO844" s="6" t="s">
        <v>2003</v>
      </c>
      <c r="AQ844" s="6" t="s">
        <v>84</v>
      </c>
      <c r="AU844" s="6">
        <v>226056</v>
      </c>
    </row>
    <row r="845" spans="1:47" hidden="1" x14ac:dyDescent="0.3">
      <c r="A845" s="28" t="s">
        <v>42</v>
      </c>
      <c r="B845" s="6" t="s">
        <v>2183</v>
      </c>
      <c r="E845" s="6">
        <v>1</v>
      </c>
      <c r="F845" s="6" t="s">
        <v>2004</v>
      </c>
      <c r="G845" s="6" t="s">
        <v>2005</v>
      </c>
      <c r="H845" s="6" t="s">
        <v>2005</v>
      </c>
      <c r="I845" s="6" t="str">
        <f t="shared" si="26"/>
        <v>ETC</v>
      </c>
      <c r="J845" s="6" t="s">
        <v>702</v>
      </c>
      <c r="K845" s="6">
        <v>1</v>
      </c>
      <c r="P845" s="6">
        <f t="shared" si="27"/>
        <v>11500000</v>
      </c>
      <c r="R845" s="6" t="s">
        <v>2003</v>
      </c>
      <c r="T845" s="6" t="s">
        <v>1071</v>
      </c>
      <c r="U845" s="6">
        <v>2015</v>
      </c>
      <c r="V845" s="6">
        <v>6</v>
      </c>
      <c r="AD845" s="6" t="s">
        <v>45</v>
      </c>
      <c r="AJ845" s="31" t="s">
        <v>2123</v>
      </c>
      <c r="AK845" s="6">
        <v>1</v>
      </c>
      <c r="AL845" s="26">
        <v>11000000</v>
      </c>
      <c r="AM845" s="26">
        <v>11000000</v>
      </c>
      <c r="AN845" s="26">
        <v>11000000</v>
      </c>
      <c r="AO845" s="6" t="s">
        <v>2003</v>
      </c>
      <c r="AQ845" s="6" t="s">
        <v>1195</v>
      </c>
      <c r="AU845" s="6">
        <v>226059</v>
      </c>
    </row>
    <row r="846" spans="1:47" x14ac:dyDescent="0.3">
      <c r="A846" s="28" t="s">
        <v>42</v>
      </c>
      <c r="B846" s="6" t="s">
        <v>2184</v>
      </c>
      <c r="C846" s="6" t="s">
        <v>1972</v>
      </c>
      <c r="D846" s="6" t="s">
        <v>2104</v>
      </c>
      <c r="E846" s="6">
        <v>1</v>
      </c>
      <c r="F846" s="6" t="s">
        <v>2004</v>
      </c>
      <c r="G846" s="6" t="s">
        <v>2005</v>
      </c>
      <c r="H846" s="6" t="s">
        <v>2005</v>
      </c>
      <c r="I846" s="6" t="str">
        <f t="shared" si="26"/>
        <v>Stone Grapple</v>
      </c>
      <c r="J846" s="6" t="s">
        <v>193</v>
      </c>
      <c r="K846" s="6">
        <v>1</v>
      </c>
      <c r="P846" s="6">
        <f t="shared" si="27"/>
        <v>2600000</v>
      </c>
      <c r="R846" s="6" t="s">
        <v>2003</v>
      </c>
      <c r="T846" s="6" t="s">
        <v>2007</v>
      </c>
      <c r="U846" s="6">
        <v>2014</v>
      </c>
      <c r="V846" s="6">
        <v>1</v>
      </c>
      <c r="AD846" s="6" t="s">
        <v>45</v>
      </c>
      <c r="AJ846" s="31" t="s">
        <v>2113</v>
      </c>
      <c r="AK846" s="6">
        <v>1</v>
      </c>
      <c r="AL846" s="26">
        <v>2400000</v>
      </c>
      <c r="AM846" s="26">
        <v>2400000</v>
      </c>
      <c r="AN846" s="26">
        <v>2400000</v>
      </c>
      <c r="AO846" s="6" t="s">
        <v>2003</v>
      </c>
      <c r="AQ846" s="6" t="s">
        <v>49</v>
      </c>
      <c r="AU846" s="6">
        <v>226060</v>
      </c>
    </row>
    <row r="847" spans="1:47" hidden="1" x14ac:dyDescent="0.3">
      <c r="A847" s="28" t="s">
        <v>42</v>
      </c>
      <c r="B847" s="6" t="s">
        <v>2183</v>
      </c>
      <c r="E847" s="6">
        <v>1</v>
      </c>
      <c r="F847" s="6" t="s">
        <v>2004</v>
      </c>
      <c r="G847" s="6" t="s">
        <v>2005</v>
      </c>
      <c r="H847" s="6" t="s">
        <v>2005</v>
      </c>
      <c r="I847" s="6" t="str">
        <f t="shared" si="26"/>
        <v>ETC</v>
      </c>
      <c r="J847" s="6" t="s">
        <v>703</v>
      </c>
      <c r="K847" s="6">
        <v>1</v>
      </c>
      <c r="P847" s="6">
        <f t="shared" si="27"/>
        <v>5500000</v>
      </c>
      <c r="R847" s="6" t="s">
        <v>2003</v>
      </c>
      <c r="T847" s="6" t="s">
        <v>1072</v>
      </c>
      <c r="U847" s="6">
        <v>2011</v>
      </c>
      <c r="V847" s="6">
        <v>1</v>
      </c>
      <c r="AD847" s="6" t="s">
        <v>45</v>
      </c>
      <c r="AJ847" s="31" t="s">
        <v>2111</v>
      </c>
      <c r="AK847" s="6">
        <v>1</v>
      </c>
      <c r="AL847" s="26">
        <v>5000000</v>
      </c>
      <c r="AM847" s="26">
        <v>5000000</v>
      </c>
      <c r="AN847" s="26">
        <v>5000000</v>
      </c>
      <c r="AO847" s="6" t="s">
        <v>2003</v>
      </c>
      <c r="AQ847" s="6" t="s">
        <v>1277</v>
      </c>
      <c r="AU847" s="6">
        <v>226062</v>
      </c>
    </row>
    <row r="848" spans="1:47" x14ac:dyDescent="0.3">
      <c r="A848" s="28" t="s">
        <v>42</v>
      </c>
      <c r="B848" s="6" t="s">
        <v>2184</v>
      </c>
      <c r="C848" s="6" t="s">
        <v>1972</v>
      </c>
      <c r="D848" s="6" t="s">
        <v>2104</v>
      </c>
      <c r="E848" s="6">
        <v>1</v>
      </c>
      <c r="F848" s="6" t="s">
        <v>2004</v>
      </c>
      <c r="G848" s="6" t="s">
        <v>2005</v>
      </c>
      <c r="H848" s="6" t="s">
        <v>2005</v>
      </c>
      <c r="I848" s="6" t="str">
        <f t="shared" si="26"/>
        <v>Stone Grapple</v>
      </c>
      <c r="J848" s="6" t="s">
        <v>120</v>
      </c>
      <c r="K848" s="6">
        <v>1</v>
      </c>
      <c r="P848" s="6">
        <f t="shared" si="27"/>
        <v>4700000</v>
      </c>
      <c r="R848" s="6" t="s">
        <v>2003</v>
      </c>
      <c r="T848" s="6" t="s">
        <v>54</v>
      </c>
      <c r="U848" s="6">
        <v>2010</v>
      </c>
      <c r="V848" s="6">
        <v>1</v>
      </c>
      <c r="AD848" s="6" t="s">
        <v>45</v>
      </c>
      <c r="AJ848" s="31" t="s">
        <v>2114</v>
      </c>
      <c r="AK848" s="6">
        <v>1</v>
      </c>
      <c r="AL848" s="26">
        <v>4500000</v>
      </c>
      <c r="AM848" s="26">
        <v>4500000</v>
      </c>
      <c r="AN848" s="26">
        <v>4500000</v>
      </c>
      <c r="AO848" s="6" t="s">
        <v>2003</v>
      </c>
      <c r="AQ848" s="6" t="s">
        <v>54</v>
      </c>
      <c r="AU848" s="6">
        <v>226064</v>
      </c>
    </row>
    <row r="849" spans="1:47" x14ac:dyDescent="0.3">
      <c r="A849" s="28" t="s">
        <v>42</v>
      </c>
      <c r="B849" s="6" t="s">
        <v>2184</v>
      </c>
      <c r="C849" s="6" t="s">
        <v>1972</v>
      </c>
      <c r="D849" s="6" t="s">
        <v>2105</v>
      </c>
      <c r="E849" s="6">
        <v>1</v>
      </c>
      <c r="F849" s="6" t="s">
        <v>2004</v>
      </c>
      <c r="G849" s="6" t="s">
        <v>2005</v>
      </c>
      <c r="H849" s="6" t="s">
        <v>2005</v>
      </c>
      <c r="I849" s="6" t="str">
        <f t="shared" si="26"/>
        <v>Stone Grapple</v>
      </c>
      <c r="J849" s="6" t="s">
        <v>472</v>
      </c>
      <c r="K849" s="6">
        <v>1</v>
      </c>
      <c r="P849" s="6">
        <f t="shared" si="27"/>
        <v>10500000</v>
      </c>
      <c r="R849" s="6" t="s">
        <v>2003</v>
      </c>
      <c r="T849" s="6" t="s">
        <v>1073</v>
      </c>
      <c r="U849" s="6">
        <v>2016</v>
      </c>
      <c r="V849" s="6">
        <v>1</v>
      </c>
      <c r="AD849" s="6" t="s">
        <v>45</v>
      </c>
      <c r="AJ849" s="31" t="s">
        <v>2119</v>
      </c>
      <c r="AK849" s="6">
        <v>1</v>
      </c>
      <c r="AL849" s="26">
        <v>10000000</v>
      </c>
      <c r="AM849" s="26">
        <v>10000000</v>
      </c>
      <c r="AN849" s="26">
        <v>10000000</v>
      </c>
      <c r="AO849" s="6" t="s">
        <v>2003</v>
      </c>
      <c r="AQ849" s="6" t="s">
        <v>1165</v>
      </c>
      <c r="AU849" s="6">
        <v>226071</v>
      </c>
    </row>
    <row r="850" spans="1:47" x14ac:dyDescent="0.3">
      <c r="A850" s="28" t="s">
        <v>42</v>
      </c>
      <c r="B850" s="6" t="s">
        <v>2184</v>
      </c>
      <c r="C850" s="6" t="s">
        <v>1972</v>
      </c>
      <c r="D850" s="6" t="s">
        <v>2104</v>
      </c>
      <c r="E850" s="6">
        <v>1</v>
      </c>
      <c r="F850" s="6" t="s">
        <v>2004</v>
      </c>
      <c r="G850" s="6" t="s">
        <v>2005</v>
      </c>
      <c r="H850" s="6" t="s">
        <v>2005</v>
      </c>
      <c r="I850" s="6" t="str">
        <f t="shared" si="26"/>
        <v>Stone Grapple</v>
      </c>
      <c r="J850" s="6" t="s">
        <v>232</v>
      </c>
      <c r="K850" s="6">
        <v>1</v>
      </c>
      <c r="P850" s="6">
        <f t="shared" si="27"/>
        <v>1800000</v>
      </c>
      <c r="R850" s="6" t="s">
        <v>2003</v>
      </c>
      <c r="T850" s="6" t="s">
        <v>2007</v>
      </c>
      <c r="U850" s="6">
        <v>2012</v>
      </c>
      <c r="V850" s="6">
        <v>1</v>
      </c>
      <c r="AD850" s="6" t="s">
        <v>45</v>
      </c>
      <c r="AJ850" s="31" t="s">
        <v>2113</v>
      </c>
      <c r="AK850" s="6">
        <v>1</v>
      </c>
      <c r="AL850" s="26">
        <v>1700000</v>
      </c>
      <c r="AM850" s="26">
        <v>1700000</v>
      </c>
      <c r="AN850" s="26">
        <v>1700000</v>
      </c>
      <c r="AO850" s="6" t="s">
        <v>2003</v>
      </c>
      <c r="AQ850" s="6" t="s">
        <v>49</v>
      </c>
      <c r="AU850" s="6">
        <v>226078</v>
      </c>
    </row>
    <row r="851" spans="1:47" x14ac:dyDescent="0.3">
      <c r="A851" s="28" t="s">
        <v>42</v>
      </c>
      <c r="B851" s="6" t="s">
        <v>2174</v>
      </c>
      <c r="C851" s="19" t="s">
        <v>2211</v>
      </c>
      <c r="D851" s="6" t="s">
        <v>2105</v>
      </c>
      <c r="E851" s="6">
        <v>1</v>
      </c>
      <c r="F851" s="6" t="s">
        <v>2004</v>
      </c>
      <c r="G851" s="6" t="s">
        <v>2005</v>
      </c>
      <c r="H851" s="6" t="s">
        <v>2005</v>
      </c>
      <c r="I851" s="6" t="str">
        <f t="shared" si="26"/>
        <v>Side Breaker</v>
      </c>
      <c r="J851" s="6" t="s">
        <v>602</v>
      </c>
      <c r="K851" s="6">
        <v>1</v>
      </c>
      <c r="P851" s="6">
        <f t="shared" si="27"/>
        <v>7500000</v>
      </c>
      <c r="R851" s="6" t="s">
        <v>2003</v>
      </c>
      <c r="T851" s="6" t="s">
        <v>993</v>
      </c>
      <c r="U851" s="6">
        <v>2015</v>
      </c>
      <c r="V851" s="6">
        <v>7</v>
      </c>
      <c r="AD851" s="6" t="s">
        <v>45</v>
      </c>
      <c r="AJ851" s="31" t="s">
        <v>2116</v>
      </c>
      <c r="AK851" s="6">
        <v>1</v>
      </c>
      <c r="AL851" s="26">
        <v>7000000</v>
      </c>
      <c r="AM851" s="26">
        <v>7000000</v>
      </c>
      <c r="AN851" s="26">
        <v>7000000</v>
      </c>
      <c r="AO851" s="6" t="s">
        <v>2003</v>
      </c>
      <c r="AQ851" s="6" t="s">
        <v>1162</v>
      </c>
      <c r="AU851" s="6">
        <v>226081</v>
      </c>
    </row>
    <row r="852" spans="1:47" x14ac:dyDescent="0.3">
      <c r="A852" s="28" t="s">
        <v>42</v>
      </c>
      <c r="B852" s="6" t="s">
        <v>2184</v>
      </c>
      <c r="C852" s="6" t="s">
        <v>1972</v>
      </c>
      <c r="D852" s="6" t="s">
        <v>2104</v>
      </c>
      <c r="E852" s="6">
        <v>1</v>
      </c>
      <c r="F852" s="6" t="s">
        <v>2004</v>
      </c>
      <c r="G852" s="6" t="s">
        <v>2005</v>
      </c>
      <c r="H852" s="6" t="s">
        <v>2005</v>
      </c>
      <c r="I852" s="6" t="str">
        <f t="shared" si="26"/>
        <v>Stone Grapple</v>
      </c>
      <c r="J852" s="6" t="s">
        <v>193</v>
      </c>
      <c r="K852" s="6">
        <v>1</v>
      </c>
      <c r="P852" s="6">
        <f t="shared" si="27"/>
        <v>2500000</v>
      </c>
      <c r="R852" s="6" t="s">
        <v>2003</v>
      </c>
      <c r="T852" s="6" t="s">
        <v>2007</v>
      </c>
      <c r="U852" s="6">
        <v>2014</v>
      </c>
      <c r="V852" s="6">
        <v>1</v>
      </c>
      <c r="AD852" s="6" t="s">
        <v>45</v>
      </c>
      <c r="AJ852" s="31" t="s">
        <v>2113</v>
      </c>
      <c r="AK852" s="6">
        <v>1</v>
      </c>
      <c r="AL852" s="26">
        <v>2300000</v>
      </c>
      <c r="AM852" s="26">
        <v>2300000</v>
      </c>
      <c r="AN852" s="26">
        <v>2300000</v>
      </c>
      <c r="AO852" s="6" t="s">
        <v>2003</v>
      </c>
      <c r="AQ852" s="6" t="s">
        <v>49</v>
      </c>
      <c r="AU852" s="6">
        <v>226085</v>
      </c>
    </row>
    <row r="853" spans="1:47" x14ac:dyDescent="0.3">
      <c r="A853" s="28" t="s">
        <v>42</v>
      </c>
      <c r="B853" s="6" t="s">
        <v>2183</v>
      </c>
      <c r="D853" s="6" t="s">
        <v>2104</v>
      </c>
      <c r="E853" s="6">
        <v>1</v>
      </c>
      <c r="F853" s="6" t="s">
        <v>2004</v>
      </c>
      <c r="G853" s="6" t="s">
        <v>2005</v>
      </c>
      <c r="H853" s="6" t="s">
        <v>2005</v>
      </c>
      <c r="I853" s="6" t="str">
        <f t="shared" si="26"/>
        <v>ETC</v>
      </c>
      <c r="J853" s="6" t="s">
        <v>476</v>
      </c>
      <c r="K853" s="6">
        <v>1</v>
      </c>
      <c r="P853" s="6">
        <f t="shared" si="27"/>
        <v>11500000</v>
      </c>
      <c r="R853" s="6" t="s">
        <v>2003</v>
      </c>
      <c r="T853" s="6" t="s">
        <v>2033</v>
      </c>
      <c r="U853" s="6">
        <v>2014</v>
      </c>
      <c r="V853" s="6">
        <v>9</v>
      </c>
      <c r="AD853" s="6" t="s">
        <v>45</v>
      </c>
      <c r="AJ853" s="31" t="s">
        <v>2121</v>
      </c>
      <c r="AK853" s="6">
        <v>1</v>
      </c>
      <c r="AL853" s="26">
        <v>11000000</v>
      </c>
      <c r="AM853" s="26">
        <v>11000000</v>
      </c>
      <c r="AN853" s="26">
        <v>11000000</v>
      </c>
      <c r="AO853" s="6" t="s">
        <v>2003</v>
      </c>
      <c r="AQ853" s="6" t="s">
        <v>1219</v>
      </c>
      <c r="AU853" s="6">
        <v>226091</v>
      </c>
    </row>
    <row r="854" spans="1:47" x14ac:dyDescent="0.3">
      <c r="A854" s="28" t="s">
        <v>42</v>
      </c>
      <c r="B854" s="6" t="s">
        <v>2184</v>
      </c>
      <c r="C854" s="6" t="s">
        <v>1972</v>
      </c>
      <c r="D854" s="6" t="s">
        <v>2104</v>
      </c>
      <c r="E854" s="6">
        <v>1</v>
      </c>
      <c r="F854" s="6" t="s">
        <v>2004</v>
      </c>
      <c r="G854" s="6" t="s">
        <v>2005</v>
      </c>
      <c r="H854" s="6" t="s">
        <v>2005</v>
      </c>
      <c r="I854" s="6" t="str">
        <f t="shared" si="26"/>
        <v>Stone Grapple</v>
      </c>
      <c r="J854" s="6" t="s">
        <v>120</v>
      </c>
      <c r="K854" s="6">
        <v>1</v>
      </c>
      <c r="P854" s="6">
        <f t="shared" si="27"/>
        <v>7400000</v>
      </c>
      <c r="R854" s="6" t="s">
        <v>2003</v>
      </c>
      <c r="T854" s="6" t="s">
        <v>1074</v>
      </c>
      <c r="U854" s="6">
        <v>2017</v>
      </c>
      <c r="V854" s="6">
        <v>1</v>
      </c>
      <c r="AD854" s="6" t="s">
        <v>45</v>
      </c>
      <c r="AJ854" s="31" t="s">
        <v>2110</v>
      </c>
      <c r="AK854" s="6">
        <v>1</v>
      </c>
      <c r="AL854" s="26">
        <v>6900000</v>
      </c>
      <c r="AM854" s="26">
        <v>6900000</v>
      </c>
      <c r="AN854" s="26">
        <v>6900000</v>
      </c>
      <c r="AO854" s="6" t="s">
        <v>2003</v>
      </c>
      <c r="AQ854" s="6" t="s">
        <v>1284</v>
      </c>
      <c r="AU854" s="6">
        <v>226096</v>
      </c>
    </row>
    <row r="855" spans="1:47" x14ac:dyDescent="0.3">
      <c r="A855" s="28" t="s">
        <v>42</v>
      </c>
      <c r="B855" s="6" t="s">
        <v>2182</v>
      </c>
      <c r="C855" s="6" t="s">
        <v>1976</v>
      </c>
      <c r="D855" s="6" t="s">
        <v>2104</v>
      </c>
      <c r="E855" s="6">
        <v>1</v>
      </c>
      <c r="F855" s="6" t="s">
        <v>2004</v>
      </c>
      <c r="G855" s="6" t="s">
        <v>2005</v>
      </c>
      <c r="H855" s="6" t="s">
        <v>2005</v>
      </c>
      <c r="I855" s="6" t="str">
        <f t="shared" si="26"/>
        <v>Skeleton Bucket</v>
      </c>
      <c r="J855" s="6" t="s">
        <v>62</v>
      </c>
      <c r="K855" s="6">
        <v>1</v>
      </c>
      <c r="P855" s="6">
        <f t="shared" si="27"/>
        <v>900000</v>
      </c>
      <c r="R855" s="6" t="s">
        <v>2003</v>
      </c>
      <c r="T855" s="6" t="s">
        <v>2007</v>
      </c>
      <c r="U855" s="6">
        <v>2013</v>
      </c>
      <c r="V855" s="6">
        <v>1</v>
      </c>
      <c r="AD855" s="6" t="s">
        <v>45</v>
      </c>
      <c r="AJ855" s="31" t="s">
        <v>2113</v>
      </c>
      <c r="AK855" s="6">
        <v>1</v>
      </c>
      <c r="AL855" s="26">
        <v>800000</v>
      </c>
      <c r="AM855" s="26">
        <v>800000</v>
      </c>
      <c r="AN855" s="26">
        <v>800000</v>
      </c>
      <c r="AO855" s="6" t="s">
        <v>2003</v>
      </c>
      <c r="AQ855" s="6" t="s">
        <v>49</v>
      </c>
      <c r="AU855" s="6">
        <v>226098</v>
      </c>
    </row>
    <row r="856" spans="1:47" x14ac:dyDescent="0.3">
      <c r="A856" s="28" t="s">
        <v>42</v>
      </c>
      <c r="B856" s="6" t="s">
        <v>2174</v>
      </c>
      <c r="C856" s="6" t="s">
        <v>1975</v>
      </c>
      <c r="D856" s="6" t="s">
        <v>2100</v>
      </c>
      <c r="E856" s="6">
        <v>1</v>
      </c>
      <c r="F856" s="6" t="s">
        <v>2004</v>
      </c>
      <c r="G856" s="6" t="s">
        <v>2005</v>
      </c>
      <c r="H856" s="6" t="s">
        <v>2005</v>
      </c>
      <c r="I856" s="6" t="str">
        <f t="shared" si="26"/>
        <v>Side Breaker</v>
      </c>
      <c r="J856" s="6" t="s">
        <v>704</v>
      </c>
      <c r="K856" s="6">
        <v>1</v>
      </c>
      <c r="P856" s="6">
        <f t="shared" si="27"/>
        <v>1650000</v>
      </c>
      <c r="R856" s="6" t="s">
        <v>2003</v>
      </c>
      <c r="T856" s="6" t="s">
        <v>1075</v>
      </c>
      <c r="U856" s="6">
        <v>2015</v>
      </c>
      <c r="V856" s="6">
        <v>1</v>
      </c>
      <c r="AD856" s="6" t="s">
        <v>45</v>
      </c>
      <c r="AJ856" s="31" t="s">
        <v>2119</v>
      </c>
      <c r="AK856" s="6">
        <v>1</v>
      </c>
      <c r="AL856" s="26">
        <v>1550000</v>
      </c>
      <c r="AM856" s="26">
        <v>1550000</v>
      </c>
      <c r="AN856" s="26">
        <v>1550000</v>
      </c>
      <c r="AO856" s="6" t="s">
        <v>2003</v>
      </c>
      <c r="AQ856" s="6" t="s">
        <v>1165</v>
      </c>
      <c r="AU856" s="6">
        <v>226104</v>
      </c>
    </row>
    <row r="857" spans="1:47" x14ac:dyDescent="0.3">
      <c r="A857" s="28" t="s">
        <v>42</v>
      </c>
      <c r="B857" s="6" t="s">
        <v>2183</v>
      </c>
      <c r="D857" s="6" t="s">
        <v>2104</v>
      </c>
      <c r="E857" s="6">
        <v>1</v>
      </c>
      <c r="F857" s="6" t="s">
        <v>2004</v>
      </c>
      <c r="G857" s="6" t="s">
        <v>2005</v>
      </c>
      <c r="H857" s="6" t="s">
        <v>2005</v>
      </c>
      <c r="I857" s="6" t="str">
        <f t="shared" si="26"/>
        <v>ETC</v>
      </c>
      <c r="J857" s="6" t="s">
        <v>705</v>
      </c>
      <c r="K857" s="6">
        <v>1</v>
      </c>
      <c r="P857" s="6">
        <f t="shared" si="27"/>
        <v>900000</v>
      </c>
      <c r="R857" s="6" t="s">
        <v>2003</v>
      </c>
      <c r="T857" s="6" t="s">
        <v>2007</v>
      </c>
      <c r="U857" s="6">
        <v>2014</v>
      </c>
      <c r="V857" s="6">
        <v>1</v>
      </c>
      <c r="AD857" s="6" t="s">
        <v>45</v>
      </c>
      <c r="AJ857" s="31" t="s">
        <v>2113</v>
      </c>
      <c r="AK857" s="6">
        <v>1</v>
      </c>
      <c r="AL857" s="26">
        <v>800000</v>
      </c>
      <c r="AM857" s="26">
        <v>800000</v>
      </c>
      <c r="AN857" s="26">
        <v>800000</v>
      </c>
      <c r="AO857" s="6" t="s">
        <v>2003</v>
      </c>
      <c r="AQ857" s="6" t="s">
        <v>49</v>
      </c>
      <c r="AU857" s="6">
        <v>226115</v>
      </c>
    </row>
    <row r="858" spans="1:47" x14ac:dyDescent="0.3">
      <c r="A858" s="28" t="s">
        <v>42</v>
      </c>
      <c r="B858" s="6" t="s">
        <v>2174</v>
      </c>
      <c r="C858" s="6" t="s">
        <v>1975</v>
      </c>
      <c r="D858" s="6" t="s">
        <v>2105</v>
      </c>
      <c r="E858" s="6">
        <v>1</v>
      </c>
      <c r="F858" s="6" t="s">
        <v>2004</v>
      </c>
      <c r="G858" s="6" t="s">
        <v>2005</v>
      </c>
      <c r="H858" s="6" t="s">
        <v>2005</v>
      </c>
      <c r="I858" s="6" t="str">
        <f t="shared" si="26"/>
        <v>Side Breaker</v>
      </c>
      <c r="J858" s="6" t="s">
        <v>306</v>
      </c>
      <c r="K858" s="6">
        <v>1</v>
      </c>
      <c r="P858" s="6">
        <f t="shared" si="27"/>
        <v>6000000</v>
      </c>
      <c r="R858" s="6" t="s">
        <v>2003</v>
      </c>
      <c r="T858" s="6" t="s">
        <v>2033</v>
      </c>
      <c r="U858" s="6">
        <v>2009</v>
      </c>
      <c r="V858" s="6">
        <v>1</v>
      </c>
      <c r="AD858" s="6" t="s">
        <v>45</v>
      </c>
      <c r="AJ858" s="31" t="s">
        <v>2121</v>
      </c>
      <c r="AK858" s="6">
        <v>1</v>
      </c>
      <c r="AL858" s="26">
        <v>5500000</v>
      </c>
      <c r="AM858" s="26">
        <v>5500000</v>
      </c>
      <c r="AN858" s="26">
        <v>5500000</v>
      </c>
      <c r="AO858" s="6" t="s">
        <v>2003</v>
      </c>
      <c r="AQ858" s="6" t="s">
        <v>1219</v>
      </c>
      <c r="AU858" s="6">
        <v>226122</v>
      </c>
    </row>
    <row r="859" spans="1:47" x14ac:dyDescent="0.3">
      <c r="A859" s="28" t="s">
        <v>42</v>
      </c>
      <c r="B859" s="6" t="s">
        <v>2182</v>
      </c>
      <c r="C859" s="6" t="s">
        <v>1980</v>
      </c>
      <c r="D859" s="6" t="s">
        <v>2104</v>
      </c>
      <c r="E859" s="6">
        <v>1</v>
      </c>
      <c r="F859" s="6" t="s">
        <v>2004</v>
      </c>
      <c r="G859" s="6" t="s">
        <v>2005</v>
      </c>
      <c r="H859" s="6" t="s">
        <v>2005</v>
      </c>
      <c r="I859" s="6" t="str">
        <f t="shared" si="26"/>
        <v>Small Bucket</v>
      </c>
      <c r="J859" s="6" t="s">
        <v>97</v>
      </c>
      <c r="K859" s="6">
        <v>1</v>
      </c>
      <c r="P859" s="6">
        <f t="shared" si="27"/>
        <v>600000</v>
      </c>
      <c r="R859" s="6" t="s">
        <v>2003</v>
      </c>
      <c r="T859" s="6" t="s">
        <v>813</v>
      </c>
      <c r="U859" s="6">
        <v>2013</v>
      </c>
      <c r="V859" s="6">
        <v>1</v>
      </c>
      <c r="AD859" s="6" t="s">
        <v>45</v>
      </c>
      <c r="AJ859" s="31" t="s">
        <v>2113</v>
      </c>
      <c r="AK859" s="6">
        <v>1</v>
      </c>
      <c r="AL859" s="26">
        <v>500000</v>
      </c>
      <c r="AM859" s="26">
        <v>500000</v>
      </c>
      <c r="AN859" s="26">
        <v>500000</v>
      </c>
      <c r="AO859" s="6" t="s">
        <v>2003</v>
      </c>
      <c r="AQ859" s="6" t="s">
        <v>79</v>
      </c>
      <c r="AU859" s="6">
        <v>226128</v>
      </c>
    </row>
    <row r="860" spans="1:47" x14ac:dyDescent="0.3">
      <c r="A860" s="28" t="s">
        <v>42</v>
      </c>
      <c r="B860" s="6" t="s">
        <v>2184</v>
      </c>
      <c r="C860" s="6" t="s">
        <v>1972</v>
      </c>
      <c r="D860" s="6" t="s">
        <v>2104</v>
      </c>
      <c r="E860" s="6">
        <v>1</v>
      </c>
      <c r="F860" s="6" t="s">
        <v>2004</v>
      </c>
      <c r="G860" s="6" t="s">
        <v>2005</v>
      </c>
      <c r="H860" s="6" t="s">
        <v>2005</v>
      </c>
      <c r="I860" s="6" t="str">
        <f t="shared" si="26"/>
        <v>Stone Grapple</v>
      </c>
      <c r="J860" s="6" t="s">
        <v>340</v>
      </c>
      <c r="K860" s="6">
        <v>1</v>
      </c>
      <c r="P860" s="6">
        <f t="shared" si="27"/>
        <v>2500000</v>
      </c>
      <c r="R860" s="6" t="s">
        <v>2003</v>
      </c>
      <c r="T860" s="6" t="s">
        <v>814</v>
      </c>
      <c r="U860" s="6">
        <v>2014</v>
      </c>
      <c r="V860" s="6">
        <v>12</v>
      </c>
      <c r="AD860" s="6" t="s">
        <v>45</v>
      </c>
      <c r="AJ860" s="31" t="s">
        <v>2119</v>
      </c>
      <c r="AK860" s="6">
        <v>1</v>
      </c>
      <c r="AL860" s="26">
        <v>2300000</v>
      </c>
      <c r="AM860" s="26">
        <v>2300000</v>
      </c>
      <c r="AN860" s="26">
        <v>2300000</v>
      </c>
      <c r="AO860" s="6" t="s">
        <v>2003</v>
      </c>
      <c r="AQ860" s="6" t="s">
        <v>1194</v>
      </c>
      <c r="AU860" s="6">
        <v>226134</v>
      </c>
    </row>
    <row r="861" spans="1:47" x14ac:dyDescent="0.3">
      <c r="A861" s="28" t="s">
        <v>42</v>
      </c>
      <c r="B861" s="6" t="s">
        <v>2174</v>
      </c>
      <c r="C861" s="6" t="s">
        <v>1975</v>
      </c>
      <c r="D861" s="6" t="s">
        <v>2100</v>
      </c>
      <c r="E861" s="6">
        <v>1</v>
      </c>
      <c r="F861" s="6" t="s">
        <v>2004</v>
      </c>
      <c r="G861" s="6" t="s">
        <v>2005</v>
      </c>
      <c r="H861" s="6" t="s">
        <v>2005</v>
      </c>
      <c r="I861" s="6" t="str">
        <f t="shared" si="26"/>
        <v>Side Breaker</v>
      </c>
      <c r="J861" s="6" t="s">
        <v>355</v>
      </c>
      <c r="K861" s="6">
        <v>1</v>
      </c>
      <c r="P861" s="6">
        <f t="shared" si="27"/>
        <v>1400000</v>
      </c>
      <c r="R861" s="6" t="s">
        <v>2003</v>
      </c>
      <c r="T861" s="6" t="s">
        <v>2079</v>
      </c>
      <c r="U861" s="6">
        <v>2005</v>
      </c>
      <c r="V861" s="6">
        <v>1</v>
      </c>
      <c r="AD861" s="6" t="s">
        <v>45</v>
      </c>
      <c r="AJ861" s="31" t="s">
        <v>2122</v>
      </c>
      <c r="AK861" s="6">
        <v>1</v>
      </c>
      <c r="AL861" s="26">
        <v>1300000</v>
      </c>
      <c r="AM861" s="26">
        <v>1300000</v>
      </c>
      <c r="AN861" s="26">
        <v>1300000</v>
      </c>
      <c r="AO861" s="6" t="s">
        <v>2003</v>
      </c>
      <c r="AQ861" s="6" t="s">
        <v>1201</v>
      </c>
      <c r="AU861" s="6">
        <v>226139</v>
      </c>
    </row>
    <row r="862" spans="1:47" x14ac:dyDescent="0.3">
      <c r="A862" s="28" t="s">
        <v>42</v>
      </c>
      <c r="B862" s="6" t="s">
        <v>2184</v>
      </c>
      <c r="C862" s="6" t="s">
        <v>1974</v>
      </c>
      <c r="D862" s="6" t="s">
        <v>2104</v>
      </c>
      <c r="E862" s="6">
        <v>1</v>
      </c>
      <c r="F862" s="6" t="s">
        <v>2004</v>
      </c>
      <c r="G862" s="6" t="s">
        <v>2005</v>
      </c>
      <c r="H862" s="6" t="s">
        <v>2005</v>
      </c>
      <c r="I862" s="6" t="str">
        <f t="shared" si="26"/>
        <v>Etc Grapple</v>
      </c>
      <c r="J862" s="6" t="s">
        <v>125</v>
      </c>
      <c r="K862" s="6">
        <v>1</v>
      </c>
      <c r="P862" s="6">
        <f t="shared" si="27"/>
        <v>3800000</v>
      </c>
      <c r="R862" s="6" t="s">
        <v>2003</v>
      </c>
      <c r="T862" s="6" t="s">
        <v>850</v>
      </c>
      <c r="U862" s="6">
        <v>2013</v>
      </c>
      <c r="V862" s="6">
        <v>1</v>
      </c>
      <c r="AD862" s="6" t="s">
        <v>45</v>
      </c>
      <c r="AJ862" s="31" t="s">
        <v>2116</v>
      </c>
      <c r="AK862" s="6">
        <v>1</v>
      </c>
      <c r="AL862" s="26">
        <v>3600000</v>
      </c>
      <c r="AM862" s="26">
        <v>3600000</v>
      </c>
      <c r="AN862" s="26">
        <v>3600000</v>
      </c>
      <c r="AO862" s="6" t="s">
        <v>2003</v>
      </c>
      <c r="AQ862" s="6" t="s">
        <v>90</v>
      </c>
      <c r="AU862" s="6">
        <v>226143</v>
      </c>
    </row>
    <row r="863" spans="1:47" x14ac:dyDescent="0.3">
      <c r="A863" s="28" t="s">
        <v>42</v>
      </c>
      <c r="B863" s="6" t="s">
        <v>2182</v>
      </c>
      <c r="C863" s="6" t="s">
        <v>1971</v>
      </c>
      <c r="D863" s="6" t="s">
        <v>2101</v>
      </c>
      <c r="E863" s="6">
        <v>1</v>
      </c>
      <c r="F863" s="6" t="s">
        <v>2004</v>
      </c>
      <c r="G863" s="6" t="s">
        <v>2005</v>
      </c>
      <c r="H863" s="6" t="s">
        <v>2005</v>
      </c>
      <c r="I863" s="6" t="str">
        <f t="shared" si="26"/>
        <v>Special Bucket</v>
      </c>
      <c r="J863" s="6" t="s">
        <v>674</v>
      </c>
      <c r="K863" s="6">
        <v>1</v>
      </c>
      <c r="P863" s="6">
        <f t="shared" si="27"/>
        <v>4700000</v>
      </c>
      <c r="R863" s="6" t="s">
        <v>2003</v>
      </c>
      <c r="T863" s="6" t="s">
        <v>107</v>
      </c>
      <c r="U863" s="6">
        <v>2014</v>
      </c>
      <c r="V863" s="6">
        <v>7</v>
      </c>
      <c r="AD863" s="6" t="s">
        <v>45</v>
      </c>
      <c r="AJ863" s="31" t="s">
        <v>2121</v>
      </c>
      <c r="AK863" s="6">
        <v>1</v>
      </c>
      <c r="AL863" s="26">
        <v>4500000</v>
      </c>
      <c r="AM863" s="26">
        <v>4500000</v>
      </c>
      <c r="AN863" s="26">
        <v>4500000</v>
      </c>
      <c r="AO863" s="6" t="s">
        <v>2003</v>
      </c>
      <c r="AQ863" s="6" t="s">
        <v>1215</v>
      </c>
      <c r="AU863" s="6">
        <v>226149</v>
      </c>
    </row>
    <row r="864" spans="1:47" x14ac:dyDescent="0.3">
      <c r="A864" s="28" t="s">
        <v>42</v>
      </c>
      <c r="B864" s="6" t="s">
        <v>2183</v>
      </c>
      <c r="D864" s="6" t="s">
        <v>2002</v>
      </c>
      <c r="E864" s="6">
        <v>1</v>
      </c>
      <c r="F864" s="6" t="s">
        <v>2004</v>
      </c>
      <c r="G864" s="6" t="s">
        <v>2005</v>
      </c>
      <c r="H864" s="6" t="s">
        <v>2005</v>
      </c>
      <c r="I864" s="6" t="str">
        <f t="shared" si="26"/>
        <v>ETC</v>
      </c>
      <c r="J864" s="6" t="s">
        <v>707</v>
      </c>
      <c r="K864" s="6">
        <v>1</v>
      </c>
      <c r="P864" s="6">
        <f t="shared" si="27"/>
        <v>350000</v>
      </c>
      <c r="R864" s="6" t="s">
        <v>2003</v>
      </c>
      <c r="T864" s="6" t="s">
        <v>1076</v>
      </c>
      <c r="U864" s="6">
        <v>2016</v>
      </c>
      <c r="V864" s="6">
        <v>1</v>
      </c>
      <c r="AD864" s="6" t="s">
        <v>45</v>
      </c>
      <c r="AJ864" s="31" t="s">
        <v>2123</v>
      </c>
      <c r="AK864" s="6">
        <v>1</v>
      </c>
      <c r="AL864" s="26">
        <v>300000</v>
      </c>
      <c r="AM864" s="26">
        <v>300000</v>
      </c>
      <c r="AN864" s="26">
        <v>300000</v>
      </c>
      <c r="AO864" s="6" t="s">
        <v>2003</v>
      </c>
      <c r="AQ864" s="6" t="s">
        <v>69</v>
      </c>
      <c r="AU864" s="6">
        <v>226150</v>
      </c>
    </row>
    <row r="865" spans="1:47" x14ac:dyDescent="0.3">
      <c r="A865" s="28" t="s">
        <v>42</v>
      </c>
      <c r="B865" s="6" t="s">
        <v>2199</v>
      </c>
      <c r="D865" s="6" t="s">
        <v>2105</v>
      </c>
      <c r="E865" s="6">
        <v>1</v>
      </c>
      <c r="F865" s="6" t="s">
        <v>2004</v>
      </c>
      <c r="G865" s="6" t="s">
        <v>2005</v>
      </c>
      <c r="H865" s="6" t="s">
        <v>2005</v>
      </c>
      <c r="I865" s="6" t="str">
        <f t="shared" si="26"/>
        <v>Quick Coupler</v>
      </c>
      <c r="J865" s="6" t="s">
        <v>255</v>
      </c>
      <c r="K865" s="6">
        <v>1</v>
      </c>
      <c r="P865" s="6">
        <f t="shared" si="27"/>
        <v>1400000</v>
      </c>
      <c r="R865" s="6" t="s">
        <v>2003</v>
      </c>
      <c r="T865" s="6" t="s">
        <v>2007</v>
      </c>
      <c r="U865" s="6">
        <v>2014</v>
      </c>
      <c r="V865" s="6">
        <v>1</v>
      </c>
      <c r="AD865" s="6" t="s">
        <v>45</v>
      </c>
      <c r="AJ865" s="31" t="s">
        <v>2113</v>
      </c>
      <c r="AK865" s="6">
        <v>1</v>
      </c>
      <c r="AL865" s="26">
        <v>1300000</v>
      </c>
      <c r="AM865" s="26">
        <v>1300000</v>
      </c>
      <c r="AN865" s="26">
        <v>1300000</v>
      </c>
      <c r="AO865" s="6" t="s">
        <v>2003</v>
      </c>
      <c r="AQ865" s="6" t="s">
        <v>49</v>
      </c>
      <c r="AU865" s="6">
        <v>226152</v>
      </c>
    </row>
    <row r="866" spans="1:47" x14ac:dyDescent="0.3">
      <c r="A866" s="28" t="s">
        <v>42</v>
      </c>
      <c r="B866" s="6" t="s">
        <v>2174</v>
      </c>
      <c r="C866" s="6" t="s">
        <v>1975</v>
      </c>
      <c r="D866" s="6" t="s">
        <v>2105</v>
      </c>
      <c r="E866" s="6">
        <v>1</v>
      </c>
      <c r="F866" s="6" t="s">
        <v>2004</v>
      </c>
      <c r="G866" s="6" t="s">
        <v>2005</v>
      </c>
      <c r="H866" s="6" t="s">
        <v>2005</v>
      </c>
      <c r="I866" s="6" t="str">
        <f t="shared" si="26"/>
        <v>Side Breaker</v>
      </c>
      <c r="J866" s="6" t="s">
        <v>709</v>
      </c>
      <c r="K866" s="6">
        <v>1</v>
      </c>
      <c r="P866" s="6">
        <f t="shared" si="27"/>
        <v>4200000</v>
      </c>
      <c r="R866" s="6" t="s">
        <v>2003</v>
      </c>
      <c r="T866" s="6" t="s">
        <v>1077</v>
      </c>
      <c r="U866" s="6">
        <v>2009</v>
      </c>
      <c r="V866" s="6">
        <v>1</v>
      </c>
      <c r="AD866" s="6" t="s">
        <v>45</v>
      </c>
      <c r="AJ866" s="31" t="s">
        <v>2116</v>
      </c>
      <c r="AK866" s="6">
        <v>1</v>
      </c>
      <c r="AL866" s="26">
        <v>4000000</v>
      </c>
      <c r="AM866" s="26">
        <v>4000000</v>
      </c>
      <c r="AN866" s="26">
        <v>4000000</v>
      </c>
      <c r="AO866" s="6" t="s">
        <v>2003</v>
      </c>
      <c r="AQ866" s="6" t="s">
        <v>1146</v>
      </c>
      <c r="AU866" s="6">
        <v>226155</v>
      </c>
    </row>
    <row r="867" spans="1:47" x14ac:dyDescent="0.3">
      <c r="A867" s="28" t="s">
        <v>42</v>
      </c>
      <c r="B867" s="6" t="s">
        <v>2182</v>
      </c>
      <c r="C867" s="19" t="s">
        <v>2210</v>
      </c>
      <c r="D867" s="6" t="s">
        <v>2101</v>
      </c>
      <c r="E867" s="6">
        <v>1</v>
      </c>
      <c r="F867" s="6" t="s">
        <v>2004</v>
      </c>
      <c r="G867" s="6" t="s">
        <v>2005</v>
      </c>
      <c r="H867" s="6" t="s">
        <v>2005</v>
      </c>
      <c r="I867" s="6" t="str">
        <f t="shared" si="26"/>
        <v>Etc Bucket</v>
      </c>
      <c r="J867" s="6" t="s">
        <v>372</v>
      </c>
      <c r="K867" s="6">
        <v>1</v>
      </c>
      <c r="P867" s="6">
        <f t="shared" si="27"/>
        <v>4400000</v>
      </c>
      <c r="R867" s="6" t="s">
        <v>2003</v>
      </c>
      <c r="T867" s="6" t="s">
        <v>1044</v>
      </c>
      <c r="U867" s="6">
        <v>2015</v>
      </c>
      <c r="V867" s="6">
        <v>10</v>
      </c>
      <c r="AD867" s="6" t="s">
        <v>45</v>
      </c>
      <c r="AJ867" s="31" t="s">
        <v>2122</v>
      </c>
      <c r="AK867" s="6">
        <v>1</v>
      </c>
      <c r="AL867" s="26">
        <v>4200000</v>
      </c>
      <c r="AM867" s="26">
        <v>4200000</v>
      </c>
      <c r="AN867" s="26">
        <v>4200000</v>
      </c>
      <c r="AO867" s="6" t="s">
        <v>2003</v>
      </c>
      <c r="AQ867" s="6" t="s">
        <v>1238</v>
      </c>
      <c r="AU867" s="6">
        <v>226156</v>
      </c>
    </row>
    <row r="868" spans="1:47" x14ac:dyDescent="0.3">
      <c r="A868" s="28" t="s">
        <v>42</v>
      </c>
      <c r="B868" s="6" t="s">
        <v>2199</v>
      </c>
      <c r="D868" s="6" t="s">
        <v>2104</v>
      </c>
      <c r="E868" s="6">
        <v>1</v>
      </c>
      <c r="F868" s="6" t="s">
        <v>2004</v>
      </c>
      <c r="G868" s="6" t="s">
        <v>2005</v>
      </c>
      <c r="H868" s="6" t="s">
        <v>2005</v>
      </c>
      <c r="I868" s="6" t="str">
        <f t="shared" si="26"/>
        <v>Quick Coupler</v>
      </c>
      <c r="J868" s="6" t="s">
        <v>710</v>
      </c>
      <c r="K868" s="6">
        <v>1</v>
      </c>
      <c r="P868" s="6">
        <f t="shared" si="27"/>
        <v>800000</v>
      </c>
      <c r="R868" s="6" t="s">
        <v>2003</v>
      </c>
      <c r="T868" s="6" t="s">
        <v>2080</v>
      </c>
      <c r="U868" s="6">
        <v>2017</v>
      </c>
      <c r="V868" s="6">
        <v>1</v>
      </c>
      <c r="AD868" s="6" t="s">
        <v>45</v>
      </c>
      <c r="AJ868" s="31" t="s">
        <v>2113</v>
      </c>
      <c r="AK868" s="6">
        <v>1</v>
      </c>
      <c r="AL868" s="26">
        <v>700000</v>
      </c>
      <c r="AM868" s="26">
        <v>700000</v>
      </c>
      <c r="AN868" s="26">
        <v>700000</v>
      </c>
      <c r="AO868" s="6" t="s">
        <v>2003</v>
      </c>
      <c r="AQ868" s="6" t="s">
        <v>49</v>
      </c>
      <c r="AU868" s="6">
        <v>226158</v>
      </c>
    </row>
    <row r="869" spans="1:47" x14ac:dyDescent="0.3">
      <c r="A869" s="28" t="s">
        <v>42</v>
      </c>
      <c r="B869" s="6" t="s">
        <v>2184</v>
      </c>
      <c r="C869" s="6" t="s">
        <v>2217</v>
      </c>
      <c r="D869" s="6" t="s">
        <v>2104</v>
      </c>
      <c r="E869" s="6">
        <v>1</v>
      </c>
      <c r="F869" s="6" t="s">
        <v>2004</v>
      </c>
      <c r="G869" s="6" t="s">
        <v>2005</v>
      </c>
      <c r="H869" s="6" t="s">
        <v>2005</v>
      </c>
      <c r="I869" s="6" t="str">
        <f t="shared" si="26"/>
        <v>Stone Grapple</v>
      </c>
      <c r="J869" s="6" t="s">
        <v>247</v>
      </c>
      <c r="K869" s="6">
        <v>1</v>
      </c>
      <c r="P869" s="6">
        <f t="shared" si="27"/>
        <v>2400000</v>
      </c>
      <c r="R869" s="6" t="s">
        <v>2003</v>
      </c>
      <c r="T869" s="6" t="s">
        <v>824</v>
      </c>
      <c r="U869" s="6">
        <v>2012</v>
      </c>
      <c r="V869" s="6">
        <v>1</v>
      </c>
      <c r="AD869" s="6" t="s">
        <v>45</v>
      </c>
      <c r="AJ869" s="31" t="s">
        <v>2122</v>
      </c>
      <c r="AK869" s="6">
        <v>1</v>
      </c>
      <c r="AL869" s="26">
        <v>2200000</v>
      </c>
      <c r="AM869" s="26">
        <v>2200000</v>
      </c>
      <c r="AN869" s="26">
        <v>2200000</v>
      </c>
      <c r="AO869" s="6" t="s">
        <v>2003</v>
      </c>
      <c r="AQ869" s="6" t="s">
        <v>1201</v>
      </c>
      <c r="AU869" s="6">
        <v>226159</v>
      </c>
    </row>
    <row r="870" spans="1:47" x14ac:dyDescent="0.3">
      <c r="A870" s="28" t="s">
        <v>42</v>
      </c>
      <c r="B870" s="6" t="s">
        <v>2195</v>
      </c>
      <c r="C870" s="19" t="s">
        <v>2212</v>
      </c>
      <c r="D870" s="6" t="s">
        <v>2104</v>
      </c>
      <c r="E870" s="6">
        <v>1</v>
      </c>
      <c r="F870" s="6" t="s">
        <v>2004</v>
      </c>
      <c r="G870" s="6" t="s">
        <v>2005</v>
      </c>
      <c r="H870" s="6" t="s">
        <v>2005</v>
      </c>
      <c r="I870" s="6" t="str">
        <f t="shared" si="26"/>
        <v>Hydraulic Multi Processor</v>
      </c>
      <c r="J870" s="6" t="s">
        <v>319</v>
      </c>
      <c r="K870" s="6">
        <v>1</v>
      </c>
      <c r="P870" s="6">
        <f t="shared" si="27"/>
        <v>7500000</v>
      </c>
      <c r="R870" s="6" t="s">
        <v>2003</v>
      </c>
      <c r="T870" s="6" t="s">
        <v>2012</v>
      </c>
      <c r="U870" s="6">
        <v>2014</v>
      </c>
      <c r="V870" s="6">
        <v>1</v>
      </c>
      <c r="AD870" s="6" t="s">
        <v>45</v>
      </c>
      <c r="AJ870" s="31" t="s">
        <v>2113</v>
      </c>
      <c r="AK870" s="6">
        <v>1</v>
      </c>
      <c r="AL870" s="26">
        <v>7000000</v>
      </c>
      <c r="AM870" s="26">
        <v>7000000</v>
      </c>
      <c r="AN870" s="26">
        <v>7000000</v>
      </c>
      <c r="AO870" s="6" t="s">
        <v>2003</v>
      </c>
      <c r="AQ870" s="6" t="s">
        <v>49</v>
      </c>
      <c r="AU870" s="6">
        <v>226162</v>
      </c>
    </row>
    <row r="871" spans="1:47" hidden="1" x14ac:dyDescent="0.3">
      <c r="A871" s="28" t="s">
        <v>42</v>
      </c>
      <c r="B871" s="6" t="s">
        <v>2177</v>
      </c>
      <c r="E871" s="6">
        <v>1</v>
      </c>
      <c r="F871" s="6" t="s">
        <v>2004</v>
      </c>
      <c r="G871" s="6" t="s">
        <v>2005</v>
      </c>
      <c r="H871" s="6" t="s">
        <v>2005</v>
      </c>
      <c r="I871" s="6" t="str">
        <f t="shared" si="26"/>
        <v>Grapple</v>
      </c>
      <c r="J871" s="6" t="s">
        <v>711</v>
      </c>
      <c r="K871" s="6">
        <v>1</v>
      </c>
      <c r="P871" s="6">
        <f t="shared" si="27"/>
        <v>1550000</v>
      </c>
      <c r="R871" s="6" t="s">
        <v>2003</v>
      </c>
      <c r="T871" s="6" t="s">
        <v>2007</v>
      </c>
      <c r="U871" s="6">
        <v>2017</v>
      </c>
      <c r="V871" s="6">
        <v>1</v>
      </c>
      <c r="AD871" s="6" t="s">
        <v>45</v>
      </c>
      <c r="AJ871" s="31" t="s">
        <v>2113</v>
      </c>
      <c r="AK871" s="6">
        <v>1</v>
      </c>
      <c r="AL871" s="26">
        <v>1450000</v>
      </c>
      <c r="AM871" s="26">
        <v>1450000</v>
      </c>
      <c r="AN871" s="26">
        <v>1450000</v>
      </c>
      <c r="AO871" s="6" t="s">
        <v>2003</v>
      </c>
      <c r="AQ871" s="6" t="s">
        <v>49</v>
      </c>
      <c r="AU871" s="6">
        <v>226163</v>
      </c>
    </row>
    <row r="872" spans="1:47" x14ac:dyDescent="0.3">
      <c r="A872" s="28" t="s">
        <v>42</v>
      </c>
      <c r="B872" s="6" t="s">
        <v>2187</v>
      </c>
      <c r="C872" s="6" t="s">
        <v>1972</v>
      </c>
      <c r="D872" s="6" t="s">
        <v>2104</v>
      </c>
      <c r="E872" s="6">
        <v>1</v>
      </c>
      <c r="F872" s="6" t="s">
        <v>2004</v>
      </c>
      <c r="G872" s="6" t="s">
        <v>2005</v>
      </c>
      <c r="H872" s="6" t="s">
        <v>2005</v>
      </c>
      <c r="I872" s="6" t="str">
        <f t="shared" si="26"/>
        <v>Stone Grapple</v>
      </c>
      <c r="J872" s="6" t="s">
        <v>72</v>
      </c>
      <c r="K872" s="6">
        <v>1</v>
      </c>
      <c r="P872" s="6">
        <f t="shared" si="27"/>
        <v>5500000</v>
      </c>
      <c r="R872" s="6" t="s">
        <v>2003</v>
      </c>
      <c r="T872" s="6" t="s">
        <v>2007</v>
      </c>
      <c r="U872" s="6">
        <v>2014</v>
      </c>
      <c r="V872" s="6">
        <v>1</v>
      </c>
      <c r="AD872" s="6" t="s">
        <v>45</v>
      </c>
      <c r="AJ872" s="31" t="s">
        <v>2113</v>
      </c>
      <c r="AK872" s="6">
        <v>1</v>
      </c>
      <c r="AL872" s="26">
        <v>5000000</v>
      </c>
      <c r="AM872" s="26">
        <v>5000000</v>
      </c>
      <c r="AN872" s="26">
        <v>5000000</v>
      </c>
      <c r="AO872" s="6" t="s">
        <v>2003</v>
      </c>
      <c r="AQ872" s="6" t="s">
        <v>49</v>
      </c>
      <c r="AU872" s="6">
        <v>226164</v>
      </c>
    </row>
    <row r="873" spans="1:47" x14ac:dyDescent="0.3">
      <c r="A873" s="28" t="s">
        <v>42</v>
      </c>
      <c r="B873" s="6" t="s">
        <v>2186</v>
      </c>
      <c r="C873" s="6" t="s">
        <v>1980</v>
      </c>
      <c r="D873" s="6" t="s">
        <v>2100</v>
      </c>
      <c r="E873" s="6">
        <v>1</v>
      </c>
      <c r="F873" s="6" t="s">
        <v>2004</v>
      </c>
      <c r="G873" s="6" t="s">
        <v>2005</v>
      </c>
      <c r="H873" s="6" t="s">
        <v>2005</v>
      </c>
      <c r="I873" s="6" t="str">
        <f t="shared" si="26"/>
        <v>Small Bucket</v>
      </c>
      <c r="J873" s="6" t="s">
        <v>276</v>
      </c>
      <c r="K873" s="6">
        <v>1</v>
      </c>
      <c r="P873" s="6">
        <f t="shared" si="27"/>
        <v>600000</v>
      </c>
      <c r="R873" s="6" t="s">
        <v>2003</v>
      </c>
      <c r="T873" s="6" t="s">
        <v>793</v>
      </c>
      <c r="U873" s="6">
        <v>2012</v>
      </c>
      <c r="V873" s="6">
        <v>1</v>
      </c>
      <c r="AD873" s="6" t="s">
        <v>45</v>
      </c>
      <c r="AJ873" s="31" t="s">
        <v>2116</v>
      </c>
      <c r="AK873" s="6">
        <v>1</v>
      </c>
      <c r="AL873" s="26">
        <v>500000</v>
      </c>
      <c r="AM873" s="26">
        <v>500000</v>
      </c>
      <c r="AN873" s="26">
        <v>500000</v>
      </c>
      <c r="AO873" s="6" t="s">
        <v>2003</v>
      </c>
      <c r="AQ873" s="6" t="s">
        <v>1146</v>
      </c>
      <c r="AU873" s="6">
        <v>226165</v>
      </c>
    </row>
    <row r="874" spans="1:47" x14ac:dyDescent="0.3">
      <c r="A874" s="28" t="s">
        <v>42</v>
      </c>
      <c r="B874" s="6" t="s">
        <v>2185</v>
      </c>
      <c r="D874" s="6" t="s">
        <v>2104</v>
      </c>
      <c r="E874" s="6">
        <v>1</v>
      </c>
      <c r="F874" s="6" t="s">
        <v>2004</v>
      </c>
      <c r="G874" s="6" t="s">
        <v>2005</v>
      </c>
      <c r="H874" s="6" t="s">
        <v>2005</v>
      </c>
      <c r="I874" s="6" t="str">
        <f t="shared" si="26"/>
        <v>ETC</v>
      </c>
      <c r="J874" s="6" t="s">
        <v>712</v>
      </c>
      <c r="K874" s="6">
        <v>1</v>
      </c>
      <c r="P874" s="6">
        <f t="shared" si="27"/>
        <v>12500000</v>
      </c>
      <c r="R874" s="6" t="s">
        <v>2003</v>
      </c>
      <c r="T874" s="6" t="s">
        <v>2012</v>
      </c>
      <c r="U874" s="6">
        <v>2014</v>
      </c>
      <c r="V874" s="6">
        <v>1</v>
      </c>
      <c r="AD874" s="6" t="s">
        <v>45</v>
      </c>
      <c r="AJ874" s="31" t="s">
        <v>2113</v>
      </c>
      <c r="AK874" s="6">
        <v>1</v>
      </c>
      <c r="AL874" s="26">
        <v>12000000</v>
      </c>
      <c r="AM874" s="26">
        <v>12000000</v>
      </c>
      <c r="AN874" s="26">
        <v>12000000</v>
      </c>
      <c r="AO874" s="6" t="s">
        <v>2003</v>
      </c>
      <c r="AQ874" s="6" t="s">
        <v>49</v>
      </c>
      <c r="AU874" s="6">
        <v>226168</v>
      </c>
    </row>
    <row r="875" spans="1:47" x14ac:dyDescent="0.3">
      <c r="A875" s="28" t="s">
        <v>42</v>
      </c>
      <c r="B875" s="6" t="s">
        <v>2187</v>
      </c>
      <c r="C875" s="6" t="s">
        <v>1974</v>
      </c>
      <c r="D875" s="6" t="s">
        <v>2100</v>
      </c>
      <c r="E875" s="6">
        <v>1</v>
      </c>
      <c r="F875" s="6" t="s">
        <v>2004</v>
      </c>
      <c r="G875" s="6" t="s">
        <v>2005</v>
      </c>
      <c r="H875" s="6" t="s">
        <v>2005</v>
      </c>
      <c r="I875" s="6" t="str">
        <f t="shared" si="26"/>
        <v>Etc Grapple</v>
      </c>
      <c r="J875" s="6" t="s">
        <v>713</v>
      </c>
      <c r="K875" s="6">
        <v>1</v>
      </c>
      <c r="P875" s="6">
        <f t="shared" si="27"/>
        <v>1600000</v>
      </c>
      <c r="R875" s="6" t="s">
        <v>2003</v>
      </c>
      <c r="T875" s="6" t="s">
        <v>1078</v>
      </c>
      <c r="U875" s="6">
        <v>2014</v>
      </c>
      <c r="V875" s="6">
        <v>1</v>
      </c>
      <c r="AD875" s="6" t="s">
        <v>45</v>
      </c>
      <c r="AJ875" s="31" t="s">
        <v>2111</v>
      </c>
      <c r="AK875" s="6">
        <v>1</v>
      </c>
      <c r="AL875" s="26">
        <v>1500000</v>
      </c>
      <c r="AM875" s="26">
        <v>1500000</v>
      </c>
      <c r="AN875" s="26">
        <v>1500000</v>
      </c>
      <c r="AO875" s="6" t="s">
        <v>2003</v>
      </c>
      <c r="AQ875" s="6" t="s">
        <v>1191</v>
      </c>
      <c r="AU875" s="6">
        <v>226170</v>
      </c>
    </row>
    <row r="876" spans="1:47" x14ac:dyDescent="0.3">
      <c r="A876" s="28" t="s">
        <v>42</v>
      </c>
      <c r="B876" s="6" t="s">
        <v>2185</v>
      </c>
      <c r="D876" s="6" t="s">
        <v>2104</v>
      </c>
      <c r="E876" s="6">
        <v>1</v>
      </c>
      <c r="F876" s="6" t="s">
        <v>2004</v>
      </c>
      <c r="G876" s="6" t="s">
        <v>2005</v>
      </c>
      <c r="H876" s="6" t="s">
        <v>2005</v>
      </c>
      <c r="I876" s="6" t="str">
        <f t="shared" si="26"/>
        <v>ETC</v>
      </c>
      <c r="J876" s="6" t="s">
        <v>714</v>
      </c>
      <c r="K876" s="6">
        <v>1</v>
      </c>
      <c r="P876" s="6">
        <f t="shared" si="27"/>
        <v>4200000</v>
      </c>
      <c r="R876" s="6" t="s">
        <v>2003</v>
      </c>
      <c r="T876" s="6" t="s">
        <v>1079</v>
      </c>
      <c r="U876" s="6">
        <v>2016</v>
      </c>
      <c r="V876" s="6">
        <v>8</v>
      </c>
      <c r="AD876" s="6" t="s">
        <v>45</v>
      </c>
      <c r="AJ876" s="31" t="s">
        <v>2124</v>
      </c>
      <c r="AK876" s="6">
        <v>1</v>
      </c>
      <c r="AL876" s="26">
        <v>4000000</v>
      </c>
      <c r="AM876" s="26">
        <v>4000000</v>
      </c>
      <c r="AN876" s="26">
        <v>4000000</v>
      </c>
      <c r="AO876" s="6" t="s">
        <v>2003</v>
      </c>
      <c r="AQ876" s="6" t="s">
        <v>1303</v>
      </c>
      <c r="AU876" s="6">
        <v>226172</v>
      </c>
    </row>
    <row r="877" spans="1:47" x14ac:dyDescent="0.3">
      <c r="A877" s="28" t="s">
        <v>42</v>
      </c>
      <c r="B877" s="6" t="s">
        <v>2187</v>
      </c>
      <c r="C877" s="6" t="s">
        <v>1974</v>
      </c>
      <c r="D877" s="6" t="s">
        <v>2100</v>
      </c>
      <c r="E877" s="6">
        <v>1</v>
      </c>
      <c r="F877" s="6" t="s">
        <v>2004</v>
      </c>
      <c r="G877" s="6" t="s">
        <v>2005</v>
      </c>
      <c r="H877" s="6" t="s">
        <v>2005</v>
      </c>
      <c r="I877" s="6" t="str">
        <f t="shared" si="26"/>
        <v>Etc Grapple</v>
      </c>
      <c r="J877" s="6" t="s">
        <v>136</v>
      </c>
      <c r="K877" s="6">
        <v>1</v>
      </c>
      <c r="P877" s="6">
        <f t="shared" si="27"/>
        <v>1900000</v>
      </c>
      <c r="R877" s="6" t="s">
        <v>2003</v>
      </c>
      <c r="T877" s="6" t="s">
        <v>107</v>
      </c>
      <c r="U877" s="6">
        <v>2010</v>
      </c>
      <c r="V877" s="6">
        <v>1</v>
      </c>
      <c r="AD877" s="6" t="s">
        <v>45</v>
      </c>
      <c r="AJ877" s="31" t="s">
        <v>2116</v>
      </c>
      <c r="AK877" s="6">
        <v>1</v>
      </c>
      <c r="AL877" s="26">
        <v>1800000</v>
      </c>
      <c r="AM877" s="26">
        <v>1800000</v>
      </c>
      <c r="AN877" s="26">
        <v>1800000</v>
      </c>
      <c r="AO877" s="6" t="s">
        <v>2003</v>
      </c>
      <c r="AQ877" s="6" t="s">
        <v>830</v>
      </c>
      <c r="AU877" s="6">
        <v>226173</v>
      </c>
    </row>
    <row r="878" spans="1:47" x14ac:dyDescent="0.3">
      <c r="A878" s="28" t="s">
        <v>42</v>
      </c>
      <c r="B878" s="6" t="s">
        <v>2185</v>
      </c>
      <c r="D878" s="6" t="s">
        <v>2104</v>
      </c>
      <c r="E878" s="6">
        <v>1</v>
      </c>
      <c r="F878" s="6" t="s">
        <v>2004</v>
      </c>
      <c r="G878" s="6" t="s">
        <v>2005</v>
      </c>
      <c r="H878" s="6" t="s">
        <v>2005</v>
      </c>
      <c r="I878" s="6" t="str">
        <f t="shared" si="26"/>
        <v>ETC</v>
      </c>
      <c r="J878" s="6" t="s">
        <v>715</v>
      </c>
      <c r="K878" s="6">
        <v>1</v>
      </c>
      <c r="P878" s="6">
        <f t="shared" si="27"/>
        <v>3700000</v>
      </c>
      <c r="R878" s="6" t="s">
        <v>2003</v>
      </c>
      <c r="T878" s="6" t="s">
        <v>801</v>
      </c>
      <c r="U878" s="6">
        <v>2013</v>
      </c>
      <c r="V878" s="6">
        <v>1</v>
      </c>
      <c r="AD878" s="6" t="s">
        <v>45</v>
      </c>
      <c r="AJ878" s="31" t="s">
        <v>2110</v>
      </c>
      <c r="AK878" s="6">
        <v>1</v>
      </c>
      <c r="AL878" s="26">
        <v>3500000</v>
      </c>
      <c r="AM878" s="26">
        <v>3500000</v>
      </c>
      <c r="AN878" s="26">
        <v>3500000</v>
      </c>
      <c r="AO878" s="6" t="s">
        <v>2003</v>
      </c>
      <c r="AQ878" s="6" t="s">
        <v>1182</v>
      </c>
      <c r="AU878" s="6">
        <v>226180</v>
      </c>
    </row>
    <row r="879" spans="1:47" x14ac:dyDescent="0.3">
      <c r="A879" s="28" t="s">
        <v>42</v>
      </c>
      <c r="B879" s="6" t="s">
        <v>2191</v>
      </c>
      <c r="C879" s="6" t="s">
        <v>1975</v>
      </c>
      <c r="D879" s="6" t="s">
        <v>2100</v>
      </c>
      <c r="E879" s="6">
        <v>1</v>
      </c>
      <c r="F879" s="6" t="s">
        <v>2004</v>
      </c>
      <c r="G879" s="6" t="s">
        <v>2005</v>
      </c>
      <c r="H879" s="6" t="s">
        <v>2005</v>
      </c>
      <c r="I879" s="6" t="str">
        <f t="shared" si="26"/>
        <v>Side Breaker</v>
      </c>
      <c r="J879" s="6" t="s">
        <v>429</v>
      </c>
      <c r="K879" s="6">
        <v>1</v>
      </c>
      <c r="P879" s="6">
        <f t="shared" si="27"/>
        <v>1600000</v>
      </c>
      <c r="R879" s="6" t="s">
        <v>2003</v>
      </c>
      <c r="T879" s="6" t="s">
        <v>1080</v>
      </c>
      <c r="U879" s="6">
        <v>1975</v>
      </c>
      <c r="V879" s="6">
        <v>1</v>
      </c>
      <c r="AD879" s="6" t="s">
        <v>45</v>
      </c>
      <c r="AJ879" s="31" t="s">
        <v>2120</v>
      </c>
      <c r="AK879" s="6">
        <v>1</v>
      </c>
      <c r="AL879" s="26">
        <v>1500000</v>
      </c>
      <c r="AM879" s="26">
        <v>1500000</v>
      </c>
      <c r="AN879" s="26">
        <v>1500000</v>
      </c>
      <c r="AO879" s="6" t="s">
        <v>2003</v>
      </c>
      <c r="AQ879" s="6" t="s">
        <v>1306</v>
      </c>
      <c r="AU879" s="6">
        <v>226181</v>
      </c>
    </row>
    <row r="880" spans="1:47" x14ac:dyDescent="0.3">
      <c r="A880" s="28" t="s">
        <v>42</v>
      </c>
      <c r="B880" s="6" t="s">
        <v>2185</v>
      </c>
      <c r="C880" s="6" t="s">
        <v>1979</v>
      </c>
      <c r="D880" s="6" t="s">
        <v>2104</v>
      </c>
      <c r="E880" s="6">
        <v>1</v>
      </c>
      <c r="F880" s="6" t="s">
        <v>2004</v>
      </c>
      <c r="G880" s="6" t="s">
        <v>2005</v>
      </c>
      <c r="H880" s="6" t="s">
        <v>2005</v>
      </c>
      <c r="I880" s="6" t="str">
        <f t="shared" si="26"/>
        <v>Thumb Grapple</v>
      </c>
      <c r="J880" s="6" t="s">
        <v>176</v>
      </c>
      <c r="K880" s="6">
        <v>1</v>
      </c>
      <c r="P880" s="6">
        <f t="shared" si="27"/>
        <v>800000</v>
      </c>
      <c r="R880" s="6" t="s">
        <v>2003</v>
      </c>
      <c r="T880" s="6" t="s">
        <v>2012</v>
      </c>
      <c r="U880" s="6">
        <v>2013</v>
      </c>
      <c r="V880" s="6">
        <v>1</v>
      </c>
      <c r="AD880" s="6" t="s">
        <v>45</v>
      </c>
      <c r="AJ880" s="31" t="s">
        <v>2113</v>
      </c>
      <c r="AK880" s="6">
        <v>1</v>
      </c>
      <c r="AL880" s="26">
        <v>700000</v>
      </c>
      <c r="AM880" s="26">
        <v>700000</v>
      </c>
      <c r="AN880" s="26">
        <v>700000</v>
      </c>
      <c r="AO880" s="6" t="s">
        <v>2003</v>
      </c>
      <c r="AQ880" s="6" t="s">
        <v>49</v>
      </c>
      <c r="AU880" s="6">
        <v>226187</v>
      </c>
    </row>
    <row r="881" spans="1:47" x14ac:dyDescent="0.3">
      <c r="A881" s="28" t="s">
        <v>42</v>
      </c>
      <c r="B881" s="6" t="s">
        <v>2186</v>
      </c>
      <c r="C881" s="6" t="s">
        <v>1980</v>
      </c>
      <c r="D881" s="6" t="s">
        <v>2104</v>
      </c>
      <c r="E881" s="6">
        <v>1</v>
      </c>
      <c r="F881" s="6" t="s">
        <v>2004</v>
      </c>
      <c r="G881" s="6" t="s">
        <v>2005</v>
      </c>
      <c r="H881" s="6" t="s">
        <v>2005</v>
      </c>
      <c r="I881" s="6" t="str">
        <f t="shared" si="26"/>
        <v>Small Bucket</v>
      </c>
      <c r="J881" s="6" t="s">
        <v>97</v>
      </c>
      <c r="K881" s="6">
        <v>1</v>
      </c>
      <c r="P881" s="6">
        <f t="shared" si="27"/>
        <v>750000</v>
      </c>
      <c r="R881" s="6" t="s">
        <v>2003</v>
      </c>
      <c r="T881" s="6" t="s">
        <v>2081</v>
      </c>
      <c r="U881" s="6">
        <v>2013</v>
      </c>
      <c r="V881" s="6">
        <v>1</v>
      </c>
      <c r="AD881" s="6" t="s">
        <v>45</v>
      </c>
      <c r="AJ881" s="31" t="s">
        <v>2113</v>
      </c>
      <c r="AK881" s="6">
        <v>1</v>
      </c>
      <c r="AL881" s="26">
        <v>650000</v>
      </c>
      <c r="AM881" s="26">
        <v>650000</v>
      </c>
      <c r="AN881" s="26">
        <v>650000</v>
      </c>
      <c r="AO881" s="6" t="s">
        <v>2003</v>
      </c>
      <c r="AQ881" s="6" t="s">
        <v>49</v>
      </c>
      <c r="AU881" s="6">
        <v>226196</v>
      </c>
    </row>
    <row r="882" spans="1:47" hidden="1" x14ac:dyDescent="0.3">
      <c r="A882" s="28" t="s">
        <v>42</v>
      </c>
      <c r="B882" s="6" t="s">
        <v>2185</v>
      </c>
      <c r="E882" s="6">
        <v>1</v>
      </c>
      <c r="F882" s="6" t="s">
        <v>2004</v>
      </c>
      <c r="G882" s="6" t="s">
        <v>2005</v>
      </c>
      <c r="H882" s="6" t="s">
        <v>2005</v>
      </c>
      <c r="I882" s="6" t="str">
        <f t="shared" si="26"/>
        <v>ETC</v>
      </c>
      <c r="J882" s="6" t="s">
        <v>716</v>
      </c>
      <c r="K882" s="6">
        <v>1</v>
      </c>
      <c r="P882" s="6">
        <f t="shared" si="27"/>
        <v>38500000</v>
      </c>
      <c r="R882" s="6" t="s">
        <v>2003</v>
      </c>
      <c r="T882" s="6" t="s">
        <v>1081</v>
      </c>
      <c r="U882" s="6">
        <v>2016</v>
      </c>
      <c r="V882" s="6">
        <v>5</v>
      </c>
      <c r="AD882" s="6" t="s">
        <v>45</v>
      </c>
      <c r="AJ882" s="31" t="s">
        <v>2110</v>
      </c>
      <c r="AK882" s="6">
        <v>1</v>
      </c>
      <c r="AL882" s="26">
        <v>38000000</v>
      </c>
      <c r="AM882" s="26">
        <v>38000000</v>
      </c>
      <c r="AN882" s="26">
        <v>38000000</v>
      </c>
      <c r="AO882" s="6" t="s">
        <v>2003</v>
      </c>
      <c r="AQ882" s="6" t="s">
        <v>1176</v>
      </c>
      <c r="AU882" s="6">
        <v>226204</v>
      </c>
    </row>
    <row r="883" spans="1:47" x14ac:dyDescent="0.3">
      <c r="A883" s="28" t="s">
        <v>42</v>
      </c>
      <c r="B883" s="6" t="s">
        <v>2185</v>
      </c>
      <c r="D883" s="6" t="s">
        <v>2101</v>
      </c>
      <c r="E883" s="6">
        <v>1</v>
      </c>
      <c r="F883" s="6" t="s">
        <v>2004</v>
      </c>
      <c r="G883" s="6" t="s">
        <v>2005</v>
      </c>
      <c r="H883" s="6" t="s">
        <v>2005</v>
      </c>
      <c r="I883" s="6" t="str">
        <f t="shared" si="26"/>
        <v>ETC</v>
      </c>
      <c r="J883" s="6" t="s">
        <v>287</v>
      </c>
      <c r="K883" s="6">
        <v>1</v>
      </c>
      <c r="P883" s="6">
        <f t="shared" si="27"/>
        <v>2700000</v>
      </c>
      <c r="R883" s="6" t="s">
        <v>2003</v>
      </c>
      <c r="T883" s="6" t="s">
        <v>826</v>
      </c>
      <c r="U883" s="6">
        <v>2007</v>
      </c>
      <c r="V883" s="6">
        <v>1</v>
      </c>
      <c r="AD883" s="6" t="s">
        <v>45</v>
      </c>
      <c r="AJ883" s="31" t="s">
        <v>2117</v>
      </c>
      <c r="AK883" s="6">
        <v>1</v>
      </c>
      <c r="AL883" s="26">
        <v>2500000</v>
      </c>
      <c r="AM883" s="26">
        <v>2500000</v>
      </c>
      <c r="AN883" s="26">
        <v>2500000</v>
      </c>
      <c r="AO883" s="6" t="s">
        <v>2003</v>
      </c>
      <c r="AQ883" s="6" t="s">
        <v>1179</v>
      </c>
      <c r="AU883" s="6">
        <v>226220</v>
      </c>
    </row>
    <row r="884" spans="1:47" hidden="1" x14ac:dyDescent="0.3">
      <c r="A884" s="28" t="s">
        <v>42</v>
      </c>
      <c r="B884" s="6" t="s">
        <v>2185</v>
      </c>
      <c r="C884" s="6" t="s">
        <v>1979</v>
      </c>
      <c r="E884" s="6">
        <v>1</v>
      </c>
      <c r="F884" s="6" t="s">
        <v>2004</v>
      </c>
      <c r="G884" s="6" t="s">
        <v>2005</v>
      </c>
      <c r="H884" s="6" t="s">
        <v>2005</v>
      </c>
      <c r="I884" s="6" t="str">
        <f t="shared" si="26"/>
        <v>Thumb Grapple</v>
      </c>
      <c r="J884" s="6" t="s">
        <v>718</v>
      </c>
      <c r="K884" s="6">
        <v>1</v>
      </c>
      <c r="P884" s="6">
        <f t="shared" si="27"/>
        <v>900000</v>
      </c>
      <c r="R884" s="6" t="s">
        <v>2003</v>
      </c>
      <c r="T884" s="6" t="s">
        <v>1082</v>
      </c>
      <c r="U884" s="6">
        <v>2013</v>
      </c>
      <c r="V884" s="6">
        <v>8</v>
      </c>
      <c r="AD884" s="6" t="s">
        <v>45</v>
      </c>
      <c r="AJ884" s="31" t="s">
        <v>2121</v>
      </c>
      <c r="AK884" s="6">
        <v>1</v>
      </c>
      <c r="AL884" s="26">
        <v>800000</v>
      </c>
      <c r="AM884" s="26">
        <v>800000</v>
      </c>
      <c r="AN884" s="26">
        <v>800000</v>
      </c>
      <c r="AO884" s="6" t="s">
        <v>2003</v>
      </c>
      <c r="AQ884" s="6" t="s">
        <v>1205</v>
      </c>
      <c r="AU884" s="6">
        <v>226228</v>
      </c>
    </row>
    <row r="885" spans="1:47" x14ac:dyDescent="0.3">
      <c r="A885" s="28" t="s">
        <v>42</v>
      </c>
      <c r="B885" s="6" t="s">
        <v>2195</v>
      </c>
      <c r="C885" s="19" t="s">
        <v>2207</v>
      </c>
      <c r="D885" s="6" t="s">
        <v>2106</v>
      </c>
      <c r="E885" s="6">
        <v>1</v>
      </c>
      <c r="F885" s="6" t="s">
        <v>2004</v>
      </c>
      <c r="G885" s="6" t="s">
        <v>2005</v>
      </c>
      <c r="H885" s="6" t="s">
        <v>2005</v>
      </c>
      <c r="I885" s="6" t="str">
        <f t="shared" si="26"/>
        <v>Hydraulic Crusher</v>
      </c>
      <c r="J885" s="6" t="s">
        <v>651</v>
      </c>
      <c r="K885" s="6">
        <v>1</v>
      </c>
      <c r="P885" s="6">
        <f t="shared" si="27"/>
        <v>4500000</v>
      </c>
      <c r="R885" s="6" t="s">
        <v>2003</v>
      </c>
      <c r="T885" s="6" t="s">
        <v>798</v>
      </c>
      <c r="U885" s="6">
        <v>2014</v>
      </c>
      <c r="V885" s="6">
        <v>1</v>
      </c>
      <c r="AD885" s="6" t="s">
        <v>45</v>
      </c>
      <c r="AJ885" s="31" t="s">
        <v>2113</v>
      </c>
      <c r="AK885" s="6">
        <v>1</v>
      </c>
      <c r="AL885" s="26">
        <v>4300000</v>
      </c>
      <c r="AM885" s="26">
        <v>4300000</v>
      </c>
      <c r="AN885" s="26">
        <v>4300000</v>
      </c>
      <c r="AO885" s="6" t="s">
        <v>2003</v>
      </c>
      <c r="AQ885" s="6" t="s">
        <v>71</v>
      </c>
      <c r="AU885" s="6">
        <v>226232</v>
      </c>
    </row>
    <row r="886" spans="1:47" x14ac:dyDescent="0.3">
      <c r="A886" s="28" t="s">
        <v>42</v>
      </c>
      <c r="B886" s="6" t="s">
        <v>2178</v>
      </c>
      <c r="C886" s="6" t="s">
        <v>1975</v>
      </c>
      <c r="D886" s="6" t="s">
        <v>2107</v>
      </c>
      <c r="E886" s="6">
        <v>1</v>
      </c>
      <c r="F886" s="6" t="s">
        <v>2004</v>
      </c>
      <c r="G886" s="6" t="s">
        <v>2005</v>
      </c>
      <c r="H886" s="6" t="s">
        <v>2005</v>
      </c>
      <c r="I886" s="6" t="str">
        <f t="shared" si="26"/>
        <v>Side Breaker</v>
      </c>
      <c r="J886" s="6" t="s">
        <v>215</v>
      </c>
      <c r="K886" s="6">
        <v>1</v>
      </c>
      <c r="P886" s="6">
        <f t="shared" si="27"/>
        <v>1800000</v>
      </c>
      <c r="R886" s="6" t="s">
        <v>2003</v>
      </c>
      <c r="T886" s="6" t="s">
        <v>2007</v>
      </c>
      <c r="U886" s="6">
        <v>2013</v>
      </c>
      <c r="V886" s="6">
        <v>1</v>
      </c>
      <c r="AD886" s="6" t="s">
        <v>45</v>
      </c>
      <c r="AJ886" s="31" t="s">
        <v>2113</v>
      </c>
      <c r="AK886" s="6">
        <v>1</v>
      </c>
      <c r="AL886" s="26">
        <v>1700000</v>
      </c>
      <c r="AM886" s="26">
        <v>1700000</v>
      </c>
      <c r="AN886" s="26">
        <v>1700000</v>
      </c>
      <c r="AO886" s="6" t="s">
        <v>2003</v>
      </c>
      <c r="AQ886" s="6" t="s">
        <v>49</v>
      </c>
      <c r="AU886" s="6">
        <v>226235</v>
      </c>
    </row>
    <row r="887" spans="1:47" x14ac:dyDescent="0.3">
      <c r="A887" s="28" t="s">
        <v>42</v>
      </c>
      <c r="B887" s="6" t="s">
        <v>2179</v>
      </c>
      <c r="C887" s="6" t="s">
        <v>1980</v>
      </c>
      <c r="D887" s="6" t="s">
        <v>2104</v>
      </c>
      <c r="E887" s="6">
        <v>1</v>
      </c>
      <c r="F887" s="6" t="s">
        <v>2004</v>
      </c>
      <c r="G887" s="6" t="s">
        <v>2005</v>
      </c>
      <c r="H887" s="6" t="s">
        <v>2005</v>
      </c>
      <c r="I887" s="6" t="str">
        <f t="shared" si="26"/>
        <v>Small Bucket</v>
      </c>
      <c r="J887" s="6" t="s">
        <v>97</v>
      </c>
      <c r="K887" s="6">
        <v>1</v>
      </c>
      <c r="P887" s="6">
        <f t="shared" si="27"/>
        <v>850000</v>
      </c>
      <c r="R887" s="6" t="s">
        <v>2003</v>
      </c>
      <c r="T887" s="6" t="s">
        <v>1083</v>
      </c>
      <c r="U887" s="6">
        <v>2016</v>
      </c>
      <c r="V887" s="6">
        <v>1</v>
      </c>
      <c r="AD887" s="6" t="s">
        <v>45</v>
      </c>
      <c r="AJ887" s="31" t="s">
        <v>2118</v>
      </c>
      <c r="AK887" s="6">
        <v>1</v>
      </c>
      <c r="AL887" s="26">
        <v>750000</v>
      </c>
      <c r="AM887" s="26">
        <v>750000</v>
      </c>
      <c r="AN887" s="26">
        <v>750000</v>
      </c>
      <c r="AO887" s="6" t="s">
        <v>2003</v>
      </c>
      <c r="AQ887" s="6" t="s">
        <v>67</v>
      </c>
      <c r="AU887" s="6">
        <v>226240</v>
      </c>
    </row>
    <row r="888" spans="1:47" x14ac:dyDescent="0.3">
      <c r="A888" s="28" t="s">
        <v>42</v>
      </c>
      <c r="B888" s="6" t="s">
        <v>2179</v>
      </c>
      <c r="C888" s="19" t="s">
        <v>2210</v>
      </c>
      <c r="D888" s="6" t="s">
        <v>2104</v>
      </c>
      <c r="E888" s="6">
        <v>1</v>
      </c>
      <c r="F888" s="6" t="s">
        <v>2004</v>
      </c>
      <c r="G888" s="6" t="s">
        <v>2005</v>
      </c>
      <c r="H888" s="6" t="s">
        <v>2005</v>
      </c>
      <c r="I888" s="6" t="str">
        <f t="shared" si="26"/>
        <v>Etc Bucket</v>
      </c>
      <c r="J888" s="6" t="s">
        <v>292</v>
      </c>
      <c r="K888" s="6">
        <v>1</v>
      </c>
      <c r="P888" s="6">
        <f t="shared" si="27"/>
        <v>1600000</v>
      </c>
      <c r="R888" s="6" t="s">
        <v>2003</v>
      </c>
      <c r="T888" s="6" t="s">
        <v>828</v>
      </c>
      <c r="U888" s="6">
        <v>2017</v>
      </c>
      <c r="V888" s="6">
        <v>2</v>
      </c>
      <c r="AD888" s="6" t="s">
        <v>45</v>
      </c>
      <c r="AJ888" s="31" t="s">
        <v>2124</v>
      </c>
      <c r="AK888" s="6">
        <v>1</v>
      </c>
      <c r="AL888" s="26">
        <v>1500000</v>
      </c>
      <c r="AM888" s="26">
        <v>1500000</v>
      </c>
      <c r="AN888" s="26">
        <v>1500000</v>
      </c>
      <c r="AO888" s="6" t="s">
        <v>2003</v>
      </c>
      <c r="AQ888" s="6" t="s">
        <v>1144</v>
      </c>
      <c r="AU888" s="6">
        <v>226241</v>
      </c>
    </row>
    <row r="889" spans="1:47" hidden="1" x14ac:dyDescent="0.3">
      <c r="A889" s="28" t="s">
        <v>42</v>
      </c>
      <c r="B889" s="6" t="s">
        <v>2183</v>
      </c>
      <c r="E889" s="6">
        <v>1</v>
      </c>
      <c r="F889" s="6" t="s">
        <v>2004</v>
      </c>
      <c r="G889" s="6" t="s">
        <v>2005</v>
      </c>
      <c r="H889" s="6" t="s">
        <v>2005</v>
      </c>
      <c r="I889" s="6" t="str">
        <f t="shared" si="26"/>
        <v>ETC</v>
      </c>
      <c r="J889" s="6" t="s">
        <v>601</v>
      </c>
      <c r="K889" s="6">
        <v>1</v>
      </c>
      <c r="P889" s="6">
        <f t="shared" si="27"/>
        <v>1700000</v>
      </c>
      <c r="R889" s="6" t="s">
        <v>2003</v>
      </c>
      <c r="T889" s="6" t="s">
        <v>1084</v>
      </c>
      <c r="U889" s="6">
        <v>2017</v>
      </c>
      <c r="V889" s="6">
        <v>1</v>
      </c>
      <c r="AD889" s="6" t="s">
        <v>45</v>
      </c>
      <c r="AJ889" s="31" t="s">
        <v>2112</v>
      </c>
      <c r="AK889" s="6">
        <v>1</v>
      </c>
      <c r="AL889" s="26">
        <v>1600000</v>
      </c>
      <c r="AM889" s="26">
        <v>1600000</v>
      </c>
      <c r="AN889" s="26">
        <v>1600000</v>
      </c>
      <c r="AO889" s="6" t="s">
        <v>2003</v>
      </c>
      <c r="AQ889" s="6" t="s">
        <v>1239</v>
      </c>
      <c r="AU889" s="6">
        <v>226242</v>
      </c>
    </row>
    <row r="890" spans="1:47" x14ac:dyDescent="0.3">
      <c r="A890" s="28" t="s">
        <v>42</v>
      </c>
      <c r="B890" s="6" t="s">
        <v>2175</v>
      </c>
      <c r="C890" s="6" t="s">
        <v>1978</v>
      </c>
      <c r="D890" s="6" t="s">
        <v>2105</v>
      </c>
      <c r="E890" s="6">
        <v>1</v>
      </c>
      <c r="F890" s="6" t="s">
        <v>2004</v>
      </c>
      <c r="G890" s="6" t="s">
        <v>2005</v>
      </c>
      <c r="H890" s="6" t="s">
        <v>2005</v>
      </c>
      <c r="I890" s="6" t="str">
        <f t="shared" si="26"/>
        <v>Hydraulic Pulverizer</v>
      </c>
      <c r="J890" s="6" t="s">
        <v>412</v>
      </c>
      <c r="K890" s="6">
        <v>1</v>
      </c>
      <c r="P890" s="6">
        <f t="shared" si="27"/>
        <v>16500000</v>
      </c>
      <c r="R890" s="6" t="s">
        <v>2003</v>
      </c>
      <c r="T890" s="6" t="s">
        <v>813</v>
      </c>
      <c r="U890" s="6">
        <v>2013</v>
      </c>
      <c r="V890" s="6">
        <v>1</v>
      </c>
      <c r="AD890" s="6" t="s">
        <v>45</v>
      </c>
      <c r="AJ890" s="31" t="s">
        <v>2113</v>
      </c>
      <c r="AK890" s="6">
        <v>1</v>
      </c>
      <c r="AL890" s="26">
        <v>16000000</v>
      </c>
      <c r="AM890" s="26">
        <v>16000000</v>
      </c>
      <c r="AN890" s="26">
        <v>16000000</v>
      </c>
      <c r="AO890" s="6" t="s">
        <v>2003</v>
      </c>
      <c r="AQ890" s="6" t="s">
        <v>80</v>
      </c>
      <c r="AU890" s="6">
        <v>226244</v>
      </c>
    </row>
    <row r="891" spans="1:47" x14ac:dyDescent="0.3">
      <c r="A891" s="28" t="s">
        <v>42</v>
      </c>
      <c r="B891" s="6" t="s">
        <v>2175</v>
      </c>
      <c r="C891" s="19" t="s">
        <v>2207</v>
      </c>
      <c r="D891" s="6" t="s">
        <v>2105</v>
      </c>
      <c r="E891" s="6">
        <v>1</v>
      </c>
      <c r="F891" s="6" t="s">
        <v>2004</v>
      </c>
      <c r="G891" s="6" t="s">
        <v>2005</v>
      </c>
      <c r="H891" s="6" t="s">
        <v>2005</v>
      </c>
      <c r="I891" s="6" t="str">
        <f t="shared" si="26"/>
        <v>Hydraulic Crusher</v>
      </c>
      <c r="J891" s="6" t="s">
        <v>181</v>
      </c>
      <c r="K891" s="6">
        <v>1</v>
      </c>
      <c r="P891" s="6">
        <f t="shared" si="27"/>
        <v>5500000</v>
      </c>
      <c r="R891" s="6" t="s">
        <v>2003</v>
      </c>
      <c r="T891" s="6" t="s">
        <v>1085</v>
      </c>
      <c r="U891" s="6">
        <v>2008</v>
      </c>
      <c r="V891" s="6">
        <v>1</v>
      </c>
      <c r="AD891" s="6" t="s">
        <v>45</v>
      </c>
      <c r="AJ891" s="31" t="s">
        <v>2118</v>
      </c>
      <c r="AK891" s="6">
        <v>1</v>
      </c>
      <c r="AL891" s="26">
        <v>5000000</v>
      </c>
      <c r="AM891" s="26">
        <v>5000000</v>
      </c>
      <c r="AN891" s="26">
        <v>5000000</v>
      </c>
      <c r="AO891" s="6" t="s">
        <v>2003</v>
      </c>
      <c r="AQ891" s="6" t="s">
        <v>67</v>
      </c>
      <c r="AU891" s="6">
        <v>226251</v>
      </c>
    </row>
    <row r="892" spans="1:47" x14ac:dyDescent="0.3">
      <c r="A892" s="28" t="s">
        <v>42</v>
      </c>
      <c r="B892" s="6" t="s">
        <v>2201</v>
      </c>
      <c r="C892" s="19" t="s">
        <v>2207</v>
      </c>
      <c r="D892" s="6" t="s">
        <v>2105</v>
      </c>
      <c r="E892" s="6">
        <v>1</v>
      </c>
      <c r="F892" s="6" t="s">
        <v>2004</v>
      </c>
      <c r="G892" s="6" t="s">
        <v>2005</v>
      </c>
      <c r="H892" s="6" t="s">
        <v>2005</v>
      </c>
      <c r="I892" s="6" t="str">
        <f t="shared" si="26"/>
        <v>Hydraulic Crusher</v>
      </c>
      <c r="J892" s="6" t="s">
        <v>273</v>
      </c>
      <c r="K892" s="6">
        <v>1</v>
      </c>
      <c r="P892" s="6">
        <f t="shared" si="27"/>
        <v>17000000</v>
      </c>
      <c r="R892" s="6" t="s">
        <v>2003</v>
      </c>
      <c r="T892" s="6" t="s">
        <v>813</v>
      </c>
      <c r="U892" s="6">
        <v>2014</v>
      </c>
      <c r="V892" s="6">
        <v>1</v>
      </c>
      <c r="AD892" s="6" t="s">
        <v>45</v>
      </c>
      <c r="AJ892" s="31" t="s">
        <v>2113</v>
      </c>
      <c r="AK892" s="6">
        <v>1</v>
      </c>
      <c r="AL892" s="26">
        <v>16500000</v>
      </c>
      <c r="AM892" s="26">
        <v>16500000</v>
      </c>
      <c r="AN892" s="26">
        <v>16500000</v>
      </c>
      <c r="AO892" s="6" t="s">
        <v>2003</v>
      </c>
      <c r="AQ892" s="6" t="s">
        <v>80</v>
      </c>
      <c r="AU892" s="6">
        <v>226254</v>
      </c>
    </row>
    <row r="893" spans="1:47" x14ac:dyDescent="0.3">
      <c r="A893" s="28" t="s">
        <v>42</v>
      </c>
      <c r="B893" s="6" t="s">
        <v>2177</v>
      </c>
      <c r="C893" s="6" t="s">
        <v>1974</v>
      </c>
      <c r="D893" s="6" t="s">
        <v>2104</v>
      </c>
      <c r="E893" s="6">
        <v>1</v>
      </c>
      <c r="F893" s="6" t="s">
        <v>2004</v>
      </c>
      <c r="G893" s="6" t="s">
        <v>2005</v>
      </c>
      <c r="H893" s="6" t="s">
        <v>2005</v>
      </c>
      <c r="I893" s="6" t="str">
        <f t="shared" si="26"/>
        <v>Etc Grapple</v>
      </c>
      <c r="J893" s="6" t="s">
        <v>125</v>
      </c>
      <c r="K893" s="6">
        <v>1</v>
      </c>
      <c r="P893" s="6">
        <f t="shared" si="27"/>
        <v>5500000</v>
      </c>
      <c r="R893" s="6" t="s">
        <v>2003</v>
      </c>
      <c r="T893" s="6" t="s">
        <v>830</v>
      </c>
      <c r="U893" s="6">
        <v>2009</v>
      </c>
      <c r="V893" s="6">
        <v>1</v>
      </c>
      <c r="AD893" s="6" t="s">
        <v>45</v>
      </c>
      <c r="AJ893" s="31" t="s">
        <v>2114</v>
      </c>
      <c r="AK893" s="6">
        <v>1</v>
      </c>
      <c r="AL893" s="26">
        <v>5000000</v>
      </c>
      <c r="AM893" s="26">
        <v>5000000</v>
      </c>
      <c r="AN893" s="26">
        <v>5000000</v>
      </c>
      <c r="AO893" s="6" t="s">
        <v>2003</v>
      </c>
      <c r="AQ893" s="6" t="s">
        <v>830</v>
      </c>
      <c r="AU893" s="6">
        <v>226257</v>
      </c>
    </row>
    <row r="894" spans="1:47" x14ac:dyDescent="0.3">
      <c r="A894" s="28" t="s">
        <v>42</v>
      </c>
      <c r="B894" s="6" t="s">
        <v>2181</v>
      </c>
      <c r="D894" s="6" t="s">
        <v>2104</v>
      </c>
      <c r="E894" s="6">
        <v>1</v>
      </c>
      <c r="F894" s="6" t="s">
        <v>2004</v>
      </c>
      <c r="G894" s="6" t="s">
        <v>2005</v>
      </c>
      <c r="H894" s="6" t="s">
        <v>2005</v>
      </c>
      <c r="I894" s="6" t="str">
        <f t="shared" si="26"/>
        <v>ETC</v>
      </c>
      <c r="J894" s="6" t="s">
        <v>476</v>
      </c>
      <c r="K894" s="6">
        <v>1</v>
      </c>
      <c r="P894" s="6">
        <f t="shared" si="27"/>
        <v>11500000</v>
      </c>
      <c r="R894" s="6" t="s">
        <v>2003</v>
      </c>
      <c r="T894" s="6" t="s">
        <v>2082</v>
      </c>
      <c r="U894" s="6">
        <v>2014</v>
      </c>
      <c r="V894" s="6">
        <v>9</v>
      </c>
      <c r="AD894" s="6" t="s">
        <v>45</v>
      </c>
      <c r="AJ894" s="31" t="s">
        <v>2121</v>
      </c>
      <c r="AK894" s="6">
        <v>1</v>
      </c>
      <c r="AL894" s="26">
        <v>11000000</v>
      </c>
      <c r="AM894" s="26">
        <v>11000000</v>
      </c>
      <c r="AN894" s="26">
        <v>11000000</v>
      </c>
      <c r="AO894" s="6" t="s">
        <v>2003</v>
      </c>
      <c r="AQ894" s="6" t="s">
        <v>1218</v>
      </c>
      <c r="AU894" s="6">
        <v>226258</v>
      </c>
    </row>
    <row r="895" spans="1:47" x14ac:dyDescent="0.3">
      <c r="A895" s="28" t="s">
        <v>42</v>
      </c>
      <c r="B895" s="6" t="s">
        <v>2177</v>
      </c>
      <c r="C895" s="19" t="s">
        <v>2206</v>
      </c>
      <c r="D895" s="6" t="s">
        <v>2104</v>
      </c>
      <c r="E895" s="6">
        <v>1</v>
      </c>
      <c r="F895" s="6" t="s">
        <v>2004</v>
      </c>
      <c r="G895" s="6" t="s">
        <v>2005</v>
      </c>
      <c r="H895" s="6" t="s">
        <v>2005</v>
      </c>
      <c r="I895" s="6" t="str">
        <f t="shared" si="26"/>
        <v>Etc Grapple</v>
      </c>
      <c r="J895" s="6" t="s">
        <v>719</v>
      </c>
      <c r="K895" s="6">
        <v>1</v>
      </c>
      <c r="P895" s="6">
        <f t="shared" si="27"/>
        <v>1900000</v>
      </c>
      <c r="R895" s="6" t="s">
        <v>2003</v>
      </c>
      <c r="T895" s="6" t="s">
        <v>1086</v>
      </c>
      <c r="U895" s="6">
        <v>2012</v>
      </c>
      <c r="V895" s="6">
        <v>1</v>
      </c>
      <c r="AD895" s="6" t="s">
        <v>45</v>
      </c>
      <c r="AJ895" s="31" t="s">
        <v>2117</v>
      </c>
      <c r="AK895" s="6">
        <v>1</v>
      </c>
      <c r="AL895" s="26">
        <v>1800000</v>
      </c>
      <c r="AM895" s="26">
        <v>1800000</v>
      </c>
      <c r="AN895" s="26">
        <v>1800000</v>
      </c>
      <c r="AO895" s="6" t="s">
        <v>2003</v>
      </c>
      <c r="AQ895" s="6" t="s">
        <v>1242</v>
      </c>
      <c r="AU895" s="6">
        <v>226261</v>
      </c>
    </row>
    <row r="896" spans="1:47" x14ac:dyDescent="0.3">
      <c r="A896" s="28" t="s">
        <v>42</v>
      </c>
      <c r="B896" s="6" t="s">
        <v>2187</v>
      </c>
      <c r="C896" s="6" t="s">
        <v>1972</v>
      </c>
      <c r="D896" s="6" t="s">
        <v>2104</v>
      </c>
      <c r="E896" s="6">
        <v>1</v>
      </c>
      <c r="F896" s="6" t="s">
        <v>2004</v>
      </c>
      <c r="G896" s="6" t="s">
        <v>2005</v>
      </c>
      <c r="H896" s="6" t="s">
        <v>2005</v>
      </c>
      <c r="I896" s="6" t="str">
        <f t="shared" si="26"/>
        <v>Stone Grapple</v>
      </c>
      <c r="J896" s="6" t="s">
        <v>120</v>
      </c>
      <c r="K896" s="6">
        <v>1</v>
      </c>
      <c r="P896" s="6">
        <f t="shared" si="27"/>
        <v>5700000</v>
      </c>
      <c r="R896" s="6" t="s">
        <v>2003</v>
      </c>
      <c r="T896" s="6" t="s">
        <v>1087</v>
      </c>
      <c r="U896" s="6">
        <v>2014</v>
      </c>
      <c r="V896" s="6">
        <v>1</v>
      </c>
      <c r="AD896" s="6" t="s">
        <v>45</v>
      </c>
      <c r="AJ896" s="31" t="s">
        <v>2118</v>
      </c>
      <c r="AK896" s="6">
        <v>1</v>
      </c>
      <c r="AL896" s="26">
        <v>5200000</v>
      </c>
      <c r="AM896" s="26">
        <v>5200000</v>
      </c>
      <c r="AN896" s="26">
        <v>5200000</v>
      </c>
      <c r="AO896" s="6" t="s">
        <v>2003</v>
      </c>
      <c r="AQ896" s="6" t="s">
        <v>67</v>
      </c>
      <c r="AU896" s="6">
        <v>226265</v>
      </c>
    </row>
    <row r="897" spans="1:47" x14ac:dyDescent="0.3">
      <c r="A897" s="28" t="s">
        <v>42</v>
      </c>
      <c r="B897" s="6" t="s">
        <v>2193</v>
      </c>
      <c r="D897" s="6" t="s">
        <v>2105</v>
      </c>
      <c r="E897" s="6">
        <v>1</v>
      </c>
      <c r="F897" s="6" t="s">
        <v>2004</v>
      </c>
      <c r="G897" s="6" t="s">
        <v>2005</v>
      </c>
      <c r="H897" s="6" t="s">
        <v>2005</v>
      </c>
      <c r="I897" s="6" t="str">
        <f t="shared" si="26"/>
        <v>Ripper</v>
      </c>
      <c r="J897" s="6" t="s">
        <v>254</v>
      </c>
      <c r="K897" s="6">
        <v>1</v>
      </c>
      <c r="P897" s="6">
        <f t="shared" si="27"/>
        <v>1900000</v>
      </c>
      <c r="R897" s="6" t="s">
        <v>2003</v>
      </c>
      <c r="T897" s="6" t="s">
        <v>2059</v>
      </c>
      <c r="U897" s="6">
        <v>2017</v>
      </c>
      <c r="V897" s="6">
        <v>1</v>
      </c>
      <c r="AD897" s="6" t="s">
        <v>45</v>
      </c>
      <c r="AJ897" s="31" t="s">
        <v>2110</v>
      </c>
      <c r="AK897" s="6">
        <v>1</v>
      </c>
      <c r="AL897" s="26">
        <v>1800000</v>
      </c>
      <c r="AM897" s="26">
        <v>1800000</v>
      </c>
      <c r="AN897" s="26">
        <v>1800000</v>
      </c>
      <c r="AO897" s="6" t="s">
        <v>2003</v>
      </c>
      <c r="AQ897" s="6" t="s">
        <v>1155</v>
      </c>
      <c r="AU897" s="6">
        <v>226267</v>
      </c>
    </row>
    <row r="898" spans="1:47" x14ac:dyDescent="0.3">
      <c r="A898" s="28" t="s">
        <v>42</v>
      </c>
      <c r="B898" s="6" t="s">
        <v>2174</v>
      </c>
      <c r="C898" s="6" t="s">
        <v>1975</v>
      </c>
      <c r="D898" s="6" t="s">
        <v>2100</v>
      </c>
      <c r="E898" s="6">
        <v>1</v>
      </c>
      <c r="F898" s="6" t="s">
        <v>2004</v>
      </c>
      <c r="G898" s="6" t="s">
        <v>2005</v>
      </c>
      <c r="H898" s="6" t="s">
        <v>2005</v>
      </c>
      <c r="I898" s="6" t="str">
        <f t="shared" ref="I898:I961" si="28">IF(ISBLANK(C898),B898,C898)</f>
        <v>Side Breaker</v>
      </c>
      <c r="J898" s="6" t="s">
        <v>704</v>
      </c>
      <c r="K898" s="6">
        <v>1</v>
      </c>
      <c r="P898" s="6">
        <f t="shared" si="27"/>
        <v>1600000</v>
      </c>
      <c r="R898" s="6" t="s">
        <v>2003</v>
      </c>
      <c r="T898" s="6" t="s">
        <v>1088</v>
      </c>
      <c r="U898" s="6">
        <v>2015</v>
      </c>
      <c r="V898" s="6">
        <v>1</v>
      </c>
      <c r="AD898" s="6" t="s">
        <v>45</v>
      </c>
      <c r="AJ898" s="31" t="s">
        <v>2119</v>
      </c>
      <c r="AK898" s="6">
        <v>1</v>
      </c>
      <c r="AL898" s="26">
        <v>1500000</v>
      </c>
      <c r="AM898" s="26">
        <v>1500000</v>
      </c>
      <c r="AN898" s="26">
        <v>1500000</v>
      </c>
      <c r="AO898" s="6" t="s">
        <v>2003</v>
      </c>
      <c r="AQ898" s="6" t="s">
        <v>1165</v>
      </c>
      <c r="AU898" s="6">
        <v>226269</v>
      </c>
    </row>
    <row r="899" spans="1:47" x14ac:dyDescent="0.3">
      <c r="A899" s="28" t="s">
        <v>42</v>
      </c>
      <c r="B899" s="6" t="s">
        <v>2182</v>
      </c>
      <c r="C899" s="6" t="s">
        <v>1976</v>
      </c>
      <c r="D899" s="6" t="s">
        <v>2103</v>
      </c>
      <c r="E899" s="6">
        <v>1</v>
      </c>
      <c r="F899" s="6" t="s">
        <v>2004</v>
      </c>
      <c r="G899" s="6" t="s">
        <v>2005</v>
      </c>
      <c r="H899" s="6" t="s">
        <v>2005</v>
      </c>
      <c r="I899" s="6" t="str">
        <f t="shared" si="28"/>
        <v>Skeleton Bucket</v>
      </c>
      <c r="J899" s="6" t="s">
        <v>685</v>
      </c>
      <c r="K899" s="6">
        <v>1</v>
      </c>
      <c r="P899" s="6">
        <f t="shared" ref="P899:P962" si="29">IF(AM899&lt;500000,AM899+50000,IF(AND(AM899&gt;=500000,AM899&lt;2000000),AM899+100000,IF(AND(AM899&gt;=2000000,AM899&lt;5000000),AM899+200000,IF(AM899&gt;=5000000,AM899+500000,AM899))))</f>
        <v>2500000</v>
      </c>
      <c r="R899" s="6" t="s">
        <v>2003</v>
      </c>
      <c r="T899" s="6" t="s">
        <v>813</v>
      </c>
      <c r="U899" s="6">
        <v>2016</v>
      </c>
      <c r="V899" s="6">
        <v>1</v>
      </c>
      <c r="AD899" s="6" t="s">
        <v>45</v>
      </c>
      <c r="AJ899" s="31" t="s">
        <v>2113</v>
      </c>
      <c r="AK899" s="6">
        <v>1</v>
      </c>
      <c r="AL899" s="26">
        <v>2300000</v>
      </c>
      <c r="AM899" s="26">
        <v>2300000</v>
      </c>
      <c r="AN899" s="26">
        <v>2300000</v>
      </c>
      <c r="AO899" s="6" t="s">
        <v>2003</v>
      </c>
      <c r="AQ899" s="6" t="s">
        <v>80</v>
      </c>
      <c r="AU899" s="6">
        <v>226270</v>
      </c>
    </row>
    <row r="900" spans="1:47" x14ac:dyDescent="0.3">
      <c r="A900" s="28" t="s">
        <v>42</v>
      </c>
      <c r="B900" s="6" t="s">
        <v>2183</v>
      </c>
      <c r="C900" s="6" t="s">
        <v>1979</v>
      </c>
      <c r="D900" s="6" t="s">
        <v>2103</v>
      </c>
      <c r="E900" s="6">
        <v>1</v>
      </c>
      <c r="F900" s="6" t="s">
        <v>2004</v>
      </c>
      <c r="G900" s="6" t="s">
        <v>2005</v>
      </c>
      <c r="H900" s="6" t="s">
        <v>2005</v>
      </c>
      <c r="I900" s="6" t="str">
        <f t="shared" si="28"/>
        <v>Thumb Grapple</v>
      </c>
      <c r="J900" s="6" t="s">
        <v>654</v>
      </c>
      <c r="K900" s="6">
        <v>1</v>
      </c>
      <c r="P900" s="6">
        <f t="shared" si="29"/>
        <v>2200000</v>
      </c>
      <c r="R900" s="6" t="s">
        <v>2003</v>
      </c>
      <c r="T900" s="6" t="s">
        <v>813</v>
      </c>
      <c r="U900" s="6">
        <v>2013</v>
      </c>
      <c r="V900" s="6">
        <v>1</v>
      </c>
      <c r="AD900" s="6" t="s">
        <v>45</v>
      </c>
      <c r="AJ900" s="31" t="s">
        <v>2113</v>
      </c>
      <c r="AK900" s="6">
        <v>1</v>
      </c>
      <c r="AL900" s="26">
        <v>2000000</v>
      </c>
      <c r="AM900" s="26">
        <v>2000000</v>
      </c>
      <c r="AN900" s="26">
        <v>2000000</v>
      </c>
      <c r="AO900" s="6" t="s">
        <v>2003</v>
      </c>
      <c r="AQ900" s="6" t="s">
        <v>79</v>
      </c>
      <c r="AU900" s="6">
        <v>226271</v>
      </c>
    </row>
    <row r="901" spans="1:47" x14ac:dyDescent="0.3">
      <c r="A901" s="28" t="s">
        <v>42</v>
      </c>
      <c r="B901" s="6" t="s">
        <v>2174</v>
      </c>
      <c r="C901" s="6" t="s">
        <v>1975</v>
      </c>
      <c r="D901" s="6" t="s">
        <v>2103</v>
      </c>
      <c r="E901" s="6">
        <v>1</v>
      </c>
      <c r="F901" s="6" t="s">
        <v>2004</v>
      </c>
      <c r="G901" s="6" t="s">
        <v>2005</v>
      </c>
      <c r="H901" s="6" t="s">
        <v>2005</v>
      </c>
      <c r="I901" s="6" t="str">
        <f t="shared" si="28"/>
        <v>Side Breaker</v>
      </c>
      <c r="J901" s="6" t="s">
        <v>443</v>
      </c>
      <c r="K901" s="6">
        <v>1</v>
      </c>
      <c r="P901" s="6">
        <f t="shared" si="29"/>
        <v>4400000</v>
      </c>
      <c r="R901" s="6" t="s">
        <v>2003</v>
      </c>
      <c r="T901" s="6" t="s">
        <v>803</v>
      </c>
      <c r="U901" s="6">
        <v>2007</v>
      </c>
      <c r="V901" s="6">
        <v>1</v>
      </c>
      <c r="AD901" s="6" t="s">
        <v>45</v>
      </c>
      <c r="AJ901" s="31" t="s">
        <v>2123</v>
      </c>
      <c r="AK901" s="6">
        <v>1</v>
      </c>
      <c r="AL901" s="26">
        <v>4200000</v>
      </c>
      <c r="AM901" s="26">
        <v>4200000</v>
      </c>
      <c r="AN901" s="26">
        <v>4200000</v>
      </c>
      <c r="AO901" s="6" t="s">
        <v>2003</v>
      </c>
      <c r="AQ901" s="6" t="s">
        <v>1181</v>
      </c>
      <c r="AU901" s="6">
        <v>226276</v>
      </c>
    </row>
    <row r="902" spans="1:47" x14ac:dyDescent="0.3">
      <c r="A902" s="28" t="s">
        <v>42</v>
      </c>
      <c r="B902" s="6" t="s">
        <v>2175</v>
      </c>
      <c r="C902" s="6" t="s">
        <v>1978</v>
      </c>
      <c r="D902" s="6" t="s">
        <v>2103</v>
      </c>
      <c r="E902" s="6">
        <v>1</v>
      </c>
      <c r="F902" s="6" t="s">
        <v>2004</v>
      </c>
      <c r="G902" s="6" t="s">
        <v>2005</v>
      </c>
      <c r="H902" s="6" t="s">
        <v>2005</v>
      </c>
      <c r="I902" s="6" t="str">
        <f t="shared" si="28"/>
        <v>Hydraulic Pulverizer</v>
      </c>
      <c r="J902" s="6" t="s">
        <v>409</v>
      </c>
      <c r="K902" s="6">
        <v>1</v>
      </c>
      <c r="P902" s="6">
        <f t="shared" si="29"/>
        <v>6500000</v>
      </c>
      <c r="R902" s="6" t="s">
        <v>2003</v>
      </c>
      <c r="T902" s="6" t="s">
        <v>813</v>
      </c>
      <c r="U902" s="6">
        <v>2013</v>
      </c>
      <c r="V902" s="6">
        <v>1</v>
      </c>
      <c r="AD902" s="6" t="s">
        <v>45</v>
      </c>
      <c r="AJ902" s="31" t="s">
        <v>2113</v>
      </c>
      <c r="AK902" s="6">
        <v>1</v>
      </c>
      <c r="AL902" s="26">
        <v>6000000</v>
      </c>
      <c r="AM902" s="26">
        <v>6000000</v>
      </c>
      <c r="AN902" s="26">
        <v>6000000</v>
      </c>
      <c r="AO902" s="6" t="s">
        <v>2003</v>
      </c>
      <c r="AQ902" s="6" t="s">
        <v>79</v>
      </c>
      <c r="AU902" s="6">
        <v>226278</v>
      </c>
    </row>
    <row r="903" spans="1:47" x14ac:dyDescent="0.3">
      <c r="A903" s="28" t="s">
        <v>42</v>
      </c>
      <c r="B903" s="6" t="s">
        <v>2182</v>
      </c>
      <c r="C903" s="6" t="s">
        <v>1977</v>
      </c>
      <c r="D903" s="6" t="s">
        <v>2104</v>
      </c>
      <c r="E903" s="6">
        <v>1</v>
      </c>
      <c r="F903" s="6" t="s">
        <v>2004</v>
      </c>
      <c r="G903" s="6" t="s">
        <v>2005</v>
      </c>
      <c r="H903" s="6" t="s">
        <v>2005</v>
      </c>
      <c r="I903" s="6" t="str">
        <f t="shared" si="28"/>
        <v>Wide Bucket</v>
      </c>
      <c r="J903" s="6" t="s">
        <v>123</v>
      </c>
      <c r="K903" s="6">
        <v>1</v>
      </c>
      <c r="P903" s="6">
        <f t="shared" si="29"/>
        <v>1200000</v>
      </c>
      <c r="R903" s="6" t="s">
        <v>2003</v>
      </c>
      <c r="T903" s="6" t="s">
        <v>813</v>
      </c>
      <c r="U903" s="6">
        <v>2013</v>
      </c>
      <c r="V903" s="6">
        <v>1</v>
      </c>
      <c r="AD903" s="6" t="s">
        <v>45</v>
      </c>
      <c r="AJ903" s="31" t="s">
        <v>2113</v>
      </c>
      <c r="AK903" s="6">
        <v>1</v>
      </c>
      <c r="AL903" s="26">
        <v>1100000</v>
      </c>
      <c r="AM903" s="26">
        <v>1100000</v>
      </c>
      <c r="AN903" s="26">
        <v>1100000</v>
      </c>
      <c r="AO903" s="6" t="s">
        <v>2003</v>
      </c>
      <c r="AQ903" s="6" t="s">
        <v>79</v>
      </c>
      <c r="AU903" s="6">
        <v>226280</v>
      </c>
    </row>
    <row r="904" spans="1:47" hidden="1" x14ac:dyDescent="0.3">
      <c r="A904" s="28" t="s">
        <v>42</v>
      </c>
      <c r="B904" s="6" t="s">
        <v>2183</v>
      </c>
      <c r="E904" s="6">
        <v>1</v>
      </c>
      <c r="F904" s="6" t="s">
        <v>2004</v>
      </c>
      <c r="G904" s="6" t="s">
        <v>2005</v>
      </c>
      <c r="H904" s="6" t="s">
        <v>2005</v>
      </c>
      <c r="I904" s="6" t="str">
        <f t="shared" si="28"/>
        <v>ETC</v>
      </c>
      <c r="J904" s="6" t="s">
        <v>349</v>
      </c>
      <c r="K904" s="6">
        <v>1</v>
      </c>
      <c r="P904" s="6">
        <f t="shared" si="29"/>
        <v>6500000</v>
      </c>
      <c r="R904" s="6" t="s">
        <v>2003</v>
      </c>
      <c r="T904" s="6" t="s">
        <v>2083</v>
      </c>
      <c r="U904" s="6">
        <v>2013</v>
      </c>
      <c r="V904" s="6">
        <v>1</v>
      </c>
      <c r="AD904" s="6" t="s">
        <v>45</v>
      </c>
      <c r="AJ904" s="31" t="s">
        <v>2111</v>
      </c>
      <c r="AK904" s="6">
        <v>1</v>
      </c>
      <c r="AL904" s="26">
        <v>6000000</v>
      </c>
      <c r="AM904" s="26">
        <v>6000000</v>
      </c>
      <c r="AN904" s="26">
        <v>6000000</v>
      </c>
      <c r="AO904" s="6" t="s">
        <v>2003</v>
      </c>
      <c r="AQ904" s="6" t="s">
        <v>1226</v>
      </c>
      <c r="AU904" s="6">
        <v>226281</v>
      </c>
    </row>
    <row r="905" spans="1:47" x14ac:dyDescent="0.3">
      <c r="A905" s="28" t="s">
        <v>42</v>
      </c>
      <c r="B905" s="6" t="s">
        <v>2197</v>
      </c>
      <c r="D905" s="6" t="s">
        <v>2101</v>
      </c>
      <c r="E905" s="6">
        <v>1</v>
      </c>
      <c r="F905" s="6" t="s">
        <v>2004</v>
      </c>
      <c r="G905" s="6" t="s">
        <v>2005</v>
      </c>
      <c r="H905" s="6" t="s">
        <v>2005</v>
      </c>
      <c r="I905" s="6" t="str">
        <f t="shared" si="28"/>
        <v>Ripper</v>
      </c>
      <c r="J905" s="6" t="s">
        <v>708</v>
      </c>
      <c r="K905" s="6">
        <v>1</v>
      </c>
      <c r="P905" s="6">
        <f t="shared" si="29"/>
        <v>2200000</v>
      </c>
      <c r="R905" s="6" t="s">
        <v>2003</v>
      </c>
      <c r="T905" s="6" t="s">
        <v>708</v>
      </c>
      <c r="U905" s="6">
        <v>2014</v>
      </c>
      <c r="V905" s="6">
        <v>6</v>
      </c>
      <c r="AD905" s="6" t="s">
        <v>45</v>
      </c>
      <c r="AJ905" s="31" t="s">
        <v>2113</v>
      </c>
      <c r="AK905" s="6">
        <v>1</v>
      </c>
      <c r="AL905" s="26">
        <v>2000000</v>
      </c>
      <c r="AM905" s="26">
        <v>2000000</v>
      </c>
      <c r="AN905" s="26">
        <v>2000000</v>
      </c>
      <c r="AO905" s="6" t="s">
        <v>2003</v>
      </c>
      <c r="AQ905" s="6" t="s">
        <v>1215</v>
      </c>
      <c r="AU905" s="6">
        <v>226285</v>
      </c>
    </row>
    <row r="906" spans="1:47" x14ac:dyDescent="0.3">
      <c r="A906" s="28" t="s">
        <v>42</v>
      </c>
      <c r="B906" s="6" t="s">
        <v>2184</v>
      </c>
      <c r="C906" s="6" t="s">
        <v>1972</v>
      </c>
      <c r="D906" s="6" t="s">
        <v>2105</v>
      </c>
      <c r="E906" s="6">
        <v>1</v>
      </c>
      <c r="F906" s="6" t="s">
        <v>2004</v>
      </c>
      <c r="G906" s="6" t="s">
        <v>2005</v>
      </c>
      <c r="H906" s="6" t="s">
        <v>2005</v>
      </c>
      <c r="I906" s="6" t="str">
        <f t="shared" si="28"/>
        <v>Stone Grapple</v>
      </c>
      <c r="J906" s="6" t="s">
        <v>472</v>
      </c>
      <c r="K906" s="6">
        <v>1</v>
      </c>
      <c r="P906" s="6">
        <f t="shared" si="29"/>
        <v>10000000</v>
      </c>
      <c r="R906" s="6" t="s">
        <v>2003</v>
      </c>
      <c r="T906" s="6" t="s">
        <v>814</v>
      </c>
      <c r="U906" s="6">
        <v>2016</v>
      </c>
      <c r="V906" s="6">
        <v>5</v>
      </c>
      <c r="AD906" s="6" t="s">
        <v>45</v>
      </c>
      <c r="AJ906" s="31" t="s">
        <v>2119</v>
      </c>
      <c r="AK906" s="6">
        <v>1</v>
      </c>
      <c r="AL906" s="26">
        <v>9500000</v>
      </c>
      <c r="AM906" s="26">
        <v>9500000</v>
      </c>
      <c r="AN906" s="26">
        <v>9500000</v>
      </c>
      <c r="AO906" s="6" t="s">
        <v>2003</v>
      </c>
      <c r="AQ906" s="6" t="s">
        <v>1194</v>
      </c>
      <c r="AU906" s="6">
        <v>226290</v>
      </c>
    </row>
    <row r="907" spans="1:47" x14ac:dyDescent="0.3">
      <c r="A907" s="28" t="s">
        <v>42</v>
      </c>
      <c r="B907" s="6" t="s">
        <v>2182</v>
      </c>
      <c r="C907" s="6" t="s">
        <v>1976</v>
      </c>
      <c r="D907" s="6" t="s">
        <v>2104</v>
      </c>
      <c r="E907" s="6">
        <v>1</v>
      </c>
      <c r="F907" s="6" t="s">
        <v>2004</v>
      </c>
      <c r="G907" s="6" t="s">
        <v>2005</v>
      </c>
      <c r="H907" s="6" t="s">
        <v>2005</v>
      </c>
      <c r="I907" s="6" t="str">
        <f t="shared" si="28"/>
        <v>Skeleton Bucket</v>
      </c>
      <c r="J907" s="6" t="s">
        <v>110</v>
      </c>
      <c r="K907" s="6">
        <v>1</v>
      </c>
      <c r="P907" s="6">
        <f t="shared" si="29"/>
        <v>900000</v>
      </c>
      <c r="R907" s="6" t="s">
        <v>2003</v>
      </c>
      <c r="T907" s="6" t="s">
        <v>813</v>
      </c>
      <c r="U907" s="6">
        <v>2013</v>
      </c>
      <c r="V907" s="6">
        <v>1</v>
      </c>
      <c r="AD907" s="6" t="s">
        <v>45</v>
      </c>
      <c r="AJ907" s="31" t="s">
        <v>2113</v>
      </c>
      <c r="AK907" s="6">
        <v>1</v>
      </c>
      <c r="AL907" s="26">
        <v>800000</v>
      </c>
      <c r="AM907" s="26">
        <v>800000</v>
      </c>
      <c r="AN907" s="26">
        <v>800000</v>
      </c>
      <c r="AO907" s="6" t="s">
        <v>2003</v>
      </c>
      <c r="AQ907" s="6" t="s">
        <v>80</v>
      </c>
      <c r="AU907" s="6">
        <v>226293</v>
      </c>
    </row>
    <row r="908" spans="1:47" x14ac:dyDescent="0.3">
      <c r="A908" s="28" t="s">
        <v>42</v>
      </c>
      <c r="B908" s="6" t="s">
        <v>2184</v>
      </c>
      <c r="C908" s="6" t="s">
        <v>1973</v>
      </c>
      <c r="D908" s="6" t="s">
        <v>2100</v>
      </c>
      <c r="E908" s="6">
        <v>1</v>
      </c>
      <c r="F908" s="6" t="s">
        <v>2004</v>
      </c>
      <c r="G908" s="6" t="s">
        <v>2005</v>
      </c>
      <c r="H908" s="6" t="s">
        <v>2005</v>
      </c>
      <c r="I908" s="6" t="str">
        <f t="shared" si="28"/>
        <v>Wood Grapple</v>
      </c>
      <c r="J908" s="6" t="s">
        <v>127</v>
      </c>
      <c r="K908" s="6">
        <v>1</v>
      </c>
      <c r="P908" s="6">
        <f t="shared" si="29"/>
        <v>2000000</v>
      </c>
      <c r="R908" s="6" t="s">
        <v>2003</v>
      </c>
      <c r="T908" s="6" t="s">
        <v>54</v>
      </c>
      <c r="U908" s="6">
        <v>2011</v>
      </c>
      <c r="V908" s="6">
        <v>1</v>
      </c>
      <c r="AD908" s="6" t="s">
        <v>45</v>
      </c>
      <c r="AJ908" s="31" t="s">
        <v>2114</v>
      </c>
      <c r="AK908" s="6">
        <v>1</v>
      </c>
      <c r="AL908" s="26">
        <v>1900000</v>
      </c>
      <c r="AM908" s="26">
        <v>1900000</v>
      </c>
      <c r="AN908" s="26">
        <v>1900000</v>
      </c>
      <c r="AO908" s="6" t="s">
        <v>2003</v>
      </c>
      <c r="AQ908" s="6" t="s">
        <v>54</v>
      </c>
      <c r="AU908" s="6">
        <v>226297</v>
      </c>
    </row>
    <row r="909" spans="1:47" x14ac:dyDescent="0.3">
      <c r="A909" s="28" t="s">
        <v>42</v>
      </c>
      <c r="B909" s="6" t="s">
        <v>2184</v>
      </c>
      <c r="C909" s="6" t="s">
        <v>1972</v>
      </c>
      <c r="D909" s="6" t="s">
        <v>2104</v>
      </c>
      <c r="E909" s="6">
        <v>1</v>
      </c>
      <c r="F909" s="6" t="s">
        <v>2004</v>
      </c>
      <c r="G909" s="6" t="s">
        <v>2005</v>
      </c>
      <c r="H909" s="6" t="s">
        <v>2005</v>
      </c>
      <c r="I909" s="6" t="str">
        <f t="shared" si="28"/>
        <v>Stone Grapple</v>
      </c>
      <c r="J909" s="6" t="s">
        <v>120</v>
      </c>
      <c r="K909" s="6">
        <v>1</v>
      </c>
      <c r="P909" s="6">
        <f t="shared" si="29"/>
        <v>7200000</v>
      </c>
      <c r="R909" s="6" t="s">
        <v>2003</v>
      </c>
      <c r="T909" s="6" t="s">
        <v>1881</v>
      </c>
      <c r="U909" s="6">
        <v>2017</v>
      </c>
      <c r="V909" s="6">
        <v>1</v>
      </c>
      <c r="AD909" s="6" t="s">
        <v>45</v>
      </c>
      <c r="AJ909" s="31" t="s">
        <v>2110</v>
      </c>
      <c r="AK909" s="6">
        <v>1</v>
      </c>
      <c r="AL909" s="26">
        <v>6700000</v>
      </c>
      <c r="AM909" s="26">
        <v>6700000</v>
      </c>
      <c r="AN909" s="26">
        <v>6700000</v>
      </c>
      <c r="AO909" s="6" t="s">
        <v>2003</v>
      </c>
      <c r="AQ909" s="6" t="s">
        <v>1284</v>
      </c>
      <c r="AU909" s="6">
        <v>226298</v>
      </c>
    </row>
    <row r="910" spans="1:47" x14ac:dyDescent="0.3">
      <c r="A910" s="28" t="s">
        <v>42</v>
      </c>
      <c r="B910" s="6" t="s">
        <v>2174</v>
      </c>
      <c r="C910" s="6" t="s">
        <v>1975</v>
      </c>
      <c r="D910" s="6" t="s">
        <v>2104</v>
      </c>
      <c r="E910" s="6">
        <v>1</v>
      </c>
      <c r="F910" s="6" t="s">
        <v>2004</v>
      </c>
      <c r="G910" s="6" t="s">
        <v>2005</v>
      </c>
      <c r="H910" s="6" t="s">
        <v>2005</v>
      </c>
      <c r="I910" s="6" t="str">
        <f t="shared" si="28"/>
        <v>Side Breaker</v>
      </c>
      <c r="J910" s="6" t="s">
        <v>722</v>
      </c>
      <c r="K910" s="6">
        <v>1</v>
      </c>
      <c r="P910" s="6">
        <f t="shared" si="29"/>
        <v>3700000</v>
      </c>
      <c r="R910" s="6" t="s">
        <v>2003</v>
      </c>
      <c r="T910" s="6" t="s">
        <v>799</v>
      </c>
      <c r="U910" s="6">
        <v>2009</v>
      </c>
      <c r="V910" s="6">
        <v>1</v>
      </c>
      <c r="AD910" s="6" t="s">
        <v>45</v>
      </c>
      <c r="AJ910" s="31" t="s">
        <v>2123</v>
      </c>
      <c r="AK910" s="6">
        <v>1</v>
      </c>
      <c r="AL910" s="26">
        <v>3500000</v>
      </c>
      <c r="AM910" s="26">
        <v>3500000</v>
      </c>
      <c r="AN910" s="26">
        <v>3500000</v>
      </c>
      <c r="AO910" s="6" t="s">
        <v>2003</v>
      </c>
      <c r="AQ910" s="6" t="s">
        <v>1181</v>
      </c>
      <c r="AU910" s="6">
        <v>226305</v>
      </c>
    </row>
    <row r="911" spans="1:47" x14ac:dyDescent="0.3">
      <c r="A911" s="28" t="s">
        <v>42</v>
      </c>
      <c r="B911" s="6" t="s">
        <v>2184</v>
      </c>
      <c r="C911" s="6" t="s">
        <v>1974</v>
      </c>
      <c r="D911" s="6" t="s">
        <v>2104</v>
      </c>
      <c r="E911" s="6">
        <v>1</v>
      </c>
      <c r="F911" s="6" t="s">
        <v>2004</v>
      </c>
      <c r="G911" s="6" t="s">
        <v>2005</v>
      </c>
      <c r="H911" s="6" t="s">
        <v>2005</v>
      </c>
      <c r="I911" s="6" t="str">
        <f t="shared" si="28"/>
        <v>Etc Grapple</v>
      </c>
      <c r="J911" s="6" t="s">
        <v>125</v>
      </c>
      <c r="K911" s="6">
        <v>1</v>
      </c>
      <c r="P911" s="6">
        <f t="shared" si="29"/>
        <v>4500000</v>
      </c>
      <c r="R911" s="6" t="s">
        <v>2003</v>
      </c>
      <c r="T911" s="6" t="s">
        <v>54</v>
      </c>
      <c r="U911" s="6">
        <v>2010</v>
      </c>
      <c r="V911" s="6">
        <v>1</v>
      </c>
      <c r="AD911" s="6" t="s">
        <v>45</v>
      </c>
      <c r="AJ911" s="31" t="s">
        <v>2114</v>
      </c>
      <c r="AK911" s="6">
        <v>1</v>
      </c>
      <c r="AL911" s="26">
        <v>4300000</v>
      </c>
      <c r="AM911" s="26">
        <v>4300000</v>
      </c>
      <c r="AN911" s="26">
        <v>4300000</v>
      </c>
      <c r="AO911" s="6" t="s">
        <v>2003</v>
      </c>
      <c r="AQ911" s="6" t="s">
        <v>54</v>
      </c>
      <c r="AU911" s="6">
        <v>226306</v>
      </c>
    </row>
    <row r="912" spans="1:47" x14ac:dyDescent="0.3">
      <c r="A912" s="28" t="s">
        <v>42</v>
      </c>
      <c r="B912" s="6" t="s">
        <v>2174</v>
      </c>
      <c r="C912" s="6" t="s">
        <v>1975</v>
      </c>
      <c r="D912" s="6" t="s">
        <v>2105</v>
      </c>
      <c r="E912" s="6">
        <v>1</v>
      </c>
      <c r="F912" s="6" t="s">
        <v>2004</v>
      </c>
      <c r="G912" s="6" t="s">
        <v>2005</v>
      </c>
      <c r="H912" s="6" t="s">
        <v>2005</v>
      </c>
      <c r="I912" s="6" t="str">
        <f t="shared" si="28"/>
        <v>Side Breaker</v>
      </c>
      <c r="J912" s="6" t="s">
        <v>164</v>
      </c>
      <c r="K912" s="6">
        <v>1</v>
      </c>
      <c r="P912" s="6">
        <f t="shared" si="29"/>
        <v>5500000</v>
      </c>
      <c r="R912" s="6" t="s">
        <v>2003</v>
      </c>
      <c r="T912" s="6" t="s">
        <v>54</v>
      </c>
      <c r="U912" s="6">
        <v>2008</v>
      </c>
      <c r="V912" s="6">
        <v>1</v>
      </c>
      <c r="AD912" s="6" t="s">
        <v>45</v>
      </c>
      <c r="AJ912" s="31" t="s">
        <v>2111</v>
      </c>
      <c r="AK912" s="6">
        <v>1</v>
      </c>
      <c r="AL912" s="26">
        <v>5000000</v>
      </c>
      <c r="AM912" s="26">
        <v>5000000</v>
      </c>
      <c r="AN912" s="26">
        <v>5000000</v>
      </c>
      <c r="AO912" s="6" t="s">
        <v>2003</v>
      </c>
      <c r="AQ912" s="6" t="s">
        <v>54</v>
      </c>
      <c r="AU912" s="6">
        <v>226310</v>
      </c>
    </row>
    <row r="913" spans="1:47" x14ac:dyDescent="0.3">
      <c r="A913" s="28" t="s">
        <v>42</v>
      </c>
      <c r="B913" s="6" t="s">
        <v>2196</v>
      </c>
      <c r="D913" s="6" t="s">
        <v>2105</v>
      </c>
      <c r="E913" s="6">
        <v>1</v>
      </c>
      <c r="F913" s="6" t="s">
        <v>2004</v>
      </c>
      <c r="G913" s="6" t="s">
        <v>2005</v>
      </c>
      <c r="H913" s="6" t="s">
        <v>2005</v>
      </c>
      <c r="I913" s="6" t="str">
        <f t="shared" si="28"/>
        <v>Shear&amp;Cutter</v>
      </c>
      <c r="J913" s="6" t="s">
        <v>723</v>
      </c>
      <c r="K913" s="6">
        <v>1</v>
      </c>
      <c r="P913" s="6">
        <f t="shared" si="29"/>
        <v>18500000</v>
      </c>
      <c r="R913" s="6" t="s">
        <v>2003</v>
      </c>
      <c r="T913" s="6" t="s">
        <v>1089</v>
      </c>
      <c r="U913" s="6">
        <v>2006</v>
      </c>
      <c r="V913" s="6">
        <v>9</v>
      </c>
      <c r="AD913" s="6" t="s">
        <v>45</v>
      </c>
      <c r="AJ913" s="31" t="s">
        <v>2122</v>
      </c>
      <c r="AK913" s="6">
        <v>1</v>
      </c>
      <c r="AL913" s="26">
        <v>18000000</v>
      </c>
      <c r="AM913" s="26">
        <v>18000000</v>
      </c>
      <c r="AN913" s="26">
        <v>18000000</v>
      </c>
      <c r="AO913" s="6" t="s">
        <v>2003</v>
      </c>
      <c r="AQ913" s="6" t="s">
        <v>1198</v>
      </c>
      <c r="AU913" s="6">
        <v>226315</v>
      </c>
    </row>
    <row r="914" spans="1:47" x14ac:dyDescent="0.3">
      <c r="A914" s="28" t="s">
        <v>42</v>
      </c>
      <c r="B914" s="6" t="s">
        <v>2184</v>
      </c>
      <c r="C914" s="6" t="s">
        <v>1972</v>
      </c>
      <c r="D914" s="6" t="s">
        <v>2104</v>
      </c>
      <c r="E914" s="6">
        <v>1</v>
      </c>
      <c r="F914" s="6" t="s">
        <v>2004</v>
      </c>
      <c r="G914" s="6" t="s">
        <v>2005</v>
      </c>
      <c r="H914" s="6" t="s">
        <v>2005</v>
      </c>
      <c r="I914" s="6" t="str">
        <f t="shared" si="28"/>
        <v>Stone Grapple</v>
      </c>
      <c r="J914" s="6" t="s">
        <v>44</v>
      </c>
      <c r="K914" s="6">
        <v>1</v>
      </c>
      <c r="P914" s="6">
        <f t="shared" si="29"/>
        <v>3500000</v>
      </c>
      <c r="R914" s="6" t="s">
        <v>2003</v>
      </c>
      <c r="T914" s="6" t="s">
        <v>1090</v>
      </c>
      <c r="U914" s="6">
        <v>2015</v>
      </c>
      <c r="V914" s="6">
        <v>6</v>
      </c>
      <c r="AD914" s="6" t="s">
        <v>45</v>
      </c>
      <c r="AJ914" s="31" t="s">
        <v>2118</v>
      </c>
      <c r="AK914" s="6">
        <v>1</v>
      </c>
      <c r="AL914" s="26">
        <v>3300000</v>
      </c>
      <c r="AM914" s="26">
        <v>3300000</v>
      </c>
      <c r="AN914" s="26">
        <v>3300000</v>
      </c>
      <c r="AO914" s="6" t="s">
        <v>2003</v>
      </c>
      <c r="AQ914" s="6" t="s">
        <v>63</v>
      </c>
      <c r="AU914" s="6">
        <v>226318</v>
      </c>
    </row>
    <row r="915" spans="1:47" x14ac:dyDescent="0.3">
      <c r="A915" s="28" t="s">
        <v>42</v>
      </c>
      <c r="B915" s="6" t="s">
        <v>2184</v>
      </c>
      <c r="C915" s="6" t="s">
        <v>1974</v>
      </c>
      <c r="D915" s="6" t="s">
        <v>2100</v>
      </c>
      <c r="E915" s="6">
        <v>1</v>
      </c>
      <c r="F915" s="6" t="s">
        <v>2004</v>
      </c>
      <c r="G915" s="6" t="s">
        <v>2005</v>
      </c>
      <c r="H915" s="6" t="s">
        <v>2005</v>
      </c>
      <c r="I915" s="6" t="str">
        <f t="shared" si="28"/>
        <v>Etc Grapple</v>
      </c>
      <c r="J915" s="6" t="s">
        <v>724</v>
      </c>
      <c r="K915" s="6">
        <v>1</v>
      </c>
      <c r="P915" s="6">
        <f t="shared" si="29"/>
        <v>2700000</v>
      </c>
      <c r="R915" s="6" t="s">
        <v>2003</v>
      </c>
      <c r="T915" s="6" t="s">
        <v>1091</v>
      </c>
      <c r="U915" s="6">
        <v>2014</v>
      </c>
      <c r="V915" s="6">
        <v>1</v>
      </c>
      <c r="AD915" s="6" t="s">
        <v>45</v>
      </c>
      <c r="AJ915" s="31" t="s">
        <v>2122</v>
      </c>
      <c r="AK915" s="6">
        <v>1</v>
      </c>
      <c r="AL915" s="26">
        <v>2500000</v>
      </c>
      <c r="AM915" s="26">
        <v>2500000</v>
      </c>
      <c r="AN915" s="26">
        <v>2500000</v>
      </c>
      <c r="AO915" s="6" t="s">
        <v>2003</v>
      </c>
      <c r="AQ915" s="6" t="s">
        <v>1227</v>
      </c>
      <c r="AU915" s="6">
        <v>226320</v>
      </c>
    </row>
    <row r="916" spans="1:47" x14ac:dyDescent="0.3">
      <c r="A916" s="28" t="s">
        <v>42</v>
      </c>
      <c r="B916" s="6" t="s">
        <v>2174</v>
      </c>
      <c r="C916" s="6" t="s">
        <v>1975</v>
      </c>
      <c r="D916" s="6" t="s">
        <v>2100</v>
      </c>
      <c r="E916" s="6">
        <v>1</v>
      </c>
      <c r="F916" s="6" t="s">
        <v>2004</v>
      </c>
      <c r="G916" s="6" t="s">
        <v>2005</v>
      </c>
      <c r="H916" s="6" t="s">
        <v>2005</v>
      </c>
      <c r="I916" s="6" t="str">
        <f t="shared" si="28"/>
        <v>Side Breaker</v>
      </c>
      <c r="J916" s="6" t="s">
        <v>2147</v>
      </c>
      <c r="K916" s="6">
        <v>1</v>
      </c>
      <c r="P916" s="6">
        <f t="shared" si="29"/>
        <v>4700000</v>
      </c>
      <c r="R916" s="6" t="s">
        <v>2003</v>
      </c>
      <c r="T916" s="6" t="s">
        <v>2084</v>
      </c>
      <c r="U916" s="6">
        <v>2014</v>
      </c>
      <c r="V916" s="6">
        <v>1</v>
      </c>
      <c r="AD916" s="6" t="s">
        <v>45</v>
      </c>
      <c r="AJ916" s="31" t="s">
        <v>2122</v>
      </c>
      <c r="AK916" s="6">
        <v>1</v>
      </c>
      <c r="AL916" s="26">
        <v>4500000</v>
      </c>
      <c r="AM916" s="26">
        <v>4500000</v>
      </c>
      <c r="AN916" s="26">
        <v>4500000</v>
      </c>
      <c r="AO916" s="6" t="s">
        <v>2003</v>
      </c>
      <c r="AQ916" s="6" t="s">
        <v>1227</v>
      </c>
      <c r="AU916" s="6">
        <v>226325</v>
      </c>
    </row>
    <row r="917" spans="1:47" hidden="1" x14ac:dyDescent="0.3">
      <c r="A917" s="28" t="s">
        <v>42</v>
      </c>
      <c r="B917" s="6" t="s">
        <v>2182</v>
      </c>
      <c r="C917" s="6" t="s">
        <v>1977</v>
      </c>
      <c r="E917" s="6">
        <v>1</v>
      </c>
      <c r="F917" s="6" t="s">
        <v>2004</v>
      </c>
      <c r="G917" s="6" t="s">
        <v>2005</v>
      </c>
      <c r="H917" s="6" t="s">
        <v>2005</v>
      </c>
      <c r="I917" s="6" t="str">
        <f t="shared" si="28"/>
        <v>Wide Bucket</v>
      </c>
      <c r="J917" s="6" t="s">
        <v>725</v>
      </c>
      <c r="K917" s="6">
        <v>1</v>
      </c>
      <c r="P917" s="6">
        <f t="shared" si="29"/>
        <v>1000000</v>
      </c>
      <c r="R917" s="6" t="s">
        <v>2003</v>
      </c>
      <c r="T917" s="6" t="s">
        <v>1092</v>
      </c>
      <c r="U917" s="6">
        <v>2016</v>
      </c>
      <c r="V917" s="6">
        <v>1</v>
      </c>
      <c r="AD917" s="6" t="s">
        <v>45</v>
      </c>
      <c r="AJ917" s="31" t="s">
        <v>2120</v>
      </c>
      <c r="AK917" s="6">
        <v>1</v>
      </c>
      <c r="AL917" s="26">
        <v>900000</v>
      </c>
      <c r="AM917" s="26">
        <v>900000</v>
      </c>
      <c r="AN917" s="26">
        <v>900000</v>
      </c>
      <c r="AO917" s="6" t="s">
        <v>2003</v>
      </c>
      <c r="AQ917" s="6" t="s">
        <v>1294</v>
      </c>
      <c r="AU917" s="6">
        <v>226327</v>
      </c>
    </row>
    <row r="918" spans="1:47" hidden="1" x14ac:dyDescent="0.3">
      <c r="A918" s="28" t="s">
        <v>42</v>
      </c>
      <c r="B918" s="6" t="s">
        <v>2192</v>
      </c>
      <c r="E918" s="6">
        <v>1</v>
      </c>
      <c r="F918" s="6" t="s">
        <v>2004</v>
      </c>
      <c r="G918" s="6" t="s">
        <v>2005</v>
      </c>
      <c r="H918" s="6" t="s">
        <v>2005</v>
      </c>
      <c r="I918" s="6" t="str">
        <f t="shared" si="28"/>
        <v>Lift Fork</v>
      </c>
      <c r="J918" s="6" t="s">
        <v>726</v>
      </c>
      <c r="K918" s="6">
        <v>1</v>
      </c>
      <c r="P918" s="6">
        <f t="shared" si="29"/>
        <v>950000</v>
      </c>
      <c r="R918" s="6" t="s">
        <v>2003</v>
      </c>
      <c r="T918" s="6" t="s">
        <v>2020</v>
      </c>
      <c r="U918" s="6">
        <v>2017</v>
      </c>
      <c r="V918" s="6">
        <v>1</v>
      </c>
      <c r="AD918" s="6" t="s">
        <v>45</v>
      </c>
      <c r="AJ918" s="31" t="s">
        <v>2110</v>
      </c>
      <c r="AK918" s="6">
        <v>1</v>
      </c>
      <c r="AL918" s="26">
        <v>850000</v>
      </c>
      <c r="AM918" s="26">
        <v>850000</v>
      </c>
      <c r="AN918" s="26">
        <v>850000</v>
      </c>
      <c r="AO918" s="6" t="s">
        <v>2003</v>
      </c>
      <c r="AQ918" s="6" t="s">
        <v>1155</v>
      </c>
      <c r="AU918" s="6">
        <v>226328</v>
      </c>
    </row>
    <row r="919" spans="1:47" x14ac:dyDescent="0.3">
      <c r="A919" s="28" t="s">
        <v>42</v>
      </c>
      <c r="B919" s="6" t="s">
        <v>2182</v>
      </c>
      <c r="C919" s="6" t="s">
        <v>1977</v>
      </c>
      <c r="D919" s="6" t="s">
        <v>2100</v>
      </c>
      <c r="E919" s="6">
        <v>1</v>
      </c>
      <c r="F919" s="6" t="s">
        <v>2004</v>
      </c>
      <c r="G919" s="6" t="s">
        <v>2005</v>
      </c>
      <c r="H919" s="6" t="s">
        <v>2005</v>
      </c>
      <c r="I919" s="6" t="str">
        <f t="shared" si="28"/>
        <v>Wide Bucket</v>
      </c>
      <c r="J919" s="6" t="s">
        <v>175</v>
      </c>
      <c r="K919" s="6">
        <v>1</v>
      </c>
      <c r="P919" s="6">
        <f t="shared" si="29"/>
        <v>370000</v>
      </c>
      <c r="R919" s="6" t="s">
        <v>2003</v>
      </c>
      <c r="T919" s="6" t="s">
        <v>2012</v>
      </c>
      <c r="U919" s="6">
        <v>2013</v>
      </c>
      <c r="V919" s="6">
        <v>1</v>
      </c>
      <c r="AD919" s="6" t="s">
        <v>45</v>
      </c>
      <c r="AJ919" s="31" t="s">
        <v>2113</v>
      </c>
      <c r="AK919" s="6">
        <v>1</v>
      </c>
      <c r="AL919" s="26">
        <v>320000</v>
      </c>
      <c r="AM919" s="26">
        <v>320000</v>
      </c>
      <c r="AN919" s="26">
        <v>320000</v>
      </c>
      <c r="AO919" s="6" t="s">
        <v>2003</v>
      </c>
      <c r="AQ919" s="6" t="s">
        <v>49</v>
      </c>
      <c r="AU919" s="6">
        <v>226331</v>
      </c>
    </row>
    <row r="920" spans="1:47" x14ac:dyDescent="0.3">
      <c r="A920" s="28" t="s">
        <v>42</v>
      </c>
      <c r="B920" s="6" t="s">
        <v>2174</v>
      </c>
      <c r="C920" s="6" t="s">
        <v>1975</v>
      </c>
      <c r="D920" s="6" t="s">
        <v>2001</v>
      </c>
      <c r="E920" s="6">
        <v>1</v>
      </c>
      <c r="F920" s="6" t="s">
        <v>2004</v>
      </c>
      <c r="G920" s="6" t="s">
        <v>2005</v>
      </c>
      <c r="H920" s="6" t="s">
        <v>2005</v>
      </c>
      <c r="I920" s="6" t="str">
        <f t="shared" si="28"/>
        <v>Side Breaker</v>
      </c>
      <c r="J920" s="6" t="s">
        <v>727</v>
      </c>
      <c r="K920" s="6">
        <v>1</v>
      </c>
      <c r="P920" s="6">
        <f t="shared" si="29"/>
        <v>10000000</v>
      </c>
      <c r="R920" s="6" t="s">
        <v>2003</v>
      </c>
      <c r="T920" s="6" t="s">
        <v>1093</v>
      </c>
      <c r="U920" s="6">
        <v>2016</v>
      </c>
      <c r="V920" s="6">
        <v>1</v>
      </c>
      <c r="AD920" s="6" t="s">
        <v>45</v>
      </c>
      <c r="AJ920" s="31" t="s">
        <v>2113</v>
      </c>
      <c r="AK920" s="6">
        <v>1</v>
      </c>
      <c r="AL920" s="26">
        <v>9500000</v>
      </c>
      <c r="AM920" s="26">
        <v>9500000</v>
      </c>
      <c r="AN920" s="26">
        <v>9500000</v>
      </c>
      <c r="AO920" s="6" t="s">
        <v>2003</v>
      </c>
      <c r="AQ920" s="6" t="s">
        <v>1307</v>
      </c>
      <c r="AU920" s="6">
        <v>226334</v>
      </c>
    </row>
    <row r="921" spans="1:47" x14ac:dyDescent="0.3">
      <c r="A921" s="28" t="s">
        <v>42</v>
      </c>
      <c r="B921" s="6" t="s">
        <v>2184</v>
      </c>
      <c r="C921" s="6" t="s">
        <v>1973</v>
      </c>
      <c r="D921" s="6" t="s">
        <v>2100</v>
      </c>
      <c r="E921" s="6">
        <v>1</v>
      </c>
      <c r="F921" s="6" t="s">
        <v>2004</v>
      </c>
      <c r="G921" s="6" t="s">
        <v>2005</v>
      </c>
      <c r="H921" s="6" t="s">
        <v>2005</v>
      </c>
      <c r="I921" s="6" t="str">
        <f t="shared" si="28"/>
        <v>Wood Grapple</v>
      </c>
      <c r="J921" s="6" t="s">
        <v>262</v>
      </c>
      <c r="K921" s="6">
        <v>1</v>
      </c>
      <c r="P921" s="6">
        <f t="shared" si="29"/>
        <v>2900000</v>
      </c>
      <c r="R921" s="6" t="s">
        <v>2003</v>
      </c>
      <c r="T921" s="6" t="s">
        <v>2012</v>
      </c>
      <c r="U921" s="6">
        <v>2014</v>
      </c>
      <c r="V921" s="6">
        <v>1</v>
      </c>
      <c r="AD921" s="6" t="s">
        <v>45</v>
      </c>
      <c r="AJ921" s="31" t="s">
        <v>2113</v>
      </c>
      <c r="AK921" s="6">
        <v>1</v>
      </c>
      <c r="AL921" s="26">
        <v>2700000</v>
      </c>
      <c r="AM921" s="26">
        <v>2700000</v>
      </c>
      <c r="AN921" s="26">
        <v>2700000</v>
      </c>
      <c r="AO921" s="6" t="s">
        <v>2003</v>
      </c>
      <c r="AQ921" s="6" t="s">
        <v>49</v>
      </c>
      <c r="AU921" s="6">
        <v>226336</v>
      </c>
    </row>
    <row r="922" spans="1:47" x14ac:dyDescent="0.3">
      <c r="A922" s="28" t="s">
        <v>42</v>
      </c>
      <c r="B922" s="6" t="s">
        <v>2174</v>
      </c>
      <c r="C922" s="6" t="s">
        <v>1975</v>
      </c>
      <c r="D922" s="6" t="s">
        <v>2100</v>
      </c>
      <c r="E922" s="6">
        <v>1</v>
      </c>
      <c r="F922" s="6" t="s">
        <v>2004</v>
      </c>
      <c r="G922" s="6" t="s">
        <v>2005</v>
      </c>
      <c r="H922" s="6" t="s">
        <v>2005</v>
      </c>
      <c r="I922" s="6" t="str">
        <f t="shared" si="28"/>
        <v>Side Breaker</v>
      </c>
      <c r="J922" s="6" t="s">
        <v>160</v>
      </c>
      <c r="K922" s="6">
        <v>1</v>
      </c>
      <c r="P922" s="6">
        <f t="shared" si="29"/>
        <v>1600000</v>
      </c>
      <c r="R922" s="6" t="s">
        <v>2003</v>
      </c>
      <c r="T922" s="6" t="s">
        <v>1882</v>
      </c>
      <c r="U922" s="6">
        <v>2015</v>
      </c>
      <c r="V922" s="6">
        <v>1</v>
      </c>
      <c r="AD922" s="6" t="s">
        <v>45</v>
      </c>
      <c r="AJ922" s="31" t="s">
        <v>2119</v>
      </c>
      <c r="AK922" s="6">
        <v>1</v>
      </c>
      <c r="AL922" s="26">
        <v>1500000</v>
      </c>
      <c r="AM922" s="26">
        <v>1500000</v>
      </c>
      <c r="AN922" s="26">
        <v>1500000</v>
      </c>
      <c r="AO922" s="6" t="s">
        <v>2003</v>
      </c>
      <c r="AQ922" s="6" t="s">
        <v>1165</v>
      </c>
      <c r="AU922" s="6">
        <v>226337</v>
      </c>
    </row>
    <row r="923" spans="1:47" x14ac:dyDescent="0.3">
      <c r="A923" s="28" t="s">
        <v>42</v>
      </c>
      <c r="B923" s="6" t="s">
        <v>2183</v>
      </c>
      <c r="D923" s="6" t="s">
        <v>2105</v>
      </c>
      <c r="E923" s="6">
        <v>1</v>
      </c>
      <c r="F923" s="6" t="s">
        <v>2004</v>
      </c>
      <c r="G923" s="6" t="s">
        <v>2005</v>
      </c>
      <c r="H923" s="6" t="s">
        <v>2005</v>
      </c>
      <c r="I923" s="6" t="str">
        <f t="shared" si="28"/>
        <v>ETC</v>
      </c>
      <c r="J923" s="6" t="s">
        <v>728</v>
      </c>
      <c r="K923" s="6">
        <v>1</v>
      </c>
      <c r="P923" s="6">
        <f t="shared" si="29"/>
        <v>4200000</v>
      </c>
      <c r="R923" s="6" t="s">
        <v>2003</v>
      </c>
      <c r="T923" s="6" t="s">
        <v>54</v>
      </c>
      <c r="U923" s="6">
        <v>2014</v>
      </c>
      <c r="V923" s="6">
        <v>1</v>
      </c>
      <c r="AD923" s="6" t="s">
        <v>45</v>
      </c>
      <c r="AJ923" s="31" t="s">
        <v>2114</v>
      </c>
      <c r="AK923" s="6">
        <v>1</v>
      </c>
      <c r="AL923" s="26">
        <v>4000000</v>
      </c>
      <c r="AM923" s="26">
        <v>4000000</v>
      </c>
      <c r="AN923" s="26">
        <v>4000000</v>
      </c>
      <c r="AO923" s="6" t="s">
        <v>2003</v>
      </c>
      <c r="AQ923" s="6" t="s">
        <v>54</v>
      </c>
      <c r="AU923" s="6">
        <v>226338</v>
      </c>
    </row>
    <row r="924" spans="1:47" hidden="1" x14ac:dyDescent="0.3">
      <c r="A924" s="28" t="s">
        <v>42</v>
      </c>
      <c r="B924" s="6" t="s">
        <v>2183</v>
      </c>
      <c r="E924" s="6">
        <v>1</v>
      </c>
      <c r="F924" s="6" t="s">
        <v>2004</v>
      </c>
      <c r="G924" s="6" t="s">
        <v>2005</v>
      </c>
      <c r="H924" s="6" t="s">
        <v>2005</v>
      </c>
      <c r="I924" s="6" t="str">
        <f t="shared" si="28"/>
        <v>ETC</v>
      </c>
      <c r="J924" s="6" t="s">
        <v>729</v>
      </c>
      <c r="K924" s="6">
        <v>1</v>
      </c>
      <c r="P924" s="6">
        <f t="shared" si="29"/>
        <v>4500000</v>
      </c>
      <c r="R924" s="6" t="s">
        <v>2003</v>
      </c>
      <c r="T924" s="6" t="s">
        <v>1094</v>
      </c>
      <c r="U924" s="6">
        <v>2010</v>
      </c>
      <c r="V924" s="6">
        <v>1</v>
      </c>
      <c r="AD924" s="6" t="s">
        <v>45</v>
      </c>
      <c r="AJ924" s="31" t="s">
        <v>2117</v>
      </c>
      <c r="AK924" s="6">
        <v>1</v>
      </c>
      <c r="AL924" s="26">
        <v>4300000</v>
      </c>
      <c r="AM924" s="26">
        <v>4300000</v>
      </c>
      <c r="AN924" s="26">
        <v>4300000</v>
      </c>
      <c r="AO924" s="6" t="s">
        <v>2003</v>
      </c>
      <c r="AQ924" s="6" t="s">
        <v>1308</v>
      </c>
      <c r="AU924" s="6">
        <v>226339</v>
      </c>
    </row>
    <row r="925" spans="1:47" x14ac:dyDescent="0.3">
      <c r="A925" s="28" t="s">
        <v>42</v>
      </c>
      <c r="B925" s="6" t="s">
        <v>2184</v>
      </c>
      <c r="C925" s="6" t="s">
        <v>1973</v>
      </c>
      <c r="D925" s="6" t="s">
        <v>2100</v>
      </c>
      <c r="E925" s="6">
        <v>1</v>
      </c>
      <c r="F925" s="6" t="s">
        <v>2004</v>
      </c>
      <c r="G925" s="6" t="s">
        <v>2005</v>
      </c>
      <c r="H925" s="6" t="s">
        <v>2005</v>
      </c>
      <c r="I925" s="6" t="str">
        <f t="shared" si="28"/>
        <v>Wood Grapple</v>
      </c>
      <c r="J925" s="6" t="s">
        <v>730</v>
      </c>
      <c r="K925" s="6">
        <v>1</v>
      </c>
      <c r="P925" s="6">
        <f t="shared" si="29"/>
        <v>3300000</v>
      </c>
      <c r="R925" s="6" t="s">
        <v>2003</v>
      </c>
      <c r="T925" s="6" t="s">
        <v>2012</v>
      </c>
      <c r="U925" s="6">
        <v>2014</v>
      </c>
      <c r="V925" s="6">
        <v>1</v>
      </c>
      <c r="AD925" s="6" t="s">
        <v>45</v>
      </c>
      <c r="AJ925" s="31" t="s">
        <v>2113</v>
      </c>
      <c r="AK925" s="6">
        <v>1</v>
      </c>
      <c r="AL925" s="26">
        <v>3100000</v>
      </c>
      <c r="AM925" s="26">
        <v>3100000</v>
      </c>
      <c r="AN925" s="26">
        <v>3100000</v>
      </c>
      <c r="AO925" s="6" t="s">
        <v>2003</v>
      </c>
      <c r="AQ925" s="6" t="s">
        <v>49</v>
      </c>
      <c r="AU925" s="6">
        <v>226340</v>
      </c>
    </row>
    <row r="926" spans="1:47" x14ac:dyDescent="0.3">
      <c r="A926" s="28" t="s">
        <v>42</v>
      </c>
      <c r="B926" s="6" t="s">
        <v>2184</v>
      </c>
      <c r="C926" s="6" t="s">
        <v>1972</v>
      </c>
      <c r="D926" s="6" t="s">
        <v>2100</v>
      </c>
      <c r="E926" s="6">
        <v>1</v>
      </c>
      <c r="F926" s="6" t="s">
        <v>2004</v>
      </c>
      <c r="G926" s="6" t="s">
        <v>2005</v>
      </c>
      <c r="H926" s="6" t="s">
        <v>2005</v>
      </c>
      <c r="I926" s="6" t="str">
        <f t="shared" si="28"/>
        <v>Stone Grapple</v>
      </c>
      <c r="J926" s="6" t="s">
        <v>470</v>
      </c>
      <c r="K926" s="6">
        <v>1</v>
      </c>
      <c r="P926" s="6">
        <f t="shared" si="29"/>
        <v>1700000</v>
      </c>
      <c r="R926" s="6" t="s">
        <v>2003</v>
      </c>
      <c r="T926" s="6" t="s">
        <v>2033</v>
      </c>
      <c r="U926" s="6">
        <v>2010</v>
      </c>
      <c r="V926" s="6">
        <v>5</v>
      </c>
      <c r="AD926" s="6" t="s">
        <v>45</v>
      </c>
      <c r="AJ926" s="31" t="s">
        <v>2122</v>
      </c>
      <c r="AK926" s="6">
        <v>1</v>
      </c>
      <c r="AL926" s="26">
        <v>1600000</v>
      </c>
      <c r="AM926" s="26">
        <v>1600000</v>
      </c>
      <c r="AN926" s="26">
        <v>1600000</v>
      </c>
      <c r="AO926" s="6" t="s">
        <v>2003</v>
      </c>
      <c r="AQ926" s="6" t="s">
        <v>1219</v>
      </c>
      <c r="AU926" s="6">
        <v>226341</v>
      </c>
    </row>
    <row r="927" spans="1:47" x14ac:dyDescent="0.3">
      <c r="A927" s="28" t="s">
        <v>42</v>
      </c>
      <c r="B927" s="6" t="s">
        <v>2182</v>
      </c>
      <c r="C927" s="6" t="s">
        <v>1977</v>
      </c>
      <c r="D927" s="6" t="s">
        <v>2104</v>
      </c>
      <c r="E927" s="6">
        <v>1</v>
      </c>
      <c r="F927" s="6" t="s">
        <v>2004</v>
      </c>
      <c r="G927" s="6" t="s">
        <v>2005</v>
      </c>
      <c r="H927" s="6" t="s">
        <v>2005</v>
      </c>
      <c r="I927" s="6" t="str">
        <f t="shared" si="28"/>
        <v>Wide Bucket</v>
      </c>
      <c r="J927" s="6" t="s">
        <v>731</v>
      </c>
      <c r="K927" s="6">
        <v>1</v>
      </c>
      <c r="P927" s="6">
        <f t="shared" si="29"/>
        <v>900000</v>
      </c>
      <c r="R927" s="6" t="s">
        <v>2003</v>
      </c>
      <c r="T927" s="6" t="s">
        <v>1095</v>
      </c>
      <c r="U927" s="6">
        <v>2016</v>
      </c>
      <c r="V927" s="6">
        <v>12</v>
      </c>
      <c r="AD927" s="6" t="s">
        <v>45</v>
      </c>
      <c r="AJ927" s="31" t="s">
        <v>2114</v>
      </c>
      <c r="AK927" s="6">
        <v>1</v>
      </c>
      <c r="AL927" s="26">
        <v>800000</v>
      </c>
      <c r="AM927" s="26">
        <v>800000</v>
      </c>
      <c r="AN927" s="26">
        <v>800000</v>
      </c>
      <c r="AO927" s="6" t="s">
        <v>2003</v>
      </c>
      <c r="AQ927" s="6" t="s">
        <v>1309</v>
      </c>
      <c r="AU927" s="6">
        <v>226344</v>
      </c>
    </row>
    <row r="928" spans="1:47" x14ac:dyDescent="0.3">
      <c r="A928" s="28" t="s">
        <v>42</v>
      </c>
      <c r="B928" s="6" t="s">
        <v>2184</v>
      </c>
      <c r="C928" s="6" t="s">
        <v>1972</v>
      </c>
      <c r="D928" s="6" t="s">
        <v>2100</v>
      </c>
      <c r="E928" s="6">
        <v>1</v>
      </c>
      <c r="F928" s="6" t="s">
        <v>2004</v>
      </c>
      <c r="G928" s="6" t="s">
        <v>2005</v>
      </c>
      <c r="H928" s="6" t="s">
        <v>2005</v>
      </c>
      <c r="I928" s="6" t="str">
        <f t="shared" si="28"/>
        <v>Stone Grapple</v>
      </c>
      <c r="J928" s="6" t="s">
        <v>149</v>
      </c>
      <c r="K928" s="6">
        <v>1</v>
      </c>
      <c r="P928" s="6">
        <f t="shared" si="29"/>
        <v>1600000</v>
      </c>
      <c r="R928" s="6" t="s">
        <v>2003</v>
      </c>
      <c r="T928" s="6" t="s">
        <v>794</v>
      </c>
      <c r="U928" s="6">
        <v>2015</v>
      </c>
      <c r="V928" s="6">
        <v>6</v>
      </c>
      <c r="AD928" s="6" t="s">
        <v>45</v>
      </c>
      <c r="AJ928" s="31" t="s">
        <v>2122</v>
      </c>
      <c r="AK928" s="6">
        <v>1</v>
      </c>
      <c r="AL928" s="26">
        <v>1500000</v>
      </c>
      <c r="AM928" s="26">
        <v>1500000</v>
      </c>
      <c r="AN928" s="26">
        <v>1500000</v>
      </c>
      <c r="AO928" s="6" t="s">
        <v>2003</v>
      </c>
      <c r="AQ928" s="6" t="s">
        <v>1154</v>
      </c>
      <c r="AU928" s="6">
        <v>226345</v>
      </c>
    </row>
    <row r="929" spans="1:47" x14ac:dyDescent="0.3">
      <c r="A929" s="28" t="s">
        <v>42</v>
      </c>
      <c r="B929" s="6" t="s">
        <v>2174</v>
      </c>
      <c r="C929" s="6" t="s">
        <v>1975</v>
      </c>
      <c r="D929" s="6" t="s">
        <v>2100</v>
      </c>
      <c r="E929" s="6">
        <v>1</v>
      </c>
      <c r="F929" s="6" t="s">
        <v>2004</v>
      </c>
      <c r="G929" s="6" t="s">
        <v>2005</v>
      </c>
      <c r="H929" s="6" t="s">
        <v>2005</v>
      </c>
      <c r="I929" s="6" t="str">
        <f t="shared" si="28"/>
        <v>Side Breaker</v>
      </c>
      <c r="J929" s="6" t="s">
        <v>243</v>
      </c>
      <c r="K929" s="6">
        <v>1</v>
      </c>
      <c r="P929" s="6">
        <f t="shared" si="29"/>
        <v>1200000</v>
      </c>
      <c r="R929" s="6" t="s">
        <v>2003</v>
      </c>
      <c r="T929" s="6" t="s">
        <v>803</v>
      </c>
      <c r="U929" s="6">
        <v>2000</v>
      </c>
      <c r="V929" s="6">
        <v>1</v>
      </c>
      <c r="AD929" s="6" t="s">
        <v>45</v>
      </c>
      <c r="AJ929" s="31" t="s">
        <v>2123</v>
      </c>
      <c r="AK929" s="6">
        <v>1</v>
      </c>
      <c r="AL929" s="26">
        <v>1100000</v>
      </c>
      <c r="AM929" s="26">
        <v>1100000</v>
      </c>
      <c r="AN929" s="26">
        <v>1100000</v>
      </c>
      <c r="AO929" s="6" t="s">
        <v>2003</v>
      </c>
      <c r="AQ929" s="6" t="s">
        <v>1181</v>
      </c>
      <c r="AU929" s="6">
        <v>226346</v>
      </c>
    </row>
    <row r="930" spans="1:47" x14ac:dyDescent="0.3">
      <c r="A930" s="28" t="s">
        <v>42</v>
      </c>
      <c r="B930" s="6" t="s">
        <v>2184</v>
      </c>
      <c r="C930" s="6" t="s">
        <v>1972</v>
      </c>
      <c r="D930" s="6" t="s">
        <v>2104</v>
      </c>
      <c r="E930" s="6">
        <v>1</v>
      </c>
      <c r="F930" s="6" t="s">
        <v>2004</v>
      </c>
      <c r="G930" s="6" t="s">
        <v>2005</v>
      </c>
      <c r="H930" s="6" t="s">
        <v>2005</v>
      </c>
      <c r="I930" s="6" t="str">
        <f t="shared" si="28"/>
        <v>Stone Grapple</v>
      </c>
      <c r="J930" s="6" t="s">
        <v>120</v>
      </c>
      <c r="K930" s="6">
        <v>1</v>
      </c>
      <c r="P930" s="6">
        <f t="shared" si="29"/>
        <v>6800000</v>
      </c>
      <c r="R930" s="6" t="s">
        <v>2003</v>
      </c>
      <c r="T930" s="6" t="s">
        <v>1096</v>
      </c>
      <c r="U930" s="6">
        <v>2017</v>
      </c>
      <c r="V930" s="6">
        <v>1</v>
      </c>
      <c r="AD930" s="6" t="s">
        <v>45</v>
      </c>
      <c r="AJ930" s="31" t="s">
        <v>2122</v>
      </c>
      <c r="AK930" s="6">
        <v>1</v>
      </c>
      <c r="AL930" s="26">
        <v>6300000</v>
      </c>
      <c r="AM930" s="26">
        <v>6300000</v>
      </c>
      <c r="AN930" s="26">
        <v>6300000</v>
      </c>
      <c r="AO930" s="6" t="s">
        <v>2003</v>
      </c>
      <c r="AQ930" s="6" t="s">
        <v>1172</v>
      </c>
      <c r="AU930" s="6">
        <v>226351</v>
      </c>
    </row>
    <row r="931" spans="1:47" x14ac:dyDescent="0.3">
      <c r="A931" s="28" t="s">
        <v>42</v>
      </c>
      <c r="B931" s="6" t="s">
        <v>2174</v>
      </c>
      <c r="C931" s="6" t="s">
        <v>1975</v>
      </c>
      <c r="D931" s="6" t="s">
        <v>2101</v>
      </c>
      <c r="E931" s="6">
        <v>1</v>
      </c>
      <c r="F931" s="6" t="s">
        <v>2004</v>
      </c>
      <c r="G931" s="6" t="s">
        <v>2005</v>
      </c>
      <c r="H931" s="6" t="s">
        <v>2005</v>
      </c>
      <c r="I931" s="6" t="str">
        <f t="shared" si="28"/>
        <v>Side Breaker</v>
      </c>
      <c r="J931" s="6" t="s">
        <v>732</v>
      </c>
      <c r="K931" s="6">
        <v>1</v>
      </c>
      <c r="P931" s="6">
        <f t="shared" si="29"/>
        <v>17500000</v>
      </c>
      <c r="R931" s="6" t="s">
        <v>2003</v>
      </c>
      <c r="T931" s="6" t="s">
        <v>54</v>
      </c>
      <c r="U931" s="6">
        <v>2012</v>
      </c>
      <c r="V931" s="6">
        <v>1</v>
      </c>
      <c r="AD931" s="6" t="s">
        <v>45</v>
      </c>
      <c r="AJ931" s="31" t="s">
        <v>2111</v>
      </c>
      <c r="AK931" s="6">
        <v>1</v>
      </c>
      <c r="AL931" s="26">
        <v>17000000</v>
      </c>
      <c r="AM931" s="26">
        <v>17000000</v>
      </c>
      <c r="AN931" s="26">
        <v>17000000</v>
      </c>
      <c r="AO931" s="6" t="s">
        <v>2003</v>
      </c>
      <c r="AQ931" s="6" t="s">
        <v>54</v>
      </c>
      <c r="AU931" s="6">
        <v>226353</v>
      </c>
    </row>
    <row r="932" spans="1:47" x14ac:dyDescent="0.3">
      <c r="A932" s="28" t="s">
        <v>42</v>
      </c>
      <c r="B932" s="6" t="s">
        <v>2183</v>
      </c>
      <c r="D932" s="6" t="s">
        <v>2104</v>
      </c>
      <c r="E932" s="6">
        <v>1</v>
      </c>
      <c r="F932" s="6" t="s">
        <v>2004</v>
      </c>
      <c r="G932" s="6" t="s">
        <v>2005</v>
      </c>
      <c r="H932" s="6" t="s">
        <v>2005</v>
      </c>
      <c r="I932" s="6" t="str">
        <f t="shared" si="28"/>
        <v>ETC</v>
      </c>
      <c r="J932" s="6" t="s">
        <v>714</v>
      </c>
      <c r="K932" s="6">
        <v>1</v>
      </c>
      <c r="P932" s="6">
        <f t="shared" si="29"/>
        <v>4200000</v>
      </c>
      <c r="R932" s="6" t="s">
        <v>2003</v>
      </c>
      <c r="T932" s="6" t="s">
        <v>1097</v>
      </c>
      <c r="U932" s="6">
        <v>2016</v>
      </c>
      <c r="V932" s="6">
        <v>8</v>
      </c>
      <c r="AD932" s="6" t="s">
        <v>45</v>
      </c>
      <c r="AJ932" s="31" t="s">
        <v>2124</v>
      </c>
      <c r="AK932" s="6">
        <v>1</v>
      </c>
      <c r="AL932" s="26">
        <v>4000000</v>
      </c>
      <c r="AM932" s="26">
        <v>4000000</v>
      </c>
      <c r="AN932" s="26">
        <v>4000000</v>
      </c>
      <c r="AO932" s="6" t="s">
        <v>2003</v>
      </c>
      <c r="AQ932" s="6" t="s">
        <v>1303</v>
      </c>
      <c r="AU932" s="6">
        <v>226356</v>
      </c>
    </row>
    <row r="933" spans="1:47" x14ac:dyDescent="0.3">
      <c r="A933" s="28" t="s">
        <v>42</v>
      </c>
      <c r="B933" s="6" t="s">
        <v>2183</v>
      </c>
      <c r="D933" s="6" t="s">
        <v>2104</v>
      </c>
      <c r="E933" s="6">
        <v>1</v>
      </c>
      <c r="F933" s="6" t="s">
        <v>2004</v>
      </c>
      <c r="G933" s="6" t="s">
        <v>2005</v>
      </c>
      <c r="H933" s="6" t="s">
        <v>2005</v>
      </c>
      <c r="I933" s="6" t="str">
        <f t="shared" si="28"/>
        <v>ETC</v>
      </c>
      <c r="J933" s="6" t="s">
        <v>715</v>
      </c>
      <c r="K933" s="6">
        <v>1</v>
      </c>
      <c r="P933" s="6">
        <f t="shared" si="29"/>
        <v>3700000</v>
      </c>
      <c r="R933" s="6" t="s">
        <v>2003</v>
      </c>
      <c r="T933" s="6" t="s">
        <v>801</v>
      </c>
      <c r="U933" s="6">
        <v>2013</v>
      </c>
      <c r="V933" s="6">
        <v>1</v>
      </c>
      <c r="AD933" s="6" t="s">
        <v>45</v>
      </c>
      <c r="AJ933" s="31" t="s">
        <v>2110</v>
      </c>
      <c r="AK933" s="6">
        <v>1</v>
      </c>
      <c r="AL933" s="26">
        <v>3500000</v>
      </c>
      <c r="AM933" s="26">
        <v>3500000</v>
      </c>
      <c r="AN933" s="26">
        <v>3500000</v>
      </c>
      <c r="AO933" s="6" t="s">
        <v>2003</v>
      </c>
      <c r="AQ933" s="6" t="s">
        <v>1182</v>
      </c>
      <c r="AU933" s="6">
        <v>226360</v>
      </c>
    </row>
    <row r="934" spans="1:47" x14ac:dyDescent="0.3">
      <c r="A934" s="28" t="s">
        <v>42</v>
      </c>
      <c r="B934" s="6" t="s">
        <v>2182</v>
      </c>
      <c r="C934" s="6" t="s">
        <v>1976</v>
      </c>
      <c r="D934" s="6" t="s">
        <v>2103</v>
      </c>
      <c r="E934" s="6">
        <v>1</v>
      </c>
      <c r="F934" s="6" t="s">
        <v>2004</v>
      </c>
      <c r="G934" s="6" t="s">
        <v>2005</v>
      </c>
      <c r="H934" s="6" t="s">
        <v>2005</v>
      </c>
      <c r="I934" s="6" t="str">
        <f t="shared" si="28"/>
        <v>Skeleton Bucket</v>
      </c>
      <c r="J934" s="6" t="s">
        <v>284</v>
      </c>
      <c r="K934" s="6">
        <v>1</v>
      </c>
      <c r="P934" s="6">
        <f t="shared" si="29"/>
        <v>1100000</v>
      </c>
      <c r="R934" s="6" t="s">
        <v>2003</v>
      </c>
      <c r="T934" s="6" t="s">
        <v>789</v>
      </c>
      <c r="U934" s="6">
        <v>2008</v>
      </c>
      <c r="V934" s="6">
        <v>1</v>
      </c>
      <c r="AD934" s="6" t="s">
        <v>45</v>
      </c>
      <c r="AJ934" s="31" t="s">
        <v>2122</v>
      </c>
      <c r="AK934" s="6">
        <v>1</v>
      </c>
      <c r="AL934" s="26">
        <v>1000000</v>
      </c>
      <c r="AM934" s="26">
        <v>1000000</v>
      </c>
      <c r="AN934" s="26">
        <v>1000000</v>
      </c>
      <c r="AO934" s="6" t="s">
        <v>2003</v>
      </c>
      <c r="AQ934" s="6" t="s">
        <v>65</v>
      </c>
      <c r="AU934" s="6">
        <v>226367</v>
      </c>
    </row>
    <row r="935" spans="1:47" x14ac:dyDescent="0.3">
      <c r="A935" s="28" t="s">
        <v>42</v>
      </c>
      <c r="B935" s="6" t="s">
        <v>2175</v>
      </c>
      <c r="C935" s="19" t="s">
        <v>2207</v>
      </c>
      <c r="D935" s="6" t="s">
        <v>2103</v>
      </c>
      <c r="E935" s="6">
        <v>1</v>
      </c>
      <c r="F935" s="6" t="s">
        <v>2004</v>
      </c>
      <c r="G935" s="6" t="s">
        <v>2005</v>
      </c>
      <c r="H935" s="6" t="s">
        <v>2005</v>
      </c>
      <c r="I935" s="6" t="str">
        <f t="shared" si="28"/>
        <v>Hydraulic Crusher</v>
      </c>
      <c r="J935" s="6" t="s">
        <v>299</v>
      </c>
      <c r="K935" s="6">
        <v>1</v>
      </c>
      <c r="P935" s="6">
        <f t="shared" si="29"/>
        <v>5500000</v>
      </c>
      <c r="R935" s="6" t="s">
        <v>2003</v>
      </c>
      <c r="T935" s="6" t="s">
        <v>1098</v>
      </c>
      <c r="U935" s="6">
        <v>2010</v>
      </c>
      <c r="V935" s="6">
        <v>1</v>
      </c>
      <c r="AD935" s="6" t="s">
        <v>45</v>
      </c>
      <c r="AJ935" s="31" t="s">
        <v>2123</v>
      </c>
      <c r="AK935" s="6">
        <v>1</v>
      </c>
      <c r="AL935" s="26">
        <v>5000000</v>
      </c>
      <c r="AM935" s="26">
        <v>5000000</v>
      </c>
      <c r="AN935" s="26">
        <v>5000000</v>
      </c>
      <c r="AO935" s="6" t="s">
        <v>2003</v>
      </c>
      <c r="AQ935" s="6" t="s">
        <v>1244</v>
      </c>
      <c r="AU935" s="6">
        <v>226372</v>
      </c>
    </row>
    <row r="936" spans="1:47" x14ac:dyDescent="0.3">
      <c r="A936" s="28" t="s">
        <v>42</v>
      </c>
      <c r="B936" s="6" t="s">
        <v>2177</v>
      </c>
      <c r="C936" s="6" t="s">
        <v>1972</v>
      </c>
      <c r="D936" s="6" t="s">
        <v>2104</v>
      </c>
      <c r="E936" s="6">
        <v>1</v>
      </c>
      <c r="F936" s="6" t="s">
        <v>2004</v>
      </c>
      <c r="G936" s="6" t="s">
        <v>2005</v>
      </c>
      <c r="H936" s="6" t="s">
        <v>2005</v>
      </c>
      <c r="I936" s="6" t="str">
        <f t="shared" si="28"/>
        <v>Stone Grapple</v>
      </c>
      <c r="J936" s="6" t="s">
        <v>340</v>
      </c>
      <c r="K936" s="6">
        <v>1</v>
      </c>
      <c r="P936" s="6">
        <f t="shared" si="29"/>
        <v>2700000</v>
      </c>
      <c r="R936" s="6" t="s">
        <v>2003</v>
      </c>
      <c r="T936" s="6" t="s">
        <v>814</v>
      </c>
      <c r="U936" s="6">
        <v>2015</v>
      </c>
      <c r="V936" s="6">
        <v>11</v>
      </c>
      <c r="AD936" s="6" t="s">
        <v>45</v>
      </c>
      <c r="AJ936" s="31" t="s">
        <v>2119</v>
      </c>
      <c r="AK936" s="6">
        <v>1</v>
      </c>
      <c r="AL936" s="26">
        <v>2500000</v>
      </c>
      <c r="AM936" s="26">
        <v>2500000</v>
      </c>
      <c r="AN936" s="26">
        <v>2500000</v>
      </c>
      <c r="AO936" s="6" t="s">
        <v>2003</v>
      </c>
      <c r="AQ936" s="6" t="s">
        <v>1194</v>
      </c>
      <c r="AU936" s="6">
        <v>226386</v>
      </c>
    </row>
    <row r="937" spans="1:47" x14ac:dyDescent="0.3">
      <c r="A937" s="28" t="s">
        <v>42</v>
      </c>
      <c r="B937" s="6" t="s">
        <v>2181</v>
      </c>
      <c r="C937" s="6" t="s">
        <v>1979</v>
      </c>
      <c r="D937" s="6" t="s">
        <v>2104</v>
      </c>
      <c r="E937" s="6">
        <v>1</v>
      </c>
      <c r="F937" s="6" t="s">
        <v>2004</v>
      </c>
      <c r="G937" s="6" t="s">
        <v>2005</v>
      </c>
      <c r="H937" s="6" t="s">
        <v>2005</v>
      </c>
      <c r="I937" s="6" t="str">
        <f t="shared" si="28"/>
        <v>Thumb Grapple</v>
      </c>
      <c r="J937" s="6" t="s">
        <v>186</v>
      </c>
      <c r="K937" s="6">
        <v>1</v>
      </c>
      <c r="P937" s="6">
        <f t="shared" si="29"/>
        <v>800000</v>
      </c>
      <c r="R937" s="6" t="s">
        <v>2003</v>
      </c>
      <c r="T937" s="6" t="s">
        <v>823</v>
      </c>
      <c r="U937" s="6">
        <v>2013</v>
      </c>
      <c r="V937" s="6">
        <v>1</v>
      </c>
      <c r="AD937" s="6" t="s">
        <v>45</v>
      </c>
      <c r="AJ937" s="31" t="s">
        <v>2113</v>
      </c>
      <c r="AK937" s="6">
        <v>1</v>
      </c>
      <c r="AL937" s="26">
        <v>700000</v>
      </c>
      <c r="AM937" s="26">
        <v>700000</v>
      </c>
      <c r="AN937" s="26">
        <v>700000</v>
      </c>
      <c r="AO937" s="6" t="s">
        <v>2003</v>
      </c>
      <c r="AQ937" s="6" t="s">
        <v>49</v>
      </c>
      <c r="AU937" s="6">
        <v>226393</v>
      </c>
    </row>
    <row r="938" spans="1:47" x14ac:dyDescent="0.3">
      <c r="A938" s="28" t="s">
        <v>42</v>
      </c>
      <c r="B938" s="6" t="s">
        <v>2177</v>
      </c>
      <c r="C938" s="6" t="s">
        <v>1973</v>
      </c>
      <c r="D938" s="6" t="s">
        <v>2100</v>
      </c>
      <c r="E938" s="6">
        <v>1</v>
      </c>
      <c r="F938" s="6" t="s">
        <v>2004</v>
      </c>
      <c r="G938" s="6" t="s">
        <v>2005</v>
      </c>
      <c r="H938" s="6" t="s">
        <v>2005</v>
      </c>
      <c r="I938" s="6" t="str">
        <f t="shared" si="28"/>
        <v>Wood Grapple</v>
      </c>
      <c r="J938" s="6" t="s">
        <v>127</v>
      </c>
      <c r="K938" s="6">
        <v>1</v>
      </c>
      <c r="P938" s="6">
        <f t="shared" si="29"/>
        <v>1900000</v>
      </c>
      <c r="R938" s="6" t="s">
        <v>2003</v>
      </c>
      <c r="T938" s="6" t="s">
        <v>1883</v>
      </c>
      <c r="U938" s="6">
        <v>2010</v>
      </c>
      <c r="V938" s="6">
        <v>1</v>
      </c>
      <c r="AD938" s="6" t="s">
        <v>45</v>
      </c>
      <c r="AJ938" s="31" t="s">
        <v>2114</v>
      </c>
      <c r="AK938" s="6">
        <v>1</v>
      </c>
      <c r="AL938" s="26">
        <v>1800000</v>
      </c>
      <c r="AM938" s="26">
        <v>1800000</v>
      </c>
      <c r="AN938" s="26">
        <v>1800000</v>
      </c>
      <c r="AO938" s="6" t="s">
        <v>2003</v>
      </c>
      <c r="AQ938" s="6" t="s">
        <v>830</v>
      </c>
      <c r="AU938" s="6">
        <v>226401</v>
      </c>
    </row>
    <row r="939" spans="1:47" x14ac:dyDescent="0.3">
      <c r="A939" s="28" t="s">
        <v>42</v>
      </c>
      <c r="B939" s="6" t="s">
        <v>2178</v>
      </c>
      <c r="C939" s="6" t="s">
        <v>1975</v>
      </c>
      <c r="D939" s="6" t="s">
        <v>2101</v>
      </c>
      <c r="E939" s="6">
        <v>1</v>
      </c>
      <c r="F939" s="6" t="s">
        <v>2004</v>
      </c>
      <c r="G939" s="6" t="s">
        <v>2005</v>
      </c>
      <c r="H939" s="6" t="s">
        <v>2005</v>
      </c>
      <c r="I939" s="6" t="str">
        <f t="shared" si="28"/>
        <v>Side Breaker</v>
      </c>
      <c r="J939" s="6" t="s">
        <v>733</v>
      </c>
      <c r="K939" s="6">
        <v>1</v>
      </c>
      <c r="P939" s="6">
        <f t="shared" si="29"/>
        <v>16500000</v>
      </c>
      <c r="R939" s="6" t="s">
        <v>2003</v>
      </c>
      <c r="T939" s="6" t="s">
        <v>54</v>
      </c>
      <c r="U939" s="6">
        <v>2008</v>
      </c>
      <c r="V939" s="6">
        <v>1</v>
      </c>
      <c r="AD939" s="6" t="s">
        <v>45</v>
      </c>
      <c r="AJ939" s="31" t="s">
        <v>2114</v>
      </c>
      <c r="AK939" s="6">
        <v>1</v>
      </c>
      <c r="AL939" s="26">
        <v>16000000</v>
      </c>
      <c r="AM939" s="26">
        <v>16000000</v>
      </c>
      <c r="AN939" s="26">
        <v>16000000</v>
      </c>
      <c r="AO939" s="6" t="s">
        <v>2003</v>
      </c>
      <c r="AQ939" s="6" t="s">
        <v>54</v>
      </c>
      <c r="AU939" s="6">
        <v>226413</v>
      </c>
    </row>
    <row r="940" spans="1:47" x14ac:dyDescent="0.3">
      <c r="A940" s="28" t="s">
        <v>42</v>
      </c>
      <c r="B940" s="6" t="s">
        <v>2177</v>
      </c>
      <c r="C940" s="6" t="s">
        <v>1984</v>
      </c>
      <c r="D940" s="6" t="s">
        <v>2101</v>
      </c>
      <c r="E940" s="6">
        <v>1</v>
      </c>
      <c r="F940" s="6" t="s">
        <v>2004</v>
      </c>
      <c r="G940" s="6" t="s">
        <v>2005</v>
      </c>
      <c r="H940" s="6" t="s">
        <v>2005</v>
      </c>
      <c r="I940" s="6" t="str">
        <f t="shared" si="28"/>
        <v>Scrap Grapple</v>
      </c>
      <c r="J940" s="6" t="s">
        <v>301</v>
      </c>
      <c r="K940" s="6">
        <v>1</v>
      </c>
      <c r="P940" s="6">
        <f t="shared" si="29"/>
        <v>3700000</v>
      </c>
      <c r="R940" s="6" t="s">
        <v>2003</v>
      </c>
      <c r="T940" s="6" t="s">
        <v>813</v>
      </c>
      <c r="U940" s="6">
        <v>2013</v>
      </c>
      <c r="V940" s="6">
        <v>1</v>
      </c>
      <c r="AD940" s="6" t="s">
        <v>45</v>
      </c>
      <c r="AJ940" s="31" t="s">
        <v>2113</v>
      </c>
      <c r="AK940" s="6">
        <v>1</v>
      </c>
      <c r="AL940" s="26">
        <v>3500000</v>
      </c>
      <c r="AM940" s="26">
        <v>3500000</v>
      </c>
      <c r="AN940" s="26">
        <v>3500000</v>
      </c>
      <c r="AO940" s="6" t="s">
        <v>2003</v>
      </c>
      <c r="AQ940" s="6" t="s">
        <v>80</v>
      </c>
      <c r="AU940" s="6">
        <v>226416</v>
      </c>
    </row>
    <row r="941" spans="1:47" x14ac:dyDescent="0.3">
      <c r="A941" s="28" t="s">
        <v>42</v>
      </c>
      <c r="B941" s="6" t="s">
        <v>2181</v>
      </c>
      <c r="D941" s="6" t="s">
        <v>2101</v>
      </c>
      <c r="E941" s="6">
        <v>1</v>
      </c>
      <c r="F941" s="6" t="s">
        <v>2004</v>
      </c>
      <c r="G941" s="6" t="s">
        <v>2005</v>
      </c>
      <c r="H941" s="6" t="s">
        <v>2005</v>
      </c>
      <c r="I941" s="6" t="str">
        <f t="shared" si="28"/>
        <v>ETC</v>
      </c>
      <c r="J941" s="6" t="s">
        <v>363</v>
      </c>
      <c r="K941" s="6">
        <v>1</v>
      </c>
      <c r="P941" s="6">
        <f t="shared" si="29"/>
        <v>13500000</v>
      </c>
      <c r="R941" s="6" t="s">
        <v>2003</v>
      </c>
      <c r="T941" s="6" t="s">
        <v>840</v>
      </c>
      <c r="U941" s="6">
        <v>2010</v>
      </c>
      <c r="V941" s="6">
        <v>1</v>
      </c>
      <c r="AD941" s="6" t="s">
        <v>45</v>
      </c>
      <c r="AJ941" s="31" t="s">
        <v>2117</v>
      </c>
      <c r="AK941" s="6">
        <v>1</v>
      </c>
      <c r="AL941" s="26">
        <v>13000000</v>
      </c>
      <c r="AM941" s="26">
        <v>13000000</v>
      </c>
      <c r="AN941" s="26">
        <v>13000000</v>
      </c>
      <c r="AO941" s="6" t="s">
        <v>2003</v>
      </c>
      <c r="AQ941" s="6" t="s">
        <v>1179</v>
      </c>
      <c r="AU941" s="6">
        <v>226417</v>
      </c>
    </row>
    <row r="942" spans="1:47" hidden="1" x14ac:dyDescent="0.3">
      <c r="A942" s="28" t="s">
        <v>42</v>
      </c>
      <c r="B942" s="6" t="s">
        <v>2181</v>
      </c>
      <c r="E942" s="6">
        <v>1</v>
      </c>
      <c r="F942" s="6" t="s">
        <v>2004</v>
      </c>
      <c r="G942" s="6" t="s">
        <v>2005</v>
      </c>
      <c r="H942" s="6" t="s">
        <v>2005</v>
      </c>
      <c r="I942" s="6" t="str">
        <f t="shared" si="28"/>
        <v>ETC</v>
      </c>
      <c r="J942" s="6" t="s">
        <v>735</v>
      </c>
      <c r="K942" s="6">
        <v>1</v>
      </c>
      <c r="P942" s="6">
        <f t="shared" si="29"/>
        <v>1100000</v>
      </c>
      <c r="R942" s="6" t="s">
        <v>2003</v>
      </c>
      <c r="T942" s="6" t="s">
        <v>796</v>
      </c>
      <c r="U942" s="6">
        <v>2011</v>
      </c>
      <c r="V942" s="6">
        <v>1</v>
      </c>
      <c r="AD942" s="6" t="s">
        <v>45</v>
      </c>
      <c r="AJ942" s="31" t="s">
        <v>2112</v>
      </c>
      <c r="AK942" s="6">
        <v>1</v>
      </c>
      <c r="AL942" s="26">
        <v>1000000</v>
      </c>
      <c r="AM942" s="26">
        <v>1000000</v>
      </c>
      <c r="AN942" s="26">
        <v>1000000</v>
      </c>
      <c r="AO942" s="6" t="s">
        <v>2003</v>
      </c>
      <c r="AQ942" s="6" t="s">
        <v>1217</v>
      </c>
      <c r="AU942" s="6">
        <v>226425</v>
      </c>
    </row>
    <row r="943" spans="1:47" x14ac:dyDescent="0.3">
      <c r="A943" s="28" t="s">
        <v>42</v>
      </c>
      <c r="B943" s="6" t="s">
        <v>2179</v>
      </c>
      <c r="C943" s="6" t="s">
        <v>1977</v>
      </c>
      <c r="D943" s="6" t="s">
        <v>2103</v>
      </c>
      <c r="E943" s="6">
        <v>1</v>
      </c>
      <c r="F943" s="6" t="s">
        <v>2004</v>
      </c>
      <c r="G943" s="6" t="s">
        <v>2005</v>
      </c>
      <c r="H943" s="6" t="s">
        <v>2005</v>
      </c>
      <c r="I943" s="6" t="str">
        <f t="shared" si="28"/>
        <v>Wide Bucket</v>
      </c>
      <c r="J943" s="6" t="s">
        <v>275</v>
      </c>
      <c r="K943" s="6">
        <v>1</v>
      </c>
      <c r="P943" s="6">
        <f t="shared" si="29"/>
        <v>2700000</v>
      </c>
      <c r="R943" s="6" t="s">
        <v>2003</v>
      </c>
      <c r="T943" s="6" t="s">
        <v>2011</v>
      </c>
      <c r="U943" s="6">
        <v>2012</v>
      </c>
      <c r="V943" s="6">
        <v>6</v>
      </c>
      <c r="AD943" s="6" t="s">
        <v>45</v>
      </c>
      <c r="AJ943" s="31" t="s">
        <v>2123</v>
      </c>
      <c r="AK943" s="6">
        <v>1</v>
      </c>
      <c r="AL943" s="26">
        <v>2500000</v>
      </c>
      <c r="AM943" s="26">
        <v>2500000</v>
      </c>
      <c r="AN943" s="26">
        <v>2500000</v>
      </c>
      <c r="AO943" s="6" t="s">
        <v>2003</v>
      </c>
      <c r="AQ943" s="6" t="s">
        <v>1200</v>
      </c>
      <c r="AU943" s="6">
        <v>226430</v>
      </c>
    </row>
    <row r="944" spans="1:47" x14ac:dyDescent="0.3">
      <c r="A944" s="28" t="s">
        <v>42</v>
      </c>
      <c r="B944" s="6" t="s">
        <v>2178</v>
      </c>
      <c r="C944" s="6" t="s">
        <v>1975</v>
      </c>
      <c r="D944" s="6" t="s">
        <v>2100</v>
      </c>
      <c r="E944" s="6">
        <v>1</v>
      </c>
      <c r="F944" s="6" t="s">
        <v>2004</v>
      </c>
      <c r="G944" s="6" t="s">
        <v>2005</v>
      </c>
      <c r="H944" s="6" t="s">
        <v>2005</v>
      </c>
      <c r="I944" s="6" t="str">
        <f t="shared" si="28"/>
        <v>Side Breaker</v>
      </c>
      <c r="J944" s="6" t="s">
        <v>160</v>
      </c>
      <c r="K944" s="6">
        <v>1</v>
      </c>
      <c r="P944" s="6">
        <f t="shared" si="29"/>
        <v>1600000</v>
      </c>
      <c r="R944" s="6" t="s">
        <v>2003</v>
      </c>
      <c r="T944" s="6" t="s">
        <v>900</v>
      </c>
      <c r="U944" s="6">
        <v>2013</v>
      </c>
      <c r="V944" s="6">
        <v>3</v>
      </c>
      <c r="AD944" s="6" t="s">
        <v>45</v>
      </c>
      <c r="AJ944" s="31" t="s">
        <v>2122</v>
      </c>
      <c r="AK944" s="6">
        <v>1</v>
      </c>
      <c r="AL944" s="26">
        <v>1500000</v>
      </c>
      <c r="AM944" s="26">
        <v>1500000</v>
      </c>
      <c r="AN944" s="26">
        <v>1500000</v>
      </c>
      <c r="AO944" s="6" t="s">
        <v>2003</v>
      </c>
      <c r="AQ944" s="6" t="s">
        <v>1163</v>
      </c>
      <c r="AU944" s="6">
        <v>226431</v>
      </c>
    </row>
    <row r="945" spans="1:47" x14ac:dyDescent="0.3">
      <c r="A945" s="28" t="s">
        <v>42</v>
      </c>
      <c r="B945" s="6" t="s">
        <v>2179</v>
      </c>
      <c r="C945" s="6" t="s">
        <v>1976</v>
      </c>
      <c r="D945" s="6" t="s">
        <v>2101</v>
      </c>
      <c r="E945" s="6">
        <v>1</v>
      </c>
      <c r="F945" s="6" t="s">
        <v>2004</v>
      </c>
      <c r="G945" s="6" t="s">
        <v>2005</v>
      </c>
      <c r="H945" s="6" t="s">
        <v>2005</v>
      </c>
      <c r="I945" s="6" t="str">
        <f t="shared" si="28"/>
        <v>Skeleton Bucket</v>
      </c>
      <c r="J945" s="6" t="s">
        <v>369</v>
      </c>
      <c r="K945" s="6">
        <v>1</v>
      </c>
      <c r="P945" s="6">
        <f t="shared" si="29"/>
        <v>2700000</v>
      </c>
      <c r="R945" s="6" t="s">
        <v>2003</v>
      </c>
      <c r="T945" s="6" t="s">
        <v>822</v>
      </c>
      <c r="U945" s="6">
        <v>2015</v>
      </c>
      <c r="V945" s="6">
        <v>6</v>
      </c>
      <c r="AD945" s="6" t="s">
        <v>45</v>
      </c>
      <c r="AJ945" s="31" t="s">
        <v>2123</v>
      </c>
      <c r="AK945" s="6">
        <v>1</v>
      </c>
      <c r="AL945" s="26">
        <v>2500000</v>
      </c>
      <c r="AM945" s="26">
        <v>2500000</v>
      </c>
      <c r="AN945" s="26">
        <v>2500000</v>
      </c>
      <c r="AO945" s="6" t="s">
        <v>2003</v>
      </c>
      <c r="AQ945" s="6" t="s">
        <v>92</v>
      </c>
      <c r="AU945" s="6">
        <v>226437</v>
      </c>
    </row>
    <row r="946" spans="1:47" x14ac:dyDescent="0.3">
      <c r="A946" s="28" t="s">
        <v>42</v>
      </c>
      <c r="B946" s="6" t="s">
        <v>2176</v>
      </c>
      <c r="D946" s="6" t="s">
        <v>2105</v>
      </c>
      <c r="E946" s="6">
        <v>1</v>
      </c>
      <c r="F946" s="6" t="s">
        <v>2004</v>
      </c>
      <c r="G946" s="6" t="s">
        <v>2005</v>
      </c>
      <c r="H946" s="6" t="s">
        <v>2005</v>
      </c>
      <c r="I946" s="6" t="str">
        <f t="shared" si="28"/>
        <v>Shear&amp;Cutter</v>
      </c>
      <c r="J946" s="6" t="s">
        <v>665</v>
      </c>
      <c r="K946" s="6">
        <v>1</v>
      </c>
      <c r="P946" s="6">
        <f t="shared" si="29"/>
        <v>7500000</v>
      </c>
      <c r="R946" s="6" t="s">
        <v>2003</v>
      </c>
      <c r="T946" s="6" t="s">
        <v>1099</v>
      </c>
      <c r="U946" s="6">
        <v>2010</v>
      </c>
      <c r="V946" s="6">
        <v>1</v>
      </c>
      <c r="AD946" s="6" t="s">
        <v>45</v>
      </c>
      <c r="AJ946" s="31" t="s">
        <v>2122</v>
      </c>
      <c r="AK946" s="6">
        <v>1</v>
      </c>
      <c r="AL946" s="26">
        <v>7000000</v>
      </c>
      <c r="AM946" s="26">
        <v>7000000</v>
      </c>
      <c r="AN946" s="26">
        <v>7000000</v>
      </c>
      <c r="AO946" s="6" t="s">
        <v>2003</v>
      </c>
      <c r="AQ946" s="6" t="s">
        <v>1227</v>
      </c>
      <c r="AU946" s="6">
        <v>226440</v>
      </c>
    </row>
    <row r="947" spans="1:47" x14ac:dyDescent="0.3">
      <c r="A947" s="28" t="s">
        <v>42</v>
      </c>
      <c r="B947" s="6" t="s">
        <v>2177</v>
      </c>
      <c r="C947" s="6" t="s">
        <v>1972</v>
      </c>
      <c r="D947" s="6" t="s">
        <v>2103</v>
      </c>
      <c r="E947" s="6">
        <v>1</v>
      </c>
      <c r="F947" s="6" t="s">
        <v>2004</v>
      </c>
      <c r="G947" s="6" t="s">
        <v>2005</v>
      </c>
      <c r="H947" s="6" t="s">
        <v>2005</v>
      </c>
      <c r="I947" s="6" t="str">
        <f t="shared" si="28"/>
        <v>Stone Grapple</v>
      </c>
      <c r="J947" s="6" t="s">
        <v>94</v>
      </c>
      <c r="K947" s="6">
        <v>1</v>
      </c>
      <c r="P947" s="6">
        <f t="shared" si="29"/>
        <v>3400000</v>
      </c>
      <c r="R947" s="6" t="s">
        <v>2003</v>
      </c>
      <c r="T947" s="6" t="s">
        <v>813</v>
      </c>
      <c r="U947" s="6">
        <v>2013</v>
      </c>
      <c r="V947" s="6">
        <v>1</v>
      </c>
      <c r="AD947" s="6" t="s">
        <v>45</v>
      </c>
      <c r="AJ947" s="31" t="s">
        <v>2113</v>
      </c>
      <c r="AK947" s="6">
        <v>1</v>
      </c>
      <c r="AL947" s="26">
        <v>3200000</v>
      </c>
      <c r="AM947" s="26">
        <v>3200000</v>
      </c>
      <c r="AN947" s="26">
        <v>3200000</v>
      </c>
      <c r="AO947" s="6" t="s">
        <v>2003</v>
      </c>
      <c r="AQ947" s="6" t="s">
        <v>79</v>
      </c>
      <c r="AU947" s="6">
        <v>226446</v>
      </c>
    </row>
    <row r="948" spans="1:47" x14ac:dyDescent="0.3">
      <c r="A948" s="28" t="s">
        <v>42</v>
      </c>
      <c r="B948" s="6" t="s">
        <v>2179</v>
      </c>
      <c r="C948" s="19" t="s">
        <v>2210</v>
      </c>
      <c r="D948" s="6" t="s">
        <v>2104</v>
      </c>
      <c r="E948" s="6">
        <v>1</v>
      </c>
      <c r="F948" s="6" t="s">
        <v>2004</v>
      </c>
      <c r="G948" s="6" t="s">
        <v>2005</v>
      </c>
      <c r="H948" s="6" t="s">
        <v>2005</v>
      </c>
      <c r="I948" s="6" t="str">
        <f t="shared" si="28"/>
        <v>Etc Bucket</v>
      </c>
      <c r="J948" s="6" t="s">
        <v>737</v>
      </c>
      <c r="K948" s="6">
        <v>1</v>
      </c>
      <c r="P948" s="6">
        <f t="shared" si="29"/>
        <v>1000000</v>
      </c>
      <c r="R948" s="6" t="s">
        <v>2003</v>
      </c>
      <c r="T948" s="6" t="s">
        <v>2085</v>
      </c>
      <c r="U948" s="6">
        <v>2017</v>
      </c>
      <c r="V948" s="6">
        <v>2</v>
      </c>
      <c r="AD948" s="6" t="s">
        <v>45</v>
      </c>
      <c r="AJ948" s="31" t="s">
        <v>2124</v>
      </c>
      <c r="AK948" s="6">
        <v>1</v>
      </c>
      <c r="AL948" s="26">
        <v>900000</v>
      </c>
      <c r="AM948" s="26">
        <v>900000</v>
      </c>
      <c r="AN948" s="26">
        <v>900000</v>
      </c>
      <c r="AO948" s="6" t="s">
        <v>2003</v>
      </c>
      <c r="AQ948" s="6" t="s">
        <v>1144</v>
      </c>
      <c r="AU948" s="6">
        <v>226450</v>
      </c>
    </row>
    <row r="949" spans="1:47" x14ac:dyDescent="0.3">
      <c r="A949" s="28" t="s">
        <v>42</v>
      </c>
      <c r="B949" s="6" t="s">
        <v>2174</v>
      </c>
      <c r="C949" s="6" t="s">
        <v>1975</v>
      </c>
      <c r="D949" s="6" t="s">
        <v>2100</v>
      </c>
      <c r="E949" s="6">
        <v>1</v>
      </c>
      <c r="F949" s="6" t="s">
        <v>2004</v>
      </c>
      <c r="G949" s="6" t="s">
        <v>2005</v>
      </c>
      <c r="H949" s="6" t="s">
        <v>2005</v>
      </c>
      <c r="I949" s="6" t="str">
        <f t="shared" si="28"/>
        <v>Side Breaker</v>
      </c>
      <c r="J949" s="6" t="s">
        <v>212</v>
      </c>
      <c r="K949" s="6">
        <v>1</v>
      </c>
      <c r="P949" s="6">
        <f t="shared" si="29"/>
        <v>1600000</v>
      </c>
      <c r="R949" s="6" t="s">
        <v>2003</v>
      </c>
      <c r="T949" s="6" t="s">
        <v>794</v>
      </c>
      <c r="U949" s="6">
        <v>2015</v>
      </c>
      <c r="V949" s="6">
        <v>1</v>
      </c>
      <c r="AD949" s="6" t="s">
        <v>45</v>
      </c>
      <c r="AJ949" s="31" t="s">
        <v>2122</v>
      </c>
      <c r="AK949" s="6">
        <v>1</v>
      </c>
      <c r="AL949" s="26">
        <v>1500000</v>
      </c>
      <c r="AM949" s="26">
        <v>1500000</v>
      </c>
      <c r="AN949" s="26">
        <v>1500000</v>
      </c>
      <c r="AO949" s="6" t="s">
        <v>2003</v>
      </c>
      <c r="AQ949" s="6" t="s">
        <v>1154</v>
      </c>
      <c r="AU949" s="6">
        <v>226451</v>
      </c>
    </row>
    <row r="950" spans="1:47" x14ac:dyDescent="0.3">
      <c r="A950" s="28" t="s">
        <v>42</v>
      </c>
      <c r="B950" s="6" t="s">
        <v>2184</v>
      </c>
      <c r="C950" s="6" t="s">
        <v>1972</v>
      </c>
      <c r="D950" s="6" t="s">
        <v>2103</v>
      </c>
      <c r="E950" s="6">
        <v>1</v>
      </c>
      <c r="F950" s="6" t="s">
        <v>2004</v>
      </c>
      <c r="G950" s="6" t="s">
        <v>2005</v>
      </c>
      <c r="H950" s="6" t="s">
        <v>2005</v>
      </c>
      <c r="I950" s="6" t="str">
        <f t="shared" si="28"/>
        <v>Stone Grapple</v>
      </c>
      <c r="J950" s="6" t="s">
        <v>94</v>
      </c>
      <c r="K950" s="6">
        <v>1</v>
      </c>
      <c r="P950" s="6">
        <f t="shared" si="29"/>
        <v>2700000</v>
      </c>
      <c r="R950" s="6" t="s">
        <v>2003</v>
      </c>
      <c r="T950" s="6" t="s">
        <v>2011</v>
      </c>
      <c r="U950" s="6">
        <v>2010</v>
      </c>
      <c r="V950" s="6">
        <v>6</v>
      </c>
      <c r="AD950" s="6" t="s">
        <v>45</v>
      </c>
      <c r="AJ950" s="31" t="s">
        <v>2123</v>
      </c>
      <c r="AK950" s="6">
        <v>1</v>
      </c>
      <c r="AL950" s="26">
        <v>2500000</v>
      </c>
      <c r="AM950" s="26">
        <v>2500000</v>
      </c>
      <c r="AN950" s="26">
        <v>2500000</v>
      </c>
      <c r="AO950" s="6" t="s">
        <v>2003</v>
      </c>
      <c r="AQ950" s="6" t="s">
        <v>1200</v>
      </c>
      <c r="AU950" s="6">
        <v>226452</v>
      </c>
    </row>
    <row r="951" spans="1:47" x14ac:dyDescent="0.3">
      <c r="A951" s="28" t="s">
        <v>42</v>
      </c>
      <c r="B951" s="6" t="s">
        <v>2182</v>
      </c>
      <c r="C951" s="6" t="s">
        <v>1976</v>
      </c>
      <c r="D951" s="6" t="s">
        <v>2103</v>
      </c>
      <c r="E951" s="6">
        <v>1</v>
      </c>
      <c r="F951" s="6" t="s">
        <v>2004</v>
      </c>
      <c r="G951" s="6" t="s">
        <v>2005</v>
      </c>
      <c r="H951" s="6" t="s">
        <v>2005</v>
      </c>
      <c r="I951" s="6" t="str">
        <f t="shared" si="28"/>
        <v>Skeleton Bucket</v>
      </c>
      <c r="J951" s="6" t="s">
        <v>402</v>
      </c>
      <c r="K951" s="6">
        <v>1</v>
      </c>
      <c r="P951" s="6">
        <f t="shared" si="29"/>
        <v>2500000</v>
      </c>
      <c r="R951" s="6" t="s">
        <v>2003</v>
      </c>
      <c r="T951" s="6" t="s">
        <v>813</v>
      </c>
      <c r="U951" s="6">
        <v>2016</v>
      </c>
      <c r="V951" s="6">
        <v>1</v>
      </c>
      <c r="AD951" s="6" t="s">
        <v>45</v>
      </c>
      <c r="AJ951" s="31" t="s">
        <v>2113</v>
      </c>
      <c r="AK951" s="6">
        <v>1</v>
      </c>
      <c r="AL951" s="26">
        <v>2300000</v>
      </c>
      <c r="AM951" s="26">
        <v>2300000</v>
      </c>
      <c r="AN951" s="26">
        <v>2300000</v>
      </c>
      <c r="AO951" s="6" t="s">
        <v>2003</v>
      </c>
      <c r="AQ951" s="6" t="s">
        <v>80</v>
      </c>
      <c r="AU951" s="6">
        <v>226454</v>
      </c>
    </row>
    <row r="952" spans="1:47" x14ac:dyDescent="0.3">
      <c r="A952" s="28" t="s">
        <v>42</v>
      </c>
      <c r="B952" s="6" t="s">
        <v>2174</v>
      </c>
      <c r="C952" s="6" t="s">
        <v>1975</v>
      </c>
      <c r="D952" s="6" t="s">
        <v>2108</v>
      </c>
      <c r="E952" s="6">
        <v>1</v>
      </c>
      <c r="F952" s="6" t="s">
        <v>2004</v>
      </c>
      <c r="G952" s="6" t="s">
        <v>2005</v>
      </c>
      <c r="H952" s="6" t="s">
        <v>2005</v>
      </c>
      <c r="I952" s="6" t="str">
        <f t="shared" si="28"/>
        <v>Side Breaker</v>
      </c>
      <c r="J952" s="6" t="s">
        <v>329</v>
      </c>
      <c r="K952" s="6">
        <v>1</v>
      </c>
      <c r="P952" s="6">
        <f t="shared" si="29"/>
        <v>4700000</v>
      </c>
      <c r="R952" s="6" t="s">
        <v>2003</v>
      </c>
      <c r="T952" s="6" t="s">
        <v>2086</v>
      </c>
      <c r="U952" s="6">
        <v>2004</v>
      </c>
      <c r="V952" s="6">
        <v>1</v>
      </c>
      <c r="AD952" s="6" t="s">
        <v>45</v>
      </c>
      <c r="AJ952" s="31" t="s">
        <v>2120</v>
      </c>
      <c r="AK952" s="6">
        <v>1</v>
      </c>
      <c r="AL952" s="26">
        <v>4500000</v>
      </c>
      <c r="AM952" s="26">
        <v>4500000</v>
      </c>
      <c r="AN952" s="26">
        <v>4500000</v>
      </c>
      <c r="AO952" s="6" t="s">
        <v>2003</v>
      </c>
      <c r="AQ952" s="6" t="s">
        <v>82</v>
      </c>
      <c r="AU952" s="6">
        <v>226456</v>
      </c>
    </row>
    <row r="953" spans="1:47" x14ac:dyDescent="0.3">
      <c r="A953" s="28" t="s">
        <v>42</v>
      </c>
      <c r="B953" s="6" t="s">
        <v>2184</v>
      </c>
      <c r="C953" s="6" t="s">
        <v>1972</v>
      </c>
      <c r="D953" s="6" t="s">
        <v>2104</v>
      </c>
      <c r="E953" s="6">
        <v>1</v>
      </c>
      <c r="F953" s="6" t="s">
        <v>2004</v>
      </c>
      <c r="G953" s="6" t="s">
        <v>2005</v>
      </c>
      <c r="H953" s="6" t="s">
        <v>2005</v>
      </c>
      <c r="I953" s="6" t="str">
        <f t="shared" si="28"/>
        <v>Stone Grapple</v>
      </c>
      <c r="J953" s="6" t="s">
        <v>44</v>
      </c>
      <c r="K953" s="6">
        <v>1</v>
      </c>
      <c r="P953" s="6">
        <f t="shared" si="29"/>
        <v>2500000</v>
      </c>
      <c r="R953" s="6" t="s">
        <v>2003</v>
      </c>
      <c r="T953" s="6" t="s">
        <v>813</v>
      </c>
      <c r="U953" s="6">
        <v>2013</v>
      </c>
      <c r="V953" s="6">
        <v>1</v>
      </c>
      <c r="AD953" s="6" t="s">
        <v>45</v>
      </c>
      <c r="AJ953" s="31" t="s">
        <v>2113</v>
      </c>
      <c r="AK953" s="6">
        <v>1</v>
      </c>
      <c r="AL953" s="26">
        <v>2300000</v>
      </c>
      <c r="AM953" s="26">
        <v>2300000</v>
      </c>
      <c r="AN953" s="26">
        <v>2300000</v>
      </c>
      <c r="AO953" s="6" t="s">
        <v>2003</v>
      </c>
      <c r="AQ953" s="6" t="s">
        <v>79</v>
      </c>
      <c r="AU953" s="6">
        <v>226466</v>
      </c>
    </row>
    <row r="954" spans="1:47" x14ac:dyDescent="0.3">
      <c r="A954" s="28" t="s">
        <v>42</v>
      </c>
      <c r="B954" s="6" t="s">
        <v>2174</v>
      </c>
      <c r="C954" s="6" t="s">
        <v>1975</v>
      </c>
      <c r="D954" s="6" t="s">
        <v>2100</v>
      </c>
      <c r="E954" s="6">
        <v>1</v>
      </c>
      <c r="F954" s="6" t="s">
        <v>2004</v>
      </c>
      <c r="G954" s="6" t="s">
        <v>2005</v>
      </c>
      <c r="H954" s="6" t="s">
        <v>2005</v>
      </c>
      <c r="I954" s="6" t="str">
        <f t="shared" si="28"/>
        <v>Side Breaker</v>
      </c>
      <c r="J954" s="6" t="s">
        <v>266</v>
      </c>
      <c r="K954" s="6">
        <v>1</v>
      </c>
      <c r="P954" s="6">
        <f t="shared" si="29"/>
        <v>2400000</v>
      </c>
      <c r="R954" s="6" t="s">
        <v>2003</v>
      </c>
      <c r="T954" s="6" t="s">
        <v>2011</v>
      </c>
      <c r="U954" s="6">
        <v>2016</v>
      </c>
      <c r="V954" s="6">
        <v>6</v>
      </c>
      <c r="AD954" s="6" t="s">
        <v>45</v>
      </c>
      <c r="AJ954" s="31" t="s">
        <v>2123</v>
      </c>
      <c r="AK954" s="6">
        <v>1</v>
      </c>
      <c r="AL954" s="26">
        <v>2200000</v>
      </c>
      <c r="AM954" s="26">
        <v>2200000</v>
      </c>
      <c r="AN954" s="26">
        <v>2200000</v>
      </c>
      <c r="AO954" s="6" t="s">
        <v>2003</v>
      </c>
      <c r="AQ954" s="6" t="s">
        <v>1200</v>
      </c>
      <c r="AU954" s="6">
        <v>226472</v>
      </c>
    </row>
    <row r="955" spans="1:47" x14ac:dyDescent="0.3">
      <c r="A955" s="28" t="s">
        <v>42</v>
      </c>
      <c r="B955" s="6" t="s">
        <v>2182</v>
      </c>
      <c r="C955" s="6" t="s">
        <v>1976</v>
      </c>
      <c r="D955" s="6" t="s">
        <v>2105</v>
      </c>
      <c r="E955" s="6">
        <v>1</v>
      </c>
      <c r="F955" s="6" t="s">
        <v>2004</v>
      </c>
      <c r="G955" s="6" t="s">
        <v>2005</v>
      </c>
      <c r="H955" s="6" t="s">
        <v>2005</v>
      </c>
      <c r="I955" s="6" t="str">
        <f t="shared" si="28"/>
        <v>Skeleton Bucket</v>
      </c>
      <c r="J955" s="6" t="s">
        <v>336</v>
      </c>
      <c r="K955" s="6">
        <v>1</v>
      </c>
      <c r="P955" s="6">
        <f t="shared" si="29"/>
        <v>2200000</v>
      </c>
      <c r="R955" s="6" t="s">
        <v>2003</v>
      </c>
      <c r="T955" s="6" t="s">
        <v>2011</v>
      </c>
      <c r="U955" s="6">
        <v>2010</v>
      </c>
      <c r="V955" s="6">
        <v>6</v>
      </c>
      <c r="AD955" s="6" t="s">
        <v>45</v>
      </c>
      <c r="AJ955" s="31" t="s">
        <v>2123</v>
      </c>
      <c r="AK955" s="6">
        <v>1</v>
      </c>
      <c r="AL955" s="26">
        <v>2000000</v>
      </c>
      <c r="AM955" s="26">
        <v>2000000</v>
      </c>
      <c r="AN955" s="26">
        <v>2000000</v>
      </c>
      <c r="AO955" s="6" t="s">
        <v>2003</v>
      </c>
      <c r="AQ955" s="6" t="s">
        <v>1200</v>
      </c>
      <c r="AU955" s="6">
        <v>226478</v>
      </c>
    </row>
    <row r="956" spans="1:47" x14ac:dyDescent="0.3">
      <c r="A956" s="28" t="s">
        <v>42</v>
      </c>
      <c r="B956" s="6" t="s">
        <v>2182</v>
      </c>
      <c r="C956" s="6" t="s">
        <v>1976</v>
      </c>
      <c r="D956" s="6" t="s">
        <v>2104</v>
      </c>
      <c r="E956" s="6">
        <v>1</v>
      </c>
      <c r="F956" s="6" t="s">
        <v>2004</v>
      </c>
      <c r="G956" s="6" t="s">
        <v>2005</v>
      </c>
      <c r="H956" s="6" t="s">
        <v>2005</v>
      </c>
      <c r="I956" s="6" t="str">
        <f t="shared" si="28"/>
        <v>Skeleton Bucket</v>
      </c>
      <c r="J956" s="6" t="s">
        <v>118</v>
      </c>
      <c r="K956" s="6">
        <v>1</v>
      </c>
      <c r="P956" s="6">
        <f t="shared" si="29"/>
        <v>1100000</v>
      </c>
      <c r="R956" s="6" t="s">
        <v>2003</v>
      </c>
      <c r="T956" s="6" t="s">
        <v>939</v>
      </c>
      <c r="U956" s="6">
        <v>2014</v>
      </c>
      <c r="V956" s="6">
        <v>9</v>
      </c>
      <c r="AD956" s="6" t="s">
        <v>45</v>
      </c>
      <c r="AJ956" s="31" t="s">
        <v>2120</v>
      </c>
      <c r="AK956" s="6">
        <v>1</v>
      </c>
      <c r="AL956" s="26">
        <v>1000000</v>
      </c>
      <c r="AM956" s="26">
        <v>1000000</v>
      </c>
      <c r="AN956" s="26">
        <v>1000000</v>
      </c>
      <c r="AO956" s="6" t="s">
        <v>2003</v>
      </c>
      <c r="AQ956" s="6" t="s">
        <v>939</v>
      </c>
      <c r="AU956" s="6">
        <v>226482</v>
      </c>
    </row>
    <row r="957" spans="1:47" x14ac:dyDescent="0.3">
      <c r="A957" s="28" t="s">
        <v>42</v>
      </c>
      <c r="B957" s="6" t="s">
        <v>2183</v>
      </c>
      <c r="D957" s="6" t="s">
        <v>2104</v>
      </c>
      <c r="E957" s="6">
        <v>1</v>
      </c>
      <c r="F957" s="6" t="s">
        <v>2004</v>
      </c>
      <c r="G957" s="6" t="s">
        <v>2005</v>
      </c>
      <c r="H957" s="6" t="s">
        <v>2005</v>
      </c>
      <c r="I957" s="6" t="str">
        <f t="shared" si="28"/>
        <v>ETC</v>
      </c>
      <c r="J957" s="6" t="s">
        <v>2148</v>
      </c>
      <c r="K957" s="6">
        <v>1</v>
      </c>
      <c r="P957" s="6">
        <f t="shared" si="29"/>
        <v>900000</v>
      </c>
      <c r="R957" s="6" t="s">
        <v>2003</v>
      </c>
      <c r="T957" s="6" t="s">
        <v>2087</v>
      </c>
      <c r="U957" s="6">
        <v>2011</v>
      </c>
      <c r="V957" s="6">
        <v>1</v>
      </c>
      <c r="AD957" s="6" t="s">
        <v>45</v>
      </c>
      <c r="AJ957" s="31" t="s">
        <v>2116</v>
      </c>
      <c r="AK957" s="6">
        <v>1</v>
      </c>
      <c r="AL957" s="26">
        <v>800000</v>
      </c>
      <c r="AM957" s="26">
        <v>800000</v>
      </c>
      <c r="AN957" s="26">
        <v>800000</v>
      </c>
      <c r="AO957" s="6" t="s">
        <v>2003</v>
      </c>
      <c r="AQ957" s="6" t="s">
        <v>90</v>
      </c>
      <c r="AU957" s="6">
        <v>226483</v>
      </c>
    </row>
    <row r="958" spans="1:47" x14ac:dyDescent="0.3">
      <c r="A958" s="28" t="s">
        <v>42</v>
      </c>
      <c r="B958" s="6" t="s">
        <v>2183</v>
      </c>
      <c r="D958" s="6" t="s">
        <v>2104</v>
      </c>
      <c r="E958" s="6">
        <v>1</v>
      </c>
      <c r="F958" s="6" t="s">
        <v>2004</v>
      </c>
      <c r="G958" s="6" t="s">
        <v>2005</v>
      </c>
      <c r="H958" s="6" t="s">
        <v>2005</v>
      </c>
      <c r="I958" s="6" t="str">
        <f t="shared" si="28"/>
        <v>ETC</v>
      </c>
      <c r="J958" s="6" t="s">
        <v>738</v>
      </c>
      <c r="K958" s="6">
        <v>1</v>
      </c>
      <c r="P958" s="6">
        <f t="shared" si="29"/>
        <v>3000000</v>
      </c>
      <c r="R958" s="6" t="s">
        <v>2003</v>
      </c>
      <c r="T958" s="6" t="s">
        <v>1100</v>
      </c>
      <c r="U958" s="6">
        <v>2016</v>
      </c>
      <c r="V958" s="6">
        <v>1</v>
      </c>
      <c r="AD958" s="6" t="s">
        <v>45</v>
      </c>
      <c r="AJ958" s="31" t="s">
        <v>2113</v>
      </c>
      <c r="AK958" s="6">
        <v>1</v>
      </c>
      <c r="AL958" s="26">
        <v>2800000</v>
      </c>
      <c r="AM958" s="26">
        <v>2800000</v>
      </c>
      <c r="AN958" s="26">
        <v>2800000</v>
      </c>
      <c r="AO958" s="6" t="s">
        <v>2003</v>
      </c>
      <c r="AQ958" s="6" t="s">
        <v>1310</v>
      </c>
      <c r="AU958" s="6">
        <v>226493</v>
      </c>
    </row>
    <row r="959" spans="1:47" x14ac:dyDescent="0.3">
      <c r="A959" s="28" t="s">
        <v>42</v>
      </c>
      <c r="B959" s="6" t="s">
        <v>2182</v>
      </c>
      <c r="C959" s="6" t="s">
        <v>1976</v>
      </c>
      <c r="D959" s="6" t="s">
        <v>2100</v>
      </c>
      <c r="E959" s="6">
        <v>1</v>
      </c>
      <c r="F959" s="6" t="s">
        <v>2004</v>
      </c>
      <c r="G959" s="6" t="s">
        <v>2005</v>
      </c>
      <c r="H959" s="6" t="s">
        <v>2005</v>
      </c>
      <c r="I959" s="6" t="str">
        <f t="shared" si="28"/>
        <v>Skeleton Bucket</v>
      </c>
      <c r="J959" s="6" t="s">
        <v>557</v>
      </c>
      <c r="K959" s="6">
        <v>1</v>
      </c>
      <c r="P959" s="6">
        <f t="shared" si="29"/>
        <v>700000</v>
      </c>
      <c r="R959" s="6" t="s">
        <v>2003</v>
      </c>
      <c r="T959" s="6" t="s">
        <v>2011</v>
      </c>
      <c r="U959" s="6">
        <v>2017</v>
      </c>
      <c r="V959" s="6">
        <v>2</v>
      </c>
      <c r="AD959" s="6" t="s">
        <v>45</v>
      </c>
      <c r="AJ959" s="31" t="s">
        <v>2123</v>
      </c>
      <c r="AK959" s="6">
        <v>1</v>
      </c>
      <c r="AL959" s="26">
        <v>600000</v>
      </c>
      <c r="AM959" s="26">
        <v>600000</v>
      </c>
      <c r="AN959" s="26">
        <v>600000</v>
      </c>
      <c r="AO959" s="6" t="s">
        <v>2003</v>
      </c>
      <c r="AQ959" s="6" t="s">
        <v>1200</v>
      </c>
      <c r="AU959" s="6">
        <v>226496</v>
      </c>
    </row>
    <row r="960" spans="1:47" hidden="1" x14ac:dyDescent="0.3">
      <c r="A960" s="28" t="s">
        <v>42</v>
      </c>
      <c r="B960" s="6" t="s">
        <v>2183</v>
      </c>
      <c r="E960" s="6">
        <v>1</v>
      </c>
      <c r="F960" s="6" t="s">
        <v>2004</v>
      </c>
      <c r="G960" s="6" t="s">
        <v>2005</v>
      </c>
      <c r="H960" s="6" t="s">
        <v>2005</v>
      </c>
      <c r="I960" s="6" t="str">
        <f t="shared" si="28"/>
        <v>ETC</v>
      </c>
      <c r="J960" s="6">
        <v>180</v>
      </c>
      <c r="K960" s="6">
        <v>1</v>
      </c>
      <c r="P960" s="6">
        <f t="shared" si="29"/>
        <v>1900000</v>
      </c>
      <c r="R960" s="6" t="s">
        <v>2003</v>
      </c>
      <c r="T960" s="6" t="s">
        <v>804</v>
      </c>
      <c r="U960" s="6">
        <v>2017</v>
      </c>
      <c r="V960" s="6">
        <v>2</v>
      </c>
      <c r="AD960" s="6" t="s">
        <v>45</v>
      </c>
      <c r="AJ960" s="31" t="s">
        <v>2124</v>
      </c>
      <c r="AK960" s="6">
        <v>1</v>
      </c>
      <c r="AL960" s="26">
        <v>1800000</v>
      </c>
      <c r="AM960" s="26">
        <v>1800000</v>
      </c>
      <c r="AN960" s="26">
        <v>1800000</v>
      </c>
      <c r="AO960" s="6" t="s">
        <v>2003</v>
      </c>
      <c r="AQ960" s="6" t="s">
        <v>1144</v>
      </c>
      <c r="AU960" s="6">
        <v>226499</v>
      </c>
    </row>
    <row r="961" spans="1:47" x14ac:dyDescent="0.3">
      <c r="A961" s="28" t="s">
        <v>42</v>
      </c>
      <c r="B961" s="6" t="s">
        <v>2183</v>
      </c>
      <c r="D961" s="6" t="s">
        <v>2100</v>
      </c>
      <c r="E961" s="6">
        <v>1</v>
      </c>
      <c r="F961" s="6" t="s">
        <v>2004</v>
      </c>
      <c r="G961" s="6" t="s">
        <v>2005</v>
      </c>
      <c r="H961" s="6" t="s">
        <v>2005</v>
      </c>
      <c r="I961" s="6" t="str">
        <f t="shared" si="28"/>
        <v>ETC</v>
      </c>
      <c r="J961" s="6" t="s">
        <v>739</v>
      </c>
      <c r="K961" s="6">
        <v>1</v>
      </c>
      <c r="P961" s="6">
        <f t="shared" si="29"/>
        <v>650000</v>
      </c>
      <c r="R961" s="6" t="s">
        <v>2003</v>
      </c>
      <c r="T961" s="6" t="s">
        <v>107</v>
      </c>
      <c r="U961" s="6">
        <v>2016</v>
      </c>
      <c r="V961" s="6">
        <v>1</v>
      </c>
      <c r="AD961" s="6" t="s">
        <v>45</v>
      </c>
      <c r="AJ961" s="31" t="s">
        <v>2120</v>
      </c>
      <c r="AK961" s="6">
        <v>1</v>
      </c>
      <c r="AL961" s="26">
        <v>550000</v>
      </c>
      <c r="AM961" s="26">
        <v>550000</v>
      </c>
      <c r="AN961" s="26">
        <v>550000</v>
      </c>
      <c r="AO961" s="6" t="s">
        <v>2003</v>
      </c>
      <c r="AQ961" s="6" t="s">
        <v>1294</v>
      </c>
      <c r="AU961" s="6">
        <v>226501</v>
      </c>
    </row>
    <row r="962" spans="1:47" hidden="1" x14ac:dyDescent="0.3">
      <c r="A962" s="28" t="s">
        <v>42</v>
      </c>
      <c r="B962" s="6" t="s">
        <v>2183</v>
      </c>
      <c r="E962" s="6">
        <v>1</v>
      </c>
      <c r="F962" s="6" t="s">
        <v>2004</v>
      </c>
      <c r="G962" s="6" t="s">
        <v>2005</v>
      </c>
      <c r="H962" s="6" t="s">
        <v>2005</v>
      </c>
      <c r="I962" s="6" t="str">
        <f t="shared" ref="I962:I1025" si="30">IF(ISBLANK(C962),B962,C962)</f>
        <v>ETC</v>
      </c>
      <c r="J962" s="6">
        <v>1234</v>
      </c>
      <c r="K962" s="6">
        <v>1</v>
      </c>
      <c r="P962" s="6">
        <f t="shared" si="29"/>
        <v>450000</v>
      </c>
      <c r="R962" s="6" t="s">
        <v>2003</v>
      </c>
      <c r="T962" s="6" t="s">
        <v>1101</v>
      </c>
      <c r="U962" s="6">
        <v>1975</v>
      </c>
      <c r="V962" s="6">
        <v>1</v>
      </c>
      <c r="AD962" s="6" t="s">
        <v>45</v>
      </c>
      <c r="AJ962" s="31" t="s">
        <v>2111</v>
      </c>
      <c r="AK962" s="6">
        <v>1</v>
      </c>
      <c r="AL962" s="26">
        <v>400000</v>
      </c>
      <c r="AM962" s="26">
        <v>400000</v>
      </c>
      <c r="AN962" s="26">
        <v>400000</v>
      </c>
      <c r="AO962" s="6" t="s">
        <v>2003</v>
      </c>
      <c r="AQ962" s="6" t="s">
        <v>1311</v>
      </c>
      <c r="AU962" s="6">
        <v>226505</v>
      </c>
    </row>
    <row r="963" spans="1:47" x14ac:dyDescent="0.3">
      <c r="A963" s="28" t="s">
        <v>42</v>
      </c>
      <c r="B963" s="6" t="s">
        <v>2184</v>
      </c>
      <c r="C963" s="6" t="s">
        <v>1972</v>
      </c>
      <c r="D963" s="6" t="s">
        <v>2104</v>
      </c>
      <c r="E963" s="6">
        <v>1</v>
      </c>
      <c r="F963" s="6" t="s">
        <v>2004</v>
      </c>
      <c r="G963" s="6" t="s">
        <v>2005</v>
      </c>
      <c r="H963" s="6" t="s">
        <v>2005</v>
      </c>
      <c r="I963" s="6" t="str">
        <f t="shared" si="30"/>
        <v>Stone Grapple</v>
      </c>
      <c r="J963" s="6" t="s">
        <v>250</v>
      </c>
      <c r="K963" s="6">
        <v>1</v>
      </c>
      <c r="P963" s="6">
        <f t="shared" ref="P963:P1026" si="31">IF(AM963&lt;500000,AM963+50000,IF(AND(AM963&gt;=500000,AM963&lt;2000000),AM963+100000,IF(AND(AM963&gt;=2000000,AM963&lt;5000000),AM963+200000,IF(AM963&gt;=5000000,AM963+500000,AM963))))</f>
        <v>1800000</v>
      </c>
      <c r="R963" s="6" t="s">
        <v>2003</v>
      </c>
      <c r="T963" s="6" t="s">
        <v>2007</v>
      </c>
      <c r="U963" s="6">
        <v>2013</v>
      </c>
      <c r="V963" s="6">
        <v>1</v>
      </c>
      <c r="AD963" s="6" t="s">
        <v>45</v>
      </c>
      <c r="AJ963" s="31" t="s">
        <v>2113</v>
      </c>
      <c r="AK963" s="6">
        <v>1</v>
      </c>
      <c r="AL963" s="26">
        <v>1700000</v>
      </c>
      <c r="AM963" s="26">
        <v>1700000</v>
      </c>
      <c r="AN963" s="26">
        <v>1700000</v>
      </c>
      <c r="AO963" s="6" t="s">
        <v>2003</v>
      </c>
      <c r="AQ963" s="6" t="s">
        <v>49</v>
      </c>
      <c r="AU963" s="6">
        <v>226508</v>
      </c>
    </row>
    <row r="964" spans="1:47" x14ac:dyDescent="0.3">
      <c r="A964" s="28" t="s">
        <v>42</v>
      </c>
      <c r="B964" s="6" t="s">
        <v>2175</v>
      </c>
      <c r="C964" s="6" t="s">
        <v>2207</v>
      </c>
      <c r="D964" s="6" t="s">
        <v>2105</v>
      </c>
      <c r="E964" s="6">
        <v>1</v>
      </c>
      <c r="F964" s="6" t="s">
        <v>2004</v>
      </c>
      <c r="G964" s="6" t="s">
        <v>2005</v>
      </c>
      <c r="H964" s="6" t="s">
        <v>2005</v>
      </c>
      <c r="I964" s="6" t="str">
        <f t="shared" si="30"/>
        <v>Hydraulic Crusher</v>
      </c>
      <c r="J964" s="6" t="s">
        <v>53</v>
      </c>
      <c r="K964" s="6">
        <v>1</v>
      </c>
      <c r="P964" s="6">
        <f t="shared" si="31"/>
        <v>12500000</v>
      </c>
      <c r="R964" s="6" t="s">
        <v>2003</v>
      </c>
      <c r="T964" s="6" t="s">
        <v>939</v>
      </c>
      <c r="U964" s="6">
        <v>2014</v>
      </c>
      <c r="V964" s="6">
        <v>3</v>
      </c>
      <c r="AD964" s="6" t="s">
        <v>45</v>
      </c>
      <c r="AJ964" s="31" t="s">
        <v>2120</v>
      </c>
      <c r="AK964" s="6">
        <v>1</v>
      </c>
      <c r="AL964" s="26">
        <v>12000000</v>
      </c>
      <c r="AM964" s="26">
        <v>12000000</v>
      </c>
      <c r="AN964" s="26">
        <v>12000000</v>
      </c>
      <c r="AO964" s="6" t="s">
        <v>2003</v>
      </c>
      <c r="AQ964" s="6" t="s">
        <v>939</v>
      </c>
      <c r="AU964" s="6">
        <v>226514</v>
      </c>
    </row>
    <row r="965" spans="1:47" x14ac:dyDescent="0.3">
      <c r="A965" s="28" t="s">
        <v>42</v>
      </c>
      <c r="B965" s="6" t="s">
        <v>2177</v>
      </c>
      <c r="C965" s="6" t="s">
        <v>1974</v>
      </c>
      <c r="D965" s="6" t="s">
        <v>2100</v>
      </c>
      <c r="E965" s="6">
        <v>1</v>
      </c>
      <c r="F965" s="6" t="s">
        <v>2004</v>
      </c>
      <c r="G965" s="6" t="s">
        <v>2005</v>
      </c>
      <c r="H965" s="6" t="s">
        <v>2005</v>
      </c>
      <c r="I965" s="6" t="str">
        <f t="shared" si="30"/>
        <v>Etc Grapple</v>
      </c>
      <c r="J965" s="6" t="s">
        <v>136</v>
      </c>
      <c r="K965" s="6">
        <v>1</v>
      </c>
      <c r="P965" s="6">
        <f t="shared" si="31"/>
        <v>1900000</v>
      </c>
      <c r="R965" s="6" t="s">
        <v>2003</v>
      </c>
      <c r="T965" s="6" t="s">
        <v>2011</v>
      </c>
      <c r="U965" s="6">
        <v>2010</v>
      </c>
      <c r="V965" s="6">
        <v>5</v>
      </c>
      <c r="AD965" s="6" t="s">
        <v>45</v>
      </c>
      <c r="AJ965" s="31" t="s">
        <v>2123</v>
      </c>
      <c r="AK965" s="6">
        <v>1</v>
      </c>
      <c r="AL965" s="26">
        <v>1800000</v>
      </c>
      <c r="AM965" s="26">
        <v>1800000</v>
      </c>
      <c r="AN965" s="26">
        <v>1800000</v>
      </c>
      <c r="AO965" s="6" t="s">
        <v>2003</v>
      </c>
      <c r="AQ965" s="6" t="s">
        <v>1200</v>
      </c>
      <c r="AU965" s="6">
        <v>226515</v>
      </c>
    </row>
    <row r="966" spans="1:47" x14ac:dyDescent="0.3">
      <c r="A966" s="28" t="s">
        <v>42</v>
      </c>
      <c r="B966" s="6" t="s">
        <v>2180</v>
      </c>
      <c r="D966" s="6" t="s">
        <v>2104</v>
      </c>
      <c r="E966" s="6">
        <v>1</v>
      </c>
      <c r="F966" s="6" t="s">
        <v>2004</v>
      </c>
      <c r="G966" s="6" t="s">
        <v>2005</v>
      </c>
      <c r="H966" s="6" t="s">
        <v>2005</v>
      </c>
      <c r="I966" s="6" t="str">
        <f t="shared" si="30"/>
        <v>Quick Coupler</v>
      </c>
      <c r="J966" s="6" t="s">
        <v>358</v>
      </c>
      <c r="K966" s="6">
        <v>1</v>
      </c>
      <c r="P966" s="6">
        <f t="shared" si="31"/>
        <v>850000</v>
      </c>
      <c r="R966" s="6" t="s">
        <v>2003</v>
      </c>
      <c r="T966" s="6" t="s">
        <v>2007</v>
      </c>
      <c r="U966" s="6">
        <v>2014</v>
      </c>
      <c r="V966" s="6">
        <v>1</v>
      </c>
      <c r="AD966" s="6" t="s">
        <v>45</v>
      </c>
      <c r="AJ966" s="31" t="s">
        <v>2113</v>
      </c>
      <c r="AK966" s="6">
        <v>1</v>
      </c>
      <c r="AL966" s="26">
        <v>750000</v>
      </c>
      <c r="AM966" s="26">
        <v>750000</v>
      </c>
      <c r="AN966" s="26">
        <v>750000</v>
      </c>
      <c r="AO966" s="6" t="s">
        <v>2003</v>
      </c>
      <c r="AQ966" s="6" t="s">
        <v>49</v>
      </c>
      <c r="AU966" s="6">
        <v>226516</v>
      </c>
    </row>
    <row r="967" spans="1:47" x14ac:dyDescent="0.3">
      <c r="A967" s="28" t="s">
        <v>42</v>
      </c>
      <c r="B967" s="6" t="s">
        <v>2181</v>
      </c>
      <c r="D967" s="6" t="s">
        <v>2103</v>
      </c>
      <c r="E967" s="6">
        <v>1</v>
      </c>
      <c r="F967" s="6" t="s">
        <v>2004</v>
      </c>
      <c r="G967" s="6" t="s">
        <v>2005</v>
      </c>
      <c r="H967" s="6" t="s">
        <v>2005</v>
      </c>
      <c r="I967" s="6" t="str">
        <f t="shared" si="30"/>
        <v>ETC</v>
      </c>
      <c r="J967" s="6" t="s">
        <v>141</v>
      </c>
      <c r="K967" s="6">
        <v>1</v>
      </c>
      <c r="P967" s="6">
        <f t="shared" si="31"/>
        <v>6000000</v>
      </c>
      <c r="R967" s="6" t="s">
        <v>2003</v>
      </c>
      <c r="T967" s="6" t="s">
        <v>1102</v>
      </c>
      <c r="U967" s="6">
        <v>2007</v>
      </c>
      <c r="V967" s="6">
        <v>1</v>
      </c>
      <c r="AD967" s="6" t="s">
        <v>45</v>
      </c>
      <c r="AJ967" s="31" t="s">
        <v>2126</v>
      </c>
      <c r="AK967" s="6">
        <v>1</v>
      </c>
      <c r="AL967" s="26">
        <v>5500000</v>
      </c>
      <c r="AM967" s="26">
        <v>5500000</v>
      </c>
      <c r="AN967" s="26">
        <v>5500000</v>
      </c>
      <c r="AO967" s="6" t="s">
        <v>2003</v>
      </c>
      <c r="AQ967" s="6" t="s">
        <v>1203</v>
      </c>
      <c r="AU967" s="6">
        <v>226519</v>
      </c>
    </row>
    <row r="968" spans="1:47" x14ac:dyDescent="0.3">
      <c r="A968" s="28" t="s">
        <v>42</v>
      </c>
      <c r="B968" s="6" t="s">
        <v>2179</v>
      </c>
      <c r="C968" s="6" t="s">
        <v>1980</v>
      </c>
      <c r="D968" s="6" t="s">
        <v>2100</v>
      </c>
      <c r="E968" s="6">
        <v>1</v>
      </c>
      <c r="F968" s="6" t="s">
        <v>2004</v>
      </c>
      <c r="G968" s="6" t="s">
        <v>2005</v>
      </c>
      <c r="H968" s="6" t="s">
        <v>2005</v>
      </c>
      <c r="I968" s="6" t="str">
        <f t="shared" si="30"/>
        <v>Small Bucket</v>
      </c>
      <c r="J968" s="6" t="s">
        <v>740</v>
      </c>
      <c r="K968" s="6">
        <v>1</v>
      </c>
      <c r="P968" s="6">
        <f t="shared" si="31"/>
        <v>380000</v>
      </c>
      <c r="R968" s="6" t="s">
        <v>2003</v>
      </c>
      <c r="T968" s="6" t="s">
        <v>2007</v>
      </c>
      <c r="U968" s="6">
        <v>2017</v>
      </c>
      <c r="V968" s="6">
        <v>1</v>
      </c>
      <c r="AD968" s="6" t="s">
        <v>45</v>
      </c>
      <c r="AJ968" s="31" t="s">
        <v>2113</v>
      </c>
      <c r="AK968" s="6">
        <v>1</v>
      </c>
      <c r="AL968" s="26">
        <v>330000</v>
      </c>
      <c r="AM968" s="26">
        <v>330000</v>
      </c>
      <c r="AN968" s="26">
        <v>330000</v>
      </c>
      <c r="AO968" s="6" t="s">
        <v>2003</v>
      </c>
      <c r="AQ968" s="6" t="s">
        <v>49</v>
      </c>
      <c r="AU968" s="6">
        <v>226521</v>
      </c>
    </row>
    <row r="969" spans="1:47" x14ac:dyDescent="0.3">
      <c r="A969" s="28" t="s">
        <v>42</v>
      </c>
      <c r="B969" s="6" t="s">
        <v>2178</v>
      </c>
      <c r="C969" s="6" t="s">
        <v>1975</v>
      </c>
      <c r="D969" s="6" t="s">
        <v>2104</v>
      </c>
      <c r="E969" s="6">
        <v>1</v>
      </c>
      <c r="F969" s="6" t="s">
        <v>2004</v>
      </c>
      <c r="G969" s="6" t="s">
        <v>2005</v>
      </c>
      <c r="H969" s="6" t="s">
        <v>2005</v>
      </c>
      <c r="I969" s="6" t="str">
        <f t="shared" si="30"/>
        <v>Side Breaker</v>
      </c>
      <c r="J969" s="6" t="s">
        <v>392</v>
      </c>
      <c r="K969" s="6">
        <v>1</v>
      </c>
      <c r="P969" s="6">
        <f t="shared" si="31"/>
        <v>5700000</v>
      </c>
      <c r="R969" s="6" t="s">
        <v>2003</v>
      </c>
      <c r="T969" s="6" t="s">
        <v>2012</v>
      </c>
      <c r="U969" s="6">
        <v>2016</v>
      </c>
      <c r="V969" s="6">
        <v>1</v>
      </c>
      <c r="AD969" s="6" t="s">
        <v>45</v>
      </c>
      <c r="AJ969" s="31" t="s">
        <v>2113</v>
      </c>
      <c r="AK969" s="6">
        <v>1</v>
      </c>
      <c r="AL969" s="26">
        <v>5200000</v>
      </c>
      <c r="AM969" s="26">
        <v>5200000</v>
      </c>
      <c r="AN969" s="26">
        <v>5200000</v>
      </c>
      <c r="AO969" s="6" t="s">
        <v>2003</v>
      </c>
      <c r="AQ969" s="6" t="s">
        <v>49</v>
      </c>
      <c r="AU969" s="6">
        <v>226523</v>
      </c>
    </row>
    <row r="970" spans="1:47" x14ac:dyDescent="0.3">
      <c r="A970" s="28" t="s">
        <v>42</v>
      </c>
      <c r="B970" s="6" t="s">
        <v>2179</v>
      </c>
      <c r="C970" s="6" t="s">
        <v>1982</v>
      </c>
      <c r="D970" s="6" t="s">
        <v>2100</v>
      </c>
      <c r="E970" s="6">
        <v>1</v>
      </c>
      <c r="F970" s="6" t="s">
        <v>2004</v>
      </c>
      <c r="G970" s="6" t="s">
        <v>2005</v>
      </c>
      <c r="H970" s="6" t="s">
        <v>2005</v>
      </c>
      <c r="I970" s="6" t="str">
        <f t="shared" si="30"/>
        <v>Standard Bucket</v>
      </c>
      <c r="J970" s="6" t="s">
        <v>741</v>
      </c>
      <c r="K970" s="6">
        <v>1</v>
      </c>
      <c r="P970" s="6">
        <f t="shared" si="31"/>
        <v>450000</v>
      </c>
      <c r="R970" s="6" t="s">
        <v>2003</v>
      </c>
      <c r="T970" s="6" t="s">
        <v>2007</v>
      </c>
      <c r="U970" s="6">
        <v>2017</v>
      </c>
      <c r="V970" s="6">
        <v>1</v>
      </c>
      <c r="AD970" s="6" t="s">
        <v>45</v>
      </c>
      <c r="AJ970" s="31" t="s">
        <v>2113</v>
      </c>
      <c r="AK970" s="6">
        <v>1</v>
      </c>
      <c r="AL970" s="26">
        <v>400000</v>
      </c>
      <c r="AM970" s="26">
        <v>400000</v>
      </c>
      <c r="AN970" s="26">
        <v>400000</v>
      </c>
      <c r="AO970" s="6" t="s">
        <v>2003</v>
      </c>
      <c r="AQ970" s="6" t="s">
        <v>49</v>
      </c>
      <c r="AU970" s="6">
        <v>226525</v>
      </c>
    </row>
    <row r="971" spans="1:47" hidden="1" x14ac:dyDescent="0.3">
      <c r="A971" s="28" t="s">
        <v>42</v>
      </c>
      <c r="B971" s="6" t="s">
        <v>2181</v>
      </c>
      <c r="E971" s="6">
        <v>1</v>
      </c>
      <c r="F971" s="6" t="s">
        <v>2004</v>
      </c>
      <c r="G971" s="6" t="s">
        <v>2005</v>
      </c>
      <c r="H971" s="6" t="s">
        <v>2005</v>
      </c>
      <c r="I971" s="6" t="str">
        <f t="shared" si="30"/>
        <v>ETC</v>
      </c>
      <c r="J971" s="6">
        <v>1234</v>
      </c>
      <c r="K971" s="6">
        <v>1</v>
      </c>
      <c r="P971" s="6">
        <f t="shared" si="31"/>
        <v>1100000</v>
      </c>
      <c r="R971" s="6" t="s">
        <v>2003</v>
      </c>
      <c r="T971" s="6" t="s">
        <v>1103</v>
      </c>
      <c r="U971" s="6">
        <v>1975</v>
      </c>
      <c r="V971" s="6">
        <v>1</v>
      </c>
      <c r="AD971" s="6" t="s">
        <v>45</v>
      </c>
      <c r="AJ971" s="31" t="s">
        <v>2111</v>
      </c>
      <c r="AK971" s="6">
        <v>1</v>
      </c>
      <c r="AL971" s="26">
        <v>1000000</v>
      </c>
      <c r="AM971" s="26">
        <v>1000000</v>
      </c>
      <c r="AN971" s="26">
        <v>1000000</v>
      </c>
      <c r="AO971" s="6" t="s">
        <v>2003</v>
      </c>
      <c r="AQ971" s="6" t="s">
        <v>1311</v>
      </c>
      <c r="AU971" s="6">
        <v>226527</v>
      </c>
    </row>
    <row r="972" spans="1:47" x14ac:dyDescent="0.3">
      <c r="A972" s="28" t="s">
        <v>42</v>
      </c>
      <c r="B972" s="6" t="s">
        <v>2177</v>
      </c>
      <c r="C972" s="6" t="s">
        <v>1972</v>
      </c>
      <c r="D972" s="6" t="s">
        <v>2104</v>
      </c>
      <c r="E972" s="6">
        <v>1</v>
      </c>
      <c r="F972" s="6" t="s">
        <v>2004</v>
      </c>
      <c r="G972" s="6" t="s">
        <v>2005</v>
      </c>
      <c r="H972" s="6" t="s">
        <v>2005</v>
      </c>
      <c r="I972" s="6" t="str">
        <f t="shared" si="30"/>
        <v>Stone Grapple</v>
      </c>
      <c r="J972" s="6" t="s">
        <v>81</v>
      </c>
      <c r="K972" s="6">
        <v>1</v>
      </c>
      <c r="P972" s="6">
        <f t="shared" si="31"/>
        <v>2700000</v>
      </c>
      <c r="R972" s="6" t="s">
        <v>2003</v>
      </c>
      <c r="T972" s="6" t="s">
        <v>2007</v>
      </c>
      <c r="U972" s="6">
        <v>2014</v>
      </c>
      <c r="V972" s="6">
        <v>1</v>
      </c>
      <c r="AD972" s="6" t="s">
        <v>45</v>
      </c>
      <c r="AJ972" s="31" t="s">
        <v>2113</v>
      </c>
      <c r="AK972" s="6">
        <v>1</v>
      </c>
      <c r="AL972" s="26">
        <v>2500000</v>
      </c>
      <c r="AM972" s="26">
        <v>2500000</v>
      </c>
      <c r="AN972" s="26">
        <v>2500000</v>
      </c>
      <c r="AO972" s="6" t="s">
        <v>2003</v>
      </c>
      <c r="AQ972" s="6" t="s">
        <v>49</v>
      </c>
      <c r="AU972" s="6">
        <v>226528</v>
      </c>
    </row>
    <row r="973" spans="1:47" x14ac:dyDescent="0.3">
      <c r="A973" s="28" t="s">
        <v>42</v>
      </c>
      <c r="B973" s="6" t="s">
        <v>2177</v>
      </c>
      <c r="C973" s="6" t="s">
        <v>1972</v>
      </c>
      <c r="D973" s="6" t="s">
        <v>2104</v>
      </c>
      <c r="E973" s="6">
        <v>1</v>
      </c>
      <c r="F973" s="6" t="s">
        <v>2004</v>
      </c>
      <c r="G973" s="6" t="s">
        <v>2005</v>
      </c>
      <c r="H973" s="6" t="s">
        <v>2005</v>
      </c>
      <c r="I973" s="6" t="str">
        <f t="shared" si="30"/>
        <v>Stone Grapple</v>
      </c>
      <c r="J973" s="6" t="s">
        <v>50</v>
      </c>
      <c r="K973" s="6">
        <v>1</v>
      </c>
      <c r="P973" s="6">
        <f t="shared" si="31"/>
        <v>2700000</v>
      </c>
      <c r="R973" s="6" t="s">
        <v>2003</v>
      </c>
      <c r="T973" s="6" t="s">
        <v>811</v>
      </c>
      <c r="U973" s="6">
        <v>2014</v>
      </c>
      <c r="V973" s="6">
        <v>1</v>
      </c>
      <c r="AD973" s="6" t="s">
        <v>45</v>
      </c>
      <c r="AJ973" s="31" t="s">
        <v>2113</v>
      </c>
      <c r="AK973" s="6">
        <v>1</v>
      </c>
      <c r="AL973" s="26">
        <v>2500000</v>
      </c>
      <c r="AM973" s="26">
        <v>2500000</v>
      </c>
      <c r="AN973" s="26">
        <v>2500000</v>
      </c>
      <c r="AO973" s="6" t="s">
        <v>2003</v>
      </c>
      <c r="AQ973" s="6" t="s">
        <v>49</v>
      </c>
      <c r="AU973" s="6">
        <v>226529</v>
      </c>
    </row>
    <row r="974" spans="1:47" x14ac:dyDescent="0.3">
      <c r="A974" s="28" t="s">
        <v>42</v>
      </c>
      <c r="B974" s="6" t="s">
        <v>2177</v>
      </c>
      <c r="C974" s="6" t="s">
        <v>1972</v>
      </c>
      <c r="D974" s="6" t="s">
        <v>2104</v>
      </c>
      <c r="E974" s="6">
        <v>1</v>
      </c>
      <c r="F974" s="6" t="s">
        <v>2004</v>
      </c>
      <c r="G974" s="6" t="s">
        <v>2005</v>
      </c>
      <c r="H974" s="6" t="s">
        <v>2005</v>
      </c>
      <c r="I974" s="6" t="str">
        <f t="shared" si="30"/>
        <v>Stone Grapple</v>
      </c>
      <c r="J974" s="6" t="s">
        <v>44</v>
      </c>
      <c r="K974" s="6">
        <v>1</v>
      </c>
      <c r="P974" s="6">
        <f t="shared" si="31"/>
        <v>3700000</v>
      </c>
      <c r="R974" s="6" t="s">
        <v>2003</v>
      </c>
      <c r="T974" s="6" t="s">
        <v>1104</v>
      </c>
      <c r="U974" s="6">
        <v>2017</v>
      </c>
      <c r="V974" s="6">
        <v>2</v>
      </c>
      <c r="AD974" s="6" t="s">
        <v>45</v>
      </c>
      <c r="AJ974" s="31" t="s">
        <v>2110</v>
      </c>
      <c r="AK974" s="6">
        <v>1</v>
      </c>
      <c r="AL974" s="26">
        <v>3500000</v>
      </c>
      <c r="AM974" s="26">
        <v>3500000</v>
      </c>
      <c r="AN974" s="26">
        <v>3500000</v>
      </c>
      <c r="AO974" s="6" t="s">
        <v>2003</v>
      </c>
      <c r="AQ974" s="6" t="s">
        <v>1193</v>
      </c>
      <c r="AU974" s="6">
        <v>226533</v>
      </c>
    </row>
    <row r="975" spans="1:47" x14ac:dyDescent="0.3">
      <c r="A975" s="28" t="s">
        <v>42</v>
      </c>
      <c r="B975" s="6" t="s">
        <v>2181</v>
      </c>
      <c r="D975" s="6" t="s">
        <v>2104</v>
      </c>
      <c r="E975" s="6">
        <v>1</v>
      </c>
      <c r="F975" s="6" t="s">
        <v>2004</v>
      </c>
      <c r="G975" s="6" t="s">
        <v>2005</v>
      </c>
      <c r="H975" s="6" t="s">
        <v>2005</v>
      </c>
      <c r="I975" s="6" t="str">
        <f t="shared" si="30"/>
        <v>ETC</v>
      </c>
      <c r="J975" s="6" t="s">
        <v>178</v>
      </c>
      <c r="K975" s="6">
        <v>1</v>
      </c>
      <c r="P975" s="6">
        <f t="shared" si="31"/>
        <v>900000</v>
      </c>
      <c r="R975" s="6" t="s">
        <v>2003</v>
      </c>
      <c r="T975" s="6" t="s">
        <v>794</v>
      </c>
      <c r="U975" s="6">
        <v>2014</v>
      </c>
      <c r="V975" s="6">
        <v>1</v>
      </c>
      <c r="AD975" s="6" t="s">
        <v>45</v>
      </c>
      <c r="AJ975" s="31" t="s">
        <v>2122</v>
      </c>
      <c r="AK975" s="6">
        <v>1</v>
      </c>
      <c r="AL975" s="26">
        <v>800000</v>
      </c>
      <c r="AM975" s="26">
        <v>800000</v>
      </c>
      <c r="AN975" s="26">
        <v>800000</v>
      </c>
      <c r="AO975" s="6" t="s">
        <v>2003</v>
      </c>
      <c r="AQ975" s="6" t="s">
        <v>1154</v>
      </c>
      <c r="AU975" s="6">
        <v>226536</v>
      </c>
    </row>
    <row r="976" spans="1:47" x14ac:dyDescent="0.3">
      <c r="A976" s="28" t="s">
        <v>42</v>
      </c>
      <c r="B976" s="6" t="s">
        <v>2181</v>
      </c>
      <c r="D976" s="6" t="s">
        <v>2101</v>
      </c>
      <c r="E976" s="6">
        <v>1</v>
      </c>
      <c r="F976" s="6" t="s">
        <v>2004</v>
      </c>
      <c r="G976" s="6" t="s">
        <v>2005</v>
      </c>
      <c r="H976" s="6" t="s">
        <v>2005</v>
      </c>
      <c r="I976" s="6" t="str">
        <f t="shared" si="30"/>
        <v>ETC</v>
      </c>
      <c r="J976" s="6" t="s">
        <v>743</v>
      </c>
      <c r="K976" s="6">
        <v>1</v>
      </c>
      <c r="P976" s="6">
        <f t="shared" si="31"/>
        <v>36500000</v>
      </c>
      <c r="R976" s="6" t="s">
        <v>2003</v>
      </c>
      <c r="T976" s="6" t="s">
        <v>1105</v>
      </c>
      <c r="U976" s="6">
        <v>2015</v>
      </c>
      <c r="V976" s="6">
        <v>1</v>
      </c>
      <c r="AD976" s="6" t="s">
        <v>45</v>
      </c>
      <c r="AJ976" s="31" t="s">
        <v>2110</v>
      </c>
      <c r="AK976" s="6">
        <v>1</v>
      </c>
      <c r="AL976" s="26">
        <v>36000000</v>
      </c>
      <c r="AM976" s="26">
        <v>36000000</v>
      </c>
      <c r="AN976" s="26">
        <v>36000000</v>
      </c>
      <c r="AO976" s="6" t="s">
        <v>2003</v>
      </c>
      <c r="AQ976" s="6" t="s">
        <v>1182</v>
      </c>
      <c r="AU976" s="6">
        <v>226551</v>
      </c>
    </row>
    <row r="977" spans="1:47" x14ac:dyDescent="0.3">
      <c r="A977" s="28" t="s">
        <v>42</v>
      </c>
      <c r="B977" s="6" t="s">
        <v>2177</v>
      </c>
      <c r="C977" s="6" t="s">
        <v>1972</v>
      </c>
      <c r="D977" s="6" t="s">
        <v>2104</v>
      </c>
      <c r="E977" s="6">
        <v>1</v>
      </c>
      <c r="F977" s="6" t="s">
        <v>2004</v>
      </c>
      <c r="G977" s="6" t="s">
        <v>2005</v>
      </c>
      <c r="H977" s="6" t="s">
        <v>2005</v>
      </c>
      <c r="I977" s="6" t="str">
        <f t="shared" si="30"/>
        <v>Stone Grapple</v>
      </c>
      <c r="J977" s="6" t="s">
        <v>44</v>
      </c>
      <c r="K977" s="6">
        <v>1</v>
      </c>
      <c r="P977" s="6">
        <f t="shared" si="31"/>
        <v>2700000</v>
      </c>
      <c r="R977" s="6" t="s">
        <v>2003</v>
      </c>
      <c r="T977" s="6" t="s">
        <v>1106</v>
      </c>
      <c r="U977" s="6">
        <v>2015</v>
      </c>
      <c r="V977" s="6">
        <v>2</v>
      </c>
      <c r="AD977" s="6" t="s">
        <v>45</v>
      </c>
      <c r="AJ977" s="31" t="s">
        <v>2110</v>
      </c>
      <c r="AK977" s="6">
        <v>1</v>
      </c>
      <c r="AL977" s="26">
        <v>2500000</v>
      </c>
      <c r="AM977" s="26">
        <v>2500000</v>
      </c>
      <c r="AN977" s="26">
        <v>2500000</v>
      </c>
      <c r="AO977" s="6" t="s">
        <v>2003</v>
      </c>
      <c r="AQ977" s="6" t="s">
        <v>1312</v>
      </c>
      <c r="AU977" s="6">
        <v>226553</v>
      </c>
    </row>
    <row r="978" spans="1:47" x14ac:dyDescent="0.3">
      <c r="A978" s="28" t="s">
        <v>42</v>
      </c>
      <c r="B978" s="6" t="s">
        <v>2181</v>
      </c>
      <c r="D978" s="6" t="s">
        <v>2104</v>
      </c>
      <c r="E978" s="6">
        <v>1</v>
      </c>
      <c r="F978" s="6" t="s">
        <v>2004</v>
      </c>
      <c r="G978" s="6" t="s">
        <v>2005</v>
      </c>
      <c r="H978" s="6" t="s">
        <v>2005</v>
      </c>
      <c r="I978" s="6" t="str">
        <f t="shared" si="30"/>
        <v>ETC</v>
      </c>
      <c r="J978" s="6" t="s">
        <v>744</v>
      </c>
      <c r="K978" s="6">
        <v>1</v>
      </c>
      <c r="P978" s="6">
        <f t="shared" si="31"/>
        <v>11500000</v>
      </c>
      <c r="R978" s="6" t="s">
        <v>2003</v>
      </c>
      <c r="T978" s="6" t="s">
        <v>1107</v>
      </c>
      <c r="U978" s="6">
        <v>2015</v>
      </c>
      <c r="V978" s="6">
        <v>9</v>
      </c>
      <c r="AD978" s="6" t="s">
        <v>45</v>
      </c>
      <c r="AJ978" s="31" t="s">
        <v>2122</v>
      </c>
      <c r="AK978" s="6">
        <v>1</v>
      </c>
      <c r="AL978" s="26">
        <v>11000000</v>
      </c>
      <c r="AM978" s="26">
        <v>11000000</v>
      </c>
      <c r="AN978" s="26">
        <v>11000000</v>
      </c>
      <c r="AO978" s="6" t="s">
        <v>2003</v>
      </c>
      <c r="AQ978" s="6" t="s">
        <v>1313</v>
      </c>
      <c r="AU978" s="6">
        <v>226555</v>
      </c>
    </row>
    <row r="979" spans="1:47" x14ac:dyDescent="0.3">
      <c r="A979" s="28" t="s">
        <v>42</v>
      </c>
      <c r="B979" s="6" t="s">
        <v>2177</v>
      </c>
      <c r="C979" s="6" t="s">
        <v>1974</v>
      </c>
      <c r="D979" s="6" t="s">
        <v>2104</v>
      </c>
      <c r="E979" s="6">
        <v>1</v>
      </c>
      <c r="F979" s="6" t="s">
        <v>2004</v>
      </c>
      <c r="G979" s="6" t="s">
        <v>2005</v>
      </c>
      <c r="H979" s="6" t="s">
        <v>2005</v>
      </c>
      <c r="I979" s="6" t="str">
        <f t="shared" si="30"/>
        <v>Etc Grapple</v>
      </c>
      <c r="J979" s="6" t="s">
        <v>125</v>
      </c>
      <c r="K979" s="6">
        <v>1</v>
      </c>
      <c r="P979" s="6">
        <f t="shared" si="31"/>
        <v>6500000</v>
      </c>
      <c r="R979" s="6" t="s">
        <v>2003</v>
      </c>
      <c r="T979" s="6" t="s">
        <v>1108</v>
      </c>
      <c r="U979" s="6">
        <v>2016</v>
      </c>
      <c r="V979" s="6">
        <v>3</v>
      </c>
      <c r="AD979" s="6" t="s">
        <v>45</v>
      </c>
      <c r="AJ979" s="31" t="s">
        <v>2122</v>
      </c>
      <c r="AK979" s="6">
        <v>1</v>
      </c>
      <c r="AL979" s="26">
        <v>6000000</v>
      </c>
      <c r="AM979" s="26">
        <v>6000000</v>
      </c>
      <c r="AN979" s="26">
        <v>6000000</v>
      </c>
      <c r="AO979" s="6" t="s">
        <v>2003</v>
      </c>
      <c r="AQ979" s="6" t="s">
        <v>1281</v>
      </c>
      <c r="AU979" s="6">
        <v>226556</v>
      </c>
    </row>
    <row r="980" spans="1:47" x14ac:dyDescent="0.3">
      <c r="A980" s="28" t="s">
        <v>42</v>
      </c>
      <c r="B980" s="6" t="s">
        <v>2177</v>
      </c>
      <c r="C980" s="6" t="s">
        <v>2206</v>
      </c>
      <c r="D980" s="6" t="s">
        <v>2104</v>
      </c>
      <c r="E980" s="6">
        <v>1</v>
      </c>
      <c r="F980" s="6" t="s">
        <v>2004</v>
      </c>
      <c r="G980" s="6" t="s">
        <v>2005</v>
      </c>
      <c r="H980" s="6" t="s">
        <v>2005</v>
      </c>
      <c r="I980" s="6" t="str">
        <f t="shared" si="30"/>
        <v>Etc Grapple</v>
      </c>
      <c r="J980" s="6" t="s">
        <v>745</v>
      </c>
      <c r="K980" s="6">
        <v>1</v>
      </c>
      <c r="P980" s="6">
        <f t="shared" si="31"/>
        <v>4900000</v>
      </c>
      <c r="R980" s="6" t="s">
        <v>2003</v>
      </c>
      <c r="T980" s="6" t="s">
        <v>1109</v>
      </c>
      <c r="U980" s="6">
        <v>2016</v>
      </c>
      <c r="V980" s="6">
        <v>2</v>
      </c>
      <c r="AD980" s="6" t="s">
        <v>45</v>
      </c>
      <c r="AJ980" s="31" t="s">
        <v>2122</v>
      </c>
      <c r="AK980" s="6">
        <v>1</v>
      </c>
      <c r="AL980" s="26">
        <v>4700000</v>
      </c>
      <c r="AM980" s="26">
        <v>4700000</v>
      </c>
      <c r="AN980" s="26">
        <v>4700000</v>
      </c>
      <c r="AO980" s="6" t="s">
        <v>2003</v>
      </c>
      <c r="AQ980" s="6" t="s">
        <v>1281</v>
      </c>
      <c r="AU980" s="6">
        <v>226558</v>
      </c>
    </row>
    <row r="981" spans="1:47" x14ac:dyDescent="0.3">
      <c r="A981" s="28" t="s">
        <v>42</v>
      </c>
      <c r="B981" s="6" t="s">
        <v>2187</v>
      </c>
      <c r="C981" s="6" t="s">
        <v>1972</v>
      </c>
      <c r="D981" s="6" t="s">
        <v>2104</v>
      </c>
      <c r="E981" s="6">
        <v>1</v>
      </c>
      <c r="F981" s="6" t="s">
        <v>2004</v>
      </c>
      <c r="G981" s="6" t="s">
        <v>2005</v>
      </c>
      <c r="H981" s="6" t="s">
        <v>2005</v>
      </c>
      <c r="I981" s="6" t="str">
        <f t="shared" si="30"/>
        <v>Stone Grapple</v>
      </c>
      <c r="J981" s="6" t="s">
        <v>161</v>
      </c>
      <c r="K981" s="6">
        <v>1</v>
      </c>
      <c r="P981" s="6">
        <f t="shared" si="31"/>
        <v>2700000</v>
      </c>
      <c r="R981" s="6" t="s">
        <v>2003</v>
      </c>
      <c r="T981" s="6" t="s">
        <v>823</v>
      </c>
      <c r="U981" s="6">
        <v>2014</v>
      </c>
      <c r="V981" s="6">
        <v>1</v>
      </c>
      <c r="AD981" s="6" t="s">
        <v>45</v>
      </c>
      <c r="AJ981" s="31" t="s">
        <v>2113</v>
      </c>
      <c r="AK981" s="6">
        <v>1</v>
      </c>
      <c r="AL981" s="26">
        <v>2500000</v>
      </c>
      <c r="AM981" s="26">
        <v>2500000</v>
      </c>
      <c r="AN981" s="26">
        <v>2500000</v>
      </c>
      <c r="AO981" s="6" t="s">
        <v>2003</v>
      </c>
      <c r="AQ981" s="6" t="s">
        <v>49</v>
      </c>
      <c r="AU981" s="6">
        <v>226569</v>
      </c>
    </row>
    <row r="982" spans="1:47" x14ac:dyDescent="0.3">
      <c r="A982" s="28" t="s">
        <v>42</v>
      </c>
      <c r="B982" s="6" t="s">
        <v>2193</v>
      </c>
      <c r="D982" s="6" t="s">
        <v>2100</v>
      </c>
      <c r="E982" s="6">
        <v>1</v>
      </c>
      <c r="F982" s="6" t="s">
        <v>2004</v>
      </c>
      <c r="G982" s="6" t="s">
        <v>2005</v>
      </c>
      <c r="H982" s="6" t="s">
        <v>2005</v>
      </c>
      <c r="I982" s="6" t="str">
        <f t="shared" si="30"/>
        <v>Ripper</v>
      </c>
      <c r="J982" s="6" t="s">
        <v>746</v>
      </c>
      <c r="K982" s="6">
        <v>1</v>
      </c>
      <c r="P982" s="6">
        <f t="shared" si="31"/>
        <v>500000</v>
      </c>
      <c r="R982" s="6" t="s">
        <v>2003</v>
      </c>
      <c r="T982" s="6" t="s">
        <v>51</v>
      </c>
      <c r="U982" s="6">
        <v>2017</v>
      </c>
      <c r="V982" s="6">
        <v>1</v>
      </c>
      <c r="AD982" s="6" t="s">
        <v>45</v>
      </c>
      <c r="AJ982" s="31" t="s">
        <v>2113</v>
      </c>
      <c r="AK982" s="6">
        <v>1</v>
      </c>
      <c r="AL982" s="26">
        <v>450000</v>
      </c>
      <c r="AM982" s="26">
        <v>450000</v>
      </c>
      <c r="AN982" s="26">
        <v>450000</v>
      </c>
      <c r="AO982" s="6" t="s">
        <v>2003</v>
      </c>
      <c r="AQ982" s="6" t="s">
        <v>49</v>
      </c>
      <c r="AU982" s="6">
        <v>226593</v>
      </c>
    </row>
    <row r="983" spans="1:47" x14ac:dyDescent="0.3">
      <c r="A983" s="28" t="s">
        <v>42</v>
      </c>
      <c r="B983" s="6" t="s">
        <v>2199</v>
      </c>
      <c r="D983" s="6" t="s">
        <v>2100</v>
      </c>
      <c r="E983" s="6">
        <v>1</v>
      </c>
      <c r="F983" s="6" t="s">
        <v>2004</v>
      </c>
      <c r="G983" s="6" t="s">
        <v>2005</v>
      </c>
      <c r="H983" s="6" t="s">
        <v>2005</v>
      </c>
      <c r="I983" s="6" t="str">
        <f t="shared" si="30"/>
        <v>Quick Coupler</v>
      </c>
      <c r="J983" s="6" t="s">
        <v>747</v>
      </c>
      <c r="K983" s="6">
        <v>1</v>
      </c>
      <c r="P983" s="6">
        <f t="shared" si="31"/>
        <v>800000</v>
      </c>
      <c r="R983" s="6" t="s">
        <v>2003</v>
      </c>
      <c r="T983" s="6" t="s">
        <v>51</v>
      </c>
      <c r="U983" s="6">
        <v>2017</v>
      </c>
      <c r="V983" s="6">
        <v>1</v>
      </c>
      <c r="AD983" s="6" t="s">
        <v>45</v>
      </c>
      <c r="AJ983" s="31" t="s">
        <v>2113</v>
      </c>
      <c r="AK983" s="6">
        <v>1</v>
      </c>
      <c r="AL983" s="26">
        <v>700000</v>
      </c>
      <c r="AM983" s="26">
        <v>700000</v>
      </c>
      <c r="AN983" s="26">
        <v>700000</v>
      </c>
      <c r="AO983" s="6" t="s">
        <v>2003</v>
      </c>
      <c r="AQ983" s="6" t="s">
        <v>49</v>
      </c>
      <c r="AU983" s="6">
        <v>226599</v>
      </c>
    </row>
    <row r="984" spans="1:47" x14ac:dyDescent="0.3">
      <c r="A984" s="28" t="s">
        <v>42</v>
      </c>
      <c r="B984" s="6" t="s">
        <v>2174</v>
      </c>
      <c r="C984" s="6" t="s">
        <v>1975</v>
      </c>
      <c r="D984" s="6" t="s">
        <v>2105</v>
      </c>
      <c r="E984" s="6">
        <v>1</v>
      </c>
      <c r="F984" s="6" t="s">
        <v>2004</v>
      </c>
      <c r="G984" s="6" t="s">
        <v>2005</v>
      </c>
      <c r="H984" s="6" t="s">
        <v>2005</v>
      </c>
      <c r="I984" s="6" t="str">
        <f t="shared" si="30"/>
        <v>Side Breaker</v>
      </c>
      <c r="J984" s="6" t="s">
        <v>150</v>
      </c>
      <c r="K984" s="6">
        <v>1</v>
      </c>
      <c r="P984" s="6">
        <f t="shared" si="31"/>
        <v>3200000</v>
      </c>
      <c r="R984" s="6" t="s">
        <v>2003</v>
      </c>
      <c r="T984" s="6" t="s">
        <v>939</v>
      </c>
      <c r="U984" s="6">
        <v>2015</v>
      </c>
      <c r="V984" s="6">
        <v>2</v>
      </c>
      <c r="AD984" s="6" t="s">
        <v>45</v>
      </c>
      <c r="AJ984" s="31" t="s">
        <v>2120</v>
      </c>
      <c r="AK984" s="6">
        <v>1</v>
      </c>
      <c r="AL984" s="26">
        <v>3000000</v>
      </c>
      <c r="AM984" s="26">
        <v>3000000</v>
      </c>
      <c r="AN984" s="26">
        <v>3000000</v>
      </c>
      <c r="AO984" s="6" t="s">
        <v>2003</v>
      </c>
      <c r="AQ984" s="6" t="s">
        <v>939</v>
      </c>
      <c r="AU984" s="6">
        <v>226606</v>
      </c>
    </row>
    <row r="985" spans="1:47" hidden="1" x14ac:dyDescent="0.3">
      <c r="A985" s="28" t="s">
        <v>42</v>
      </c>
      <c r="B985" s="6" t="s">
        <v>2184</v>
      </c>
      <c r="E985" s="6">
        <v>1</v>
      </c>
      <c r="F985" s="6" t="s">
        <v>2004</v>
      </c>
      <c r="G985" s="6" t="s">
        <v>2005</v>
      </c>
      <c r="H985" s="6" t="s">
        <v>2005</v>
      </c>
      <c r="I985" s="6" t="str">
        <f t="shared" si="30"/>
        <v>Grapple</v>
      </c>
      <c r="J985" s="6" t="s">
        <v>322</v>
      </c>
      <c r="K985" s="6">
        <v>1</v>
      </c>
      <c r="P985" s="6">
        <f t="shared" si="31"/>
        <v>2200000</v>
      </c>
      <c r="R985" s="6" t="s">
        <v>2003</v>
      </c>
      <c r="T985" s="6" t="s">
        <v>2007</v>
      </c>
      <c r="U985" s="6">
        <v>2015</v>
      </c>
      <c r="V985" s="6">
        <v>1</v>
      </c>
      <c r="AD985" s="6" t="s">
        <v>45</v>
      </c>
      <c r="AJ985" s="31" t="s">
        <v>2113</v>
      </c>
      <c r="AK985" s="6">
        <v>1</v>
      </c>
      <c r="AL985" s="26">
        <v>2000000</v>
      </c>
      <c r="AM985" s="26">
        <v>2000000</v>
      </c>
      <c r="AN985" s="26">
        <v>2000000</v>
      </c>
      <c r="AO985" s="6" t="s">
        <v>2003</v>
      </c>
      <c r="AQ985" s="6" t="s">
        <v>49</v>
      </c>
      <c r="AU985" s="6">
        <v>226608</v>
      </c>
    </row>
    <row r="986" spans="1:47" x14ac:dyDescent="0.3">
      <c r="A986" s="28" t="s">
        <v>42</v>
      </c>
      <c r="B986" s="6" t="s">
        <v>2194</v>
      </c>
      <c r="D986" s="6" t="s">
        <v>2100</v>
      </c>
      <c r="E986" s="6">
        <v>1</v>
      </c>
      <c r="F986" s="6" t="s">
        <v>2004</v>
      </c>
      <c r="G986" s="6" t="s">
        <v>2005</v>
      </c>
      <c r="H986" s="6" t="s">
        <v>2005</v>
      </c>
      <c r="I986" s="6" t="str">
        <f t="shared" si="30"/>
        <v>Lift Fork</v>
      </c>
      <c r="J986" s="6" t="s">
        <v>749</v>
      </c>
      <c r="K986" s="6">
        <v>1</v>
      </c>
      <c r="P986" s="6">
        <f t="shared" si="31"/>
        <v>1100000</v>
      </c>
      <c r="R986" s="6" t="s">
        <v>2003</v>
      </c>
      <c r="T986" s="6" t="s">
        <v>51</v>
      </c>
      <c r="U986" s="6">
        <v>2017</v>
      </c>
      <c r="V986" s="6">
        <v>1</v>
      </c>
      <c r="AD986" s="6" t="s">
        <v>45</v>
      </c>
      <c r="AJ986" s="31" t="s">
        <v>2113</v>
      </c>
      <c r="AK986" s="6">
        <v>1</v>
      </c>
      <c r="AL986" s="26">
        <v>1000000</v>
      </c>
      <c r="AM986" s="26">
        <v>1000000</v>
      </c>
      <c r="AN986" s="26">
        <v>1000000</v>
      </c>
      <c r="AO986" s="6" t="s">
        <v>2003</v>
      </c>
      <c r="AQ986" s="6" t="s">
        <v>49</v>
      </c>
      <c r="AU986" s="6">
        <v>226609</v>
      </c>
    </row>
    <row r="987" spans="1:47" x14ac:dyDescent="0.3">
      <c r="A987" s="28" t="s">
        <v>42</v>
      </c>
      <c r="B987" s="6" t="s">
        <v>2191</v>
      </c>
      <c r="C987" s="6" t="s">
        <v>1975</v>
      </c>
      <c r="D987" s="6" t="s">
        <v>2100</v>
      </c>
      <c r="E987" s="6">
        <v>1</v>
      </c>
      <c r="F987" s="6" t="s">
        <v>2004</v>
      </c>
      <c r="G987" s="6" t="s">
        <v>2005</v>
      </c>
      <c r="H987" s="6" t="s">
        <v>2005</v>
      </c>
      <c r="I987" s="6" t="str">
        <f t="shared" si="30"/>
        <v>Side Breaker</v>
      </c>
      <c r="J987" s="6" t="s">
        <v>248</v>
      </c>
      <c r="K987" s="6">
        <v>1</v>
      </c>
      <c r="P987" s="6">
        <f t="shared" si="31"/>
        <v>2300000</v>
      </c>
      <c r="R987" s="6" t="s">
        <v>2003</v>
      </c>
      <c r="T987" s="6" t="s">
        <v>2088</v>
      </c>
      <c r="U987" s="6">
        <v>2016</v>
      </c>
      <c r="V987" s="6">
        <v>6</v>
      </c>
      <c r="AD987" s="6" t="s">
        <v>45</v>
      </c>
      <c r="AJ987" s="31" t="s">
        <v>2123</v>
      </c>
      <c r="AK987" s="6">
        <v>1</v>
      </c>
      <c r="AL987" s="26">
        <v>2100000</v>
      </c>
      <c r="AM987" s="26">
        <v>2100000</v>
      </c>
      <c r="AN987" s="26">
        <v>2100000</v>
      </c>
      <c r="AO987" s="6" t="s">
        <v>2003</v>
      </c>
      <c r="AQ987" s="6" t="s">
        <v>1178</v>
      </c>
      <c r="AU987" s="6">
        <v>226615</v>
      </c>
    </row>
    <row r="988" spans="1:47" x14ac:dyDescent="0.3">
      <c r="A988" s="28" t="s">
        <v>42</v>
      </c>
      <c r="B988" s="6" t="s">
        <v>2191</v>
      </c>
      <c r="C988" s="6" t="s">
        <v>1975</v>
      </c>
      <c r="D988" s="6" t="s">
        <v>2106</v>
      </c>
      <c r="E988" s="6">
        <v>1</v>
      </c>
      <c r="F988" s="6" t="s">
        <v>2004</v>
      </c>
      <c r="G988" s="6" t="s">
        <v>2005</v>
      </c>
      <c r="H988" s="6" t="s">
        <v>2005</v>
      </c>
      <c r="I988" s="6" t="str">
        <f t="shared" si="30"/>
        <v>Side Breaker</v>
      </c>
      <c r="J988" s="6" t="s">
        <v>721</v>
      </c>
      <c r="K988" s="6">
        <v>1</v>
      </c>
      <c r="P988" s="6">
        <f t="shared" si="31"/>
        <v>1900000</v>
      </c>
      <c r="R988" s="6" t="s">
        <v>2003</v>
      </c>
      <c r="T988" s="6" t="s">
        <v>837</v>
      </c>
      <c r="U988" s="6">
        <v>2015</v>
      </c>
      <c r="V988" s="6">
        <v>1</v>
      </c>
      <c r="AD988" s="6" t="s">
        <v>45</v>
      </c>
      <c r="AJ988" s="31" t="s">
        <v>2113</v>
      </c>
      <c r="AK988" s="6">
        <v>1</v>
      </c>
      <c r="AL988" s="26">
        <v>1800000</v>
      </c>
      <c r="AM988" s="26">
        <v>1800000</v>
      </c>
      <c r="AN988" s="26">
        <v>1800000</v>
      </c>
      <c r="AO988" s="6" t="s">
        <v>2003</v>
      </c>
      <c r="AQ988" s="6" t="s">
        <v>71</v>
      </c>
      <c r="AU988" s="6">
        <v>226617</v>
      </c>
    </row>
    <row r="989" spans="1:47" hidden="1" x14ac:dyDescent="0.3">
      <c r="A989" s="28" t="s">
        <v>42</v>
      </c>
      <c r="B989" s="6" t="s">
        <v>2185</v>
      </c>
      <c r="E989" s="6">
        <v>1</v>
      </c>
      <c r="F989" s="6" t="s">
        <v>2004</v>
      </c>
      <c r="G989" s="6" t="s">
        <v>2005</v>
      </c>
      <c r="H989" s="6" t="s">
        <v>2005</v>
      </c>
      <c r="I989" s="6" t="str">
        <f t="shared" si="30"/>
        <v>ETC</v>
      </c>
      <c r="J989" s="6" t="s">
        <v>206</v>
      </c>
      <c r="K989" s="6">
        <v>1</v>
      </c>
      <c r="P989" s="6">
        <f t="shared" si="31"/>
        <v>11500000</v>
      </c>
      <c r="R989" s="6" t="s">
        <v>2003</v>
      </c>
      <c r="T989" s="6" t="s">
        <v>1071</v>
      </c>
      <c r="U989" s="6">
        <v>2016</v>
      </c>
      <c r="V989" s="6">
        <v>6</v>
      </c>
      <c r="AD989" s="6" t="s">
        <v>45</v>
      </c>
      <c r="AJ989" s="31" t="s">
        <v>2123</v>
      </c>
      <c r="AK989" s="6">
        <v>1</v>
      </c>
      <c r="AL989" s="26">
        <v>11000000</v>
      </c>
      <c r="AM989" s="26">
        <v>11000000</v>
      </c>
      <c r="AN989" s="26">
        <v>11000000</v>
      </c>
      <c r="AO989" s="6" t="s">
        <v>2003</v>
      </c>
      <c r="AQ989" s="6" t="s">
        <v>1195</v>
      </c>
      <c r="AU989" s="6">
        <v>226619</v>
      </c>
    </row>
    <row r="990" spans="1:47" x14ac:dyDescent="0.3">
      <c r="A990" s="28" t="s">
        <v>42</v>
      </c>
      <c r="B990" s="6" t="s">
        <v>2187</v>
      </c>
      <c r="C990" s="6" t="s">
        <v>1972</v>
      </c>
      <c r="D990" s="6" t="s">
        <v>2104</v>
      </c>
      <c r="E990" s="6">
        <v>1</v>
      </c>
      <c r="F990" s="6" t="s">
        <v>2004</v>
      </c>
      <c r="G990" s="6" t="s">
        <v>2005</v>
      </c>
      <c r="H990" s="6" t="s">
        <v>2005</v>
      </c>
      <c r="I990" s="6" t="str">
        <f t="shared" si="30"/>
        <v>Stone Grapple</v>
      </c>
      <c r="J990" s="6" t="s">
        <v>750</v>
      </c>
      <c r="K990" s="6">
        <v>1</v>
      </c>
      <c r="P990" s="6">
        <f t="shared" si="31"/>
        <v>1800000</v>
      </c>
      <c r="R990" s="6" t="s">
        <v>2003</v>
      </c>
      <c r="T990" s="6" t="s">
        <v>2007</v>
      </c>
      <c r="U990" s="6">
        <v>2012</v>
      </c>
      <c r="V990" s="6">
        <v>1</v>
      </c>
      <c r="AD990" s="6" t="s">
        <v>45</v>
      </c>
      <c r="AJ990" s="31" t="s">
        <v>2113</v>
      </c>
      <c r="AK990" s="6">
        <v>1</v>
      </c>
      <c r="AL990" s="26">
        <v>1700000</v>
      </c>
      <c r="AM990" s="26">
        <v>1700000</v>
      </c>
      <c r="AN990" s="26">
        <v>1700000</v>
      </c>
      <c r="AO990" s="6" t="s">
        <v>2003</v>
      </c>
      <c r="AQ990" s="6" t="s">
        <v>49</v>
      </c>
      <c r="AU990" s="6">
        <v>226621</v>
      </c>
    </row>
    <row r="991" spans="1:47" x14ac:dyDescent="0.3">
      <c r="A991" s="28" t="s">
        <v>42</v>
      </c>
      <c r="B991" s="6" t="s">
        <v>2187</v>
      </c>
      <c r="C991" s="6" t="s">
        <v>1972</v>
      </c>
      <c r="D991" s="6" t="s">
        <v>2100</v>
      </c>
      <c r="E991" s="6">
        <v>1</v>
      </c>
      <c r="F991" s="6" t="s">
        <v>2004</v>
      </c>
      <c r="G991" s="6" t="s">
        <v>2005</v>
      </c>
      <c r="H991" s="6" t="s">
        <v>2005</v>
      </c>
      <c r="I991" s="6" t="str">
        <f t="shared" si="30"/>
        <v>Stone Grapple</v>
      </c>
      <c r="J991" s="6" t="s">
        <v>470</v>
      </c>
      <c r="K991" s="6">
        <v>1</v>
      </c>
      <c r="P991" s="6">
        <f t="shared" si="31"/>
        <v>1700000</v>
      </c>
      <c r="R991" s="6" t="s">
        <v>2003</v>
      </c>
      <c r="T991" s="6" t="s">
        <v>2033</v>
      </c>
      <c r="U991" s="6">
        <v>2010</v>
      </c>
      <c r="V991" s="6">
        <v>5</v>
      </c>
      <c r="AD991" s="6" t="s">
        <v>45</v>
      </c>
      <c r="AJ991" s="31" t="s">
        <v>2122</v>
      </c>
      <c r="AK991" s="6">
        <v>1</v>
      </c>
      <c r="AL991" s="26">
        <v>1600000</v>
      </c>
      <c r="AM991" s="26">
        <v>1600000</v>
      </c>
      <c r="AN991" s="26">
        <v>1600000</v>
      </c>
      <c r="AO991" s="6" t="s">
        <v>2003</v>
      </c>
      <c r="AQ991" s="6" t="s">
        <v>1219</v>
      </c>
      <c r="AU991" s="6">
        <v>226626</v>
      </c>
    </row>
    <row r="992" spans="1:47" x14ac:dyDescent="0.3">
      <c r="A992" s="28" t="s">
        <v>42</v>
      </c>
      <c r="B992" s="6" t="s">
        <v>2191</v>
      </c>
      <c r="C992" s="6" t="s">
        <v>1975</v>
      </c>
      <c r="D992" s="6" t="s">
        <v>2103</v>
      </c>
      <c r="E992" s="6">
        <v>1</v>
      </c>
      <c r="F992" s="6" t="s">
        <v>2004</v>
      </c>
      <c r="G992" s="6" t="s">
        <v>2005</v>
      </c>
      <c r="H992" s="6" t="s">
        <v>2005</v>
      </c>
      <c r="I992" s="6" t="str">
        <f t="shared" si="30"/>
        <v>Side Breaker</v>
      </c>
      <c r="J992" s="6" t="s">
        <v>235</v>
      </c>
      <c r="K992" s="6">
        <v>1</v>
      </c>
      <c r="P992" s="6">
        <f t="shared" si="31"/>
        <v>3400000</v>
      </c>
      <c r="R992" s="6" t="s">
        <v>2003</v>
      </c>
      <c r="T992" s="6" t="s">
        <v>51</v>
      </c>
      <c r="U992" s="6">
        <v>2010</v>
      </c>
      <c r="V992" s="6">
        <v>1</v>
      </c>
      <c r="AD992" s="6" t="s">
        <v>45</v>
      </c>
      <c r="AJ992" s="31" t="s">
        <v>2113</v>
      </c>
      <c r="AK992" s="6">
        <v>1</v>
      </c>
      <c r="AL992" s="26">
        <v>3200000</v>
      </c>
      <c r="AM992" s="26">
        <v>3200000</v>
      </c>
      <c r="AN992" s="26">
        <v>3200000</v>
      </c>
      <c r="AO992" s="6" t="s">
        <v>2003</v>
      </c>
      <c r="AQ992" s="6" t="s">
        <v>49</v>
      </c>
      <c r="AU992" s="6">
        <v>226630</v>
      </c>
    </row>
    <row r="993" spans="1:47" x14ac:dyDescent="0.3">
      <c r="A993" s="28" t="s">
        <v>42</v>
      </c>
      <c r="B993" s="6" t="s">
        <v>2187</v>
      </c>
      <c r="C993" s="6" t="s">
        <v>1972</v>
      </c>
      <c r="D993" s="6" t="s">
        <v>2104</v>
      </c>
      <c r="E993" s="6">
        <v>1</v>
      </c>
      <c r="F993" s="6" t="s">
        <v>2004</v>
      </c>
      <c r="G993" s="6" t="s">
        <v>2005</v>
      </c>
      <c r="H993" s="6" t="s">
        <v>2005</v>
      </c>
      <c r="I993" s="6" t="str">
        <f t="shared" si="30"/>
        <v>Stone Grapple</v>
      </c>
      <c r="J993" s="6" t="s">
        <v>128</v>
      </c>
      <c r="K993" s="6">
        <v>1</v>
      </c>
      <c r="P993" s="6">
        <f t="shared" si="31"/>
        <v>2600000</v>
      </c>
      <c r="R993" s="6" t="s">
        <v>2003</v>
      </c>
      <c r="T993" s="6" t="s">
        <v>2007</v>
      </c>
      <c r="U993" s="6">
        <v>2014</v>
      </c>
      <c r="V993" s="6">
        <v>1</v>
      </c>
      <c r="AD993" s="6" t="s">
        <v>45</v>
      </c>
      <c r="AJ993" s="31" t="s">
        <v>2113</v>
      </c>
      <c r="AK993" s="6">
        <v>1</v>
      </c>
      <c r="AL993" s="26">
        <v>2400000</v>
      </c>
      <c r="AM993" s="26">
        <v>2400000</v>
      </c>
      <c r="AN993" s="26">
        <v>2400000</v>
      </c>
      <c r="AO993" s="6" t="s">
        <v>2003</v>
      </c>
      <c r="AQ993" s="6" t="s">
        <v>49</v>
      </c>
      <c r="AU993" s="6">
        <v>226633</v>
      </c>
    </row>
    <row r="994" spans="1:47" x14ac:dyDescent="0.3">
      <c r="A994" s="28" t="s">
        <v>42</v>
      </c>
      <c r="B994" s="6" t="s">
        <v>2185</v>
      </c>
      <c r="D994" s="6" t="s">
        <v>2101</v>
      </c>
      <c r="E994" s="6">
        <v>1</v>
      </c>
      <c r="F994" s="6" t="s">
        <v>2004</v>
      </c>
      <c r="G994" s="6" t="s">
        <v>2005</v>
      </c>
      <c r="H994" s="6" t="s">
        <v>2005</v>
      </c>
      <c r="I994" s="6" t="str">
        <f t="shared" si="30"/>
        <v>ETC</v>
      </c>
      <c r="J994" s="6" t="s">
        <v>126</v>
      </c>
      <c r="K994" s="6">
        <v>1</v>
      </c>
      <c r="P994" s="6">
        <f t="shared" si="31"/>
        <v>11500000</v>
      </c>
      <c r="R994" s="6" t="s">
        <v>2003</v>
      </c>
      <c r="T994" s="6" t="s">
        <v>1111</v>
      </c>
      <c r="U994" s="6">
        <v>2014</v>
      </c>
      <c r="V994" s="6">
        <v>3</v>
      </c>
      <c r="AD994" s="6" t="s">
        <v>45</v>
      </c>
      <c r="AJ994" s="31" t="s">
        <v>2111</v>
      </c>
      <c r="AK994" s="6">
        <v>1</v>
      </c>
      <c r="AL994" s="26">
        <v>11000000</v>
      </c>
      <c r="AM994" s="26">
        <v>11000000</v>
      </c>
      <c r="AN994" s="26">
        <v>11000000</v>
      </c>
      <c r="AO994" s="6" t="s">
        <v>2003</v>
      </c>
      <c r="AQ994" s="6" t="s">
        <v>55</v>
      </c>
      <c r="AU994" s="6">
        <v>226636</v>
      </c>
    </row>
    <row r="995" spans="1:47" x14ac:dyDescent="0.3">
      <c r="A995" s="28" t="s">
        <v>42</v>
      </c>
      <c r="B995" s="6" t="s">
        <v>2187</v>
      </c>
      <c r="C995" s="6" t="s">
        <v>1986</v>
      </c>
      <c r="D995" s="6" t="s">
        <v>2103</v>
      </c>
      <c r="E995" s="6">
        <v>1</v>
      </c>
      <c r="F995" s="6" t="s">
        <v>2004</v>
      </c>
      <c r="G995" s="6" t="s">
        <v>2005</v>
      </c>
      <c r="H995" s="6" t="s">
        <v>2005</v>
      </c>
      <c r="I995" s="6" t="str">
        <f t="shared" si="30"/>
        <v>ClamShell Grapple</v>
      </c>
      <c r="J995" s="6" t="s">
        <v>720</v>
      </c>
      <c r="K995" s="6">
        <v>1</v>
      </c>
      <c r="P995" s="6">
        <f t="shared" si="31"/>
        <v>3200000</v>
      </c>
      <c r="R995" s="6" t="s">
        <v>2003</v>
      </c>
      <c r="T995" s="6" t="s">
        <v>813</v>
      </c>
      <c r="U995" s="6">
        <v>2013</v>
      </c>
      <c r="V995" s="6">
        <v>1</v>
      </c>
      <c r="AD995" s="6" t="s">
        <v>45</v>
      </c>
      <c r="AJ995" s="31" t="s">
        <v>2113</v>
      </c>
      <c r="AK995" s="6">
        <v>1</v>
      </c>
      <c r="AL995" s="26">
        <v>3000000</v>
      </c>
      <c r="AM995" s="26">
        <v>3000000</v>
      </c>
      <c r="AN995" s="26">
        <v>3000000</v>
      </c>
      <c r="AO995" s="6" t="s">
        <v>2003</v>
      </c>
      <c r="AQ995" s="6" t="s">
        <v>79</v>
      </c>
      <c r="AU995" s="6">
        <v>226637</v>
      </c>
    </row>
    <row r="996" spans="1:47" x14ac:dyDescent="0.3">
      <c r="A996" s="28" t="s">
        <v>42</v>
      </c>
      <c r="B996" s="6" t="s">
        <v>2187</v>
      </c>
      <c r="C996" s="6" t="s">
        <v>1972</v>
      </c>
      <c r="D996" s="6" t="s">
        <v>2105</v>
      </c>
      <c r="E996" s="6">
        <v>1</v>
      </c>
      <c r="F996" s="6" t="s">
        <v>2004</v>
      </c>
      <c r="G996" s="6" t="s">
        <v>2005</v>
      </c>
      <c r="H996" s="6" t="s">
        <v>2005</v>
      </c>
      <c r="I996" s="6" t="str">
        <f t="shared" si="30"/>
        <v>Stone Grapple</v>
      </c>
      <c r="J996" s="6" t="s">
        <v>174</v>
      </c>
      <c r="K996" s="6">
        <v>1</v>
      </c>
      <c r="P996" s="6">
        <f t="shared" si="31"/>
        <v>7500000</v>
      </c>
      <c r="R996" s="6" t="s">
        <v>2003</v>
      </c>
      <c r="T996" s="6" t="s">
        <v>2033</v>
      </c>
      <c r="U996" s="6">
        <v>2015</v>
      </c>
      <c r="V996" s="6">
        <v>5</v>
      </c>
      <c r="AD996" s="6" t="s">
        <v>45</v>
      </c>
      <c r="AJ996" s="31" t="s">
        <v>2123</v>
      </c>
      <c r="AK996" s="6">
        <v>1</v>
      </c>
      <c r="AL996" s="26">
        <v>7000000</v>
      </c>
      <c r="AM996" s="26">
        <v>7000000</v>
      </c>
      <c r="AN996" s="26">
        <v>7000000</v>
      </c>
      <c r="AO996" s="6" t="s">
        <v>2003</v>
      </c>
      <c r="AQ996" s="6" t="s">
        <v>1219</v>
      </c>
      <c r="AU996" s="6">
        <v>226642</v>
      </c>
    </row>
    <row r="997" spans="1:47" x14ac:dyDescent="0.3">
      <c r="A997" s="28" t="s">
        <v>42</v>
      </c>
      <c r="B997" s="6" t="s">
        <v>2185</v>
      </c>
      <c r="C997" s="6" t="s">
        <v>1979</v>
      </c>
      <c r="D997" s="6" t="s">
        <v>2104</v>
      </c>
      <c r="E997" s="6">
        <v>1</v>
      </c>
      <c r="F997" s="6" t="s">
        <v>2004</v>
      </c>
      <c r="G997" s="6" t="s">
        <v>2005</v>
      </c>
      <c r="H997" s="6" t="s">
        <v>2005</v>
      </c>
      <c r="I997" s="6" t="str">
        <f t="shared" si="30"/>
        <v>Thumb Grapple</v>
      </c>
      <c r="J997" s="6" t="s">
        <v>752</v>
      </c>
      <c r="K997" s="6">
        <v>1</v>
      </c>
      <c r="P997" s="6">
        <f t="shared" si="31"/>
        <v>800000</v>
      </c>
      <c r="R997" s="6" t="s">
        <v>2003</v>
      </c>
      <c r="T997" s="6" t="s">
        <v>2007</v>
      </c>
      <c r="U997" s="6">
        <v>2013</v>
      </c>
      <c r="V997" s="6">
        <v>1</v>
      </c>
      <c r="AD997" s="6" t="s">
        <v>45</v>
      </c>
      <c r="AJ997" s="31" t="s">
        <v>2113</v>
      </c>
      <c r="AK997" s="6">
        <v>1</v>
      </c>
      <c r="AL997" s="26">
        <v>700000</v>
      </c>
      <c r="AM997" s="26">
        <v>700000</v>
      </c>
      <c r="AN997" s="26">
        <v>700000</v>
      </c>
      <c r="AO997" s="6" t="s">
        <v>2003</v>
      </c>
      <c r="AQ997" s="6" t="s">
        <v>49</v>
      </c>
      <c r="AU997" s="6">
        <v>226649</v>
      </c>
    </row>
    <row r="998" spans="1:47" x14ac:dyDescent="0.3">
      <c r="A998" s="28" t="s">
        <v>42</v>
      </c>
      <c r="B998" s="6" t="s">
        <v>2195</v>
      </c>
      <c r="C998" s="19" t="s">
        <v>2207</v>
      </c>
      <c r="D998" s="6" t="s">
        <v>2104</v>
      </c>
      <c r="E998" s="6">
        <v>1</v>
      </c>
      <c r="F998" s="6" t="s">
        <v>2004</v>
      </c>
      <c r="G998" s="6" t="s">
        <v>2005</v>
      </c>
      <c r="H998" s="6" t="s">
        <v>2005</v>
      </c>
      <c r="I998" s="6" t="str">
        <f t="shared" si="30"/>
        <v>Hydraulic Crusher</v>
      </c>
      <c r="J998" s="6" t="s">
        <v>103</v>
      </c>
      <c r="K998" s="6">
        <v>1</v>
      </c>
      <c r="P998" s="6">
        <f t="shared" si="31"/>
        <v>9500000</v>
      </c>
      <c r="R998" s="6" t="s">
        <v>2003</v>
      </c>
      <c r="T998" s="6" t="s">
        <v>813</v>
      </c>
      <c r="U998" s="6">
        <v>2014</v>
      </c>
      <c r="V998" s="6">
        <v>1</v>
      </c>
      <c r="AD998" s="6" t="s">
        <v>45</v>
      </c>
      <c r="AJ998" s="31" t="s">
        <v>2113</v>
      </c>
      <c r="AK998" s="6">
        <v>1</v>
      </c>
      <c r="AL998" s="26">
        <v>9000000</v>
      </c>
      <c r="AM998" s="26">
        <v>9000000</v>
      </c>
      <c r="AN998" s="26">
        <v>9000000</v>
      </c>
      <c r="AO998" s="6" t="s">
        <v>2003</v>
      </c>
      <c r="AQ998" s="6" t="s">
        <v>80</v>
      </c>
      <c r="AU998" s="6">
        <v>226654</v>
      </c>
    </row>
    <row r="999" spans="1:47" x14ac:dyDescent="0.3">
      <c r="A999" s="28" t="s">
        <v>42</v>
      </c>
      <c r="B999" s="6" t="s">
        <v>2181</v>
      </c>
      <c r="D999" s="6" t="s">
        <v>2100</v>
      </c>
      <c r="E999" s="6">
        <v>1</v>
      </c>
      <c r="F999" s="6" t="s">
        <v>2004</v>
      </c>
      <c r="G999" s="6" t="s">
        <v>2005</v>
      </c>
      <c r="H999" s="6" t="s">
        <v>2005</v>
      </c>
      <c r="I999" s="6" t="str">
        <f t="shared" si="30"/>
        <v>ETC</v>
      </c>
      <c r="J999" s="6" t="s">
        <v>617</v>
      </c>
      <c r="K999" s="6">
        <v>1</v>
      </c>
      <c r="P999" s="6">
        <f t="shared" si="31"/>
        <v>900000</v>
      </c>
      <c r="R999" s="6" t="s">
        <v>2003</v>
      </c>
      <c r="T999" s="6" t="s">
        <v>2011</v>
      </c>
      <c r="U999" s="6">
        <v>2017</v>
      </c>
      <c r="V999" s="6">
        <v>1</v>
      </c>
      <c r="AD999" s="6" t="s">
        <v>45</v>
      </c>
      <c r="AJ999" s="31" t="s">
        <v>2123</v>
      </c>
      <c r="AK999" s="6">
        <v>1</v>
      </c>
      <c r="AL999" s="26">
        <v>800000</v>
      </c>
      <c r="AM999" s="26">
        <v>800000</v>
      </c>
      <c r="AN999" s="26">
        <v>800000</v>
      </c>
      <c r="AO999" s="6" t="s">
        <v>2003</v>
      </c>
      <c r="AQ999" s="6" t="s">
        <v>1200</v>
      </c>
      <c r="AU999" s="6">
        <v>226661</v>
      </c>
    </row>
    <row r="1000" spans="1:47" x14ac:dyDescent="0.3">
      <c r="A1000" s="28" t="s">
        <v>42</v>
      </c>
      <c r="B1000" s="6" t="s">
        <v>2179</v>
      </c>
      <c r="C1000" s="6" t="s">
        <v>1976</v>
      </c>
      <c r="D1000" s="6" t="s">
        <v>2104</v>
      </c>
      <c r="E1000" s="6">
        <v>1</v>
      </c>
      <c r="F1000" s="6" t="s">
        <v>2004</v>
      </c>
      <c r="G1000" s="6" t="s">
        <v>2005</v>
      </c>
      <c r="H1000" s="6" t="s">
        <v>2005</v>
      </c>
      <c r="I1000" s="6" t="str">
        <f t="shared" si="30"/>
        <v>Skeleton Bucket</v>
      </c>
      <c r="J1000" s="6" t="s">
        <v>62</v>
      </c>
      <c r="K1000" s="6">
        <v>1</v>
      </c>
      <c r="P1000" s="6">
        <f t="shared" si="31"/>
        <v>900000</v>
      </c>
      <c r="R1000" s="6" t="s">
        <v>2003</v>
      </c>
      <c r="T1000" s="6" t="s">
        <v>813</v>
      </c>
      <c r="U1000" s="6">
        <v>2013</v>
      </c>
      <c r="V1000" s="6">
        <v>1</v>
      </c>
      <c r="AD1000" s="6" t="s">
        <v>45</v>
      </c>
      <c r="AJ1000" s="31" t="s">
        <v>2113</v>
      </c>
      <c r="AK1000" s="6">
        <v>1</v>
      </c>
      <c r="AL1000" s="26">
        <v>800000</v>
      </c>
      <c r="AM1000" s="26">
        <v>800000</v>
      </c>
      <c r="AN1000" s="26">
        <v>800000</v>
      </c>
      <c r="AO1000" s="6" t="s">
        <v>2003</v>
      </c>
      <c r="AQ1000" s="6" t="s">
        <v>80</v>
      </c>
      <c r="AU1000" s="6">
        <v>226662</v>
      </c>
    </row>
    <row r="1001" spans="1:47" x14ac:dyDescent="0.3">
      <c r="A1001" s="28" t="s">
        <v>42</v>
      </c>
      <c r="B1001" s="6" t="s">
        <v>2179</v>
      </c>
      <c r="C1001" s="6" t="s">
        <v>1976</v>
      </c>
      <c r="D1001" s="6" t="s">
        <v>2104</v>
      </c>
      <c r="E1001" s="6">
        <v>1</v>
      </c>
      <c r="F1001" s="6" t="s">
        <v>2004</v>
      </c>
      <c r="G1001" s="6" t="s">
        <v>2005</v>
      </c>
      <c r="H1001" s="6" t="s">
        <v>2005</v>
      </c>
      <c r="I1001" s="6" t="str">
        <f t="shared" si="30"/>
        <v>Skeleton Bucket</v>
      </c>
      <c r="J1001" s="6" t="s">
        <v>110</v>
      </c>
      <c r="K1001" s="6">
        <v>1</v>
      </c>
      <c r="P1001" s="6">
        <f t="shared" si="31"/>
        <v>950000</v>
      </c>
      <c r="R1001" s="6" t="s">
        <v>2003</v>
      </c>
      <c r="T1001" s="6" t="s">
        <v>813</v>
      </c>
      <c r="U1001" s="6">
        <v>2013</v>
      </c>
      <c r="V1001" s="6">
        <v>1</v>
      </c>
      <c r="AD1001" s="6" t="s">
        <v>45</v>
      </c>
      <c r="AJ1001" s="31" t="s">
        <v>2113</v>
      </c>
      <c r="AK1001" s="6">
        <v>1</v>
      </c>
      <c r="AL1001" s="26">
        <v>850000</v>
      </c>
      <c r="AM1001" s="26">
        <v>850000</v>
      </c>
      <c r="AN1001" s="26">
        <v>850000</v>
      </c>
      <c r="AO1001" s="6" t="s">
        <v>2003</v>
      </c>
      <c r="AQ1001" s="6" t="s">
        <v>80</v>
      </c>
      <c r="AU1001" s="6">
        <v>226667</v>
      </c>
    </row>
    <row r="1002" spans="1:47" x14ac:dyDescent="0.3">
      <c r="A1002" s="28" t="s">
        <v>42</v>
      </c>
      <c r="B1002" s="6" t="s">
        <v>2180</v>
      </c>
      <c r="D1002" s="6" t="s">
        <v>2104</v>
      </c>
      <c r="E1002" s="6">
        <v>1</v>
      </c>
      <c r="F1002" s="6" t="s">
        <v>2004</v>
      </c>
      <c r="G1002" s="6" t="s">
        <v>2005</v>
      </c>
      <c r="H1002" s="6" t="s">
        <v>2005</v>
      </c>
      <c r="I1002" s="6" t="str">
        <f t="shared" si="30"/>
        <v>Quick Coupler</v>
      </c>
      <c r="J1002" s="6" t="s">
        <v>140</v>
      </c>
      <c r="K1002" s="6">
        <v>1</v>
      </c>
      <c r="P1002" s="6">
        <f t="shared" si="31"/>
        <v>850000</v>
      </c>
      <c r="R1002" s="6" t="s">
        <v>2003</v>
      </c>
      <c r="T1002" s="6" t="s">
        <v>813</v>
      </c>
      <c r="U1002" s="6">
        <v>2014</v>
      </c>
      <c r="V1002" s="6">
        <v>1</v>
      </c>
      <c r="AD1002" s="6" t="s">
        <v>45</v>
      </c>
      <c r="AJ1002" s="31" t="s">
        <v>2113</v>
      </c>
      <c r="AK1002" s="6">
        <v>1</v>
      </c>
      <c r="AL1002" s="26">
        <v>750000</v>
      </c>
      <c r="AM1002" s="26">
        <v>750000</v>
      </c>
      <c r="AN1002" s="26">
        <v>750000</v>
      </c>
      <c r="AO1002" s="6" t="s">
        <v>2003</v>
      </c>
      <c r="AQ1002" s="6" t="s">
        <v>79</v>
      </c>
      <c r="AU1002" s="6">
        <v>226673</v>
      </c>
    </row>
    <row r="1003" spans="1:47" x14ac:dyDescent="0.3">
      <c r="A1003" s="28" t="s">
        <v>42</v>
      </c>
      <c r="B1003" s="6" t="s">
        <v>2181</v>
      </c>
      <c r="D1003" s="6" t="s">
        <v>2100</v>
      </c>
      <c r="E1003" s="6">
        <v>1</v>
      </c>
      <c r="F1003" s="6" t="s">
        <v>2004</v>
      </c>
      <c r="G1003" s="6" t="s">
        <v>2005</v>
      </c>
      <c r="H1003" s="6" t="s">
        <v>2005</v>
      </c>
      <c r="I1003" s="6" t="str">
        <f t="shared" si="30"/>
        <v>ETC</v>
      </c>
      <c r="J1003" s="6" t="s">
        <v>754</v>
      </c>
      <c r="K1003" s="6">
        <v>1</v>
      </c>
      <c r="P1003" s="6">
        <f t="shared" si="31"/>
        <v>1950000</v>
      </c>
      <c r="R1003" s="6" t="s">
        <v>2003</v>
      </c>
      <c r="T1003" s="6" t="s">
        <v>838</v>
      </c>
      <c r="U1003" s="6">
        <v>2017</v>
      </c>
      <c r="V1003" s="6">
        <v>1</v>
      </c>
      <c r="AD1003" s="6" t="s">
        <v>45</v>
      </c>
      <c r="AJ1003" s="31" t="s">
        <v>2123</v>
      </c>
      <c r="AK1003" s="6">
        <v>1</v>
      </c>
      <c r="AL1003" s="26">
        <v>1850000</v>
      </c>
      <c r="AM1003" s="26">
        <v>1850000</v>
      </c>
      <c r="AN1003" s="26">
        <v>1850000</v>
      </c>
      <c r="AO1003" s="6" t="s">
        <v>2003</v>
      </c>
      <c r="AQ1003" s="6" t="s">
        <v>1209</v>
      </c>
      <c r="AU1003" s="6">
        <v>226675</v>
      </c>
    </row>
    <row r="1004" spans="1:47" x14ac:dyDescent="0.3">
      <c r="A1004" s="28" t="s">
        <v>42</v>
      </c>
      <c r="B1004" s="6" t="s">
        <v>2180</v>
      </c>
      <c r="D1004" s="6" t="s">
        <v>2104</v>
      </c>
      <c r="E1004" s="6">
        <v>1</v>
      </c>
      <c r="F1004" s="6" t="s">
        <v>2004</v>
      </c>
      <c r="G1004" s="6" t="s">
        <v>2005</v>
      </c>
      <c r="H1004" s="6" t="s">
        <v>2005</v>
      </c>
      <c r="I1004" s="6" t="str">
        <f t="shared" si="30"/>
        <v>Quick Coupler</v>
      </c>
      <c r="J1004" s="6" t="s">
        <v>755</v>
      </c>
      <c r="K1004" s="6">
        <v>1</v>
      </c>
      <c r="P1004" s="6">
        <f t="shared" si="31"/>
        <v>900000</v>
      </c>
      <c r="R1004" s="6" t="s">
        <v>2003</v>
      </c>
      <c r="T1004" s="6" t="s">
        <v>2007</v>
      </c>
      <c r="U1004" s="6">
        <v>2014</v>
      </c>
      <c r="V1004" s="6">
        <v>1</v>
      </c>
      <c r="AD1004" s="6" t="s">
        <v>45</v>
      </c>
      <c r="AJ1004" s="31" t="s">
        <v>2113</v>
      </c>
      <c r="AK1004" s="6">
        <v>1</v>
      </c>
      <c r="AL1004" s="26">
        <v>800000</v>
      </c>
      <c r="AM1004" s="26">
        <v>800000</v>
      </c>
      <c r="AN1004" s="26">
        <v>800000</v>
      </c>
      <c r="AO1004" s="6" t="s">
        <v>2003</v>
      </c>
      <c r="AQ1004" s="6" t="s">
        <v>49</v>
      </c>
      <c r="AU1004" s="6">
        <v>226678</v>
      </c>
    </row>
    <row r="1005" spans="1:47" hidden="1" x14ac:dyDescent="0.3">
      <c r="A1005" s="28" t="s">
        <v>42</v>
      </c>
      <c r="B1005" s="6" t="s">
        <v>2177</v>
      </c>
      <c r="C1005" s="6" t="s">
        <v>1974</v>
      </c>
      <c r="E1005" s="6">
        <v>1</v>
      </c>
      <c r="F1005" s="6" t="s">
        <v>2004</v>
      </c>
      <c r="G1005" s="6" t="s">
        <v>2005</v>
      </c>
      <c r="H1005" s="6" t="s">
        <v>2005</v>
      </c>
      <c r="I1005" s="6" t="str">
        <f t="shared" si="30"/>
        <v>Etc Grapple</v>
      </c>
      <c r="J1005" s="6" t="s">
        <v>756</v>
      </c>
      <c r="K1005" s="6">
        <v>1</v>
      </c>
      <c r="P1005" s="6">
        <f t="shared" si="31"/>
        <v>3000000</v>
      </c>
      <c r="R1005" s="6" t="s">
        <v>2003</v>
      </c>
      <c r="T1005" s="6" t="s">
        <v>1113</v>
      </c>
      <c r="U1005" s="6">
        <v>2015</v>
      </c>
      <c r="V1005" s="6">
        <v>1</v>
      </c>
      <c r="AD1005" s="6" t="s">
        <v>45</v>
      </c>
      <c r="AJ1005" s="31" t="s">
        <v>2113</v>
      </c>
      <c r="AK1005" s="6">
        <v>1</v>
      </c>
      <c r="AL1005" s="26">
        <v>2800000</v>
      </c>
      <c r="AM1005" s="26">
        <v>2800000</v>
      </c>
      <c r="AN1005" s="26">
        <v>2800000</v>
      </c>
      <c r="AO1005" s="6" t="s">
        <v>2003</v>
      </c>
      <c r="AQ1005" s="6" t="s">
        <v>1314</v>
      </c>
      <c r="AU1005" s="6">
        <v>226683</v>
      </c>
    </row>
    <row r="1006" spans="1:47" x14ac:dyDescent="0.3">
      <c r="A1006" s="28" t="s">
        <v>42</v>
      </c>
      <c r="B1006" s="6" t="s">
        <v>2179</v>
      </c>
      <c r="C1006" s="6" t="s">
        <v>1976</v>
      </c>
      <c r="D1006" s="6" t="s">
        <v>2100</v>
      </c>
      <c r="E1006" s="6">
        <v>1</v>
      </c>
      <c r="F1006" s="6" t="s">
        <v>2004</v>
      </c>
      <c r="G1006" s="6" t="s">
        <v>2005</v>
      </c>
      <c r="H1006" s="6" t="s">
        <v>2005</v>
      </c>
      <c r="I1006" s="6" t="str">
        <f t="shared" si="30"/>
        <v>Skeleton Bucket</v>
      </c>
      <c r="J1006" s="6" t="s">
        <v>557</v>
      </c>
      <c r="K1006" s="6">
        <v>1</v>
      </c>
      <c r="P1006" s="6">
        <f t="shared" si="31"/>
        <v>700000</v>
      </c>
      <c r="R1006" s="6" t="s">
        <v>2003</v>
      </c>
      <c r="T1006" s="6" t="s">
        <v>2011</v>
      </c>
      <c r="U1006" s="6">
        <v>2017</v>
      </c>
      <c r="V1006" s="6">
        <v>1</v>
      </c>
      <c r="AD1006" s="6" t="s">
        <v>45</v>
      </c>
      <c r="AJ1006" s="31" t="s">
        <v>2123</v>
      </c>
      <c r="AK1006" s="6">
        <v>1</v>
      </c>
      <c r="AL1006" s="26">
        <v>600000</v>
      </c>
      <c r="AM1006" s="26">
        <v>600000</v>
      </c>
      <c r="AN1006" s="26">
        <v>600000</v>
      </c>
      <c r="AO1006" s="6" t="s">
        <v>2003</v>
      </c>
      <c r="AQ1006" s="6" t="s">
        <v>1200</v>
      </c>
      <c r="AU1006" s="6">
        <v>226685</v>
      </c>
    </row>
    <row r="1007" spans="1:47" x14ac:dyDescent="0.3">
      <c r="A1007" s="28" t="s">
        <v>42</v>
      </c>
      <c r="B1007" s="6" t="s">
        <v>2181</v>
      </c>
      <c r="D1007" s="6" t="s">
        <v>2104</v>
      </c>
      <c r="E1007" s="6">
        <v>1</v>
      </c>
      <c r="F1007" s="6" t="s">
        <v>2004</v>
      </c>
      <c r="G1007" s="6" t="s">
        <v>2005</v>
      </c>
      <c r="H1007" s="6" t="s">
        <v>2005</v>
      </c>
      <c r="I1007" s="6" t="str">
        <f t="shared" si="30"/>
        <v>ETC</v>
      </c>
      <c r="J1007" s="6" t="s">
        <v>418</v>
      </c>
      <c r="K1007" s="6">
        <v>1</v>
      </c>
      <c r="P1007" s="6">
        <f t="shared" si="31"/>
        <v>6000000</v>
      </c>
      <c r="R1007" s="6" t="s">
        <v>2003</v>
      </c>
      <c r="T1007" s="6" t="s">
        <v>813</v>
      </c>
      <c r="U1007" s="6">
        <v>2016</v>
      </c>
      <c r="V1007" s="6">
        <v>1</v>
      </c>
      <c r="AD1007" s="6" t="s">
        <v>45</v>
      </c>
      <c r="AJ1007" s="31" t="s">
        <v>2113</v>
      </c>
      <c r="AK1007" s="6">
        <v>1</v>
      </c>
      <c r="AL1007" s="26">
        <v>5500000</v>
      </c>
      <c r="AM1007" s="26">
        <v>5500000</v>
      </c>
      <c r="AN1007" s="26">
        <v>5500000</v>
      </c>
      <c r="AO1007" s="6" t="s">
        <v>2003</v>
      </c>
      <c r="AQ1007" s="6" t="s">
        <v>79</v>
      </c>
      <c r="AU1007" s="6">
        <v>226690</v>
      </c>
    </row>
    <row r="1008" spans="1:47" x14ac:dyDescent="0.3">
      <c r="A1008" s="28" t="s">
        <v>42</v>
      </c>
      <c r="B1008" s="6" t="s">
        <v>2177</v>
      </c>
      <c r="C1008" s="6" t="s">
        <v>1979</v>
      </c>
      <c r="D1008" s="6" t="s">
        <v>2104</v>
      </c>
      <c r="E1008" s="6">
        <v>1</v>
      </c>
      <c r="F1008" s="6" t="s">
        <v>2004</v>
      </c>
      <c r="G1008" s="6" t="s">
        <v>2005</v>
      </c>
      <c r="H1008" s="6" t="s">
        <v>2005</v>
      </c>
      <c r="I1008" s="6" t="str">
        <f t="shared" si="30"/>
        <v>Thumb Grapple</v>
      </c>
      <c r="J1008" s="6" t="s">
        <v>99</v>
      </c>
      <c r="K1008" s="6">
        <v>1</v>
      </c>
      <c r="P1008" s="6">
        <f t="shared" si="31"/>
        <v>800000</v>
      </c>
      <c r="R1008" s="6" t="s">
        <v>2003</v>
      </c>
      <c r="T1008" s="6" t="s">
        <v>2007</v>
      </c>
      <c r="U1008" s="6">
        <v>2013</v>
      </c>
      <c r="V1008" s="6">
        <v>1</v>
      </c>
      <c r="AD1008" s="6" t="s">
        <v>45</v>
      </c>
      <c r="AJ1008" s="31" t="s">
        <v>2113</v>
      </c>
      <c r="AK1008" s="6">
        <v>1</v>
      </c>
      <c r="AL1008" s="26">
        <v>700000</v>
      </c>
      <c r="AM1008" s="26">
        <v>700000</v>
      </c>
      <c r="AN1008" s="26">
        <v>700000</v>
      </c>
      <c r="AO1008" s="6" t="s">
        <v>2003</v>
      </c>
      <c r="AQ1008" s="6" t="s">
        <v>49</v>
      </c>
      <c r="AU1008" s="6">
        <v>226691</v>
      </c>
    </row>
    <row r="1009" spans="1:47" x14ac:dyDescent="0.3">
      <c r="A1009" s="28" t="s">
        <v>42</v>
      </c>
      <c r="B1009" s="6" t="s">
        <v>2181</v>
      </c>
      <c r="D1009" s="6" t="s">
        <v>2100</v>
      </c>
      <c r="E1009" s="6">
        <v>1</v>
      </c>
      <c r="F1009" s="6" t="s">
        <v>2004</v>
      </c>
      <c r="G1009" s="6" t="s">
        <v>2005</v>
      </c>
      <c r="H1009" s="6" t="s">
        <v>2005</v>
      </c>
      <c r="I1009" s="6" t="str">
        <f t="shared" si="30"/>
        <v>ETC</v>
      </c>
      <c r="J1009" s="6" t="s">
        <v>757</v>
      </c>
      <c r="K1009" s="6">
        <v>1</v>
      </c>
      <c r="P1009" s="6">
        <f t="shared" si="31"/>
        <v>2200000</v>
      </c>
      <c r="R1009" s="6" t="s">
        <v>2003</v>
      </c>
      <c r="T1009" s="6" t="s">
        <v>2089</v>
      </c>
      <c r="U1009" s="6">
        <v>2012</v>
      </c>
      <c r="V1009" s="6">
        <v>1</v>
      </c>
      <c r="AD1009" s="6" t="s">
        <v>45</v>
      </c>
      <c r="AJ1009" s="31" t="s">
        <v>2113</v>
      </c>
      <c r="AK1009" s="6">
        <v>1</v>
      </c>
      <c r="AL1009" s="26">
        <v>2000000</v>
      </c>
      <c r="AM1009" s="26">
        <v>2000000</v>
      </c>
      <c r="AN1009" s="26">
        <v>2000000</v>
      </c>
      <c r="AO1009" s="6" t="s">
        <v>2003</v>
      </c>
      <c r="AQ1009" s="6" t="s">
        <v>1314</v>
      </c>
      <c r="AU1009" s="6">
        <v>226692</v>
      </c>
    </row>
    <row r="1010" spans="1:47" x14ac:dyDescent="0.3">
      <c r="A1010" s="28" t="s">
        <v>42</v>
      </c>
      <c r="B1010" s="6" t="s">
        <v>2204</v>
      </c>
      <c r="C1010" s="6" t="s">
        <v>1979</v>
      </c>
      <c r="D1010" s="6" t="s">
        <v>2104</v>
      </c>
      <c r="E1010" s="6">
        <v>1</v>
      </c>
      <c r="F1010" s="6" t="s">
        <v>2004</v>
      </c>
      <c r="G1010" s="6" t="s">
        <v>2005</v>
      </c>
      <c r="H1010" s="6" t="s">
        <v>2005</v>
      </c>
      <c r="I1010" s="6" t="str">
        <f t="shared" si="30"/>
        <v>Thumb Grapple</v>
      </c>
      <c r="J1010" s="6" t="s">
        <v>758</v>
      </c>
      <c r="K1010" s="6">
        <v>1</v>
      </c>
      <c r="P1010" s="6">
        <f t="shared" si="31"/>
        <v>2950000</v>
      </c>
      <c r="R1010" s="6" t="s">
        <v>2003</v>
      </c>
      <c r="T1010" s="6" t="s">
        <v>2007</v>
      </c>
      <c r="U1010" s="6">
        <v>2017</v>
      </c>
      <c r="V1010" s="6">
        <v>1</v>
      </c>
      <c r="AD1010" s="6" t="s">
        <v>45</v>
      </c>
      <c r="AJ1010" s="31" t="s">
        <v>2113</v>
      </c>
      <c r="AK1010" s="6">
        <v>1</v>
      </c>
      <c r="AL1010" s="26">
        <v>2750000</v>
      </c>
      <c r="AM1010" s="26">
        <v>2750000</v>
      </c>
      <c r="AN1010" s="26">
        <v>2750000</v>
      </c>
      <c r="AO1010" s="6" t="s">
        <v>2003</v>
      </c>
      <c r="AQ1010" s="6" t="s">
        <v>49</v>
      </c>
      <c r="AU1010" s="6">
        <v>226693</v>
      </c>
    </row>
    <row r="1011" spans="1:47" x14ac:dyDescent="0.3">
      <c r="A1011" s="28" t="s">
        <v>42</v>
      </c>
      <c r="B1011" s="6" t="s">
        <v>2181</v>
      </c>
      <c r="D1011" s="6" t="s">
        <v>2102</v>
      </c>
      <c r="E1011" s="6">
        <v>1</v>
      </c>
      <c r="F1011" s="6" t="s">
        <v>2004</v>
      </c>
      <c r="G1011" s="6" t="s">
        <v>2005</v>
      </c>
      <c r="H1011" s="6" t="s">
        <v>2005</v>
      </c>
      <c r="I1011" s="6" t="str">
        <f t="shared" si="30"/>
        <v>ETC</v>
      </c>
      <c r="J1011" s="6" t="s">
        <v>378</v>
      </c>
      <c r="K1011" s="6">
        <v>1</v>
      </c>
      <c r="P1011" s="6">
        <f t="shared" si="31"/>
        <v>2500000</v>
      </c>
      <c r="R1011" s="6" t="s">
        <v>2003</v>
      </c>
      <c r="T1011" s="6" t="s">
        <v>837</v>
      </c>
      <c r="U1011" s="6">
        <v>2016</v>
      </c>
      <c r="V1011" s="6">
        <v>5</v>
      </c>
      <c r="AD1011" s="6" t="s">
        <v>45</v>
      </c>
      <c r="AJ1011" s="31" t="s">
        <v>2113</v>
      </c>
      <c r="AK1011" s="6">
        <v>1</v>
      </c>
      <c r="AL1011" s="26">
        <v>2300000</v>
      </c>
      <c r="AM1011" s="26">
        <v>2300000</v>
      </c>
      <c r="AN1011" s="26">
        <v>2300000</v>
      </c>
      <c r="AO1011" s="6" t="s">
        <v>2003</v>
      </c>
      <c r="AQ1011" s="6" t="s">
        <v>71</v>
      </c>
      <c r="AU1011" s="6">
        <v>226695</v>
      </c>
    </row>
    <row r="1012" spans="1:47" x14ac:dyDescent="0.3">
      <c r="A1012" s="28" t="s">
        <v>42</v>
      </c>
      <c r="B1012" s="6" t="s">
        <v>2178</v>
      </c>
      <c r="C1012" s="6" t="s">
        <v>1975</v>
      </c>
      <c r="D1012" s="6" t="s">
        <v>2100</v>
      </c>
      <c r="E1012" s="6">
        <v>1</v>
      </c>
      <c r="F1012" s="6" t="s">
        <v>2004</v>
      </c>
      <c r="G1012" s="6" t="s">
        <v>2005</v>
      </c>
      <c r="H1012" s="6" t="s">
        <v>2005</v>
      </c>
      <c r="I1012" s="6" t="str">
        <f t="shared" si="30"/>
        <v>Side Breaker</v>
      </c>
      <c r="J1012" s="6" t="s">
        <v>160</v>
      </c>
      <c r="K1012" s="6">
        <v>1</v>
      </c>
      <c r="P1012" s="6">
        <f t="shared" si="31"/>
        <v>1600000</v>
      </c>
      <c r="R1012" s="6" t="s">
        <v>2003</v>
      </c>
      <c r="T1012" s="6" t="s">
        <v>1114</v>
      </c>
      <c r="U1012" s="6">
        <v>2010</v>
      </c>
      <c r="V1012" s="6">
        <v>1</v>
      </c>
      <c r="AD1012" s="6" t="s">
        <v>45</v>
      </c>
      <c r="AJ1012" s="31" t="s">
        <v>2114</v>
      </c>
      <c r="AK1012" s="6">
        <v>1</v>
      </c>
      <c r="AL1012" s="26">
        <v>1500000</v>
      </c>
      <c r="AM1012" s="26">
        <v>1500000</v>
      </c>
      <c r="AN1012" s="26">
        <v>1500000</v>
      </c>
      <c r="AO1012" s="6" t="s">
        <v>2003</v>
      </c>
      <c r="AQ1012" s="6" t="s">
        <v>54</v>
      </c>
      <c r="AU1012" s="6">
        <v>226701</v>
      </c>
    </row>
    <row r="1013" spans="1:47" hidden="1" x14ac:dyDescent="0.3">
      <c r="A1013" s="28" t="s">
        <v>42</v>
      </c>
      <c r="B1013" s="6" t="s">
        <v>2181</v>
      </c>
      <c r="E1013" s="6">
        <v>1</v>
      </c>
      <c r="F1013" s="6" t="s">
        <v>2004</v>
      </c>
      <c r="G1013" s="6" t="s">
        <v>2005</v>
      </c>
      <c r="H1013" s="6" t="s">
        <v>2005</v>
      </c>
      <c r="I1013" s="6" t="str">
        <f t="shared" si="30"/>
        <v>ETC</v>
      </c>
      <c r="J1013" s="6" t="s">
        <v>759</v>
      </c>
      <c r="K1013" s="6">
        <v>1</v>
      </c>
      <c r="P1013" s="6">
        <f t="shared" si="31"/>
        <v>1100000</v>
      </c>
      <c r="R1013" s="6" t="s">
        <v>2003</v>
      </c>
      <c r="T1013" s="6" t="s">
        <v>2007</v>
      </c>
      <c r="U1013" s="6">
        <v>2013</v>
      </c>
      <c r="V1013" s="6">
        <v>1</v>
      </c>
      <c r="AD1013" s="6" t="s">
        <v>45</v>
      </c>
      <c r="AJ1013" s="31" t="s">
        <v>2113</v>
      </c>
      <c r="AK1013" s="6">
        <v>1</v>
      </c>
      <c r="AL1013" s="26">
        <v>1000000</v>
      </c>
      <c r="AM1013" s="26">
        <v>1000000</v>
      </c>
      <c r="AN1013" s="26">
        <v>1000000</v>
      </c>
      <c r="AO1013" s="6" t="s">
        <v>2003</v>
      </c>
      <c r="AQ1013" s="6" t="s">
        <v>49</v>
      </c>
      <c r="AU1013" s="6">
        <v>226703</v>
      </c>
    </row>
    <row r="1014" spans="1:47" x14ac:dyDescent="0.3">
      <c r="A1014" s="28" t="s">
        <v>42</v>
      </c>
      <c r="B1014" s="6" t="s">
        <v>2177</v>
      </c>
      <c r="C1014" s="6" t="s">
        <v>1972</v>
      </c>
      <c r="D1014" s="6" t="s">
        <v>2104</v>
      </c>
      <c r="E1014" s="6">
        <v>1</v>
      </c>
      <c r="F1014" s="6" t="s">
        <v>2004</v>
      </c>
      <c r="G1014" s="6" t="s">
        <v>2005</v>
      </c>
      <c r="H1014" s="6" t="s">
        <v>2005</v>
      </c>
      <c r="I1014" s="6" t="str">
        <f t="shared" si="30"/>
        <v>Stone Grapple</v>
      </c>
      <c r="J1014" s="6" t="s">
        <v>72</v>
      </c>
      <c r="K1014" s="6">
        <v>1</v>
      </c>
      <c r="P1014" s="6">
        <f t="shared" si="31"/>
        <v>5500000</v>
      </c>
      <c r="R1014" s="6" t="s">
        <v>2003</v>
      </c>
      <c r="T1014" s="6" t="s">
        <v>813</v>
      </c>
      <c r="U1014" s="6">
        <v>2014</v>
      </c>
      <c r="V1014" s="6">
        <v>1</v>
      </c>
      <c r="AD1014" s="6" t="s">
        <v>45</v>
      </c>
      <c r="AJ1014" s="31" t="s">
        <v>2113</v>
      </c>
      <c r="AK1014" s="6">
        <v>1</v>
      </c>
      <c r="AL1014" s="26">
        <v>5000000</v>
      </c>
      <c r="AM1014" s="26">
        <v>5000000</v>
      </c>
      <c r="AN1014" s="26">
        <v>5000000</v>
      </c>
      <c r="AO1014" s="6" t="s">
        <v>2003</v>
      </c>
      <c r="AQ1014" s="6" t="s">
        <v>79</v>
      </c>
      <c r="AU1014" s="6">
        <v>226709</v>
      </c>
    </row>
    <row r="1015" spans="1:47" x14ac:dyDescent="0.3">
      <c r="A1015" s="28" t="s">
        <v>42</v>
      </c>
      <c r="B1015" s="6" t="s">
        <v>2177</v>
      </c>
      <c r="C1015" s="6" t="s">
        <v>1985</v>
      </c>
      <c r="D1015" s="6" t="s">
        <v>2100</v>
      </c>
      <c r="E1015" s="6">
        <v>1</v>
      </c>
      <c r="F1015" s="6" t="s">
        <v>2004</v>
      </c>
      <c r="G1015" s="6" t="s">
        <v>2005</v>
      </c>
      <c r="H1015" s="6" t="s">
        <v>2005</v>
      </c>
      <c r="I1015" s="6" t="str">
        <f t="shared" si="30"/>
        <v>Multi Grapple</v>
      </c>
      <c r="J1015" s="6" t="s">
        <v>265</v>
      </c>
      <c r="K1015" s="6">
        <v>1</v>
      </c>
      <c r="P1015" s="6">
        <f t="shared" si="31"/>
        <v>2700000</v>
      </c>
      <c r="R1015" s="6" t="s">
        <v>2003</v>
      </c>
      <c r="T1015" s="6" t="s">
        <v>2007</v>
      </c>
      <c r="U1015" s="6">
        <v>2017</v>
      </c>
      <c r="V1015" s="6">
        <v>1</v>
      </c>
      <c r="AD1015" s="6" t="s">
        <v>45</v>
      </c>
      <c r="AJ1015" s="31" t="s">
        <v>2113</v>
      </c>
      <c r="AK1015" s="6">
        <v>1</v>
      </c>
      <c r="AL1015" s="26">
        <v>2500000</v>
      </c>
      <c r="AM1015" s="26">
        <v>2500000</v>
      </c>
      <c r="AN1015" s="26">
        <v>2500000</v>
      </c>
      <c r="AO1015" s="6" t="s">
        <v>2003</v>
      </c>
      <c r="AQ1015" s="6" t="s">
        <v>49</v>
      </c>
      <c r="AU1015" s="6">
        <v>226711</v>
      </c>
    </row>
    <row r="1016" spans="1:47" hidden="1" x14ac:dyDescent="0.3">
      <c r="A1016" s="28" t="s">
        <v>42</v>
      </c>
      <c r="B1016" s="6" t="s">
        <v>2181</v>
      </c>
      <c r="E1016" s="6">
        <v>1</v>
      </c>
      <c r="F1016" s="6" t="s">
        <v>2004</v>
      </c>
      <c r="G1016" s="6" t="s">
        <v>2005</v>
      </c>
      <c r="H1016" s="6" t="s">
        <v>2005</v>
      </c>
      <c r="I1016" s="6" t="str">
        <f t="shared" si="30"/>
        <v>ETC</v>
      </c>
      <c r="J1016" s="6" t="s">
        <v>670</v>
      </c>
      <c r="K1016" s="6">
        <v>1</v>
      </c>
      <c r="P1016" s="6">
        <f t="shared" si="31"/>
        <v>60500000</v>
      </c>
      <c r="R1016" s="6" t="s">
        <v>2003</v>
      </c>
      <c r="T1016" s="6" t="s">
        <v>2090</v>
      </c>
      <c r="U1016" s="6">
        <v>2010</v>
      </c>
      <c r="V1016" s="6">
        <v>1</v>
      </c>
      <c r="AD1016" s="6" t="s">
        <v>45</v>
      </c>
      <c r="AJ1016" s="31" t="s">
        <v>2122</v>
      </c>
      <c r="AK1016" s="6">
        <v>1</v>
      </c>
      <c r="AL1016" s="26">
        <v>60000000</v>
      </c>
      <c r="AM1016" s="26">
        <v>60000000</v>
      </c>
      <c r="AN1016" s="26">
        <v>60000000</v>
      </c>
      <c r="AO1016" s="6" t="s">
        <v>2003</v>
      </c>
      <c r="AQ1016" s="6" t="s">
        <v>1218</v>
      </c>
      <c r="AU1016" s="6">
        <v>226717</v>
      </c>
    </row>
    <row r="1017" spans="1:47" x14ac:dyDescent="0.3">
      <c r="A1017" s="28" t="s">
        <v>42</v>
      </c>
      <c r="B1017" s="6" t="s">
        <v>2190</v>
      </c>
      <c r="D1017" s="6" t="s">
        <v>2104</v>
      </c>
      <c r="E1017" s="6">
        <v>1</v>
      </c>
      <c r="F1017" s="6" t="s">
        <v>2004</v>
      </c>
      <c r="G1017" s="6" t="s">
        <v>2005</v>
      </c>
      <c r="H1017" s="6" t="s">
        <v>2005</v>
      </c>
      <c r="I1017" s="6" t="str">
        <f t="shared" si="30"/>
        <v>Lift Fork</v>
      </c>
      <c r="J1017" s="6" t="s">
        <v>760</v>
      </c>
      <c r="K1017" s="6">
        <v>1</v>
      </c>
      <c r="P1017" s="6">
        <f t="shared" si="31"/>
        <v>700000</v>
      </c>
      <c r="R1017" s="6" t="s">
        <v>2003</v>
      </c>
      <c r="T1017" s="6" t="s">
        <v>823</v>
      </c>
      <c r="U1017" s="6">
        <v>2013</v>
      </c>
      <c r="V1017" s="6">
        <v>1</v>
      </c>
      <c r="AD1017" s="6" t="s">
        <v>45</v>
      </c>
      <c r="AJ1017" s="31" t="s">
        <v>2113</v>
      </c>
      <c r="AK1017" s="6">
        <v>1</v>
      </c>
      <c r="AL1017" s="26">
        <v>600000</v>
      </c>
      <c r="AM1017" s="26">
        <v>600000</v>
      </c>
      <c r="AN1017" s="26">
        <v>600000</v>
      </c>
      <c r="AO1017" s="6" t="s">
        <v>2003</v>
      </c>
      <c r="AQ1017" s="6" t="s">
        <v>49</v>
      </c>
      <c r="AU1017" s="6">
        <v>226719</v>
      </c>
    </row>
    <row r="1018" spans="1:47" x14ac:dyDescent="0.3">
      <c r="A1018" s="28" t="s">
        <v>42</v>
      </c>
      <c r="B1018" s="6" t="s">
        <v>2179</v>
      </c>
      <c r="C1018" s="6" t="s">
        <v>1976</v>
      </c>
      <c r="D1018" s="6" t="s">
        <v>2106</v>
      </c>
      <c r="E1018" s="6">
        <v>1</v>
      </c>
      <c r="F1018" s="6" t="s">
        <v>2004</v>
      </c>
      <c r="G1018" s="6" t="s">
        <v>2005</v>
      </c>
      <c r="H1018" s="6" t="s">
        <v>2005</v>
      </c>
      <c r="I1018" s="6" t="str">
        <f t="shared" si="30"/>
        <v>Skeleton Bucket</v>
      </c>
      <c r="J1018" s="6" t="s">
        <v>179</v>
      </c>
      <c r="K1018" s="6">
        <v>1</v>
      </c>
      <c r="P1018" s="6">
        <f t="shared" si="31"/>
        <v>250000</v>
      </c>
      <c r="R1018" s="6" t="s">
        <v>2003</v>
      </c>
      <c r="T1018" s="6" t="s">
        <v>645</v>
      </c>
      <c r="U1018" s="6">
        <v>2015</v>
      </c>
      <c r="V1018" s="6">
        <v>1</v>
      </c>
      <c r="AD1018" s="6" t="s">
        <v>45</v>
      </c>
      <c r="AJ1018" s="31" t="s">
        <v>2116</v>
      </c>
      <c r="AK1018" s="6">
        <v>1</v>
      </c>
      <c r="AL1018" s="26">
        <v>200000</v>
      </c>
      <c r="AM1018" s="26">
        <v>200000</v>
      </c>
      <c r="AN1018" s="26">
        <v>200000</v>
      </c>
      <c r="AO1018" s="6" t="s">
        <v>2003</v>
      </c>
      <c r="AQ1018" s="6" t="s">
        <v>1315</v>
      </c>
      <c r="AU1018" s="6">
        <v>226721</v>
      </c>
    </row>
    <row r="1019" spans="1:47" x14ac:dyDescent="0.3">
      <c r="A1019" s="28" t="s">
        <v>42</v>
      </c>
      <c r="B1019" s="6" t="s">
        <v>2201</v>
      </c>
      <c r="C1019" s="19" t="s">
        <v>2207</v>
      </c>
      <c r="D1019" s="6" t="s">
        <v>2104</v>
      </c>
      <c r="E1019" s="6">
        <v>1</v>
      </c>
      <c r="F1019" s="6" t="s">
        <v>2004</v>
      </c>
      <c r="G1019" s="6" t="s">
        <v>2005</v>
      </c>
      <c r="H1019" s="6" t="s">
        <v>2005</v>
      </c>
      <c r="I1019" s="6" t="str">
        <f t="shared" si="30"/>
        <v>Hydraulic Crusher</v>
      </c>
      <c r="J1019" s="6" t="s">
        <v>761</v>
      </c>
      <c r="K1019" s="6">
        <v>1</v>
      </c>
      <c r="P1019" s="6">
        <f t="shared" si="31"/>
        <v>11500000</v>
      </c>
      <c r="R1019" s="6" t="s">
        <v>2003</v>
      </c>
      <c r="T1019" s="6" t="s">
        <v>823</v>
      </c>
      <c r="U1019" s="6">
        <v>2014</v>
      </c>
      <c r="V1019" s="6">
        <v>1</v>
      </c>
      <c r="AD1019" s="6" t="s">
        <v>45</v>
      </c>
      <c r="AJ1019" s="31" t="s">
        <v>2113</v>
      </c>
      <c r="AK1019" s="6">
        <v>1</v>
      </c>
      <c r="AL1019" s="26">
        <v>11000000</v>
      </c>
      <c r="AM1019" s="26">
        <v>11000000</v>
      </c>
      <c r="AN1019" s="26">
        <v>11000000</v>
      </c>
      <c r="AO1019" s="6" t="s">
        <v>2003</v>
      </c>
      <c r="AQ1019" s="6" t="s">
        <v>49</v>
      </c>
      <c r="AU1019" s="6">
        <v>226722</v>
      </c>
    </row>
    <row r="1020" spans="1:47" x14ac:dyDescent="0.3">
      <c r="A1020" s="28" t="s">
        <v>42</v>
      </c>
      <c r="B1020" s="6" t="s">
        <v>2181</v>
      </c>
      <c r="D1020" s="6" t="s">
        <v>2104</v>
      </c>
      <c r="E1020" s="6">
        <v>1</v>
      </c>
      <c r="F1020" s="6" t="s">
        <v>2004</v>
      </c>
      <c r="G1020" s="6" t="s">
        <v>2005</v>
      </c>
      <c r="H1020" s="6" t="s">
        <v>2005</v>
      </c>
      <c r="I1020" s="6" t="str">
        <f t="shared" si="30"/>
        <v>ETC</v>
      </c>
      <c r="J1020" s="6" t="s">
        <v>762</v>
      </c>
      <c r="K1020" s="6">
        <v>1</v>
      </c>
      <c r="P1020" s="6">
        <f t="shared" si="31"/>
        <v>12500000</v>
      </c>
      <c r="R1020" s="6" t="s">
        <v>2003</v>
      </c>
      <c r="T1020" s="6" t="s">
        <v>2012</v>
      </c>
      <c r="U1020" s="6">
        <v>2013</v>
      </c>
      <c r="V1020" s="6">
        <v>1</v>
      </c>
      <c r="AD1020" s="6" t="s">
        <v>45</v>
      </c>
      <c r="AJ1020" s="31" t="s">
        <v>2113</v>
      </c>
      <c r="AK1020" s="6">
        <v>1</v>
      </c>
      <c r="AL1020" s="26">
        <v>12000000</v>
      </c>
      <c r="AM1020" s="26">
        <v>12000000</v>
      </c>
      <c r="AN1020" s="26">
        <v>12000000</v>
      </c>
      <c r="AO1020" s="6" t="s">
        <v>2003</v>
      </c>
      <c r="AQ1020" s="6" t="s">
        <v>49</v>
      </c>
      <c r="AU1020" s="6">
        <v>226723</v>
      </c>
    </row>
    <row r="1021" spans="1:47" x14ac:dyDescent="0.3">
      <c r="A1021" s="28" t="s">
        <v>42</v>
      </c>
      <c r="B1021" s="6" t="s">
        <v>2178</v>
      </c>
      <c r="C1021" s="6" t="s">
        <v>1975</v>
      </c>
      <c r="D1021" s="6" t="s">
        <v>2106</v>
      </c>
      <c r="E1021" s="6">
        <v>1</v>
      </c>
      <c r="F1021" s="6" t="s">
        <v>2004</v>
      </c>
      <c r="G1021" s="6" t="s">
        <v>2005</v>
      </c>
      <c r="H1021" s="6" t="s">
        <v>2005</v>
      </c>
      <c r="I1021" s="6" t="str">
        <f t="shared" si="30"/>
        <v>Side Breaker</v>
      </c>
      <c r="J1021" s="6" t="s">
        <v>742</v>
      </c>
      <c r="K1021" s="6">
        <v>1</v>
      </c>
      <c r="P1021" s="6">
        <f t="shared" si="31"/>
        <v>1700000</v>
      </c>
      <c r="R1021" s="6" t="s">
        <v>2003</v>
      </c>
      <c r="T1021" s="6" t="s">
        <v>70</v>
      </c>
      <c r="U1021" s="6">
        <v>2015</v>
      </c>
      <c r="V1021" s="6">
        <v>1</v>
      </c>
      <c r="AD1021" s="6" t="s">
        <v>45</v>
      </c>
      <c r="AJ1021" s="31" t="s">
        <v>2113</v>
      </c>
      <c r="AK1021" s="6">
        <v>1</v>
      </c>
      <c r="AL1021" s="26">
        <v>1600000</v>
      </c>
      <c r="AM1021" s="26">
        <v>1600000</v>
      </c>
      <c r="AN1021" s="26">
        <v>1600000</v>
      </c>
      <c r="AO1021" s="6" t="s">
        <v>2003</v>
      </c>
      <c r="AQ1021" s="6" t="s">
        <v>71</v>
      </c>
      <c r="AU1021" s="6">
        <v>226725</v>
      </c>
    </row>
    <row r="1022" spans="1:47" x14ac:dyDescent="0.3">
      <c r="A1022" s="28" t="s">
        <v>42</v>
      </c>
      <c r="B1022" s="6" t="s">
        <v>2177</v>
      </c>
      <c r="C1022" s="6" t="s">
        <v>1972</v>
      </c>
      <c r="D1022" s="6" t="s">
        <v>2104</v>
      </c>
      <c r="E1022" s="6">
        <v>1</v>
      </c>
      <c r="F1022" s="6" t="s">
        <v>2004</v>
      </c>
      <c r="G1022" s="6" t="s">
        <v>2005</v>
      </c>
      <c r="H1022" s="6" t="s">
        <v>2005</v>
      </c>
      <c r="I1022" s="6" t="str">
        <f t="shared" si="30"/>
        <v>Stone Grapple</v>
      </c>
      <c r="J1022" s="6" t="s">
        <v>58</v>
      </c>
      <c r="K1022" s="6">
        <v>1</v>
      </c>
      <c r="P1022" s="6">
        <f t="shared" si="31"/>
        <v>3200000</v>
      </c>
      <c r="R1022" s="6" t="s">
        <v>2003</v>
      </c>
      <c r="T1022" s="6" t="s">
        <v>794</v>
      </c>
      <c r="U1022" s="6">
        <v>2015</v>
      </c>
      <c r="V1022" s="6">
        <v>8</v>
      </c>
      <c r="AD1022" s="6" t="s">
        <v>45</v>
      </c>
      <c r="AJ1022" s="31" t="s">
        <v>2122</v>
      </c>
      <c r="AK1022" s="6">
        <v>1</v>
      </c>
      <c r="AL1022" s="26">
        <v>3000000</v>
      </c>
      <c r="AM1022" s="26">
        <v>3000000</v>
      </c>
      <c r="AN1022" s="26">
        <v>3000000</v>
      </c>
      <c r="AO1022" s="6" t="s">
        <v>2003</v>
      </c>
      <c r="AQ1022" s="6" t="s">
        <v>1154</v>
      </c>
      <c r="AU1022" s="6">
        <v>226726</v>
      </c>
    </row>
    <row r="1023" spans="1:47" x14ac:dyDescent="0.3">
      <c r="A1023" s="28" t="s">
        <v>42</v>
      </c>
      <c r="B1023" s="6" t="s">
        <v>2177</v>
      </c>
      <c r="C1023" s="6" t="s">
        <v>1972</v>
      </c>
      <c r="D1023" s="6" t="s">
        <v>2104</v>
      </c>
      <c r="E1023" s="6">
        <v>1</v>
      </c>
      <c r="F1023" s="6" t="s">
        <v>2004</v>
      </c>
      <c r="G1023" s="6" t="s">
        <v>2005</v>
      </c>
      <c r="H1023" s="6" t="s">
        <v>2005</v>
      </c>
      <c r="I1023" s="6" t="str">
        <f t="shared" si="30"/>
        <v>Stone Grapple</v>
      </c>
      <c r="J1023" s="6" t="s">
        <v>106</v>
      </c>
      <c r="K1023" s="6">
        <v>1</v>
      </c>
      <c r="P1023" s="6">
        <f t="shared" si="31"/>
        <v>5600000</v>
      </c>
      <c r="R1023" s="6" t="s">
        <v>2003</v>
      </c>
      <c r="T1023" s="6" t="s">
        <v>2012</v>
      </c>
      <c r="U1023" s="6">
        <v>2015</v>
      </c>
      <c r="V1023" s="6">
        <v>1</v>
      </c>
      <c r="AD1023" s="6" t="s">
        <v>45</v>
      </c>
      <c r="AJ1023" s="31" t="s">
        <v>2113</v>
      </c>
      <c r="AK1023" s="6">
        <v>1</v>
      </c>
      <c r="AL1023" s="26">
        <v>5100000</v>
      </c>
      <c r="AM1023" s="26">
        <v>5100000</v>
      </c>
      <c r="AN1023" s="26">
        <v>5100000</v>
      </c>
      <c r="AO1023" s="6" t="s">
        <v>2003</v>
      </c>
      <c r="AQ1023" s="6" t="s">
        <v>49</v>
      </c>
      <c r="AU1023" s="6">
        <v>226727</v>
      </c>
    </row>
    <row r="1024" spans="1:47" x14ac:dyDescent="0.3">
      <c r="A1024" s="28" t="s">
        <v>42</v>
      </c>
      <c r="B1024" s="6" t="s">
        <v>2177</v>
      </c>
      <c r="C1024" s="6" t="s">
        <v>1972</v>
      </c>
      <c r="D1024" s="6" t="s">
        <v>2104</v>
      </c>
      <c r="E1024" s="6">
        <v>1</v>
      </c>
      <c r="F1024" s="6" t="s">
        <v>2004</v>
      </c>
      <c r="G1024" s="6" t="s">
        <v>2005</v>
      </c>
      <c r="H1024" s="6" t="s">
        <v>2005</v>
      </c>
      <c r="I1024" s="6" t="str">
        <f t="shared" si="30"/>
        <v>Stone Grapple</v>
      </c>
      <c r="J1024" s="6" t="s">
        <v>764</v>
      </c>
      <c r="K1024" s="6">
        <v>1</v>
      </c>
      <c r="P1024" s="6">
        <f t="shared" si="31"/>
        <v>5500000</v>
      </c>
      <c r="R1024" s="6" t="s">
        <v>2003</v>
      </c>
      <c r="T1024" s="6" t="s">
        <v>823</v>
      </c>
      <c r="U1024" s="6">
        <v>2015</v>
      </c>
      <c r="V1024" s="6">
        <v>1</v>
      </c>
      <c r="AD1024" s="6" t="s">
        <v>45</v>
      </c>
      <c r="AJ1024" s="31" t="s">
        <v>2113</v>
      </c>
      <c r="AK1024" s="6">
        <v>1</v>
      </c>
      <c r="AL1024" s="26">
        <v>5000000</v>
      </c>
      <c r="AM1024" s="26">
        <v>5000000</v>
      </c>
      <c r="AN1024" s="26">
        <v>5000000</v>
      </c>
      <c r="AO1024" s="6" t="s">
        <v>2003</v>
      </c>
      <c r="AQ1024" s="6" t="s">
        <v>49</v>
      </c>
      <c r="AU1024" s="6">
        <v>226728</v>
      </c>
    </row>
    <row r="1025" spans="1:47" x14ac:dyDescent="0.3">
      <c r="A1025" s="28" t="s">
        <v>42</v>
      </c>
      <c r="B1025" s="6" t="s">
        <v>2177</v>
      </c>
      <c r="C1025" s="6" t="s">
        <v>1972</v>
      </c>
      <c r="D1025" s="6" t="s">
        <v>2105</v>
      </c>
      <c r="E1025" s="6">
        <v>1</v>
      </c>
      <c r="F1025" s="6" t="s">
        <v>2004</v>
      </c>
      <c r="G1025" s="6" t="s">
        <v>2005</v>
      </c>
      <c r="H1025" s="6" t="s">
        <v>2005</v>
      </c>
      <c r="I1025" s="6" t="str">
        <f t="shared" si="30"/>
        <v>Stone Grapple</v>
      </c>
      <c r="J1025" s="6" t="s">
        <v>384</v>
      </c>
      <c r="K1025" s="6">
        <v>1</v>
      </c>
      <c r="P1025" s="6">
        <f t="shared" si="31"/>
        <v>7000000</v>
      </c>
      <c r="R1025" s="6" t="s">
        <v>2003</v>
      </c>
      <c r="T1025" s="6" t="s">
        <v>810</v>
      </c>
      <c r="U1025" s="6">
        <v>2016</v>
      </c>
      <c r="V1025" s="6">
        <v>5</v>
      </c>
      <c r="AD1025" s="6" t="s">
        <v>45</v>
      </c>
      <c r="AJ1025" s="31" t="s">
        <v>2123</v>
      </c>
      <c r="AK1025" s="6">
        <v>1</v>
      </c>
      <c r="AL1025" s="26">
        <v>6500000</v>
      </c>
      <c r="AM1025" s="26">
        <v>6500000</v>
      </c>
      <c r="AN1025" s="26">
        <v>6500000</v>
      </c>
      <c r="AO1025" s="6" t="s">
        <v>2003</v>
      </c>
      <c r="AQ1025" s="6" t="s">
        <v>1189</v>
      </c>
      <c r="AU1025" s="6">
        <v>226729</v>
      </c>
    </row>
    <row r="1026" spans="1:47" x14ac:dyDescent="0.3">
      <c r="A1026" s="28" t="s">
        <v>42</v>
      </c>
      <c r="B1026" s="6" t="s">
        <v>2178</v>
      </c>
      <c r="C1026" s="6" t="s">
        <v>1975</v>
      </c>
      <c r="D1026" s="6" t="s">
        <v>2104</v>
      </c>
      <c r="E1026" s="6">
        <v>1</v>
      </c>
      <c r="F1026" s="6" t="s">
        <v>2004</v>
      </c>
      <c r="G1026" s="6" t="s">
        <v>2005</v>
      </c>
      <c r="H1026" s="6" t="s">
        <v>2005</v>
      </c>
      <c r="I1026" s="6" t="str">
        <f t="shared" ref="I1026:I1089" si="32">IF(ISBLANK(C1026),B1026,C1026)</f>
        <v>Side Breaker</v>
      </c>
      <c r="J1026" s="6" t="s">
        <v>688</v>
      </c>
      <c r="K1026" s="6">
        <v>1</v>
      </c>
      <c r="P1026" s="6">
        <f t="shared" si="31"/>
        <v>5000000</v>
      </c>
      <c r="R1026" s="6" t="s">
        <v>2003</v>
      </c>
      <c r="T1026" s="6" t="s">
        <v>2009</v>
      </c>
      <c r="U1026" s="6">
        <v>2017</v>
      </c>
      <c r="V1026" s="6">
        <v>2</v>
      </c>
      <c r="AD1026" s="6" t="s">
        <v>45</v>
      </c>
      <c r="AJ1026" s="31" t="s">
        <v>2110</v>
      </c>
      <c r="AK1026" s="6">
        <v>1</v>
      </c>
      <c r="AL1026" s="26">
        <v>4800000</v>
      </c>
      <c r="AM1026" s="26">
        <v>4800000</v>
      </c>
      <c r="AN1026" s="26">
        <v>4800000</v>
      </c>
      <c r="AO1026" s="6" t="s">
        <v>2003</v>
      </c>
      <c r="AQ1026" s="6" t="s">
        <v>1152</v>
      </c>
      <c r="AU1026" s="6">
        <v>226730</v>
      </c>
    </row>
    <row r="1027" spans="1:47" x14ac:dyDescent="0.3">
      <c r="A1027" s="28" t="s">
        <v>42</v>
      </c>
      <c r="B1027" s="6" t="s">
        <v>2179</v>
      </c>
      <c r="C1027" s="6" t="s">
        <v>1980</v>
      </c>
      <c r="D1027" s="6" t="s">
        <v>2100</v>
      </c>
      <c r="E1027" s="6">
        <v>1</v>
      </c>
      <c r="F1027" s="6" t="s">
        <v>2004</v>
      </c>
      <c r="G1027" s="6" t="s">
        <v>2005</v>
      </c>
      <c r="H1027" s="6" t="s">
        <v>2005</v>
      </c>
      <c r="I1027" s="6" t="str">
        <f t="shared" si="32"/>
        <v>Small Bucket</v>
      </c>
      <c r="J1027" s="6" t="s">
        <v>85</v>
      </c>
      <c r="K1027" s="6">
        <v>1</v>
      </c>
      <c r="P1027" s="6">
        <f t="shared" ref="P1027:P1090" si="33">IF(AM1027&lt;500000,AM1027+50000,IF(AND(AM1027&gt;=500000,AM1027&lt;2000000),AM1027+100000,IF(AND(AM1027&gt;=2000000,AM1027&lt;5000000),AM1027+200000,IF(AM1027&gt;=5000000,AM1027+500000,AM1027))))</f>
        <v>380000</v>
      </c>
      <c r="R1027" s="6" t="s">
        <v>2003</v>
      </c>
      <c r="T1027" s="6" t="s">
        <v>823</v>
      </c>
      <c r="U1027" s="6">
        <v>2017</v>
      </c>
      <c r="V1027" s="6">
        <v>1</v>
      </c>
      <c r="AD1027" s="6" t="s">
        <v>45</v>
      </c>
      <c r="AJ1027" s="31" t="s">
        <v>2113</v>
      </c>
      <c r="AK1027" s="6">
        <v>1</v>
      </c>
      <c r="AL1027" s="26">
        <v>330000</v>
      </c>
      <c r="AM1027" s="26">
        <v>330000</v>
      </c>
      <c r="AN1027" s="26">
        <v>330000</v>
      </c>
      <c r="AO1027" s="6" t="s">
        <v>2003</v>
      </c>
      <c r="AQ1027" s="6" t="s">
        <v>49</v>
      </c>
      <c r="AU1027" s="6">
        <v>226731</v>
      </c>
    </row>
    <row r="1028" spans="1:47" hidden="1" x14ac:dyDescent="0.3">
      <c r="A1028" s="28" t="s">
        <v>42</v>
      </c>
      <c r="B1028" s="6" t="s">
        <v>2181</v>
      </c>
      <c r="E1028" s="6">
        <v>1</v>
      </c>
      <c r="F1028" s="6" t="s">
        <v>2004</v>
      </c>
      <c r="G1028" s="6" t="s">
        <v>2005</v>
      </c>
      <c r="H1028" s="6" t="s">
        <v>2005</v>
      </c>
      <c r="I1028" s="6" t="str">
        <f t="shared" si="32"/>
        <v>ETC</v>
      </c>
      <c r="J1028" s="6" t="s">
        <v>133</v>
      </c>
      <c r="K1028" s="6">
        <v>1</v>
      </c>
      <c r="P1028" s="6">
        <f t="shared" si="33"/>
        <v>1200000</v>
      </c>
      <c r="R1028" s="6" t="s">
        <v>2003</v>
      </c>
      <c r="T1028" s="6" t="s">
        <v>823</v>
      </c>
      <c r="U1028" s="6">
        <v>2013</v>
      </c>
      <c r="V1028" s="6">
        <v>1</v>
      </c>
      <c r="AD1028" s="6" t="s">
        <v>45</v>
      </c>
      <c r="AJ1028" s="31" t="s">
        <v>2113</v>
      </c>
      <c r="AK1028" s="6">
        <v>1</v>
      </c>
      <c r="AL1028" s="26">
        <v>1100000</v>
      </c>
      <c r="AM1028" s="26">
        <v>1100000</v>
      </c>
      <c r="AN1028" s="26">
        <v>1100000</v>
      </c>
      <c r="AO1028" s="6" t="s">
        <v>2003</v>
      </c>
      <c r="AQ1028" s="6" t="s">
        <v>49</v>
      </c>
      <c r="AU1028" s="6">
        <v>226732</v>
      </c>
    </row>
    <row r="1029" spans="1:47" hidden="1" x14ac:dyDescent="0.3">
      <c r="A1029" s="28" t="s">
        <v>42</v>
      </c>
      <c r="B1029" s="6" t="s">
        <v>2181</v>
      </c>
      <c r="E1029" s="6">
        <v>1</v>
      </c>
      <c r="F1029" s="6" t="s">
        <v>2004</v>
      </c>
      <c r="G1029" s="6" t="s">
        <v>2005</v>
      </c>
      <c r="H1029" s="6" t="s">
        <v>2005</v>
      </c>
      <c r="I1029" s="6" t="str">
        <f t="shared" si="32"/>
        <v>ETC</v>
      </c>
      <c r="J1029" s="6" t="s">
        <v>784</v>
      </c>
      <c r="K1029" s="6">
        <v>1</v>
      </c>
      <c r="P1029" s="6">
        <f t="shared" si="33"/>
        <v>4500000</v>
      </c>
      <c r="R1029" s="6" t="s">
        <v>2003</v>
      </c>
      <c r="T1029" s="6" t="s">
        <v>1884</v>
      </c>
      <c r="U1029" s="6">
        <v>2007</v>
      </c>
      <c r="V1029" s="6">
        <v>1</v>
      </c>
      <c r="AD1029" s="6" t="s">
        <v>45</v>
      </c>
      <c r="AJ1029" s="31" t="s">
        <v>2117</v>
      </c>
      <c r="AK1029" s="6">
        <v>1</v>
      </c>
      <c r="AL1029" s="26">
        <v>4300000</v>
      </c>
      <c r="AM1029" s="26">
        <v>4300000</v>
      </c>
      <c r="AN1029" s="26">
        <v>4300000</v>
      </c>
      <c r="AO1029" s="6" t="s">
        <v>2003</v>
      </c>
      <c r="AQ1029" s="6" t="s">
        <v>1300</v>
      </c>
      <c r="AU1029" s="6">
        <v>226734</v>
      </c>
    </row>
    <row r="1030" spans="1:47" x14ac:dyDescent="0.3">
      <c r="A1030" s="28" t="s">
        <v>42</v>
      </c>
      <c r="B1030" s="6" t="s">
        <v>2177</v>
      </c>
      <c r="C1030" s="19" t="s">
        <v>2218</v>
      </c>
      <c r="D1030" s="6" t="s">
        <v>2100</v>
      </c>
      <c r="E1030" s="6">
        <v>1</v>
      </c>
      <c r="F1030" s="6" t="s">
        <v>2004</v>
      </c>
      <c r="G1030" s="6" t="s">
        <v>2005</v>
      </c>
      <c r="H1030" s="6" t="s">
        <v>2005</v>
      </c>
      <c r="I1030" s="6" t="str">
        <f t="shared" si="32"/>
        <v>Multi Grapple</v>
      </c>
      <c r="J1030" s="6" t="s">
        <v>765</v>
      </c>
      <c r="K1030" s="6">
        <v>1</v>
      </c>
      <c r="P1030" s="6">
        <f t="shared" si="33"/>
        <v>900000</v>
      </c>
      <c r="R1030" s="6" t="s">
        <v>2003</v>
      </c>
      <c r="T1030" s="6" t="s">
        <v>823</v>
      </c>
      <c r="U1030" s="6">
        <v>2013</v>
      </c>
      <c r="V1030" s="6">
        <v>1</v>
      </c>
      <c r="AD1030" s="6" t="s">
        <v>45</v>
      </c>
      <c r="AJ1030" s="31" t="s">
        <v>2113</v>
      </c>
      <c r="AK1030" s="6">
        <v>1</v>
      </c>
      <c r="AL1030" s="26">
        <v>800000</v>
      </c>
      <c r="AM1030" s="26">
        <v>800000</v>
      </c>
      <c r="AN1030" s="26">
        <v>800000</v>
      </c>
      <c r="AO1030" s="6" t="s">
        <v>2003</v>
      </c>
      <c r="AQ1030" s="6" t="s">
        <v>49</v>
      </c>
      <c r="AU1030" s="6">
        <v>226737</v>
      </c>
    </row>
    <row r="1031" spans="1:47" x14ac:dyDescent="0.3">
      <c r="A1031" s="28" t="s">
        <v>42</v>
      </c>
      <c r="B1031" s="6" t="s">
        <v>2187</v>
      </c>
      <c r="C1031" s="6" t="s">
        <v>1974</v>
      </c>
      <c r="D1031" s="6" t="s">
        <v>2100</v>
      </c>
      <c r="E1031" s="6">
        <v>1</v>
      </c>
      <c r="F1031" s="6" t="s">
        <v>2004</v>
      </c>
      <c r="G1031" s="6" t="s">
        <v>2005</v>
      </c>
      <c r="H1031" s="6" t="s">
        <v>2005</v>
      </c>
      <c r="I1031" s="6" t="str">
        <f t="shared" si="32"/>
        <v>Etc Grapple</v>
      </c>
      <c r="J1031" s="6" t="s">
        <v>360</v>
      </c>
      <c r="K1031" s="6">
        <v>1</v>
      </c>
      <c r="P1031" s="6">
        <f t="shared" si="33"/>
        <v>2400000</v>
      </c>
      <c r="R1031" s="6" t="s">
        <v>2003</v>
      </c>
      <c r="T1031" s="6" t="s">
        <v>789</v>
      </c>
      <c r="U1031" s="6">
        <v>2010</v>
      </c>
      <c r="V1031" s="6">
        <v>1</v>
      </c>
      <c r="AD1031" s="6" t="s">
        <v>45</v>
      </c>
      <c r="AJ1031" s="31" t="s">
        <v>2122</v>
      </c>
      <c r="AK1031" s="6">
        <v>1</v>
      </c>
      <c r="AL1031" s="26">
        <v>2200000</v>
      </c>
      <c r="AM1031" s="26">
        <v>2200000</v>
      </c>
      <c r="AN1031" s="26">
        <v>2200000</v>
      </c>
      <c r="AO1031" s="6" t="s">
        <v>2003</v>
      </c>
      <c r="AQ1031" s="6" t="s">
        <v>65</v>
      </c>
      <c r="AU1031" s="6">
        <v>226738</v>
      </c>
    </row>
    <row r="1032" spans="1:47" x14ac:dyDescent="0.3">
      <c r="A1032" s="28" t="s">
        <v>42</v>
      </c>
      <c r="B1032" s="6" t="s">
        <v>2186</v>
      </c>
      <c r="C1032" s="6" t="s">
        <v>1982</v>
      </c>
      <c r="D1032" s="6" t="s">
        <v>2100</v>
      </c>
      <c r="E1032" s="6">
        <v>1</v>
      </c>
      <c r="F1032" s="6" t="s">
        <v>2004</v>
      </c>
      <c r="G1032" s="6" t="s">
        <v>2005</v>
      </c>
      <c r="H1032" s="6" t="s">
        <v>2005</v>
      </c>
      <c r="I1032" s="6" t="str">
        <f t="shared" si="32"/>
        <v>Standard Bucket</v>
      </c>
      <c r="J1032" s="6" t="s">
        <v>766</v>
      </c>
      <c r="K1032" s="6">
        <v>1</v>
      </c>
      <c r="P1032" s="6">
        <f t="shared" si="33"/>
        <v>380000</v>
      </c>
      <c r="R1032" s="6" t="s">
        <v>2003</v>
      </c>
      <c r="T1032" s="6" t="s">
        <v>823</v>
      </c>
      <c r="U1032" s="6">
        <v>2013</v>
      </c>
      <c r="V1032" s="6">
        <v>1</v>
      </c>
      <c r="AD1032" s="6" t="s">
        <v>45</v>
      </c>
      <c r="AJ1032" s="31" t="s">
        <v>2113</v>
      </c>
      <c r="AK1032" s="6">
        <v>1</v>
      </c>
      <c r="AL1032" s="26">
        <v>330000</v>
      </c>
      <c r="AM1032" s="26">
        <v>330000</v>
      </c>
      <c r="AN1032" s="26">
        <v>330000</v>
      </c>
      <c r="AO1032" s="6" t="s">
        <v>2003</v>
      </c>
      <c r="AQ1032" s="6" t="s">
        <v>49</v>
      </c>
      <c r="AU1032" s="6">
        <v>226739</v>
      </c>
    </row>
    <row r="1033" spans="1:47" x14ac:dyDescent="0.3">
      <c r="A1033" s="28" t="s">
        <v>42</v>
      </c>
      <c r="B1033" s="6" t="s">
        <v>2186</v>
      </c>
      <c r="C1033" s="6" t="s">
        <v>1980</v>
      </c>
      <c r="D1033" s="6" t="s">
        <v>2103</v>
      </c>
      <c r="E1033" s="6">
        <v>1</v>
      </c>
      <c r="F1033" s="6" t="s">
        <v>2004</v>
      </c>
      <c r="G1033" s="6" t="s">
        <v>2005</v>
      </c>
      <c r="H1033" s="6" t="s">
        <v>2005</v>
      </c>
      <c r="I1033" s="6" t="str">
        <f t="shared" si="32"/>
        <v>Small Bucket</v>
      </c>
      <c r="J1033" s="6" t="s">
        <v>139</v>
      </c>
      <c r="K1033" s="6">
        <v>1</v>
      </c>
      <c r="P1033" s="6">
        <f t="shared" si="33"/>
        <v>900000</v>
      </c>
      <c r="R1033" s="6" t="s">
        <v>2003</v>
      </c>
      <c r="T1033" s="6" t="s">
        <v>817</v>
      </c>
      <c r="U1033" s="6">
        <v>2013</v>
      </c>
      <c r="V1033" s="6">
        <v>1</v>
      </c>
      <c r="AD1033" s="6" t="s">
        <v>45</v>
      </c>
      <c r="AJ1033" s="31" t="s">
        <v>2125</v>
      </c>
      <c r="AK1033" s="6">
        <v>1</v>
      </c>
      <c r="AL1033" s="26">
        <v>800000</v>
      </c>
      <c r="AM1033" s="26">
        <v>800000</v>
      </c>
      <c r="AN1033" s="26">
        <v>800000</v>
      </c>
      <c r="AO1033" s="6" t="s">
        <v>2003</v>
      </c>
      <c r="AQ1033" s="6" t="s">
        <v>1146</v>
      </c>
      <c r="AU1033" s="6">
        <v>226741</v>
      </c>
    </row>
    <row r="1034" spans="1:47" x14ac:dyDescent="0.3">
      <c r="A1034" s="28" t="s">
        <v>42</v>
      </c>
      <c r="B1034" s="6" t="s">
        <v>2186</v>
      </c>
      <c r="C1034" s="6" t="s">
        <v>1976</v>
      </c>
      <c r="D1034" s="6" t="s">
        <v>2100</v>
      </c>
      <c r="E1034" s="6">
        <v>1</v>
      </c>
      <c r="F1034" s="6" t="s">
        <v>2004</v>
      </c>
      <c r="G1034" s="6" t="s">
        <v>2005</v>
      </c>
      <c r="H1034" s="6" t="s">
        <v>2005</v>
      </c>
      <c r="I1034" s="6" t="str">
        <f t="shared" si="32"/>
        <v>Skeleton Bucket</v>
      </c>
      <c r="J1034" s="6" t="s">
        <v>767</v>
      </c>
      <c r="K1034" s="6">
        <v>1</v>
      </c>
      <c r="P1034" s="6">
        <f t="shared" si="33"/>
        <v>400000</v>
      </c>
      <c r="R1034" s="6" t="s">
        <v>2003</v>
      </c>
      <c r="T1034" s="6" t="s">
        <v>1115</v>
      </c>
      <c r="U1034" s="6">
        <v>2014</v>
      </c>
      <c r="V1034" s="6">
        <v>1</v>
      </c>
      <c r="AD1034" s="6" t="s">
        <v>45</v>
      </c>
      <c r="AJ1034" s="31" t="s">
        <v>2119</v>
      </c>
      <c r="AK1034" s="6">
        <v>1</v>
      </c>
      <c r="AL1034" s="26">
        <v>350000</v>
      </c>
      <c r="AM1034" s="26">
        <v>350000</v>
      </c>
      <c r="AN1034" s="26">
        <v>350000</v>
      </c>
      <c r="AO1034" s="6" t="s">
        <v>2003</v>
      </c>
      <c r="AQ1034" s="6" t="s">
        <v>1233</v>
      </c>
      <c r="AU1034" s="6">
        <v>226743</v>
      </c>
    </row>
    <row r="1035" spans="1:47" x14ac:dyDescent="0.3">
      <c r="A1035" s="28" t="s">
        <v>42</v>
      </c>
      <c r="B1035" s="6" t="s">
        <v>2187</v>
      </c>
      <c r="C1035" s="6" t="s">
        <v>1972</v>
      </c>
      <c r="D1035" s="6" t="s">
        <v>2104</v>
      </c>
      <c r="E1035" s="6">
        <v>1</v>
      </c>
      <c r="F1035" s="6" t="s">
        <v>2004</v>
      </c>
      <c r="G1035" s="6" t="s">
        <v>2005</v>
      </c>
      <c r="H1035" s="6" t="s">
        <v>2005</v>
      </c>
      <c r="I1035" s="6" t="str">
        <f t="shared" si="32"/>
        <v>Stone Grapple</v>
      </c>
      <c r="J1035" s="6" t="s">
        <v>120</v>
      </c>
      <c r="K1035" s="6">
        <v>1</v>
      </c>
      <c r="P1035" s="6">
        <f t="shared" si="33"/>
        <v>5500000</v>
      </c>
      <c r="R1035" s="6" t="s">
        <v>2003</v>
      </c>
      <c r="T1035" s="6" t="s">
        <v>1116</v>
      </c>
      <c r="U1035" s="6">
        <v>2014</v>
      </c>
      <c r="V1035" s="6">
        <v>1</v>
      </c>
      <c r="AD1035" s="6" t="s">
        <v>45</v>
      </c>
      <c r="AJ1035" s="31" t="s">
        <v>2118</v>
      </c>
      <c r="AK1035" s="6">
        <v>1</v>
      </c>
      <c r="AL1035" s="26">
        <v>5000000</v>
      </c>
      <c r="AM1035" s="26">
        <v>5000000</v>
      </c>
      <c r="AN1035" s="26">
        <v>5000000</v>
      </c>
      <c r="AO1035" s="6" t="s">
        <v>2003</v>
      </c>
      <c r="AQ1035" s="6" t="s">
        <v>67</v>
      </c>
      <c r="AU1035" s="6">
        <v>226746</v>
      </c>
    </row>
    <row r="1036" spans="1:47" x14ac:dyDescent="0.3">
      <c r="A1036" s="28" t="s">
        <v>42</v>
      </c>
      <c r="B1036" s="6" t="s">
        <v>2186</v>
      </c>
      <c r="C1036" s="6" t="s">
        <v>1980</v>
      </c>
      <c r="D1036" s="6" t="s">
        <v>2100</v>
      </c>
      <c r="E1036" s="6">
        <v>1</v>
      </c>
      <c r="F1036" s="6" t="s">
        <v>2004</v>
      </c>
      <c r="G1036" s="6" t="s">
        <v>2005</v>
      </c>
      <c r="H1036" s="6" t="s">
        <v>2005</v>
      </c>
      <c r="I1036" s="6" t="str">
        <f t="shared" si="32"/>
        <v>Small Bucket</v>
      </c>
      <c r="J1036" s="6" t="s">
        <v>328</v>
      </c>
      <c r="K1036" s="6">
        <v>1</v>
      </c>
      <c r="P1036" s="6">
        <f t="shared" si="33"/>
        <v>270000</v>
      </c>
      <c r="R1036" s="6" t="s">
        <v>2003</v>
      </c>
      <c r="T1036" s="6" t="s">
        <v>1117</v>
      </c>
      <c r="U1036" s="6">
        <v>2016</v>
      </c>
      <c r="V1036" s="6">
        <v>1</v>
      </c>
      <c r="AD1036" s="6" t="s">
        <v>45</v>
      </c>
      <c r="AJ1036" s="31" t="s">
        <v>2112</v>
      </c>
      <c r="AK1036" s="6">
        <v>1</v>
      </c>
      <c r="AL1036" s="26">
        <v>220000</v>
      </c>
      <c r="AM1036" s="26">
        <v>220000</v>
      </c>
      <c r="AN1036" s="26">
        <v>220000</v>
      </c>
      <c r="AO1036" s="6" t="s">
        <v>2003</v>
      </c>
      <c r="AQ1036" s="6" t="s">
        <v>1142</v>
      </c>
      <c r="AU1036" s="6">
        <v>226753</v>
      </c>
    </row>
    <row r="1037" spans="1:47" x14ac:dyDescent="0.3">
      <c r="A1037" s="28" t="s">
        <v>42</v>
      </c>
      <c r="B1037" s="6" t="s">
        <v>2203</v>
      </c>
      <c r="D1037" s="6" t="s">
        <v>2100</v>
      </c>
      <c r="E1037" s="6">
        <v>1</v>
      </c>
      <c r="F1037" s="6" t="s">
        <v>2004</v>
      </c>
      <c r="G1037" s="6" t="s">
        <v>2005</v>
      </c>
      <c r="H1037" s="6" t="s">
        <v>2005</v>
      </c>
      <c r="I1037" s="6" t="str">
        <f t="shared" si="32"/>
        <v>Shear&amp;Cutter</v>
      </c>
      <c r="J1037" s="6" t="s">
        <v>768</v>
      </c>
      <c r="K1037" s="6">
        <v>1</v>
      </c>
      <c r="P1037" s="6">
        <f t="shared" si="33"/>
        <v>9500000</v>
      </c>
      <c r="R1037" s="6" t="s">
        <v>2003</v>
      </c>
      <c r="T1037" s="6" t="s">
        <v>1118</v>
      </c>
      <c r="U1037" s="6">
        <v>2017</v>
      </c>
      <c r="V1037" s="6">
        <v>2</v>
      </c>
      <c r="AD1037" s="6" t="s">
        <v>45</v>
      </c>
      <c r="AJ1037" s="31" t="s">
        <v>2116</v>
      </c>
      <c r="AK1037" s="6">
        <v>1</v>
      </c>
      <c r="AL1037" s="26">
        <v>9000000</v>
      </c>
      <c r="AM1037" s="26">
        <v>9000000</v>
      </c>
      <c r="AN1037" s="26">
        <v>9000000</v>
      </c>
      <c r="AO1037" s="6" t="s">
        <v>2003</v>
      </c>
      <c r="AQ1037" s="6" t="s">
        <v>1277</v>
      </c>
      <c r="AU1037" s="6">
        <v>226769</v>
      </c>
    </row>
    <row r="1038" spans="1:47" x14ac:dyDescent="0.3">
      <c r="A1038" s="28" t="s">
        <v>42</v>
      </c>
      <c r="B1038" s="6" t="s">
        <v>2186</v>
      </c>
      <c r="C1038" s="6" t="s">
        <v>1977</v>
      </c>
      <c r="D1038" s="6" t="s">
        <v>2104</v>
      </c>
      <c r="E1038" s="6">
        <v>1</v>
      </c>
      <c r="F1038" s="6" t="s">
        <v>2004</v>
      </c>
      <c r="G1038" s="6" t="s">
        <v>2005</v>
      </c>
      <c r="H1038" s="6" t="s">
        <v>2005</v>
      </c>
      <c r="I1038" s="6" t="str">
        <f t="shared" si="32"/>
        <v>Wide Bucket</v>
      </c>
      <c r="J1038" s="6" t="s">
        <v>264</v>
      </c>
      <c r="K1038" s="6">
        <v>1</v>
      </c>
      <c r="P1038" s="6">
        <f t="shared" si="33"/>
        <v>1200000</v>
      </c>
      <c r="R1038" s="6" t="s">
        <v>2003</v>
      </c>
      <c r="T1038" s="6" t="s">
        <v>823</v>
      </c>
      <c r="U1038" s="6">
        <v>2014</v>
      </c>
      <c r="V1038" s="6">
        <v>1</v>
      </c>
      <c r="AD1038" s="6" t="s">
        <v>45</v>
      </c>
      <c r="AJ1038" s="31" t="s">
        <v>2113</v>
      </c>
      <c r="AK1038" s="6">
        <v>1</v>
      </c>
      <c r="AL1038" s="26">
        <v>1100000</v>
      </c>
      <c r="AM1038" s="26">
        <v>1100000</v>
      </c>
      <c r="AN1038" s="26">
        <v>1100000</v>
      </c>
      <c r="AO1038" s="6" t="s">
        <v>2003</v>
      </c>
      <c r="AQ1038" s="6" t="s">
        <v>49</v>
      </c>
      <c r="AU1038" s="6">
        <v>226771</v>
      </c>
    </row>
    <row r="1039" spans="1:47" x14ac:dyDescent="0.3">
      <c r="A1039" s="28" t="s">
        <v>42</v>
      </c>
      <c r="B1039" s="6" t="s">
        <v>2204</v>
      </c>
      <c r="C1039" s="6" t="s">
        <v>1979</v>
      </c>
      <c r="D1039" s="6" t="s">
        <v>2103</v>
      </c>
      <c r="E1039" s="6">
        <v>1</v>
      </c>
      <c r="F1039" s="6" t="s">
        <v>2004</v>
      </c>
      <c r="G1039" s="6" t="s">
        <v>2005</v>
      </c>
      <c r="H1039" s="6" t="s">
        <v>2005</v>
      </c>
      <c r="I1039" s="6" t="str">
        <f t="shared" si="32"/>
        <v>Thumb Grapple</v>
      </c>
      <c r="J1039" s="6" t="s">
        <v>769</v>
      </c>
      <c r="K1039" s="6">
        <v>1</v>
      </c>
      <c r="P1039" s="6">
        <f t="shared" si="33"/>
        <v>1100000</v>
      </c>
      <c r="R1039" s="6" t="s">
        <v>2003</v>
      </c>
      <c r="T1039" s="6" t="s">
        <v>1119</v>
      </c>
      <c r="U1039" s="6">
        <v>2012</v>
      </c>
      <c r="V1039" s="6">
        <v>1</v>
      </c>
      <c r="AD1039" s="6" t="s">
        <v>45</v>
      </c>
      <c r="AJ1039" s="31" t="s">
        <v>2116</v>
      </c>
      <c r="AK1039" s="6">
        <v>1</v>
      </c>
      <c r="AL1039" s="26">
        <v>1000000</v>
      </c>
      <c r="AM1039" s="26">
        <v>1000000</v>
      </c>
      <c r="AN1039" s="26">
        <v>1000000</v>
      </c>
      <c r="AO1039" s="6" t="s">
        <v>2003</v>
      </c>
      <c r="AQ1039" s="6" t="s">
        <v>1146</v>
      </c>
      <c r="AU1039" s="6">
        <v>226773</v>
      </c>
    </row>
    <row r="1040" spans="1:47" x14ac:dyDescent="0.3">
      <c r="A1040" s="28" t="s">
        <v>42</v>
      </c>
      <c r="B1040" s="6" t="s">
        <v>2186</v>
      </c>
      <c r="C1040" s="6" t="s">
        <v>1976</v>
      </c>
      <c r="D1040" s="6" t="s">
        <v>2104</v>
      </c>
      <c r="E1040" s="6">
        <v>1</v>
      </c>
      <c r="F1040" s="6" t="s">
        <v>2004</v>
      </c>
      <c r="G1040" s="6" t="s">
        <v>2005</v>
      </c>
      <c r="H1040" s="6" t="s">
        <v>2005</v>
      </c>
      <c r="I1040" s="6" t="str">
        <f t="shared" si="32"/>
        <v>Skeleton Bucket</v>
      </c>
      <c r="J1040" s="6" t="s">
        <v>62</v>
      </c>
      <c r="K1040" s="6">
        <v>1</v>
      </c>
      <c r="P1040" s="6">
        <f t="shared" si="33"/>
        <v>950000</v>
      </c>
      <c r="R1040" s="6" t="s">
        <v>2003</v>
      </c>
      <c r="T1040" s="6" t="s">
        <v>2012</v>
      </c>
      <c r="U1040" s="6">
        <v>2013</v>
      </c>
      <c r="V1040" s="6">
        <v>1</v>
      </c>
      <c r="AD1040" s="6" t="s">
        <v>45</v>
      </c>
      <c r="AJ1040" s="31" t="s">
        <v>2113</v>
      </c>
      <c r="AK1040" s="6">
        <v>1</v>
      </c>
      <c r="AL1040" s="26">
        <v>850000</v>
      </c>
      <c r="AM1040" s="26">
        <v>850000</v>
      </c>
      <c r="AN1040" s="26">
        <v>850000</v>
      </c>
      <c r="AO1040" s="6" t="s">
        <v>2003</v>
      </c>
      <c r="AQ1040" s="6" t="s">
        <v>49</v>
      </c>
      <c r="AU1040" s="6">
        <v>226794</v>
      </c>
    </row>
    <row r="1041" spans="1:47" x14ac:dyDescent="0.3">
      <c r="A1041" s="28" t="s">
        <v>42</v>
      </c>
      <c r="B1041" s="6" t="s">
        <v>2186</v>
      </c>
      <c r="C1041" s="6" t="s">
        <v>1976</v>
      </c>
      <c r="D1041" s="6" t="s">
        <v>2104</v>
      </c>
      <c r="E1041" s="6">
        <v>1</v>
      </c>
      <c r="F1041" s="6" t="s">
        <v>2004</v>
      </c>
      <c r="G1041" s="6" t="s">
        <v>2005</v>
      </c>
      <c r="H1041" s="6" t="s">
        <v>2005</v>
      </c>
      <c r="I1041" s="6" t="str">
        <f t="shared" si="32"/>
        <v>Skeleton Bucket</v>
      </c>
      <c r="J1041" s="6" t="s">
        <v>455</v>
      </c>
      <c r="K1041" s="6">
        <v>1</v>
      </c>
      <c r="P1041" s="6">
        <f t="shared" si="33"/>
        <v>900000</v>
      </c>
      <c r="R1041" s="6" t="s">
        <v>2003</v>
      </c>
      <c r="T1041" s="6" t="s">
        <v>823</v>
      </c>
      <c r="U1041" s="6">
        <v>2013</v>
      </c>
      <c r="V1041" s="6">
        <v>1</v>
      </c>
      <c r="AD1041" s="6" t="s">
        <v>45</v>
      </c>
      <c r="AJ1041" s="31" t="s">
        <v>2113</v>
      </c>
      <c r="AK1041" s="6">
        <v>1</v>
      </c>
      <c r="AL1041" s="26">
        <v>800000</v>
      </c>
      <c r="AM1041" s="26">
        <v>800000</v>
      </c>
      <c r="AN1041" s="26">
        <v>800000</v>
      </c>
      <c r="AO1041" s="6" t="s">
        <v>2003</v>
      </c>
      <c r="AQ1041" s="6" t="s">
        <v>49</v>
      </c>
      <c r="AU1041" s="6">
        <v>226795</v>
      </c>
    </row>
    <row r="1042" spans="1:47" x14ac:dyDescent="0.3">
      <c r="A1042" s="28" t="s">
        <v>42</v>
      </c>
      <c r="B1042" s="6" t="s">
        <v>2186</v>
      </c>
      <c r="C1042" s="6" t="s">
        <v>1977</v>
      </c>
      <c r="D1042" s="6" t="s">
        <v>2100</v>
      </c>
      <c r="E1042" s="6">
        <v>1</v>
      </c>
      <c r="F1042" s="6" t="s">
        <v>2004</v>
      </c>
      <c r="G1042" s="6" t="s">
        <v>2005</v>
      </c>
      <c r="H1042" s="6" t="s">
        <v>2005</v>
      </c>
      <c r="I1042" s="6" t="str">
        <f t="shared" si="32"/>
        <v>Wide Bucket</v>
      </c>
      <c r="J1042" s="6" t="s">
        <v>64</v>
      </c>
      <c r="K1042" s="6">
        <v>1</v>
      </c>
      <c r="P1042" s="6">
        <f t="shared" si="33"/>
        <v>420000</v>
      </c>
      <c r="R1042" s="6" t="s">
        <v>2003</v>
      </c>
      <c r="T1042" s="6" t="s">
        <v>1120</v>
      </c>
      <c r="U1042" s="6">
        <v>2015</v>
      </c>
      <c r="V1042" s="6">
        <v>2</v>
      </c>
      <c r="AD1042" s="6" t="s">
        <v>45</v>
      </c>
      <c r="AJ1042" s="31" t="s">
        <v>2112</v>
      </c>
      <c r="AK1042" s="6">
        <v>1</v>
      </c>
      <c r="AL1042" s="26">
        <v>370000</v>
      </c>
      <c r="AM1042" s="26">
        <v>370000</v>
      </c>
      <c r="AN1042" s="26">
        <v>370000</v>
      </c>
      <c r="AO1042" s="6" t="s">
        <v>2003</v>
      </c>
      <c r="AQ1042" s="6" t="s">
        <v>1169</v>
      </c>
      <c r="AU1042" s="6">
        <v>226797</v>
      </c>
    </row>
    <row r="1043" spans="1:47" x14ac:dyDescent="0.3">
      <c r="A1043" s="28" t="s">
        <v>42</v>
      </c>
      <c r="B1043" s="6" t="s">
        <v>2185</v>
      </c>
      <c r="D1043" s="6" t="s">
        <v>2101</v>
      </c>
      <c r="E1043" s="6">
        <v>1</v>
      </c>
      <c r="F1043" s="6" t="s">
        <v>2004</v>
      </c>
      <c r="G1043" s="6" t="s">
        <v>2005</v>
      </c>
      <c r="H1043" s="6" t="s">
        <v>2005</v>
      </c>
      <c r="I1043" s="6" t="str">
        <f t="shared" si="32"/>
        <v>ETC</v>
      </c>
      <c r="J1043" s="6" t="s">
        <v>675</v>
      </c>
      <c r="K1043" s="6">
        <v>1</v>
      </c>
      <c r="P1043" s="6">
        <f t="shared" si="33"/>
        <v>3700000</v>
      </c>
      <c r="R1043" s="6" t="s">
        <v>2003</v>
      </c>
      <c r="T1043" s="6" t="s">
        <v>1885</v>
      </c>
      <c r="U1043" s="6">
        <v>2007</v>
      </c>
      <c r="V1043" s="6">
        <v>1</v>
      </c>
      <c r="AD1043" s="6" t="s">
        <v>45</v>
      </c>
      <c r="AJ1043" s="31" t="s">
        <v>2117</v>
      </c>
      <c r="AK1043" s="6">
        <v>1</v>
      </c>
      <c r="AL1043" s="26">
        <v>3500000</v>
      </c>
      <c r="AM1043" s="26">
        <v>3500000</v>
      </c>
      <c r="AN1043" s="26">
        <v>3500000</v>
      </c>
      <c r="AO1043" s="6" t="s">
        <v>2003</v>
      </c>
      <c r="AQ1043" s="6" t="s">
        <v>1300</v>
      </c>
      <c r="AU1043" s="6">
        <v>226802</v>
      </c>
    </row>
    <row r="1044" spans="1:47" x14ac:dyDescent="0.3">
      <c r="A1044" s="28" t="s">
        <v>42</v>
      </c>
      <c r="B1044" s="6" t="s">
        <v>2187</v>
      </c>
      <c r="C1044" s="6" t="s">
        <v>1972</v>
      </c>
      <c r="D1044" s="6" t="s">
        <v>2104</v>
      </c>
      <c r="E1044" s="6">
        <v>1</v>
      </c>
      <c r="F1044" s="6" t="s">
        <v>2004</v>
      </c>
      <c r="G1044" s="6" t="s">
        <v>2005</v>
      </c>
      <c r="H1044" s="6" t="s">
        <v>2005</v>
      </c>
      <c r="I1044" s="6" t="str">
        <f t="shared" si="32"/>
        <v>Stone Grapple</v>
      </c>
      <c r="J1044" s="6" t="s">
        <v>44</v>
      </c>
      <c r="K1044" s="6">
        <v>1</v>
      </c>
      <c r="P1044" s="6">
        <f t="shared" si="33"/>
        <v>3400000</v>
      </c>
      <c r="R1044" s="6" t="s">
        <v>2003</v>
      </c>
      <c r="T1044" s="6" t="s">
        <v>1122</v>
      </c>
      <c r="U1044" s="6">
        <v>2016</v>
      </c>
      <c r="V1044" s="6">
        <v>1</v>
      </c>
      <c r="AD1044" s="6" t="s">
        <v>45</v>
      </c>
      <c r="AJ1044" s="31" t="s">
        <v>2118</v>
      </c>
      <c r="AK1044" s="6">
        <v>1</v>
      </c>
      <c r="AL1044" s="26">
        <v>3200000</v>
      </c>
      <c r="AM1044" s="26">
        <v>3200000</v>
      </c>
      <c r="AN1044" s="26">
        <v>3200000</v>
      </c>
      <c r="AO1044" s="6" t="s">
        <v>2003</v>
      </c>
      <c r="AQ1044" s="6" t="s">
        <v>63</v>
      </c>
      <c r="AU1044" s="6">
        <v>226811</v>
      </c>
    </row>
    <row r="1045" spans="1:47" x14ac:dyDescent="0.3">
      <c r="A1045" s="28" t="s">
        <v>42</v>
      </c>
      <c r="B1045" s="6" t="s">
        <v>2189</v>
      </c>
      <c r="D1045" s="6" t="s">
        <v>2105</v>
      </c>
      <c r="E1045" s="6">
        <v>1</v>
      </c>
      <c r="F1045" s="6" t="s">
        <v>2004</v>
      </c>
      <c r="G1045" s="6" t="s">
        <v>2005</v>
      </c>
      <c r="H1045" s="6" t="s">
        <v>2005</v>
      </c>
      <c r="I1045" s="6" t="str">
        <f t="shared" si="32"/>
        <v>Quick Coupler</v>
      </c>
      <c r="J1045" s="6" t="s">
        <v>290</v>
      </c>
      <c r="K1045" s="6">
        <v>1</v>
      </c>
      <c r="P1045" s="6">
        <f t="shared" si="33"/>
        <v>1200000</v>
      </c>
      <c r="R1045" s="6" t="s">
        <v>2003</v>
      </c>
      <c r="T1045" s="6" t="s">
        <v>813</v>
      </c>
      <c r="U1045" s="6">
        <v>2013</v>
      </c>
      <c r="V1045" s="6">
        <v>1</v>
      </c>
      <c r="AD1045" s="6" t="s">
        <v>45</v>
      </c>
      <c r="AJ1045" s="31" t="s">
        <v>2113</v>
      </c>
      <c r="AK1045" s="6">
        <v>1</v>
      </c>
      <c r="AL1045" s="26">
        <v>1100000</v>
      </c>
      <c r="AM1045" s="26">
        <v>1100000</v>
      </c>
      <c r="AN1045" s="26">
        <v>1100000</v>
      </c>
      <c r="AO1045" s="6" t="s">
        <v>2003</v>
      </c>
      <c r="AQ1045" s="6" t="s">
        <v>80</v>
      </c>
      <c r="AU1045" s="6">
        <v>226817</v>
      </c>
    </row>
    <row r="1046" spans="1:47" x14ac:dyDescent="0.3">
      <c r="A1046" s="28" t="s">
        <v>42</v>
      </c>
      <c r="B1046" s="6" t="s">
        <v>2191</v>
      </c>
      <c r="C1046" s="6" t="s">
        <v>1975</v>
      </c>
      <c r="D1046" s="6" t="s">
        <v>2100</v>
      </c>
      <c r="E1046" s="6">
        <v>1</v>
      </c>
      <c r="F1046" s="6" t="s">
        <v>2004</v>
      </c>
      <c r="G1046" s="6" t="s">
        <v>2005</v>
      </c>
      <c r="H1046" s="6" t="s">
        <v>2005</v>
      </c>
      <c r="I1046" s="6" t="str">
        <f t="shared" si="32"/>
        <v>Side Breaker</v>
      </c>
      <c r="J1046" s="6" t="s">
        <v>212</v>
      </c>
      <c r="K1046" s="6">
        <v>1</v>
      </c>
      <c r="P1046" s="6">
        <f t="shared" si="33"/>
        <v>1600000</v>
      </c>
      <c r="R1046" s="6" t="s">
        <v>2003</v>
      </c>
      <c r="T1046" s="6" t="s">
        <v>794</v>
      </c>
      <c r="U1046" s="6">
        <v>2016</v>
      </c>
      <c r="V1046" s="6">
        <v>1</v>
      </c>
      <c r="AD1046" s="6" t="s">
        <v>45</v>
      </c>
      <c r="AJ1046" s="31" t="s">
        <v>2122</v>
      </c>
      <c r="AK1046" s="6">
        <v>1</v>
      </c>
      <c r="AL1046" s="26">
        <v>1500000</v>
      </c>
      <c r="AM1046" s="26">
        <v>1500000</v>
      </c>
      <c r="AN1046" s="26">
        <v>1500000</v>
      </c>
      <c r="AO1046" s="6" t="s">
        <v>2003</v>
      </c>
      <c r="AQ1046" s="6" t="s">
        <v>1154</v>
      </c>
      <c r="AU1046" s="6">
        <v>226821</v>
      </c>
    </row>
    <row r="1047" spans="1:47" x14ac:dyDescent="0.3">
      <c r="A1047" s="28" t="s">
        <v>42</v>
      </c>
      <c r="B1047" s="6" t="s">
        <v>2191</v>
      </c>
      <c r="C1047" s="6" t="s">
        <v>1975</v>
      </c>
      <c r="D1047" s="6" t="s">
        <v>2104</v>
      </c>
      <c r="E1047" s="6">
        <v>1</v>
      </c>
      <c r="F1047" s="6" t="s">
        <v>2004</v>
      </c>
      <c r="G1047" s="6" t="s">
        <v>2005</v>
      </c>
      <c r="H1047" s="6" t="s">
        <v>2005</v>
      </c>
      <c r="I1047" s="6" t="str">
        <f t="shared" si="32"/>
        <v>Side Breaker</v>
      </c>
      <c r="J1047" s="6" t="s">
        <v>119</v>
      </c>
      <c r="K1047" s="6">
        <v>1</v>
      </c>
      <c r="P1047" s="6">
        <f t="shared" si="33"/>
        <v>4700000</v>
      </c>
      <c r="R1047" s="6" t="s">
        <v>2003</v>
      </c>
      <c r="T1047" s="6" t="s">
        <v>824</v>
      </c>
      <c r="U1047" s="6">
        <v>2015</v>
      </c>
      <c r="V1047" s="6">
        <v>1</v>
      </c>
      <c r="AD1047" s="6" t="s">
        <v>45</v>
      </c>
      <c r="AJ1047" s="31" t="s">
        <v>2113</v>
      </c>
      <c r="AK1047" s="6">
        <v>1</v>
      </c>
      <c r="AL1047" s="26">
        <v>4500000</v>
      </c>
      <c r="AM1047" s="26">
        <v>4500000</v>
      </c>
      <c r="AN1047" s="26">
        <v>4500000</v>
      </c>
      <c r="AO1047" s="6" t="s">
        <v>2003</v>
      </c>
      <c r="AQ1047" s="6" t="s">
        <v>71</v>
      </c>
      <c r="AU1047" s="6">
        <v>226822</v>
      </c>
    </row>
    <row r="1048" spans="1:47" x14ac:dyDescent="0.3">
      <c r="A1048" s="28" t="s">
        <v>42</v>
      </c>
      <c r="B1048" s="6" t="s">
        <v>2186</v>
      </c>
      <c r="C1048" s="6" t="s">
        <v>1971</v>
      </c>
      <c r="D1048" s="6" t="s">
        <v>2105</v>
      </c>
      <c r="E1048" s="6">
        <v>1</v>
      </c>
      <c r="F1048" s="6" t="s">
        <v>2004</v>
      </c>
      <c r="G1048" s="6" t="s">
        <v>2005</v>
      </c>
      <c r="H1048" s="6" t="s">
        <v>2005</v>
      </c>
      <c r="I1048" s="6" t="str">
        <f t="shared" si="32"/>
        <v>Special Bucket</v>
      </c>
      <c r="J1048" s="6" t="s">
        <v>344</v>
      </c>
      <c r="K1048" s="6">
        <v>1</v>
      </c>
      <c r="P1048" s="6">
        <f t="shared" si="33"/>
        <v>2700000</v>
      </c>
      <c r="R1048" s="6" t="s">
        <v>2003</v>
      </c>
      <c r="T1048" s="6" t="s">
        <v>813</v>
      </c>
      <c r="U1048" s="6">
        <v>2013</v>
      </c>
      <c r="V1048" s="6">
        <v>1</v>
      </c>
      <c r="AD1048" s="6" t="s">
        <v>45</v>
      </c>
      <c r="AJ1048" s="31" t="s">
        <v>2113</v>
      </c>
      <c r="AK1048" s="6">
        <v>1</v>
      </c>
      <c r="AL1048" s="26">
        <v>2500000</v>
      </c>
      <c r="AM1048" s="26">
        <v>2500000</v>
      </c>
      <c r="AN1048" s="26">
        <v>2500000</v>
      </c>
      <c r="AO1048" s="6" t="s">
        <v>2003</v>
      </c>
      <c r="AQ1048" s="6" t="s">
        <v>79</v>
      </c>
      <c r="AU1048" s="6">
        <v>226823</v>
      </c>
    </row>
    <row r="1049" spans="1:47" x14ac:dyDescent="0.3">
      <c r="A1049" s="28" t="s">
        <v>42</v>
      </c>
      <c r="B1049" s="6" t="s">
        <v>2203</v>
      </c>
      <c r="D1049" s="6" t="s">
        <v>2105</v>
      </c>
      <c r="E1049" s="6">
        <v>1</v>
      </c>
      <c r="F1049" s="6" t="s">
        <v>2004</v>
      </c>
      <c r="G1049" s="6" t="s">
        <v>2005</v>
      </c>
      <c r="H1049" s="6" t="s">
        <v>2005</v>
      </c>
      <c r="I1049" s="6" t="str">
        <f t="shared" si="32"/>
        <v>Shear&amp;Cutter</v>
      </c>
      <c r="J1049" s="6" t="s">
        <v>216</v>
      </c>
      <c r="K1049" s="6">
        <v>1</v>
      </c>
      <c r="P1049" s="6">
        <f t="shared" si="33"/>
        <v>15500000</v>
      </c>
      <c r="R1049" s="6" t="s">
        <v>2003</v>
      </c>
      <c r="T1049" s="6" t="s">
        <v>813</v>
      </c>
      <c r="U1049" s="6">
        <v>2014</v>
      </c>
      <c r="V1049" s="6">
        <v>1</v>
      </c>
      <c r="AD1049" s="6" t="s">
        <v>45</v>
      </c>
      <c r="AJ1049" s="31" t="s">
        <v>2113</v>
      </c>
      <c r="AK1049" s="6">
        <v>1</v>
      </c>
      <c r="AL1049" s="26">
        <v>15000000</v>
      </c>
      <c r="AM1049" s="26">
        <v>15000000</v>
      </c>
      <c r="AN1049" s="26">
        <v>15000000</v>
      </c>
      <c r="AO1049" s="6" t="s">
        <v>2003</v>
      </c>
      <c r="AQ1049" s="6" t="s">
        <v>80</v>
      </c>
      <c r="AU1049" s="6">
        <v>226824</v>
      </c>
    </row>
    <row r="1050" spans="1:47" x14ac:dyDescent="0.3">
      <c r="A1050" s="28" t="s">
        <v>42</v>
      </c>
      <c r="B1050" s="6" t="s">
        <v>2186</v>
      </c>
      <c r="C1050" s="6" t="s">
        <v>1976</v>
      </c>
      <c r="D1050" s="6" t="s">
        <v>2104</v>
      </c>
      <c r="E1050" s="6">
        <v>1</v>
      </c>
      <c r="F1050" s="6" t="s">
        <v>2004</v>
      </c>
      <c r="G1050" s="6" t="s">
        <v>2005</v>
      </c>
      <c r="H1050" s="6" t="s">
        <v>2005</v>
      </c>
      <c r="I1050" s="6" t="str">
        <f t="shared" si="32"/>
        <v>Skeleton Bucket</v>
      </c>
      <c r="J1050" s="6" t="s">
        <v>190</v>
      </c>
      <c r="K1050" s="6">
        <v>1</v>
      </c>
      <c r="P1050" s="6">
        <f t="shared" si="33"/>
        <v>1100000</v>
      </c>
      <c r="R1050" s="6" t="s">
        <v>2003</v>
      </c>
      <c r="T1050" s="6" t="s">
        <v>2057</v>
      </c>
      <c r="U1050" s="6">
        <v>2017</v>
      </c>
      <c r="V1050" s="6">
        <v>2</v>
      </c>
      <c r="AD1050" s="6" t="s">
        <v>45</v>
      </c>
      <c r="AJ1050" s="31" t="s">
        <v>2124</v>
      </c>
      <c r="AK1050" s="6">
        <v>1</v>
      </c>
      <c r="AL1050" s="26">
        <v>1000000</v>
      </c>
      <c r="AM1050" s="26">
        <v>1000000</v>
      </c>
      <c r="AN1050" s="26">
        <v>1000000</v>
      </c>
      <c r="AO1050" s="6" t="s">
        <v>2003</v>
      </c>
      <c r="AQ1050" s="6" t="s">
        <v>1144</v>
      </c>
      <c r="AU1050" s="6">
        <v>226825</v>
      </c>
    </row>
    <row r="1051" spans="1:47" x14ac:dyDescent="0.3">
      <c r="A1051" s="28" t="s">
        <v>42</v>
      </c>
      <c r="B1051" s="6" t="s">
        <v>2187</v>
      </c>
      <c r="C1051" s="6" t="s">
        <v>1972</v>
      </c>
      <c r="D1051" s="6" t="s">
        <v>2104</v>
      </c>
      <c r="E1051" s="6">
        <v>1</v>
      </c>
      <c r="F1051" s="6" t="s">
        <v>2004</v>
      </c>
      <c r="G1051" s="6" t="s">
        <v>2005</v>
      </c>
      <c r="H1051" s="6" t="s">
        <v>2005</v>
      </c>
      <c r="I1051" s="6" t="str">
        <f t="shared" si="32"/>
        <v>Stone Grapple</v>
      </c>
      <c r="J1051" s="6" t="s">
        <v>407</v>
      </c>
      <c r="K1051" s="6">
        <v>1</v>
      </c>
      <c r="P1051" s="6">
        <f t="shared" si="33"/>
        <v>2700000</v>
      </c>
      <c r="R1051" s="6" t="s">
        <v>2003</v>
      </c>
      <c r="T1051" s="6" t="s">
        <v>2007</v>
      </c>
      <c r="U1051" s="6">
        <v>2014</v>
      </c>
      <c r="V1051" s="6">
        <v>1</v>
      </c>
      <c r="AD1051" s="6" t="s">
        <v>45</v>
      </c>
      <c r="AJ1051" s="31" t="s">
        <v>2113</v>
      </c>
      <c r="AK1051" s="6">
        <v>1</v>
      </c>
      <c r="AL1051" s="26">
        <v>2500000</v>
      </c>
      <c r="AM1051" s="26">
        <v>2500000</v>
      </c>
      <c r="AN1051" s="26">
        <v>2500000</v>
      </c>
      <c r="AO1051" s="6" t="s">
        <v>2003</v>
      </c>
      <c r="AQ1051" s="6" t="s">
        <v>49</v>
      </c>
      <c r="AU1051" s="6">
        <v>226827</v>
      </c>
    </row>
    <row r="1052" spans="1:47" x14ac:dyDescent="0.3">
      <c r="A1052" s="28" t="s">
        <v>42</v>
      </c>
      <c r="B1052" s="6" t="s">
        <v>2191</v>
      </c>
      <c r="C1052" s="6" t="s">
        <v>1975</v>
      </c>
      <c r="D1052" s="6" t="s">
        <v>2109</v>
      </c>
      <c r="E1052" s="6">
        <v>1</v>
      </c>
      <c r="F1052" s="6" t="s">
        <v>2004</v>
      </c>
      <c r="G1052" s="6" t="s">
        <v>2005</v>
      </c>
      <c r="H1052" s="6" t="s">
        <v>2005</v>
      </c>
      <c r="I1052" s="6" t="str">
        <f t="shared" si="32"/>
        <v>Side Breaker</v>
      </c>
      <c r="J1052" s="6" t="s">
        <v>424</v>
      </c>
      <c r="K1052" s="6">
        <v>1</v>
      </c>
      <c r="P1052" s="6">
        <f t="shared" si="33"/>
        <v>1200000</v>
      </c>
      <c r="R1052" s="6" t="s">
        <v>2003</v>
      </c>
      <c r="T1052" s="6" t="s">
        <v>2007</v>
      </c>
      <c r="U1052" s="6">
        <v>2013</v>
      </c>
      <c r="V1052" s="6">
        <v>1</v>
      </c>
      <c r="AD1052" s="6" t="s">
        <v>45</v>
      </c>
      <c r="AJ1052" s="31" t="s">
        <v>2113</v>
      </c>
      <c r="AK1052" s="6">
        <v>1</v>
      </c>
      <c r="AL1052" s="26">
        <v>1100000</v>
      </c>
      <c r="AM1052" s="26">
        <v>1100000</v>
      </c>
      <c r="AN1052" s="26">
        <v>1100000</v>
      </c>
      <c r="AO1052" s="6" t="s">
        <v>2003</v>
      </c>
      <c r="AQ1052" s="6" t="s">
        <v>49</v>
      </c>
      <c r="AU1052" s="6">
        <v>226833</v>
      </c>
    </row>
    <row r="1053" spans="1:47" x14ac:dyDescent="0.3">
      <c r="A1053" s="28" t="s">
        <v>42</v>
      </c>
      <c r="B1053" s="6" t="s">
        <v>2191</v>
      </c>
      <c r="C1053" s="19" t="s">
        <v>2211</v>
      </c>
      <c r="D1053" s="6" t="s">
        <v>2100</v>
      </c>
      <c r="E1053" s="6">
        <v>1</v>
      </c>
      <c r="F1053" s="6" t="s">
        <v>2004</v>
      </c>
      <c r="G1053" s="6" t="s">
        <v>2005</v>
      </c>
      <c r="H1053" s="6" t="s">
        <v>2005</v>
      </c>
      <c r="I1053" s="6" t="str">
        <f t="shared" si="32"/>
        <v>Side Breaker</v>
      </c>
      <c r="J1053" s="6" t="s">
        <v>281</v>
      </c>
      <c r="K1053" s="6">
        <v>1</v>
      </c>
      <c r="P1053" s="6">
        <f t="shared" si="33"/>
        <v>1600000</v>
      </c>
      <c r="R1053" s="6" t="s">
        <v>2003</v>
      </c>
      <c r="T1053" s="6" t="s">
        <v>797</v>
      </c>
      <c r="U1053" s="6">
        <v>2015</v>
      </c>
      <c r="V1053" s="6">
        <v>7</v>
      </c>
      <c r="AD1053" s="6" t="s">
        <v>45</v>
      </c>
      <c r="AJ1053" s="31" t="s">
        <v>2120</v>
      </c>
      <c r="AK1053" s="6">
        <v>1</v>
      </c>
      <c r="AL1053" s="26">
        <v>1500000</v>
      </c>
      <c r="AM1053" s="26">
        <v>1500000</v>
      </c>
      <c r="AN1053" s="26">
        <v>1500000</v>
      </c>
      <c r="AO1053" s="6" t="s">
        <v>2003</v>
      </c>
      <c r="AQ1053" s="6" t="s">
        <v>1162</v>
      </c>
      <c r="AU1053" s="6">
        <v>226839</v>
      </c>
    </row>
    <row r="1054" spans="1:47" x14ac:dyDescent="0.3">
      <c r="A1054" s="28" t="s">
        <v>42</v>
      </c>
      <c r="B1054" s="6" t="s">
        <v>2195</v>
      </c>
      <c r="C1054" s="19" t="s">
        <v>2207</v>
      </c>
      <c r="D1054" s="6" t="s">
        <v>2105</v>
      </c>
      <c r="E1054" s="6">
        <v>1</v>
      </c>
      <c r="F1054" s="6" t="s">
        <v>2004</v>
      </c>
      <c r="G1054" s="6" t="s">
        <v>2005</v>
      </c>
      <c r="H1054" s="6" t="s">
        <v>2005</v>
      </c>
      <c r="I1054" s="6" t="str">
        <f t="shared" si="32"/>
        <v>Hydraulic Crusher</v>
      </c>
      <c r="J1054" s="6" t="s">
        <v>181</v>
      </c>
      <c r="K1054" s="6">
        <v>1</v>
      </c>
      <c r="P1054" s="6">
        <f t="shared" si="33"/>
        <v>17000000</v>
      </c>
      <c r="R1054" s="6" t="s">
        <v>2003</v>
      </c>
      <c r="T1054" s="6" t="s">
        <v>813</v>
      </c>
      <c r="U1054" s="6">
        <v>2014</v>
      </c>
      <c r="V1054" s="6">
        <v>1</v>
      </c>
      <c r="AD1054" s="6" t="s">
        <v>45</v>
      </c>
      <c r="AJ1054" s="31" t="s">
        <v>2113</v>
      </c>
      <c r="AK1054" s="6">
        <v>1</v>
      </c>
      <c r="AL1054" s="26">
        <v>16500000</v>
      </c>
      <c r="AM1054" s="26">
        <v>16500000</v>
      </c>
      <c r="AN1054" s="26">
        <v>16500000</v>
      </c>
      <c r="AO1054" s="6" t="s">
        <v>2003</v>
      </c>
      <c r="AQ1054" s="6" t="s">
        <v>79</v>
      </c>
      <c r="AU1054" s="6">
        <v>226840</v>
      </c>
    </row>
    <row r="1055" spans="1:47" x14ac:dyDescent="0.3">
      <c r="A1055" s="28" t="s">
        <v>42</v>
      </c>
      <c r="B1055" s="6" t="s">
        <v>2201</v>
      </c>
      <c r="C1055" s="6" t="s">
        <v>1978</v>
      </c>
      <c r="D1055" s="6" t="s">
        <v>2105</v>
      </c>
      <c r="E1055" s="6">
        <v>1</v>
      </c>
      <c r="F1055" s="6" t="s">
        <v>2004</v>
      </c>
      <c r="G1055" s="6" t="s">
        <v>2005</v>
      </c>
      <c r="H1055" s="6" t="s">
        <v>2005</v>
      </c>
      <c r="I1055" s="6" t="str">
        <f t="shared" si="32"/>
        <v>Hydraulic Pulverizer</v>
      </c>
      <c r="J1055" s="6" t="s">
        <v>258</v>
      </c>
      <c r="K1055" s="6">
        <v>1</v>
      </c>
      <c r="P1055" s="6">
        <f t="shared" si="33"/>
        <v>14000000</v>
      </c>
      <c r="R1055" s="6" t="s">
        <v>2003</v>
      </c>
      <c r="T1055" s="6" t="s">
        <v>813</v>
      </c>
      <c r="U1055" s="6">
        <v>2013</v>
      </c>
      <c r="V1055" s="6">
        <v>1</v>
      </c>
      <c r="AD1055" s="6" t="s">
        <v>45</v>
      </c>
      <c r="AJ1055" s="31" t="s">
        <v>2113</v>
      </c>
      <c r="AK1055" s="6">
        <v>1</v>
      </c>
      <c r="AL1055" s="26">
        <v>13500000</v>
      </c>
      <c r="AM1055" s="26">
        <v>13500000</v>
      </c>
      <c r="AN1055" s="26">
        <v>13500000</v>
      </c>
      <c r="AO1055" s="6" t="s">
        <v>2003</v>
      </c>
      <c r="AQ1055" s="6" t="s">
        <v>80</v>
      </c>
      <c r="AU1055" s="6">
        <v>226841</v>
      </c>
    </row>
    <row r="1056" spans="1:47" x14ac:dyDescent="0.3">
      <c r="A1056" s="28" t="s">
        <v>42</v>
      </c>
      <c r="B1056" s="6" t="s">
        <v>2177</v>
      </c>
      <c r="C1056" s="6" t="s">
        <v>1979</v>
      </c>
      <c r="D1056" s="6" t="s">
        <v>2104</v>
      </c>
      <c r="E1056" s="6">
        <v>1</v>
      </c>
      <c r="F1056" s="6" t="s">
        <v>2004</v>
      </c>
      <c r="G1056" s="6" t="s">
        <v>2005</v>
      </c>
      <c r="H1056" s="6" t="s">
        <v>2005</v>
      </c>
      <c r="I1056" s="6" t="str">
        <f t="shared" si="32"/>
        <v>Thumb Grapple</v>
      </c>
      <c r="J1056" s="6" t="s">
        <v>96</v>
      </c>
      <c r="K1056" s="6">
        <v>1</v>
      </c>
      <c r="P1056" s="6">
        <f t="shared" si="33"/>
        <v>1200000</v>
      </c>
      <c r="R1056" s="6" t="s">
        <v>2003</v>
      </c>
      <c r="T1056" s="6" t="s">
        <v>2007</v>
      </c>
      <c r="U1056" s="6">
        <v>2013</v>
      </c>
      <c r="V1056" s="6">
        <v>1</v>
      </c>
      <c r="AD1056" s="6" t="s">
        <v>45</v>
      </c>
      <c r="AJ1056" s="31" t="s">
        <v>2113</v>
      </c>
      <c r="AK1056" s="6">
        <v>1</v>
      </c>
      <c r="AL1056" s="26">
        <v>1100000</v>
      </c>
      <c r="AM1056" s="26">
        <v>1100000</v>
      </c>
      <c r="AN1056" s="26">
        <v>1100000</v>
      </c>
      <c r="AO1056" s="6" t="s">
        <v>2003</v>
      </c>
      <c r="AQ1056" s="6" t="s">
        <v>49</v>
      </c>
      <c r="AU1056" s="6">
        <v>226843</v>
      </c>
    </row>
    <row r="1057" spans="1:47" x14ac:dyDescent="0.3">
      <c r="A1057" s="28" t="s">
        <v>42</v>
      </c>
      <c r="B1057" s="6" t="s">
        <v>2180</v>
      </c>
      <c r="D1057" s="6" t="s">
        <v>2104</v>
      </c>
      <c r="E1057" s="6">
        <v>1</v>
      </c>
      <c r="F1057" s="6" t="s">
        <v>2004</v>
      </c>
      <c r="G1057" s="6" t="s">
        <v>2005</v>
      </c>
      <c r="H1057" s="6" t="s">
        <v>2005</v>
      </c>
      <c r="I1057" s="6" t="str">
        <f t="shared" si="32"/>
        <v>Quick Coupler</v>
      </c>
      <c r="J1057" s="6" t="s">
        <v>351</v>
      </c>
      <c r="K1057" s="6">
        <v>1</v>
      </c>
      <c r="P1057" s="6">
        <f t="shared" si="33"/>
        <v>900000</v>
      </c>
      <c r="R1057" s="6" t="s">
        <v>2003</v>
      </c>
      <c r="T1057" s="6" t="s">
        <v>939</v>
      </c>
      <c r="U1057" s="6">
        <v>2012</v>
      </c>
      <c r="V1057" s="6">
        <v>7</v>
      </c>
      <c r="AD1057" s="6" t="s">
        <v>45</v>
      </c>
      <c r="AJ1057" s="31" t="s">
        <v>2120</v>
      </c>
      <c r="AK1057" s="6">
        <v>1</v>
      </c>
      <c r="AL1057" s="26">
        <v>800000</v>
      </c>
      <c r="AM1057" s="26">
        <v>800000</v>
      </c>
      <c r="AN1057" s="26">
        <v>800000</v>
      </c>
      <c r="AO1057" s="6" t="s">
        <v>2003</v>
      </c>
      <c r="AQ1057" s="6" t="s">
        <v>939</v>
      </c>
      <c r="AU1057" s="6">
        <v>226849</v>
      </c>
    </row>
    <row r="1058" spans="1:47" x14ac:dyDescent="0.3">
      <c r="A1058" s="28" t="s">
        <v>42</v>
      </c>
      <c r="B1058" s="6" t="s">
        <v>2177</v>
      </c>
      <c r="C1058" s="6" t="s">
        <v>1972</v>
      </c>
      <c r="D1058" s="6" t="s">
        <v>2104</v>
      </c>
      <c r="E1058" s="6">
        <v>1</v>
      </c>
      <c r="F1058" s="6" t="s">
        <v>2004</v>
      </c>
      <c r="G1058" s="6" t="s">
        <v>2005</v>
      </c>
      <c r="H1058" s="6" t="s">
        <v>2005</v>
      </c>
      <c r="I1058" s="6" t="str">
        <f t="shared" si="32"/>
        <v>Stone Grapple</v>
      </c>
      <c r="J1058" s="6" t="s">
        <v>225</v>
      </c>
      <c r="K1058" s="6">
        <v>1</v>
      </c>
      <c r="P1058" s="6">
        <f t="shared" si="33"/>
        <v>2500000</v>
      </c>
      <c r="R1058" s="6" t="s">
        <v>2003</v>
      </c>
      <c r="T1058" s="6" t="s">
        <v>2007</v>
      </c>
      <c r="U1058" s="6">
        <v>2013</v>
      </c>
      <c r="V1058" s="6">
        <v>1</v>
      </c>
      <c r="AD1058" s="6" t="s">
        <v>45</v>
      </c>
      <c r="AJ1058" s="31" t="s">
        <v>2113</v>
      </c>
      <c r="AK1058" s="6">
        <v>1</v>
      </c>
      <c r="AL1058" s="26">
        <v>2300000</v>
      </c>
      <c r="AM1058" s="26">
        <v>2300000</v>
      </c>
      <c r="AN1058" s="26">
        <v>2300000</v>
      </c>
      <c r="AO1058" s="6" t="s">
        <v>2003</v>
      </c>
      <c r="AQ1058" s="6" t="s">
        <v>49</v>
      </c>
      <c r="AU1058" s="6">
        <v>226851</v>
      </c>
    </row>
    <row r="1059" spans="1:47" x14ac:dyDescent="0.3">
      <c r="A1059" s="28" t="s">
        <v>42</v>
      </c>
      <c r="B1059" s="6" t="s">
        <v>2177</v>
      </c>
      <c r="C1059" s="6" t="s">
        <v>1973</v>
      </c>
      <c r="D1059" s="6" t="s">
        <v>2100</v>
      </c>
      <c r="E1059" s="6">
        <v>1</v>
      </c>
      <c r="F1059" s="6" t="s">
        <v>2004</v>
      </c>
      <c r="G1059" s="6" t="s">
        <v>2005</v>
      </c>
      <c r="H1059" s="6" t="s">
        <v>2005</v>
      </c>
      <c r="I1059" s="6" t="str">
        <f t="shared" si="32"/>
        <v>Wood Grapple</v>
      </c>
      <c r="J1059" s="6" t="s">
        <v>127</v>
      </c>
      <c r="K1059" s="6">
        <v>1</v>
      </c>
      <c r="P1059" s="6">
        <f t="shared" si="33"/>
        <v>1900000</v>
      </c>
      <c r="R1059" s="6" t="s">
        <v>2003</v>
      </c>
      <c r="T1059" s="6" t="s">
        <v>830</v>
      </c>
      <c r="U1059" s="6">
        <v>2010</v>
      </c>
      <c r="V1059" s="6">
        <v>1</v>
      </c>
      <c r="AD1059" s="6" t="s">
        <v>45</v>
      </c>
      <c r="AJ1059" s="31" t="s">
        <v>2114</v>
      </c>
      <c r="AK1059" s="6">
        <v>1</v>
      </c>
      <c r="AL1059" s="26">
        <v>1800000</v>
      </c>
      <c r="AM1059" s="26">
        <v>1800000</v>
      </c>
      <c r="AN1059" s="26">
        <v>1800000</v>
      </c>
      <c r="AO1059" s="6" t="s">
        <v>2003</v>
      </c>
      <c r="AQ1059" s="6" t="s">
        <v>830</v>
      </c>
      <c r="AU1059" s="6">
        <v>226852</v>
      </c>
    </row>
    <row r="1060" spans="1:47" hidden="1" x14ac:dyDescent="0.3">
      <c r="A1060" s="28" t="s">
        <v>42</v>
      </c>
      <c r="B1060" s="6" t="s">
        <v>2181</v>
      </c>
      <c r="E1060" s="6">
        <v>1</v>
      </c>
      <c r="F1060" s="6" t="s">
        <v>2004</v>
      </c>
      <c r="G1060" s="6" t="s">
        <v>2005</v>
      </c>
      <c r="H1060" s="6" t="s">
        <v>2005</v>
      </c>
      <c r="I1060" s="6" t="str">
        <f t="shared" si="32"/>
        <v>ETC</v>
      </c>
      <c r="J1060" s="6" t="s">
        <v>414</v>
      </c>
      <c r="K1060" s="6">
        <v>1</v>
      </c>
      <c r="P1060" s="6">
        <f t="shared" si="33"/>
        <v>8500000</v>
      </c>
      <c r="R1060" s="6" t="s">
        <v>2003</v>
      </c>
      <c r="T1060" s="6" t="s">
        <v>848</v>
      </c>
      <c r="U1060" s="6">
        <v>2012</v>
      </c>
      <c r="V1060" s="6">
        <v>7</v>
      </c>
      <c r="AD1060" s="6" t="s">
        <v>45</v>
      </c>
      <c r="AJ1060" s="31" t="s">
        <v>2110</v>
      </c>
      <c r="AK1060" s="6">
        <v>1</v>
      </c>
      <c r="AL1060" s="26">
        <v>8000000</v>
      </c>
      <c r="AM1060" s="26">
        <v>8000000</v>
      </c>
      <c r="AN1060" s="26">
        <v>8000000</v>
      </c>
      <c r="AO1060" s="6" t="s">
        <v>2003</v>
      </c>
      <c r="AQ1060" s="6" t="s">
        <v>1229</v>
      </c>
      <c r="AU1060" s="6">
        <v>226865</v>
      </c>
    </row>
    <row r="1061" spans="1:47" x14ac:dyDescent="0.3">
      <c r="A1061" s="28" t="s">
        <v>42</v>
      </c>
      <c r="B1061" s="6" t="s">
        <v>2179</v>
      </c>
      <c r="C1061" s="6" t="s">
        <v>1976</v>
      </c>
      <c r="D1061" s="6" t="s">
        <v>2104</v>
      </c>
      <c r="E1061" s="6">
        <v>1</v>
      </c>
      <c r="F1061" s="6" t="s">
        <v>2004</v>
      </c>
      <c r="G1061" s="6" t="s">
        <v>2005</v>
      </c>
      <c r="H1061" s="6" t="s">
        <v>2005</v>
      </c>
      <c r="I1061" s="6" t="str">
        <f t="shared" si="32"/>
        <v>Skeleton Bucket</v>
      </c>
      <c r="J1061" s="6" t="s">
        <v>118</v>
      </c>
      <c r="K1061" s="6">
        <v>1</v>
      </c>
      <c r="P1061" s="6">
        <f t="shared" si="33"/>
        <v>900000</v>
      </c>
      <c r="R1061" s="6" t="s">
        <v>2003</v>
      </c>
      <c r="T1061" s="6" t="s">
        <v>813</v>
      </c>
      <c r="U1061" s="6">
        <v>2013</v>
      </c>
      <c r="V1061" s="6">
        <v>1</v>
      </c>
      <c r="AD1061" s="6" t="s">
        <v>45</v>
      </c>
      <c r="AJ1061" s="31" t="s">
        <v>2113</v>
      </c>
      <c r="AK1061" s="6">
        <v>1</v>
      </c>
      <c r="AL1061" s="26">
        <v>800000</v>
      </c>
      <c r="AM1061" s="26">
        <v>800000</v>
      </c>
      <c r="AN1061" s="26">
        <v>800000</v>
      </c>
      <c r="AO1061" s="6" t="s">
        <v>2003</v>
      </c>
      <c r="AQ1061" s="6" t="s">
        <v>80</v>
      </c>
      <c r="AU1061" s="6">
        <v>226872</v>
      </c>
    </row>
    <row r="1062" spans="1:47" x14ac:dyDescent="0.3">
      <c r="A1062" s="28" t="s">
        <v>42</v>
      </c>
      <c r="B1062" s="6" t="s">
        <v>2177</v>
      </c>
      <c r="C1062" s="6" t="s">
        <v>1972</v>
      </c>
      <c r="D1062" s="6" t="s">
        <v>2104</v>
      </c>
      <c r="E1062" s="6">
        <v>1</v>
      </c>
      <c r="F1062" s="6" t="s">
        <v>2004</v>
      </c>
      <c r="G1062" s="6" t="s">
        <v>2005</v>
      </c>
      <c r="H1062" s="6" t="s">
        <v>2005</v>
      </c>
      <c r="I1062" s="6" t="str">
        <f t="shared" si="32"/>
        <v>Stone Grapple</v>
      </c>
      <c r="J1062" s="6" t="s">
        <v>230</v>
      </c>
      <c r="K1062" s="6">
        <v>1</v>
      </c>
      <c r="P1062" s="6">
        <f t="shared" si="33"/>
        <v>2600000</v>
      </c>
      <c r="R1062" s="6" t="s">
        <v>2003</v>
      </c>
      <c r="T1062" s="6" t="s">
        <v>2007</v>
      </c>
      <c r="U1062" s="6">
        <v>2014</v>
      </c>
      <c r="V1062" s="6">
        <v>1</v>
      </c>
      <c r="AD1062" s="6" t="s">
        <v>45</v>
      </c>
      <c r="AJ1062" s="31" t="s">
        <v>2113</v>
      </c>
      <c r="AK1062" s="6">
        <v>1</v>
      </c>
      <c r="AL1062" s="26">
        <v>2400000</v>
      </c>
      <c r="AM1062" s="26">
        <v>2400000</v>
      </c>
      <c r="AN1062" s="26">
        <v>2400000</v>
      </c>
      <c r="AO1062" s="6" t="s">
        <v>2003</v>
      </c>
      <c r="AQ1062" s="6" t="s">
        <v>49</v>
      </c>
      <c r="AU1062" s="6">
        <v>226876</v>
      </c>
    </row>
    <row r="1063" spans="1:47" x14ac:dyDescent="0.3">
      <c r="A1063" s="28" t="s">
        <v>42</v>
      </c>
      <c r="B1063" s="6" t="s">
        <v>2177</v>
      </c>
      <c r="C1063" s="6" t="s">
        <v>1972</v>
      </c>
      <c r="D1063" s="6" t="s">
        <v>2104</v>
      </c>
      <c r="E1063" s="6">
        <v>1</v>
      </c>
      <c r="F1063" s="6" t="s">
        <v>2004</v>
      </c>
      <c r="G1063" s="6" t="s">
        <v>2005</v>
      </c>
      <c r="H1063" s="6" t="s">
        <v>2005</v>
      </c>
      <c r="I1063" s="6" t="str">
        <f t="shared" si="32"/>
        <v>Stone Grapple</v>
      </c>
      <c r="J1063" s="6" t="s">
        <v>145</v>
      </c>
      <c r="K1063" s="6">
        <v>1</v>
      </c>
      <c r="P1063" s="6">
        <f t="shared" si="33"/>
        <v>1800000</v>
      </c>
      <c r="R1063" s="6" t="s">
        <v>2003</v>
      </c>
      <c r="T1063" s="6" t="s">
        <v>2007</v>
      </c>
      <c r="U1063" s="6">
        <v>2013</v>
      </c>
      <c r="V1063" s="6">
        <v>1</v>
      </c>
      <c r="AD1063" s="6" t="s">
        <v>45</v>
      </c>
      <c r="AJ1063" s="31" t="s">
        <v>2113</v>
      </c>
      <c r="AK1063" s="6">
        <v>1</v>
      </c>
      <c r="AL1063" s="26">
        <v>1700000</v>
      </c>
      <c r="AM1063" s="26">
        <v>1700000</v>
      </c>
      <c r="AN1063" s="26">
        <v>1700000</v>
      </c>
      <c r="AO1063" s="6" t="s">
        <v>2003</v>
      </c>
      <c r="AQ1063" s="6" t="s">
        <v>49</v>
      </c>
      <c r="AU1063" s="6">
        <v>226877</v>
      </c>
    </row>
    <row r="1064" spans="1:47" x14ac:dyDescent="0.3">
      <c r="A1064" s="28" t="s">
        <v>42</v>
      </c>
      <c r="B1064" s="6" t="s">
        <v>2190</v>
      </c>
      <c r="D1064" s="6" t="s">
        <v>2104</v>
      </c>
      <c r="E1064" s="6">
        <v>1</v>
      </c>
      <c r="F1064" s="6" t="s">
        <v>2004</v>
      </c>
      <c r="G1064" s="6" t="s">
        <v>2005</v>
      </c>
      <c r="H1064" s="6" t="s">
        <v>2005</v>
      </c>
      <c r="I1064" s="6" t="str">
        <f t="shared" si="32"/>
        <v>Lift Fork</v>
      </c>
      <c r="J1064" s="6" t="s">
        <v>449</v>
      </c>
      <c r="K1064" s="6">
        <v>1</v>
      </c>
      <c r="P1064" s="6">
        <f t="shared" si="33"/>
        <v>400000</v>
      </c>
      <c r="R1064" s="6" t="s">
        <v>2003</v>
      </c>
      <c r="T1064" s="6" t="s">
        <v>813</v>
      </c>
      <c r="U1064" s="6">
        <v>2013</v>
      </c>
      <c r="V1064" s="6">
        <v>1</v>
      </c>
      <c r="AD1064" s="6" t="s">
        <v>45</v>
      </c>
      <c r="AJ1064" s="31" t="s">
        <v>2113</v>
      </c>
      <c r="AK1064" s="6">
        <v>1</v>
      </c>
      <c r="AL1064" s="26">
        <v>350000</v>
      </c>
      <c r="AM1064" s="26">
        <v>350000</v>
      </c>
      <c r="AN1064" s="26">
        <v>350000</v>
      </c>
      <c r="AO1064" s="6" t="s">
        <v>2003</v>
      </c>
      <c r="AQ1064" s="6" t="s">
        <v>80</v>
      </c>
      <c r="AU1064" s="6">
        <v>226878</v>
      </c>
    </row>
    <row r="1065" spans="1:47" x14ac:dyDescent="0.3">
      <c r="A1065" s="28" t="s">
        <v>42</v>
      </c>
      <c r="B1065" s="6" t="s">
        <v>2190</v>
      </c>
      <c r="D1065" s="6" t="s">
        <v>2104</v>
      </c>
      <c r="E1065" s="6">
        <v>1</v>
      </c>
      <c r="F1065" s="6" t="s">
        <v>2004</v>
      </c>
      <c r="G1065" s="6" t="s">
        <v>2005</v>
      </c>
      <c r="H1065" s="6" t="s">
        <v>2005</v>
      </c>
      <c r="I1065" s="6" t="str">
        <f t="shared" si="32"/>
        <v>Lift Fork</v>
      </c>
      <c r="J1065" s="6" t="s">
        <v>772</v>
      </c>
      <c r="K1065" s="6">
        <v>1</v>
      </c>
      <c r="P1065" s="6">
        <f t="shared" si="33"/>
        <v>700000</v>
      </c>
      <c r="R1065" s="6" t="s">
        <v>2003</v>
      </c>
      <c r="T1065" s="6" t="s">
        <v>813</v>
      </c>
      <c r="U1065" s="6">
        <v>2013</v>
      </c>
      <c r="V1065" s="6">
        <v>1</v>
      </c>
      <c r="AD1065" s="6" t="s">
        <v>45</v>
      </c>
      <c r="AJ1065" s="31" t="s">
        <v>2113</v>
      </c>
      <c r="AK1065" s="6">
        <v>1</v>
      </c>
      <c r="AL1065" s="26">
        <v>600000</v>
      </c>
      <c r="AM1065" s="26">
        <v>600000</v>
      </c>
      <c r="AN1065" s="26">
        <v>600000</v>
      </c>
      <c r="AO1065" s="6" t="s">
        <v>2003</v>
      </c>
      <c r="AQ1065" s="6" t="s">
        <v>80</v>
      </c>
      <c r="AU1065" s="6">
        <v>226883</v>
      </c>
    </row>
    <row r="1066" spans="1:47" x14ac:dyDescent="0.3">
      <c r="A1066" s="28" t="s">
        <v>42</v>
      </c>
      <c r="B1066" s="6" t="s">
        <v>2198</v>
      </c>
      <c r="D1066" s="6" t="s">
        <v>2105</v>
      </c>
      <c r="E1066" s="6">
        <v>1</v>
      </c>
      <c r="F1066" s="6" t="s">
        <v>2004</v>
      </c>
      <c r="G1066" s="6" t="s">
        <v>2005</v>
      </c>
      <c r="H1066" s="6" t="s">
        <v>2005</v>
      </c>
      <c r="I1066" s="6" t="str">
        <f t="shared" si="32"/>
        <v>Ripper</v>
      </c>
      <c r="J1066" s="6" t="s">
        <v>773</v>
      </c>
      <c r="K1066" s="6">
        <v>1</v>
      </c>
      <c r="P1066" s="6">
        <f t="shared" si="33"/>
        <v>1600000</v>
      </c>
      <c r="R1066" s="6" t="s">
        <v>2003</v>
      </c>
      <c r="T1066" s="6" t="s">
        <v>1123</v>
      </c>
      <c r="U1066" s="6">
        <v>2015</v>
      </c>
      <c r="V1066" s="6">
        <v>1</v>
      </c>
      <c r="AD1066" s="6" t="s">
        <v>45</v>
      </c>
      <c r="AJ1066" s="31" t="s">
        <v>2110</v>
      </c>
      <c r="AK1066" s="6">
        <v>1</v>
      </c>
      <c r="AL1066" s="26">
        <v>1500000</v>
      </c>
      <c r="AM1066" s="26">
        <v>1500000</v>
      </c>
      <c r="AN1066" s="26">
        <v>1500000</v>
      </c>
      <c r="AO1066" s="6" t="s">
        <v>2003</v>
      </c>
      <c r="AQ1066" s="6" t="s">
        <v>1150</v>
      </c>
      <c r="AU1066" s="6">
        <v>226884</v>
      </c>
    </row>
    <row r="1067" spans="1:47" x14ac:dyDescent="0.3">
      <c r="A1067" s="28" t="s">
        <v>42</v>
      </c>
      <c r="B1067" s="6" t="s">
        <v>2182</v>
      </c>
      <c r="C1067" s="6" t="s">
        <v>1976</v>
      </c>
      <c r="D1067" s="6" t="s">
        <v>2104</v>
      </c>
      <c r="E1067" s="6">
        <v>1</v>
      </c>
      <c r="F1067" s="6" t="s">
        <v>2004</v>
      </c>
      <c r="G1067" s="6" t="s">
        <v>2005</v>
      </c>
      <c r="H1067" s="6" t="s">
        <v>2005</v>
      </c>
      <c r="I1067" s="6" t="str">
        <f t="shared" si="32"/>
        <v>Skeleton Bucket</v>
      </c>
      <c r="J1067" s="6" t="s">
        <v>118</v>
      </c>
      <c r="K1067" s="6">
        <v>1</v>
      </c>
      <c r="P1067" s="6">
        <f t="shared" si="33"/>
        <v>1100000</v>
      </c>
      <c r="R1067" s="6" t="s">
        <v>2003</v>
      </c>
      <c r="T1067" s="6" t="s">
        <v>1124</v>
      </c>
      <c r="U1067" s="6">
        <v>2015</v>
      </c>
      <c r="V1067" s="6">
        <v>1</v>
      </c>
      <c r="AD1067" s="6" t="s">
        <v>45</v>
      </c>
      <c r="AJ1067" s="31" t="s">
        <v>2110</v>
      </c>
      <c r="AK1067" s="6">
        <v>1</v>
      </c>
      <c r="AL1067" s="26">
        <v>1000000</v>
      </c>
      <c r="AM1067" s="26">
        <v>1000000</v>
      </c>
      <c r="AN1067" s="26">
        <v>1000000</v>
      </c>
      <c r="AO1067" s="6" t="s">
        <v>2003</v>
      </c>
      <c r="AQ1067" s="6" t="s">
        <v>1316</v>
      </c>
      <c r="AU1067" s="6">
        <v>226885</v>
      </c>
    </row>
    <row r="1068" spans="1:47" x14ac:dyDescent="0.3">
      <c r="A1068" s="28" t="s">
        <v>42</v>
      </c>
      <c r="B1068" s="6" t="s">
        <v>2184</v>
      </c>
      <c r="C1068" s="6" t="s">
        <v>1974</v>
      </c>
      <c r="D1068" s="6" t="s">
        <v>2104</v>
      </c>
      <c r="E1068" s="6">
        <v>1</v>
      </c>
      <c r="F1068" s="6" t="s">
        <v>2004</v>
      </c>
      <c r="G1068" s="6" t="s">
        <v>2005</v>
      </c>
      <c r="H1068" s="6" t="s">
        <v>2005</v>
      </c>
      <c r="I1068" s="6" t="str">
        <f t="shared" si="32"/>
        <v>Etc Grapple</v>
      </c>
      <c r="J1068" s="6" t="s">
        <v>774</v>
      </c>
      <c r="K1068" s="6">
        <v>1</v>
      </c>
      <c r="P1068" s="6">
        <f t="shared" si="33"/>
        <v>4800000</v>
      </c>
      <c r="R1068" s="6" t="s">
        <v>2003</v>
      </c>
      <c r="T1068" s="6" t="s">
        <v>2007</v>
      </c>
      <c r="U1068" s="6">
        <v>2014</v>
      </c>
      <c r="V1068" s="6">
        <v>1</v>
      </c>
      <c r="AD1068" s="6" t="s">
        <v>45</v>
      </c>
      <c r="AJ1068" s="31" t="s">
        <v>2113</v>
      </c>
      <c r="AK1068" s="6">
        <v>1</v>
      </c>
      <c r="AL1068" s="26">
        <v>4600000</v>
      </c>
      <c r="AM1068" s="26">
        <v>4600000</v>
      </c>
      <c r="AN1068" s="26">
        <v>4600000</v>
      </c>
      <c r="AO1068" s="6" t="s">
        <v>2003</v>
      </c>
      <c r="AQ1068" s="6" t="s">
        <v>49</v>
      </c>
      <c r="AU1068" s="6">
        <v>226888</v>
      </c>
    </row>
    <row r="1069" spans="1:47" x14ac:dyDescent="0.3">
      <c r="A1069" s="28" t="s">
        <v>42</v>
      </c>
      <c r="B1069" s="6" t="s">
        <v>2196</v>
      </c>
      <c r="D1069" s="6" t="s">
        <v>2100</v>
      </c>
      <c r="E1069" s="6">
        <v>1</v>
      </c>
      <c r="F1069" s="6" t="s">
        <v>2004</v>
      </c>
      <c r="G1069" s="6" t="s">
        <v>2005</v>
      </c>
      <c r="H1069" s="6" t="s">
        <v>2005</v>
      </c>
      <c r="I1069" s="6" t="str">
        <f t="shared" si="32"/>
        <v>Shear&amp;Cutter</v>
      </c>
      <c r="J1069" s="6" t="s">
        <v>783</v>
      </c>
      <c r="K1069" s="6">
        <v>1</v>
      </c>
      <c r="P1069" s="6">
        <f t="shared" si="33"/>
        <v>8500000</v>
      </c>
      <c r="R1069" s="6" t="s">
        <v>2003</v>
      </c>
      <c r="T1069" s="6" t="s">
        <v>1886</v>
      </c>
      <c r="U1069" s="6">
        <v>2017</v>
      </c>
      <c r="V1069" s="6">
        <v>1</v>
      </c>
      <c r="AD1069" s="6" t="s">
        <v>45</v>
      </c>
      <c r="AJ1069" s="31" t="s">
        <v>2119</v>
      </c>
      <c r="AK1069" s="6">
        <v>1</v>
      </c>
      <c r="AL1069" s="26">
        <v>8000000</v>
      </c>
      <c r="AM1069" s="26">
        <v>8000000</v>
      </c>
      <c r="AN1069" s="26">
        <v>8000000</v>
      </c>
      <c r="AO1069" s="6" t="s">
        <v>2003</v>
      </c>
      <c r="AQ1069" s="6" t="s">
        <v>1277</v>
      </c>
      <c r="AU1069" s="6">
        <v>226890</v>
      </c>
    </row>
    <row r="1070" spans="1:47" x14ac:dyDescent="0.3">
      <c r="A1070" s="28" t="s">
        <v>42</v>
      </c>
      <c r="B1070" s="6" t="s">
        <v>2182</v>
      </c>
      <c r="C1070" s="6" t="s">
        <v>1976</v>
      </c>
      <c r="D1070" s="6" t="s">
        <v>2104</v>
      </c>
      <c r="E1070" s="6">
        <v>1</v>
      </c>
      <c r="F1070" s="6" t="s">
        <v>2004</v>
      </c>
      <c r="G1070" s="6" t="s">
        <v>2005</v>
      </c>
      <c r="H1070" s="6" t="s">
        <v>2005</v>
      </c>
      <c r="I1070" s="6" t="str">
        <f t="shared" si="32"/>
        <v>Skeleton Bucket</v>
      </c>
      <c r="J1070" s="6" t="s">
        <v>556</v>
      </c>
      <c r="K1070" s="6">
        <v>1</v>
      </c>
      <c r="P1070" s="6">
        <f t="shared" si="33"/>
        <v>950000</v>
      </c>
      <c r="R1070" s="6" t="s">
        <v>2003</v>
      </c>
      <c r="T1070" s="6" t="s">
        <v>2007</v>
      </c>
      <c r="U1070" s="6">
        <v>2013</v>
      </c>
      <c r="V1070" s="6">
        <v>1</v>
      </c>
      <c r="AD1070" s="6" t="s">
        <v>45</v>
      </c>
      <c r="AJ1070" s="31" t="s">
        <v>2113</v>
      </c>
      <c r="AK1070" s="6">
        <v>1</v>
      </c>
      <c r="AL1070" s="26">
        <v>850000</v>
      </c>
      <c r="AM1070" s="26">
        <v>850000</v>
      </c>
      <c r="AN1070" s="26">
        <v>850000</v>
      </c>
      <c r="AO1070" s="6" t="s">
        <v>2003</v>
      </c>
      <c r="AQ1070" s="6" t="s">
        <v>49</v>
      </c>
      <c r="AU1070" s="6">
        <v>226894</v>
      </c>
    </row>
    <row r="1071" spans="1:47" hidden="1" x14ac:dyDescent="0.3">
      <c r="A1071" s="28" t="s">
        <v>42</v>
      </c>
      <c r="B1071" s="6" t="s">
        <v>2183</v>
      </c>
      <c r="E1071" s="6">
        <v>1</v>
      </c>
      <c r="F1071" s="6" t="s">
        <v>2004</v>
      </c>
      <c r="G1071" s="6" t="s">
        <v>2005</v>
      </c>
      <c r="H1071" s="6" t="s">
        <v>2005</v>
      </c>
      <c r="I1071" s="6" t="str">
        <f t="shared" si="32"/>
        <v>ETC</v>
      </c>
      <c r="J1071" s="6" t="s">
        <v>775</v>
      </c>
      <c r="K1071" s="6">
        <v>1</v>
      </c>
      <c r="P1071" s="6">
        <f t="shared" si="33"/>
        <v>1700000</v>
      </c>
      <c r="R1071" s="6" t="s">
        <v>2003</v>
      </c>
      <c r="T1071" s="6" t="s">
        <v>798</v>
      </c>
      <c r="U1071" s="6">
        <v>2015</v>
      </c>
      <c r="V1071" s="6">
        <v>1</v>
      </c>
      <c r="AD1071" s="6" t="s">
        <v>45</v>
      </c>
      <c r="AJ1071" s="31" t="s">
        <v>2113</v>
      </c>
      <c r="AK1071" s="6">
        <v>1</v>
      </c>
      <c r="AL1071" s="26">
        <v>1600000</v>
      </c>
      <c r="AM1071" s="26">
        <v>1600000</v>
      </c>
      <c r="AN1071" s="26">
        <v>1600000</v>
      </c>
      <c r="AO1071" s="6" t="s">
        <v>2003</v>
      </c>
      <c r="AQ1071" s="6" t="s">
        <v>71</v>
      </c>
      <c r="AU1071" s="6">
        <v>226896</v>
      </c>
    </row>
    <row r="1072" spans="1:47" x14ac:dyDescent="0.3">
      <c r="A1072" s="28" t="s">
        <v>42</v>
      </c>
      <c r="B1072" s="6" t="s">
        <v>2183</v>
      </c>
      <c r="D1072" s="6" t="s">
        <v>2106</v>
      </c>
      <c r="E1072" s="6">
        <v>1</v>
      </c>
      <c r="F1072" s="6" t="s">
        <v>2004</v>
      </c>
      <c r="G1072" s="6" t="s">
        <v>2005</v>
      </c>
      <c r="H1072" s="6" t="s">
        <v>2005</v>
      </c>
      <c r="I1072" s="6" t="str">
        <f t="shared" si="32"/>
        <v>ETC</v>
      </c>
      <c r="J1072" s="6" t="s">
        <v>770</v>
      </c>
      <c r="K1072" s="6">
        <v>1</v>
      </c>
      <c r="P1072" s="6">
        <f t="shared" si="33"/>
        <v>1900000</v>
      </c>
      <c r="R1072" s="6" t="s">
        <v>2003</v>
      </c>
      <c r="T1072" s="6" t="s">
        <v>798</v>
      </c>
      <c r="U1072" s="6">
        <v>2015</v>
      </c>
      <c r="V1072" s="6">
        <v>1</v>
      </c>
      <c r="AD1072" s="6" t="s">
        <v>45</v>
      </c>
      <c r="AJ1072" s="31" t="s">
        <v>2113</v>
      </c>
      <c r="AK1072" s="6">
        <v>1</v>
      </c>
      <c r="AL1072" s="26">
        <v>1800000</v>
      </c>
      <c r="AM1072" s="26">
        <v>1800000</v>
      </c>
      <c r="AN1072" s="26">
        <v>1800000</v>
      </c>
      <c r="AO1072" s="6" t="s">
        <v>2003</v>
      </c>
      <c r="AQ1072" s="6" t="s">
        <v>71</v>
      </c>
      <c r="AU1072" s="6">
        <v>226899</v>
      </c>
    </row>
    <row r="1073" spans="1:47" x14ac:dyDescent="0.3">
      <c r="A1073" s="28" t="s">
        <v>42</v>
      </c>
      <c r="B1073" s="6" t="s">
        <v>2184</v>
      </c>
      <c r="C1073" s="6" t="s">
        <v>1972</v>
      </c>
      <c r="D1073" s="6" t="s">
        <v>2100</v>
      </c>
      <c r="E1073" s="6">
        <v>1</v>
      </c>
      <c r="F1073" s="6" t="s">
        <v>2004</v>
      </c>
      <c r="G1073" s="6" t="s">
        <v>2005</v>
      </c>
      <c r="H1073" s="6" t="s">
        <v>2005</v>
      </c>
      <c r="I1073" s="6" t="str">
        <f t="shared" si="32"/>
        <v>Stone Grapple</v>
      </c>
      <c r="J1073" s="6" t="s">
        <v>149</v>
      </c>
      <c r="K1073" s="6">
        <v>1</v>
      </c>
      <c r="P1073" s="6">
        <f t="shared" si="33"/>
        <v>1800000</v>
      </c>
      <c r="R1073" s="6" t="s">
        <v>2003</v>
      </c>
      <c r="T1073" s="6" t="s">
        <v>1125</v>
      </c>
      <c r="U1073" s="6">
        <v>2015</v>
      </c>
      <c r="V1073" s="6">
        <v>5</v>
      </c>
      <c r="AD1073" s="6" t="s">
        <v>45</v>
      </c>
      <c r="AJ1073" s="31" t="s">
        <v>2123</v>
      </c>
      <c r="AK1073" s="6">
        <v>1</v>
      </c>
      <c r="AL1073" s="26">
        <v>1700000</v>
      </c>
      <c r="AM1073" s="26">
        <v>1700000</v>
      </c>
      <c r="AN1073" s="26">
        <v>1700000</v>
      </c>
      <c r="AO1073" s="6" t="s">
        <v>2003</v>
      </c>
      <c r="AQ1073" s="6" t="s">
        <v>1295</v>
      </c>
      <c r="AU1073" s="6">
        <v>226905</v>
      </c>
    </row>
    <row r="1074" spans="1:47" x14ac:dyDescent="0.3">
      <c r="A1074" s="28" t="s">
        <v>42</v>
      </c>
      <c r="B1074" s="6" t="s">
        <v>2175</v>
      </c>
      <c r="D1074" s="6" t="s">
        <v>2106</v>
      </c>
      <c r="E1074" s="6">
        <v>1</v>
      </c>
      <c r="F1074" s="6" t="s">
        <v>2004</v>
      </c>
      <c r="G1074" s="6" t="s">
        <v>2005</v>
      </c>
      <c r="H1074" s="6" t="s">
        <v>2005</v>
      </c>
      <c r="I1074" s="6" t="str">
        <f t="shared" si="32"/>
        <v>Crusher</v>
      </c>
      <c r="J1074" s="6" t="s">
        <v>76</v>
      </c>
      <c r="K1074" s="6">
        <v>1</v>
      </c>
      <c r="P1074" s="6">
        <f t="shared" si="33"/>
        <v>4500000</v>
      </c>
      <c r="R1074" s="6" t="s">
        <v>2003</v>
      </c>
      <c r="T1074" s="6" t="s">
        <v>70</v>
      </c>
      <c r="U1074" s="6">
        <v>2014</v>
      </c>
      <c r="V1074" s="6">
        <v>3</v>
      </c>
      <c r="AD1074" s="6" t="s">
        <v>45</v>
      </c>
      <c r="AJ1074" s="31" t="s">
        <v>2113</v>
      </c>
      <c r="AK1074" s="6">
        <v>1</v>
      </c>
      <c r="AL1074" s="26">
        <v>4300000</v>
      </c>
      <c r="AM1074" s="26">
        <v>4300000</v>
      </c>
      <c r="AN1074" s="26">
        <v>4300000</v>
      </c>
      <c r="AO1074" s="6" t="s">
        <v>2003</v>
      </c>
      <c r="AQ1074" s="6" t="s">
        <v>71</v>
      </c>
      <c r="AU1074" s="6">
        <v>226908</v>
      </c>
    </row>
    <row r="1075" spans="1:47" x14ac:dyDescent="0.3">
      <c r="A1075" s="28" t="s">
        <v>42</v>
      </c>
      <c r="B1075" s="6" t="s">
        <v>2177</v>
      </c>
      <c r="C1075" s="6" t="s">
        <v>1974</v>
      </c>
      <c r="D1075" s="6" t="s">
        <v>2104</v>
      </c>
      <c r="E1075" s="6">
        <v>1</v>
      </c>
      <c r="F1075" s="6" t="s">
        <v>2004</v>
      </c>
      <c r="G1075" s="6" t="s">
        <v>2005</v>
      </c>
      <c r="H1075" s="6" t="s">
        <v>2005</v>
      </c>
      <c r="I1075" s="6" t="str">
        <f t="shared" si="32"/>
        <v>Etc Grapple</v>
      </c>
      <c r="J1075" s="6" t="s">
        <v>125</v>
      </c>
      <c r="K1075" s="6">
        <v>1</v>
      </c>
      <c r="P1075" s="6">
        <f t="shared" si="33"/>
        <v>5500000</v>
      </c>
      <c r="R1075" s="6" t="s">
        <v>2003</v>
      </c>
      <c r="T1075" s="6" t="s">
        <v>830</v>
      </c>
      <c r="U1075" s="6">
        <v>2009</v>
      </c>
      <c r="V1075" s="6">
        <v>1</v>
      </c>
      <c r="AD1075" s="6" t="s">
        <v>45</v>
      </c>
      <c r="AJ1075" s="31" t="s">
        <v>2114</v>
      </c>
      <c r="AK1075" s="6">
        <v>1</v>
      </c>
      <c r="AL1075" s="26">
        <v>5000000</v>
      </c>
      <c r="AM1075" s="26">
        <v>5000000</v>
      </c>
      <c r="AN1075" s="26">
        <v>5000000</v>
      </c>
      <c r="AO1075" s="6" t="s">
        <v>2003</v>
      </c>
      <c r="AQ1075" s="6" t="s">
        <v>830</v>
      </c>
      <c r="AU1075" s="6">
        <v>226909</v>
      </c>
    </row>
    <row r="1076" spans="1:47" x14ac:dyDescent="0.3">
      <c r="A1076" s="28" t="s">
        <v>42</v>
      </c>
      <c r="B1076" s="6" t="s">
        <v>2198</v>
      </c>
      <c r="D1076" s="6" t="s">
        <v>2104</v>
      </c>
      <c r="E1076" s="6">
        <v>1</v>
      </c>
      <c r="F1076" s="6" t="s">
        <v>2004</v>
      </c>
      <c r="G1076" s="6" t="s">
        <v>2005</v>
      </c>
      <c r="H1076" s="6" t="s">
        <v>2005</v>
      </c>
      <c r="I1076" s="6" t="str">
        <f t="shared" si="32"/>
        <v>Ripper</v>
      </c>
      <c r="J1076" s="6" t="s">
        <v>776</v>
      </c>
      <c r="K1076" s="6">
        <v>1</v>
      </c>
      <c r="P1076" s="6">
        <f t="shared" si="33"/>
        <v>850000</v>
      </c>
      <c r="R1076" s="6" t="s">
        <v>2003</v>
      </c>
      <c r="T1076" s="6" t="s">
        <v>2091</v>
      </c>
      <c r="U1076" s="6">
        <v>2017</v>
      </c>
      <c r="V1076" s="6">
        <v>1</v>
      </c>
      <c r="AD1076" s="6" t="s">
        <v>45</v>
      </c>
      <c r="AJ1076" s="31" t="s">
        <v>2110</v>
      </c>
      <c r="AK1076" s="6">
        <v>1</v>
      </c>
      <c r="AL1076" s="26">
        <v>750000</v>
      </c>
      <c r="AM1076" s="26">
        <v>750000</v>
      </c>
      <c r="AN1076" s="26">
        <v>750000</v>
      </c>
      <c r="AO1076" s="6" t="s">
        <v>2003</v>
      </c>
      <c r="AQ1076" s="6" t="s">
        <v>1155</v>
      </c>
      <c r="AU1076" s="6">
        <v>226910</v>
      </c>
    </row>
    <row r="1077" spans="1:47" x14ac:dyDescent="0.3">
      <c r="A1077" s="28" t="s">
        <v>42</v>
      </c>
      <c r="B1077" s="6" t="s">
        <v>2175</v>
      </c>
      <c r="C1077" s="6" t="s">
        <v>1978</v>
      </c>
      <c r="D1077" s="6" t="s">
        <v>2105</v>
      </c>
      <c r="E1077" s="6">
        <v>1</v>
      </c>
      <c r="F1077" s="6" t="s">
        <v>2004</v>
      </c>
      <c r="G1077" s="6" t="s">
        <v>2005</v>
      </c>
      <c r="H1077" s="6" t="s">
        <v>2005</v>
      </c>
      <c r="I1077" s="6" t="str">
        <f t="shared" si="32"/>
        <v>Hydraulic Pulverizer</v>
      </c>
      <c r="J1077" s="6" t="s">
        <v>258</v>
      </c>
      <c r="K1077" s="6">
        <v>1</v>
      </c>
      <c r="P1077" s="6">
        <f t="shared" si="33"/>
        <v>12500000</v>
      </c>
      <c r="R1077" s="6" t="s">
        <v>2003</v>
      </c>
      <c r="T1077" s="6" t="s">
        <v>1126</v>
      </c>
      <c r="U1077" s="6">
        <v>2003</v>
      </c>
      <c r="V1077" s="6">
        <v>1</v>
      </c>
      <c r="AD1077" s="6" t="s">
        <v>45</v>
      </c>
      <c r="AJ1077" s="31" t="s">
        <v>2110</v>
      </c>
      <c r="AK1077" s="6">
        <v>1</v>
      </c>
      <c r="AL1077" s="26">
        <v>12000000</v>
      </c>
      <c r="AM1077" s="26">
        <v>12000000</v>
      </c>
      <c r="AN1077" s="26">
        <v>12000000</v>
      </c>
      <c r="AO1077" s="6" t="s">
        <v>2003</v>
      </c>
      <c r="AQ1077" s="6" t="s">
        <v>1317</v>
      </c>
      <c r="AU1077" s="6">
        <v>226912</v>
      </c>
    </row>
    <row r="1078" spans="1:47" x14ac:dyDescent="0.3">
      <c r="A1078" s="28" t="s">
        <v>42</v>
      </c>
      <c r="B1078" s="6" t="s">
        <v>2192</v>
      </c>
      <c r="D1078" s="6" t="s">
        <v>2100</v>
      </c>
      <c r="E1078" s="6">
        <v>1</v>
      </c>
      <c r="F1078" s="6" t="s">
        <v>2004</v>
      </c>
      <c r="G1078" s="6" t="s">
        <v>2005</v>
      </c>
      <c r="H1078" s="6" t="s">
        <v>2005</v>
      </c>
      <c r="I1078" s="6" t="str">
        <f t="shared" si="32"/>
        <v>Lift Fork</v>
      </c>
      <c r="J1078" s="6" t="s">
        <v>132</v>
      </c>
      <c r="K1078" s="6">
        <v>1</v>
      </c>
      <c r="P1078" s="6">
        <f t="shared" si="33"/>
        <v>950000</v>
      </c>
      <c r="R1078" s="6" t="s">
        <v>2003</v>
      </c>
      <c r="T1078" s="6" t="s">
        <v>2020</v>
      </c>
      <c r="U1078" s="6">
        <v>2017</v>
      </c>
      <c r="V1078" s="6">
        <v>1</v>
      </c>
      <c r="AD1078" s="6" t="s">
        <v>45</v>
      </c>
      <c r="AJ1078" s="31" t="s">
        <v>2110</v>
      </c>
      <c r="AK1078" s="6">
        <v>1</v>
      </c>
      <c r="AL1078" s="26">
        <v>850000</v>
      </c>
      <c r="AM1078" s="26">
        <v>850000</v>
      </c>
      <c r="AN1078" s="26">
        <v>850000</v>
      </c>
      <c r="AO1078" s="6" t="s">
        <v>2003</v>
      </c>
      <c r="AQ1078" s="6" t="s">
        <v>1155</v>
      </c>
      <c r="AU1078" s="6">
        <v>226915</v>
      </c>
    </row>
    <row r="1079" spans="1:47" x14ac:dyDescent="0.3">
      <c r="A1079" s="28" t="s">
        <v>42</v>
      </c>
      <c r="B1079" s="6" t="s">
        <v>2184</v>
      </c>
      <c r="C1079" s="6" t="s">
        <v>1974</v>
      </c>
      <c r="D1079" s="6" t="s">
        <v>2100</v>
      </c>
      <c r="E1079" s="6">
        <v>1</v>
      </c>
      <c r="F1079" s="6" t="s">
        <v>2004</v>
      </c>
      <c r="G1079" s="6" t="s">
        <v>2005</v>
      </c>
      <c r="H1079" s="6" t="s">
        <v>2005</v>
      </c>
      <c r="I1079" s="6" t="str">
        <f t="shared" si="32"/>
        <v>Etc Grapple</v>
      </c>
      <c r="J1079" s="6" t="s">
        <v>136</v>
      </c>
      <c r="K1079" s="6">
        <v>1</v>
      </c>
      <c r="P1079" s="6">
        <f t="shared" si="33"/>
        <v>2200000</v>
      </c>
      <c r="R1079" s="6" t="s">
        <v>2003</v>
      </c>
      <c r="T1079" s="6" t="s">
        <v>1127</v>
      </c>
      <c r="U1079" s="6">
        <v>2009</v>
      </c>
      <c r="V1079" s="6">
        <v>1</v>
      </c>
      <c r="AD1079" s="6" t="s">
        <v>45</v>
      </c>
      <c r="AJ1079" s="31" t="s">
        <v>2118</v>
      </c>
      <c r="AK1079" s="6">
        <v>1</v>
      </c>
      <c r="AL1079" s="26">
        <v>2000000</v>
      </c>
      <c r="AM1079" s="26">
        <v>2000000</v>
      </c>
      <c r="AN1079" s="26">
        <v>2000000</v>
      </c>
      <c r="AO1079" s="6" t="s">
        <v>2003</v>
      </c>
      <c r="AQ1079" s="6" t="s">
        <v>67</v>
      </c>
      <c r="AU1079" s="6">
        <v>226918</v>
      </c>
    </row>
    <row r="1080" spans="1:47" hidden="1" x14ac:dyDescent="0.3">
      <c r="A1080" s="28" t="s">
        <v>42</v>
      </c>
      <c r="B1080" s="6" t="s">
        <v>2183</v>
      </c>
      <c r="E1080" s="6">
        <v>1</v>
      </c>
      <c r="F1080" s="6" t="s">
        <v>2004</v>
      </c>
      <c r="G1080" s="6" t="s">
        <v>2005</v>
      </c>
      <c r="H1080" s="6" t="s">
        <v>2005</v>
      </c>
      <c r="I1080" s="6" t="str">
        <f t="shared" si="32"/>
        <v>ETC</v>
      </c>
      <c r="J1080" s="6" t="s">
        <v>142</v>
      </c>
      <c r="K1080" s="6">
        <v>1</v>
      </c>
      <c r="P1080" s="6">
        <f t="shared" si="33"/>
        <v>9400000</v>
      </c>
      <c r="R1080" s="6" t="s">
        <v>2003</v>
      </c>
      <c r="T1080" s="6" t="s">
        <v>1128</v>
      </c>
      <c r="U1080" s="6">
        <v>2012</v>
      </c>
      <c r="V1080" s="6">
        <v>1</v>
      </c>
      <c r="AD1080" s="6" t="s">
        <v>45</v>
      </c>
      <c r="AJ1080" s="31" t="s">
        <v>2122</v>
      </c>
      <c r="AK1080" s="6">
        <v>1</v>
      </c>
      <c r="AL1080" s="26">
        <v>8900000</v>
      </c>
      <c r="AM1080" s="26">
        <v>8900000</v>
      </c>
      <c r="AN1080" s="26">
        <v>8900000</v>
      </c>
      <c r="AO1080" s="6" t="s">
        <v>2003</v>
      </c>
      <c r="AQ1080" s="6" t="s">
        <v>1202</v>
      </c>
      <c r="AU1080" s="6">
        <v>226924</v>
      </c>
    </row>
    <row r="1081" spans="1:47" x14ac:dyDescent="0.3">
      <c r="A1081" s="28" t="s">
        <v>42</v>
      </c>
      <c r="B1081" s="6" t="s">
        <v>2184</v>
      </c>
      <c r="C1081" s="6" t="s">
        <v>1972</v>
      </c>
      <c r="D1081" s="6" t="s">
        <v>2104</v>
      </c>
      <c r="E1081" s="6">
        <v>1</v>
      </c>
      <c r="F1081" s="6" t="s">
        <v>2004</v>
      </c>
      <c r="G1081" s="6" t="s">
        <v>2005</v>
      </c>
      <c r="H1081" s="6" t="s">
        <v>2005</v>
      </c>
      <c r="I1081" s="6" t="str">
        <f t="shared" si="32"/>
        <v>Stone Grapple</v>
      </c>
      <c r="J1081" s="6" t="s">
        <v>120</v>
      </c>
      <c r="K1081" s="6">
        <v>1</v>
      </c>
      <c r="P1081" s="6">
        <f t="shared" si="33"/>
        <v>5500000</v>
      </c>
      <c r="R1081" s="6" t="s">
        <v>2003</v>
      </c>
      <c r="T1081" s="6" t="s">
        <v>1129</v>
      </c>
      <c r="U1081" s="6">
        <v>2014</v>
      </c>
      <c r="V1081" s="6">
        <v>1</v>
      </c>
      <c r="AD1081" s="6" t="s">
        <v>45</v>
      </c>
      <c r="AJ1081" s="31" t="s">
        <v>2113</v>
      </c>
      <c r="AK1081" s="6">
        <v>1</v>
      </c>
      <c r="AL1081" s="26">
        <v>5000000</v>
      </c>
      <c r="AM1081" s="26">
        <v>5000000</v>
      </c>
      <c r="AN1081" s="26">
        <v>5000000</v>
      </c>
      <c r="AO1081" s="6" t="s">
        <v>2003</v>
      </c>
      <c r="AQ1081" s="6" t="s">
        <v>1318</v>
      </c>
      <c r="AU1081" s="6">
        <v>226929</v>
      </c>
    </row>
    <row r="1082" spans="1:47" x14ac:dyDescent="0.3">
      <c r="A1082" s="28" t="s">
        <v>42</v>
      </c>
      <c r="B1082" s="6" t="s">
        <v>2182</v>
      </c>
      <c r="C1082" s="6" t="s">
        <v>1976</v>
      </c>
      <c r="D1082" s="6" t="s">
        <v>2103</v>
      </c>
      <c r="E1082" s="6">
        <v>1</v>
      </c>
      <c r="F1082" s="6" t="s">
        <v>2004</v>
      </c>
      <c r="G1082" s="6" t="s">
        <v>2005</v>
      </c>
      <c r="H1082" s="6" t="s">
        <v>2005</v>
      </c>
      <c r="I1082" s="6" t="str">
        <f t="shared" si="32"/>
        <v>Skeleton Bucket</v>
      </c>
      <c r="J1082" s="6" t="s">
        <v>284</v>
      </c>
      <c r="K1082" s="6">
        <v>1</v>
      </c>
      <c r="P1082" s="6">
        <f t="shared" si="33"/>
        <v>1400000</v>
      </c>
      <c r="R1082" s="6" t="s">
        <v>2003</v>
      </c>
      <c r="T1082" s="6" t="s">
        <v>844</v>
      </c>
      <c r="U1082" s="6">
        <v>2010</v>
      </c>
      <c r="V1082" s="6">
        <v>1</v>
      </c>
      <c r="AD1082" s="6" t="s">
        <v>45</v>
      </c>
      <c r="AJ1082" s="31" t="s">
        <v>2123</v>
      </c>
      <c r="AK1082" s="6">
        <v>1</v>
      </c>
      <c r="AL1082" s="26">
        <v>1300000</v>
      </c>
      <c r="AM1082" s="26">
        <v>1300000</v>
      </c>
      <c r="AN1082" s="26">
        <v>1300000</v>
      </c>
      <c r="AO1082" s="6" t="s">
        <v>2003</v>
      </c>
      <c r="AQ1082" s="6" t="s">
        <v>1319</v>
      </c>
      <c r="AU1082" s="6">
        <v>226934</v>
      </c>
    </row>
    <row r="1083" spans="1:47" x14ac:dyDescent="0.3">
      <c r="A1083" s="28" t="s">
        <v>42</v>
      </c>
      <c r="B1083" s="6" t="s">
        <v>2174</v>
      </c>
      <c r="C1083" s="6" t="s">
        <v>1975</v>
      </c>
      <c r="D1083" s="6" t="s">
        <v>2105</v>
      </c>
      <c r="E1083" s="6">
        <v>1</v>
      </c>
      <c r="F1083" s="6" t="s">
        <v>2004</v>
      </c>
      <c r="G1083" s="6" t="s">
        <v>2005</v>
      </c>
      <c r="H1083" s="6" t="s">
        <v>2005</v>
      </c>
      <c r="I1083" s="6" t="str">
        <f t="shared" si="32"/>
        <v>Side Breaker</v>
      </c>
      <c r="J1083" s="6" t="s">
        <v>393</v>
      </c>
      <c r="K1083" s="6">
        <v>1</v>
      </c>
      <c r="P1083" s="6">
        <f t="shared" si="33"/>
        <v>6000000</v>
      </c>
      <c r="R1083" s="6" t="s">
        <v>2003</v>
      </c>
      <c r="T1083" s="6" t="s">
        <v>845</v>
      </c>
      <c r="U1083" s="6">
        <v>2010</v>
      </c>
      <c r="V1083" s="6">
        <v>1</v>
      </c>
      <c r="AD1083" s="6" t="s">
        <v>45</v>
      </c>
      <c r="AJ1083" s="31" t="s">
        <v>2122</v>
      </c>
      <c r="AK1083" s="6">
        <v>1</v>
      </c>
      <c r="AL1083" s="26">
        <v>5500000</v>
      </c>
      <c r="AM1083" s="26">
        <v>5500000</v>
      </c>
      <c r="AN1083" s="26">
        <v>5500000</v>
      </c>
      <c r="AO1083" s="6" t="s">
        <v>2003</v>
      </c>
      <c r="AQ1083" s="6" t="s">
        <v>1167</v>
      </c>
      <c r="AU1083" s="6">
        <v>226936</v>
      </c>
    </row>
    <row r="1084" spans="1:47" hidden="1" x14ac:dyDescent="0.3">
      <c r="A1084" s="28" t="s">
        <v>42</v>
      </c>
      <c r="B1084" s="6" t="s">
        <v>2183</v>
      </c>
      <c r="E1084" s="6">
        <v>1</v>
      </c>
      <c r="F1084" s="6" t="s">
        <v>2004</v>
      </c>
      <c r="G1084" s="6" t="s">
        <v>2005</v>
      </c>
      <c r="H1084" s="6" t="s">
        <v>2005</v>
      </c>
      <c r="I1084" s="6" t="str">
        <f t="shared" si="32"/>
        <v>ETC</v>
      </c>
      <c r="J1084" s="6" t="s">
        <v>779</v>
      </c>
      <c r="K1084" s="6">
        <v>1</v>
      </c>
      <c r="P1084" s="6">
        <f t="shared" si="33"/>
        <v>1900000</v>
      </c>
      <c r="R1084" s="6" t="s">
        <v>2003</v>
      </c>
      <c r="T1084" s="6" t="s">
        <v>1131</v>
      </c>
      <c r="U1084" s="6">
        <v>2015</v>
      </c>
      <c r="V1084" s="6">
        <v>1</v>
      </c>
      <c r="AD1084" s="6" t="s">
        <v>45</v>
      </c>
      <c r="AJ1084" s="31" t="s">
        <v>2113</v>
      </c>
      <c r="AK1084" s="6">
        <v>1</v>
      </c>
      <c r="AL1084" s="26">
        <v>1800000</v>
      </c>
      <c r="AM1084" s="26">
        <v>1800000</v>
      </c>
      <c r="AN1084" s="26">
        <v>1800000</v>
      </c>
      <c r="AO1084" s="6" t="s">
        <v>2003</v>
      </c>
      <c r="AQ1084" s="6" t="s">
        <v>71</v>
      </c>
      <c r="AU1084" s="6">
        <v>226943</v>
      </c>
    </row>
    <row r="1085" spans="1:47" x14ac:dyDescent="0.3">
      <c r="A1085" s="28" t="s">
        <v>42</v>
      </c>
      <c r="B1085" s="6" t="s">
        <v>2174</v>
      </c>
      <c r="C1085" s="6" t="s">
        <v>1975</v>
      </c>
      <c r="D1085" s="6" t="s">
        <v>2105</v>
      </c>
      <c r="E1085" s="6">
        <v>1</v>
      </c>
      <c r="F1085" s="6" t="s">
        <v>2004</v>
      </c>
      <c r="G1085" s="6" t="s">
        <v>2005</v>
      </c>
      <c r="H1085" s="6" t="s">
        <v>2005</v>
      </c>
      <c r="I1085" s="6" t="str">
        <f t="shared" si="32"/>
        <v>Side Breaker</v>
      </c>
      <c r="J1085" s="6" t="s">
        <v>709</v>
      </c>
      <c r="K1085" s="6">
        <v>1</v>
      </c>
      <c r="P1085" s="6">
        <f t="shared" si="33"/>
        <v>4000000</v>
      </c>
      <c r="R1085" s="6" t="s">
        <v>2003</v>
      </c>
      <c r="T1085" s="6" t="s">
        <v>1132</v>
      </c>
      <c r="U1085" s="6">
        <v>2010</v>
      </c>
      <c r="V1085" s="6">
        <v>1</v>
      </c>
      <c r="AD1085" s="6" t="s">
        <v>45</v>
      </c>
      <c r="AJ1085" s="31" t="s">
        <v>2116</v>
      </c>
      <c r="AK1085" s="6">
        <v>1</v>
      </c>
      <c r="AL1085" s="26">
        <v>3800000</v>
      </c>
      <c r="AM1085" s="26">
        <v>3800000</v>
      </c>
      <c r="AN1085" s="26">
        <v>3800000</v>
      </c>
      <c r="AO1085" s="6" t="s">
        <v>2003</v>
      </c>
      <c r="AQ1085" s="6" t="s">
        <v>1146</v>
      </c>
      <c r="AU1085" s="6">
        <v>226946</v>
      </c>
    </row>
    <row r="1086" spans="1:47" x14ac:dyDescent="0.3">
      <c r="A1086" s="28" t="s">
        <v>42</v>
      </c>
      <c r="B1086" s="6" t="s">
        <v>2199</v>
      </c>
      <c r="D1086" s="6" t="s">
        <v>2001</v>
      </c>
      <c r="E1086" s="6">
        <v>1</v>
      </c>
      <c r="F1086" s="6" t="s">
        <v>2004</v>
      </c>
      <c r="G1086" s="6" t="s">
        <v>2005</v>
      </c>
      <c r="H1086" s="6" t="s">
        <v>2005</v>
      </c>
      <c r="I1086" s="6" t="str">
        <f t="shared" si="32"/>
        <v>Quick Coupler</v>
      </c>
      <c r="J1086" s="6" t="s">
        <v>411</v>
      </c>
      <c r="K1086" s="6">
        <v>1</v>
      </c>
      <c r="P1086" s="6">
        <f t="shared" si="33"/>
        <v>2500000</v>
      </c>
      <c r="R1086" s="6" t="s">
        <v>2003</v>
      </c>
      <c r="T1086" s="6" t="s">
        <v>91</v>
      </c>
      <c r="U1086" s="6">
        <v>2017</v>
      </c>
      <c r="V1086" s="6">
        <v>1</v>
      </c>
      <c r="AD1086" s="6" t="s">
        <v>45</v>
      </c>
      <c r="AJ1086" s="31" t="s">
        <v>2111</v>
      </c>
      <c r="AK1086" s="6">
        <v>1</v>
      </c>
      <c r="AL1086" s="26">
        <v>2300000</v>
      </c>
      <c r="AM1086" s="26">
        <v>2300000</v>
      </c>
      <c r="AN1086" s="26">
        <v>2300000</v>
      </c>
      <c r="AO1086" s="6" t="s">
        <v>2003</v>
      </c>
      <c r="AQ1086" s="6" t="s">
        <v>84</v>
      </c>
      <c r="AU1086" s="6">
        <v>226949</v>
      </c>
    </row>
    <row r="1087" spans="1:47" x14ac:dyDescent="0.3">
      <c r="A1087" s="28" t="s">
        <v>42</v>
      </c>
      <c r="B1087" s="6" t="s">
        <v>2199</v>
      </c>
      <c r="D1087" s="6" t="s">
        <v>2101</v>
      </c>
      <c r="E1087" s="6">
        <v>1</v>
      </c>
      <c r="F1087" s="6" t="s">
        <v>2004</v>
      </c>
      <c r="G1087" s="6" t="s">
        <v>2005</v>
      </c>
      <c r="H1087" s="6" t="s">
        <v>2005</v>
      </c>
      <c r="I1087" s="6" t="str">
        <f t="shared" si="32"/>
        <v>Quick Coupler</v>
      </c>
      <c r="J1087" s="6" t="s">
        <v>780</v>
      </c>
      <c r="K1087" s="6">
        <v>1</v>
      </c>
      <c r="P1087" s="6">
        <f t="shared" si="33"/>
        <v>3200000</v>
      </c>
      <c r="R1087" s="6" t="s">
        <v>2003</v>
      </c>
      <c r="T1087" s="6" t="s">
        <v>827</v>
      </c>
      <c r="U1087" s="6">
        <v>2015</v>
      </c>
      <c r="V1087" s="6">
        <v>1</v>
      </c>
      <c r="AD1087" s="6" t="s">
        <v>45</v>
      </c>
      <c r="AJ1087" s="31" t="s">
        <v>2118</v>
      </c>
      <c r="AK1087" s="6">
        <v>1</v>
      </c>
      <c r="AL1087" s="26">
        <v>3000000</v>
      </c>
      <c r="AM1087" s="26">
        <v>3000000</v>
      </c>
      <c r="AN1087" s="26">
        <v>3000000</v>
      </c>
      <c r="AO1087" s="6" t="s">
        <v>2003</v>
      </c>
      <c r="AQ1087" s="6" t="s">
        <v>67</v>
      </c>
      <c r="AU1087" s="6">
        <v>226954</v>
      </c>
    </row>
    <row r="1088" spans="1:47" x14ac:dyDescent="0.3">
      <c r="A1088" s="28" t="s">
        <v>42</v>
      </c>
      <c r="B1088" s="6" t="s">
        <v>2183</v>
      </c>
      <c r="D1088" s="6" t="s">
        <v>2101</v>
      </c>
      <c r="E1088" s="6">
        <v>1</v>
      </c>
      <c r="F1088" s="6" t="s">
        <v>2004</v>
      </c>
      <c r="G1088" s="6" t="s">
        <v>2005</v>
      </c>
      <c r="H1088" s="6" t="s">
        <v>2005</v>
      </c>
      <c r="I1088" s="6" t="str">
        <f t="shared" si="32"/>
        <v>ETC</v>
      </c>
      <c r="J1088" s="6" t="s">
        <v>781</v>
      </c>
      <c r="K1088" s="6">
        <v>1</v>
      </c>
      <c r="P1088" s="6">
        <f t="shared" si="33"/>
        <v>10500000</v>
      </c>
      <c r="R1088" s="6" t="s">
        <v>2003</v>
      </c>
      <c r="T1088" s="6" t="s">
        <v>2092</v>
      </c>
      <c r="U1088" s="6">
        <v>2012</v>
      </c>
      <c r="V1088" s="6">
        <v>8</v>
      </c>
      <c r="AD1088" s="6" t="s">
        <v>45</v>
      </c>
      <c r="AJ1088" s="31" t="s">
        <v>2110</v>
      </c>
      <c r="AK1088" s="6">
        <v>1</v>
      </c>
      <c r="AL1088" s="26">
        <v>10000000</v>
      </c>
      <c r="AM1088" s="26">
        <v>10000000</v>
      </c>
      <c r="AN1088" s="26">
        <v>10000000</v>
      </c>
      <c r="AO1088" s="6" t="s">
        <v>2003</v>
      </c>
      <c r="AQ1088" s="6" t="s">
        <v>1274</v>
      </c>
      <c r="AU1088" s="6">
        <v>226955</v>
      </c>
    </row>
    <row r="1089" spans="1:47" x14ac:dyDescent="0.3">
      <c r="A1089" s="28" t="s">
        <v>42</v>
      </c>
      <c r="B1089" s="6" t="s">
        <v>2175</v>
      </c>
      <c r="C1089" s="6" t="s">
        <v>1978</v>
      </c>
      <c r="D1089" s="6" t="s">
        <v>2105</v>
      </c>
      <c r="E1089" s="6">
        <v>1</v>
      </c>
      <c r="F1089" s="6" t="s">
        <v>2004</v>
      </c>
      <c r="G1089" s="6" t="s">
        <v>2005</v>
      </c>
      <c r="H1089" s="6" t="s">
        <v>2005</v>
      </c>
      <c r="I1089" s="6" t="str">
        <f t="shared" si="32"/>
        <v>Hydraulic Pulverizer</v>
      </c>
      <c r="J1089" s="6" t="s">
        <v>258</v>
      </c>
      <c r="K1089" s="6">
        <v>1</v>
      </c>
      <c r="P1089" s="6">
        <f t="shared" si="33"/>
        <v>4200000</v>
      </c>
      <c r="R1089" s="6" t="s">
        <v>2003</v>
      </c>
      <c r="T1089" s="6" t="s">
        <v>1133</v>
      </c>
      <c r="U1089" s="6">
        <v>2006</v>
      </c>
      <c r="V1089" s="6">
        <v>1</v>
      </c>
      <c r="AD1089" s="6" t="s">
        <v>45</v>
      </c>
      <c r="AJ1089" s="31" t="s">
        <v>2118</v>
      </c>
      <c r="AK1089" s="6">
        <v>1</v>
      </c>
      <c r="AL1089" s="26">
        <v>4000000</v>
      </c>
      <c r="AM1089" s="26">
        <v>4000000</v>
      </c>
      <c r="AN1089" s="26">
        <v>4000000</v>
      </c>
      <c r="AO1089" s="6" t="s">
        <v>2003</v>
      </c>
      <c r="AQ1089" s="6" t="s">
        <v>67</v>
      </c>
      <c r="AU1089" s="6">
        <v>226961</v>
      </c>
    </row>
    <row r="1090" spans="1:47" x14ac:dyDescent="0.3">
      <c r="A1090" s="28" t="s">
        <v>42</v>
      </c>
      <c r="B1090" s="6" t="s">
        <v>2184</v>
      </c>
      <c r="C1090" s="6" t="s">
        <v>1972</v>
      </c>
      <c r="D1090" s="6" t="s">
        <v>2104</v>
      </c>
      <c r="E1090" s="6">
        <v>1</v>
      </c>
      <c r="F1090" s="6" t="s">
        <v>2004</v>
      </c>
      <c r="G1090" s="6" t="s">
        <v>2005</v>
      </c>
      <c r="H1090" s="6" t="s">
        <v>2005</v>
      </c>
      <c r="I1090" s="6" t="str">
        <f t="shared" ref="I1090:I1153" si="34">IF(ISBLANK(C1090),B1090,C1090)</f>
        <v>Stone Grapple</v>
      </c>
      <c r="J1090" s="6" t="s">
        <v>106</v>
      </c>
      <c r="K1090" s="6">
        <v>1</v>
      </c>
      <c r="P1090" s="6">
        <f t="shared" si="33"/>
        <v>7000000</v>
      </c>
      <c r="R1090" s="6" t="s">
        <v>2003</v>
      </c>
      <c r="T1090" s="6" t="s">
        <v>2093</v>
      </c>
      <c r="U1090" s="6">
        <v>2016</v>
      </c>
      <c r="V1090" s="6">
        <v>10</v>
      </c>
      <c r="AD1090" s="6" t="s">
        <v>45</v>
      </c>
      <c r="AJ1090" s="31" t="s">
        <v>2122</v>
      </c>
      <c r="AK1090" s="6">
        <v>1</v>
      </c>
      <c r="AL1090" s="26">
        <v>6500000</v>
      </c>
      <c r="AM1090" s="26">
        <v>6500000</v>
      </c>
      <c r="AN1090" s="26">
        <v>6500000</v>
      </c>
      <c r="AO1090" s="6" t="s">
        <v>2003</v>
      </c>
      <c r="AQ1090" s="6" t="s">
        <v>1164</v>
      </c>
      <c r="AU1090" s="6">
        <v>226962</v>
      </c>
    </row>
    <row r="1091" spans="1:47" x14ac:dyDescent="0.3">
      <c r="A1091" s="28" t="s">
        <v>42</v>
      </c>
      <c r="B1091" s="6" t="s">
        <v>2184</v>
      </c>
      <c r="C1091" s="6" t="s">
        <v>1972</v>
      </c>
      <c r="D1091" s="6" t="s">
        <v>2104</v>
      </c>
      <c r="E1091" s="6">
        <v>1</v>
      </c>
      <c r="F1091" s="6" t="s">
        <v>2004</v>
      </c>
      <c r="G1091" s="6" t="s">
        <v>2005</v>
      </c>
      <c r="H1091" s="6" t="s">
        <v>2005</v>
      </c>
      <c r="I1091" s="6" t="str">
        <f t="shared" si="34"/>
        <v>Stone Grapple</v>
      </c>
      <c r="J1091" s="6" t="s">
        <v>48</v>
      </c>
      <c r="K1091" s="6">
        <v>1</v>
      </c>
      <c r="P1091" s="6">
        <f t="shared" ref="P1091:P1154" si="35">IF(AM1091&lt;500000,AM1091+50000,IF(AND(AM1091&gt;=500000,AM1091&lt;2000000),AM1091+100000,IF(AND(AM1091&gt;=2000000,AM1091&lt;5000000),AM1091+200000,IF(AM1091&gt;=5000000,AM1091+500000,AM1091))))</f>
        <v>2700000</v>
      </c>
      <c r="R1091" s="6" t="s">
        <v>2003</v>
      </c>
      <c r="T1091" s="6" t="s">
        <v>2007</v>
      </c>
      <c r="U1091" s="6">
        <v>2014</v>
      </c>
      <c r="V1091" s="6">
        <v>1</v>
      </c>
      <c r="AD1091" s="6" t="s">
        <v>45</v>
      </c>
      <c r="AJ1091" s="31" t="s">
        <v>2113</v>
      </c>
      <c r="AK1091" s="6">
        <v>1</v>
      </c>
      <c r="AL1091" s="26">
        <v>2500000</v>
      </c>
      <c r="AM1091" s="26">
        <v>2500000</v>
      </c>
      <c r="AN1091" s="26">
        <v>2500000</v>
      </c>
      <c r="AO1091" s="6" t="s">
        <v>2003</v>
      </c>
      <c r="AQ1091" s="6" t="s">
        <v>49</v>
      </c>
      <c r="AU1091" s="6">
        <v>226963</v>
      </c>
    </row>
    <row r="1092" spans="1:47" x14ac:dyDescent="0.3">
      <c r="A1092" s="28" t="s">
        <v>42</v>
      </c>
      <c r="B1092" s="6" t="s">
        <v>2174</v>
      </c>
      <c r="C1092" s="6" t="s">
        <v>1975</v>
      </c>
      <c r="D1092" s="6" t="s">
        <v>2104</v>
      </c>
      <c r="E1092" s="6">
        <v>1</v>
      </c>
      <c r="F1092" s="6" t="s">
        <v>2004</v>
      </c>
      <c r="G1092" s="6" t="s">
        <v>2005</v>
      </c>
      <c r="H1092" s="6" t="s">
        <v>2005</v>
      </c>
      <c r="I1092" s="6" t="str">
        <f t="shared" si="34"/>
        <v>Side Breaker</v>
      </c>
      <c r="J1092" s="6" t="s">
        <v>119</v>
      </c>
      <c r="K1092" s="6">
        <v>1</v>
      </c>
      <c r="P1092" s="6">
        <f t="shared" si="35"/>
        <v>3200000</v>
      </c>
      <c r="R1092" s="6" t="s">
        <v>2003</v>
      </c>
      <c r="T1092" s="6" t="s">
        <v>1134</v>
      </c>
      <c r="U1092" s="6">
        <v>2008</v>
      </c>
      <c r="V1092" s="6">
        <v>1</v>
      </c>
      <c r="AD1092" s="6" t="s">
        <v>45</v>
      </c>
      <c r="AJ1092" s="31" t="s">
        <v>2118</v>
      </c>
      <c r="AK1092" s="6">
        <v>1</v>
      </c>
      <c r="AL1092" s="26">
        <v>3000000</v>
      </c>
      <c r="AM1092" s="26">
        <v>3000000</v>
      </c>
      <c r="AN1092" s="26">
        <v>3000000</v>
      </c>
      <c r="AO1092" s="6" t="s">
        <v>2003</v>
      </c>
      <c r="AQ1092" s="6" t="s">
        <v>67</v>
      </c>
      <c r="AU1092" s="6">
        <v>226965</v>
      </c>
    </row>
    <row r="1093" spans="1:47" hidden="1" x14ac:dyDescent="0.3">
      <c r="A1093" s="28" t="s">
        <v>42</v>
      </c>
      <c r="B1093" s="6" t="s">
        <v>2183</v>
      </c>
      <c r="E1093" s="6">
        <v>1</v>
      </c>
      <c r="F1093" s="6" t="s">
        <v>2004</v>
      </c>
      <c r="G1093" s="6" t="s">
        <v>2005</v>
      </c>
      <c r="H1093" s="6" t="s">
        <v>2005</v>
      </c>
      <c r="I1093" s="6" t="str">
        <f t="shared" si="34"/>
        <v>ETC</v>
      </c>
      <c r="J1093" s="6" t="s">
        <v>111</v>
      </c>
      <c r="K1093" s="6">
        <v>1</v>
      </c>
      <c r="P1093" s="6">
        <f t="shared" si="35"/>
        <v>8500000</v>
      </c>
      <c r="R1093" s="6" t="s">
        <v>2003</v>
      </c>
      <c r="T1093" s="6" t="s">
        <v>1887</v>
      </c>
      <c r="U1093" s="6">
        <v>2014</v>
      </c>
      <c r="V1093" s="6">
        <v>9</v>
      </c>
      <c r="AD1093" s="6" t="s">
        <v>45</v>
      </c>
      <c r="AJ1093" s="31" t="s">
        <v>2114</v>
      </c>
      <c r="AK1093" s="6">
        <v>1</v>
      </c>
      <c r="AL1093" s="26">
        <v>8000000</v>
      </c>
      <c r="AM1093" s="26">
        <v>8000000</v>
      </c>
      <c r="AN1093" s="26">
        <v>8000000</v>
      </c>
      <c r="AO1093" s="6" t="s">
        <v>2003</v>
      </c>
      <c r="AQ1093" s="6" t="s">
        <v>57</v>
      </c>
      <c r="AU1093" s="6">
        <v>226966</v>
      </c>
    </row>
    <row r="1094" spans="1:47" x14ac:dyDescent="0.3">
      <c r="A1094" s="28" t="s">
        <v>42</v>
      </c>
      <c r="B1094" s="6" t="s">
        <v>2184</v>
      </c>
      <c r="C1094" s="6" t="s">
        <v>1972</v>
      </c>
      <c r="D1094" s="6" t="s">
        <v>2104</v>
      </c>
      <c r="E1094" s="6">
        <v>1</v>
      </c>
      <c r="F1094" s="6" t="s">
        <v>2004</v>
      </c>
      <c r="G1094" s="6" t="s">
        <v>2005</v>
      </c>
      <c r="H1094" s="6" t="s">
        <v>2005</v>
      </c>
      <c r="I1094" s="6" t="str">
        <f t="shared" si="34"/>
        <v>Stone Grapple</v>
      </c>
      <c r="J1094" s="6" t="s">
        <v>407</v>
      </c>
      <c r="K1094" s="6">
        <v>1</v>
      </c>
      <c r="P1094" s="6">
        <f t="shared" si="35"/>
        <v>2400000</v>
      </c>
      <c r="R1094" s="6" t="s">
        <v>2003</v>
      </c>
      <c r="T1094" s="6" t="s">
        <v>2007</v>
      </c>
      <c r="U1094" s="6">
        <v>2014</v>
      </c>
      <c r="V1094" s="6">
        <v>1</v>
      </c>
      <c r="AD1094" s="6" t="s">
        <v>45</v>
      </c>
      <c r="AJ1094" s="31" t="s">
        <v>2113</v>
      </c>
      <c r="AK1094" s="6">
        <v>1</v>
      </c>
      <c r="AL1094" s="26">
        <v>2200000</v>
      </c>
      <c r="AM1094" s="26">
        <v>2200000</v>
      </c>
      <c r="AN1094" s="26">
        <v>2200000</v>
      </c>
      <c r="AO1094" s="6" t="s">
        <v>2003</v>
      </c>
      <c r="AQ1094" s="6" t="s">
        <v>49</v>
      </c>
      <c r="AU1094" s="6">
        <v>226970</v>
      </c>
    </row>
    <row r="1095" spans="1:47" x14ac:dyDescent="0.3">
      <c r="A1095" s="28" t="s">
        <v>42</v>
      </c>
      <c r="B1095" s="6" t="s">
        <v>2182</v>
      </c>
      <c r="C1095" s="6" t="s">
        <v>1977</v>
      </c>
      <c r="D1095" s="6" t="s">
        <v>2107</v>
      </c>
      <c r="E1095" s="6">
        <v>1</v>
      </c>
      <c r="F1095" s="6" t="s">
        <v>2004</v>
      </c>
      <c r="G1095" s="6" t="s">
        <v>2005</v>
      </c>
      <c r="H1095" s="6" t="s">
        <v>2005</v>
      </c>
      <c r="I1095" s="6" t="str">
        <f t="shared" si="34"/>
        <v>Wide Bucket</v>
      </c>
      <c r="J1095" s="6" t="s">
        <v>286</v>
      </c>
      <c r="K1095" s="6">
        <v>1</v>
      </c>
      <c r="P1095" s="6">
        <f t="shared" si="35"/>
        <v>1000000</v>
      </c>
      <c r="R1095" s="6" t="s">
        <v>2003</v>
      </c>
      <c r="T1095" s="6" t="s">
        <v>1135</v>
      </c>
      <c r="U1095" s="6">
        <v>2016</v>
      </c>
      <c r="V1095" s="6">
        <v>1</v>
      </c>
      <c r="AD1095" s="6" t="s">
        <v>45</v>
      </c>
      <c r="AJ1095" s="31" t="s">
        <v>2112</v>
      </c>
      <c r="AK1095" s="6">
        <v>1</v>
      </c>
      <c r="AL1095" s="26">
        <v>900000</v>
      </c>
      <c r="AM1095" s="26">
        <v>900000</v>
      </c>
      <c r="AN1095" s="26">
        <v>900000</v>
      </c>
      <c r="AO1095" s="6" t="s">
        <v>2003</v>
      </c>
      <c r="AQ1095" s="6" t="s">
        <v>1142</v>
      </c>
      <c r="AU1095" s="6">
        <v>226977</v>
      </c>
    </row>
    <row r="1096" spans="1:47" hidden="1" x14ac:dyDescent="0.3">
      <c r="A1096" s="28" t="s">
        <v>42</v>
      </c>
      <c r="B1096" s="6" t="s">
        <v>2174</v>
      </c>
      <c r="C1096" s="6" t="s">
        <v>1975</v>
      </c>
      <c r="E1096" s="6">
        <v>1</v>
      </c>
      <c r="F1096" s="6" t="s">
        <v>2004</v>
      </c>
      <c r="G1096" s="6" t="s">
        <v>2005</v>
      </c>
      <c r="H1096" s="6" t="s">
        <v>2005</v>
      </c>
      <c r="I1096" s="6" t="str">
        <f t="shared" si="34"/>
        <v>Side Breaker</v>
      </c>
      <c r="J1096" s="6" t="s">
        <v>785</v>
      </c>
      <c r="K1096" s="6">
        <v>1</v>
      </c>
      <c r="P1096" s="6">
        <f t="shared" si="35"/>
        <v>2200000</v>
      </c>
      <c r="R1096" s="6" t="s">
        <v>2003</v>
      </c>
      <c r="T1096" s="6" t="s">
        <v>796</v>
      </c>
      <c r="U1096" s="6">
        <v>2010</v>
      </c>
      <c r="V1096" s="6">
        <v>1</v>
      </c>
      <c r="AD1096" s="6" t="s">
        <v>45</v>
      </c>
      <c r="AJ1096" s="31" t="s">
        <v>2113</v>
      </c>
      <c r="AK1096" s="6">
        <v>1</v>
      </c>
      <c r="AL1096" s="26">
        <v>2000000</v>
      </c>
      <c r="AM1096" s="26">
        <v>2000000</v>
      </c>
      <c r="AN1096" s="26">
        <v>2000000</v>
      </c>
      <c r="AO1096" s="6" t="s">
        <v>2003</v>
      </c>
      <c r="AQ1096" s="6" t="s">
        <v>1321</v>
      </c>
      <c r="AU1096" s="6">
        <v>226978</v>
      </c>
    </row>
    <row r="1097" spans="1:47" x14ac:dyDescent="0.3">
      <c r="A1097" s="28" t="s">
        <v>42</v>
      </c>
      <c r="B1097" s="6" t="s">
        <v>2175</v>
      </c>
      <c r="C1097" s="19" t="s">
        <v>2207</v>
      </c>
      <c r="D1097" s="6" t="s">
        <v>2105</v>
      </c>
      <c r="E1097" s="6">
        <v>1</v>
      </c>
      <c r="F1097" s="6" t="s">
        <v>2004</v>
      </c>
      <c r="G1097" s="6" t="s">
        <v>2005</v>
      </c>
      <c r="H1097" s="6" t="s">
        <v>2005</v>
      </c>
      <c r="I1097" s="6" t="str">
        <f t="shared" si="34"/>
        <v>Hydraulic Crusher</v>
      </c>
      <c r="J1097" s="6" t="s">
        <v>181</v>
      </c>
      <c r="K1097" s="6">
        <v>1</v>
      </c>
      <c r="P1097" s="6">
        <f t="shared" si="35"/>
        <v>13000000</v>
      </c>
      <c r="R1097" s="6" t="s">
        <v>2003</v>
      </c>
      <c r="T1097" s="6" t="s">
        <v>1136</v>
      </c>
      <c r="U1097" s="6">
        <v>2005</v>
      </c>
      <c r="V1097" s="6">
        <v>1</v>
      </c>
      <c r="AD1097" s="6" t="s">
        <v>45</v>
      </c>
      <c r="AJ1097" s="31" t="s">
        <v>2110</v>
      </c>
      <c r="AK1097" s="6">
        <v>1</v>
      </c>
      <c r="AL1097" s="26">
        <v>12500000</v>
      </c>
      <c r="AM1097" s="26">
        <v>12500000</v>
      </c>
      <c r="AN1097" s="26">
        <v>12500000</v>
      </c>
      <c r="AO1097" s="6" t="s">
        <v>2003</v>
      </c>
      <c r="AQ1097" s="6" t="s">
        <v>1317</v>
      </c>
      <c r="AU1097" s="6">
        <v>226979</v>
      </c>
    </row>
    <row r="1098" spans="1:47" x14ac:dyDescent="0.3">
      <c r="A1098" s="28" t="s">
        <v>42</v>
      </c>
      <c r="B1098" s="6" t="s">
        <v>2201</v>
      </c>
      <c r="C1098" s="6" t="s">
        <v>1978</v>
      </c>
      <c r="D1098" s="6" t="s">
        <v>2105</v>
      </c>
      <c r="E1098" s="6">
        <v>1</v>
      </c>
      <c r="F1098" s="6" t="s">
        <v>2004</v>
      </c>
      <c r="G1098" s="6" t="s">
        <v>2005</v>
      </c>
      <c r="H1098" s="6" t="s">
        <v>2005</v>
      </c>
      <c r="I1098" s="6" t="str">
        <f t="shared" si="34"/>
        <v>Hydraulic Pulverizer</v>
      </c>
      <c r="J1098" s="6" t="s">
        <v>258</v>
      </c>
      <c r="K1098" s="6">
        <v>1</v>
      </c>
      <c r="P1098" s="6">
        <f t="shared" si="35"/>
        <v>10500000</v>
      </c>
      <c r="R1098" s="6" t="s">
        <v>2003</v>
      </c>
      <c r="T1098" s="6" t="s">
        <v>1137</v>
      </c>
      <c r="U1098" s="6">
        <v>2005</v>
      </c>
      <c r="V1098" s="6">
        <v>1</v>
      </c>
      <c r="AD1098" s="6" t="s">
        <v>45</v>
      </c>
      <c r="AJ1098" s="31" t="s">
        <v>2110</v>
      </c>
      <c r="AK1098" s="6">
        <v>1</v>
      </c>
      <c r="AL1098" s="26">
        <v>10000000</v>
      </c>
      <c r="AM1098" s="26">
        <v>10000000</v>
      </c>
      <c r="AN1098" s="26">
        <v>10000000</v>
      </c>
      <c r="AO1098" s="6" t="s">
        <v>2003</v>
      </c>
      <c r="AQ1098" s="6" t="s">
        <v>1317</v>
      </c>
      <c r="AU1098" s="6">
        <v>226980</v>
      </c>
    </row>
    <row r="1099" spans="1:47" hidden="1" x14ac:dyDescent="0.3">
      <c r="A1099" s="28" t="s">
        <v>42</v>
      </c>
      <c r="B1099" s="6" t="s">
        <v>2178</v>
      </c>
      <c r="C1099" s="6" t="s">
        <v>1975</v>
      </c>
      <c r="E1099" s="6">
        <v>1</v>
      </c>
      <c r="F1099" s="6" t="s">
        <v>2004</v>
      </c>
      <c r="G1099" s="6" t="s">
        <v>2005</v>
      </c>
      <c r="H1099" s="6" t="s">
        <v>2005</v>
      </c>
      <c r="I1099" s="6" t="str">
        <f t="shared" si="34"/>
        <v>Side Breaker</v>
      </c>
      <c r="J1099" s="6" t="s">
        <v>786</v>
      </c>
      <c r="K1099" s="6">
        <v>1</v>
      </c>
      <c r="P1099" s="6">
        <f t="shared" si="35"/>
        <v>2200000</v>
      </c>
      <c r="R1099" s="6" t="s">
        <v>2003</v>
      </c>
      <c r="T1099" s="6" t="s">
        <v>796</v>
      </c>
      <c r="U1099" s="6">
        <v>2010</v>
      </c>
      <c r="V1099" s="6">
        <v>1</v>
      </c>
      <c r="AD1099" s="6" t="s">
        <v>45</v>
      </c>
      <c r="AJ1099" s="31" t="s">
        <v>2113</v>
      </c>
      <c r="AK1099" s="6">
        <v>1</v>
      </c>
      <c r="AL1099" s="26">
        <v>2000000</v>
      </c>
      <c r="AM1099" s="26">
        <v>2000000</v>
      </c>
      <c r="AN1099" s="26">
        <v>2000000</v>
      </c>
      <c r="AO1099" s="6" t="s">
        <v>2003</v>
      </c>
      <c r="AQ1099" s="6" t="s">
        <v>1321</v>
      </c>
      <c r="AU1099" s="6">
        <v>226981</v>
      </c>
    </row>
    <row r="1100" spans="1:47" x14ac:dyDescent="0.3">
      <c r="A1100" s="28" t="s">
        <v>42</v>
      </c>
      <c r="B1100" s="6" t="s">
        <v>2179</v>
      </c>
      <c r="C1100" s="6" t="s">
        <v>1980</v>
      </c>
      <c r="D1100" s="6" t="s">
        <v>2100</v>
      </c>
      <c r="E1100" s="6">
        <v>1</v>
      </c>
      <c r="F1100" s="6" t="s">
        <v>2004</v>
      </c>
      <c r="G1100" s="6" t="s">
        <v>2005</v>
      </c>
      <c r="H1100" s="6" t="s">
        <v>2005</v>
      </c>
      <c r="I1100" s="6" t="str">
        <f t="shared" si="34"/>
        <v>Small Bucket</v>
      </c>
      <c r="J1100" s="6" t="s">
        <v>787</v>
      </c>
      <c r="K1100" s="6">
        <v>1</v>
      </c>
      <c r="P1100" s="6">
        <f t="shared" si="35"/>
        <v>600000</v>
      </c>
      <c r="R1100" s="6" t="s">
        <v>2003</v>
      </c>
      <c r="T1100" s="6" t="s">
        <v>793</v>
      </c>
      <c r="U1100" s="6">
        <v>2012</v>
      </c>
      <c r="V1100" s="6">
        <v>1</v>
      </c>
      <c r="AD1100" s="6" t="s">
        <v>45</v>
      </c>
      <c r="AJ1100" s="31" t="s">
        <v>2116</v>
      </c>
      <c r="AK1100" s="6">
        <v>1</v>
      </c>
      <c r="AL1100" s="26">
        <v>500000</v>
      </c>
      <c r="AM1100" s="26">
        <v>500000</v>
      </c>
      <c r="AN1100" s="26">
        <v>500000</v>
      </c>
      <c r="AO1100" s="6" t="s">
        <v>2003</v>
      </c>
      <c r="AQ1100" s="6" t="s">
        <v>1146</v>
      </c>
      <c r="AU1100" s="6">
        <v>226983</v>
      </c>
    </row>
    <row r="1101" spans="1:47" x14ac:dyDescent="0.3">
      <c r="A1101" s="28" t="s">
        <v>42</v>
      </c>
      <c r="B1101" s="6" t="s">
        <v>2181</v>
      </c>
      <c r="D1101" s="6" t="s">
        <v>2100</v>
      </c>
      <c r="E1101" s="6">
        <v>1</v>
      </c>
      <c r="F1101" s="6" t="s">
        <v>2004</v>
      </c>
      <c r="G1101" s="6" t="s">
        <v>2005</v>
      </c>
      <c r="H1101" s="6" t="s">
        <v>2005</v>
      </c>
      <c r="I1101" s="6" t="str">
        <f t="shared" si="34"/>
        <v>ETC</v>
      </c>
      <c r="J1101" s="6" t="s">
        <v>788</v>
      </c>
      <c r="K1101" s="6">
        <v>1</v>
      </c>
      <c r="P1101" s="6">
        <f t="shared" si="35"/>
        <v>700000</v>
      </c>
      <c r="R1101" s="6" t="s">
        <v>2003</v>
      </c>
      <c r="T1101" s="6" t="s">
        <v>1138</v>
      </c>
      <c r="U1101" s="6">
        <v>2016</v>
      </c>
      <c r="V1101" s="6">
        <v>6</v>
      </c>
      <c r="AD1101" s="6" t="s">
        <v>45</v>
      </c>
      <c r="AJ1101" s="31" t="s">
        <v>2117</v>
      </c>
      <c r="AK1101" s="6">
        <v>1</v>
      </c>
      <c r="AL1101" s="26">
        <v>600000</v>
      </c>
      <c r="AM1101" s="26">
        <v>600000</v>
      </c>
      <c r="AN1101" s="26">
        <v>600000</v>
      </c>
      <c r="AO1101" s="6" t="s">
        <v>2003</v>
      </c>
      <c r="AQ1101" s="6" t="s">
        <v>1322</v>
      </c>
      <c r="AU1101" s="6">
        <v>226984</v>
      </c>
    </row>
    <row r="1102" spans="1:47" hidden="1" x14ac:dyDescent="0.3">
      <c r="A1102" s="28" t="s">
        <v>42</v>
      </c>
      <c r="B1102" s="6" t="s">
        <v>2181</v>
      </c>
      <c r="E1102" s="6">
        <v>1</v>
      </c>
      <c r="F1102" s="6" t="s">
        <v>2004</v>
      </c>
      <c r="G1102" s="6" t="s">
        <v>2005</v>
      </c>
      <c r="H1102" s="6" t="s">
        <v>2005</v>
      </c>
      <c r="I1102" s="6" t="str">
        <f t="shared" si="34"/>
        <v>ETC</v>
      </c>
      <c r="J1102" s="6" t="s">
        <v>200</v>
      </c>
      <c r="K1102" s="6">
        <v>1</v>
      </c>
      <c r="P1102" s="6">
        <f t="shared" si="35"/>
        <v>400000</v>
      </c>
      <c r="R1102" s="6" t="s">
        <v>2003</v>
      </c>
      <c r="T1102" s="6" t="s">
        <v>812</v>
      </c>
      <c r="U1102" s="6">
        <v>2017</v>
      </c>
      <c r="V1102" s="6">
        <v>1</v>
      </c>
      <c r="AD1102" s="6" t="s">
        <v>45</v>
      </c>
      <c r="AJ1102" s="31" t="s">
        <v>2122</v>
      </c>
      <c r="AK1102" s="6">
        <v>1</v>
      </c>
      <c r="AL1102" s="26">
        <v>350000</v>
      </c>
      <c r="AM1102" s="26">
        <v>350000</v>
      </c>
      <c r="AN1102" s="26">
        <v>350000</v>
      </c>
      <c r="AO1102" s="6" t="s">
        <v>2003</v>
      </c>
      <c r="AQ1102" s="6" t="s">
        <v>1190</v>
      </c>
      <c r="AU1102" s="6">
        <v>226993</v>
      </c>
    </row>
    <row r="1103" spans="1:47" x14ac:dyDescent="0.3">
      <c r="A1103" s="28" t="s">
        <v>42</v>
      </c>
      <c r="B1103" s="6" t="s">
        <v>2177</v>
      </c>
      <c r="C1103" s="6" t="s">
        <v>1972</v>
      </c>
      <c r="D1103" s="6" t="s">
        <v>2105</v>
      </c>
      <c r="E1103" s="6">
        <v>1</v>
      </c>
      <c r="F1103" s="6" t="s">
        <v>2004</v>
      </c>
      <c r="G1103" s="6" t="s">
        <v>2005</v>
      </c>
      <c r="H1103" s="6" t="s">
        <v>2005</v>
      </c>
      <c r="I1103" s="6" t="str">
        <f t="shared" si="34"/>
        <v>Stone Grapple</v>
      </c>
      <c r="J1103" s="6" t="s">
        <v>203</v>
      </c>
      <c r="K1103" s="6">
        <v>1</v>
      </c>
      <c r="P1103" s="6">
        <f t="shared" si="35"/>
        <v>4700000</v>
      </c>
      <c r="R1103" s="6" t="s">
        <v>2003</v>
      </c>
      <c r="T1103" s="6" t="s">
        <v>1139</v>
      </c>
      <c r="U1103" s="6">
        <v>2010</v>
      </c>
      <c r="V1103" s="6">
        <v>1</v>
      </c>
      <c r="AD1103" s="6" t="s">
        <v>45</v>
      </c>
      <c r="AJ1103" s="31" t="s">
        <v>2117</v>
      </c>
      <c r="AK1103" s="6">
        <v>1</v>
      </c>
      <c r="AL1103" s="26">
        <v>4500000</v>
      </c>
      <c r="AM1103" s="26">
        <v>4500000</v>
      </c>
      <c r="AN1103" s="26">
        <v>4500000</v>
      </c>
      <c r="AO1103" s="6" t="s">
        <v>2003</v>
      </c>
      <c r="AQ1103" s="6" t="s">
        <v>1323</v>
      </c>
      <c r="AU1103" s="6">
        <v>226995</v>
      </c>
    </row>
    <row r="1104" spans="1:47" x14ac:dyDescent="0.3">
      <c r="A1104" s="28" t="s">
        <v>42</v>
      </c>
      <c r="B1104" s="6" t="s">
        <v>2180</v>
      </c>
      <c r="D1104" s="6" t="s">
        <v>2104</v>
      </c>
      <c r="E1104" s="6">
        <v>1</v>
      </c>
      <c r="F1104" s="6" t="s">
        <v>2004</v>
      </c>
      <c r="G1104" s="6" t="s">
        <v>2005</v>
      </c>
      <c r="H1104" s="6" t="s">
        <v>2005</v>
      </c>
      <c r="I1104" s="6" t="str">
        <f t="shared" si="34"/>
        <v>Quick Coupler</v>
      </c>
      <c r="J1104" s="6" t="s">
        <v>351</v>
      </c>
      <c r="K1104" s="6">
        <v>1</v>
      </c>
      <c r="P1104" s="6">
        <f t="shared" si="35"/>
        <v>850000</v>
      </c>
      <c r="R1104" s="6" t="s">
        <v>2003</v>
      </c>
      <c r="T1104" s="6" t="s">
        <v>789</v>
      </c>
      <c r="U1104" s="6">
        <v>2007</v>
      </c>
      <c r="V1104" s="6">
        <v>1</v>
      </c>
      <c r="AD1104" s="6" t="s">
        <v>45</v>
      </c>
      <c r="AJ1104" s="31" t="s">
        <v>2122</v>
      </c>
      <c r="AK1104" s="6">
        <v>1</v>
      </c>
      <c r="AL1104" s="26">
        <v>750000</v>
      </c>
      <c r="AM1104" s="26">
        <v>750000</v>
      </c>
      <c r="AN1104" s="26">
        <v>750000</v>
      </c>
      <c r="AO1104" s="6" t="s">
        <v>2003</v>
      </c>
      <c r="AQ1104" s="6" t="s">
        <v>65</v>
      </c>
      <c r="AU1104" s="6">
        <v>227005</v>
      </c>
    </row>
    <row r="1105" spans="1:47" x14ac:dyDescent="0.3">
      <c r="A1105" s="28" t="s">
        <v>42</v>
      </c>
      <c r="B1105" s="6" t="s">
        <v>2181</v>
      </c>
      <c r="D1105" s="6" t="s">
        <v>2102</v>
      </c>
      <c r="E1105" s="6">
        <v>1</v>
      </c>
      <c r="F1105" s="6" t="s">
        <v>2004</v>
      </c>
      <c r="G1105" s="6" t="s">
        <v>2005</v>
      </c>
      <c r="H1105" s="6" t="s">
        <v>2005</v>
      </c>
      <c r="I1105" s="6" t="str">
        <f t="shared" si="34"/>
        <v>ETC</v>
      </c>
      <c r="J1105" s="6" t="s">
        <v>165</v>
      </c>
      <c r="K1105" s="6">
        <v>1</v>
      </c>
      <c r="P1105" s="6">
        <f t="shared" si="35"/>
        <v>300000</v>
      </c>
      <c r="R1105" s="6" t="s">
        <v>2003</v>
      </c>
      <c r="T1105" s="6" t="s">
        <v>798</v>
      </c>
      <c r="U1105" s="6">
        <v>2016</v>
      </c>
      <c r="V1105" s="6">
        <v>1</v>
      </c>
      <c r="AD1105" s="6" t="s">
        <v>45</v>
      </c>
      <c r="AJ1105" s="31" t="s">
        <v>2113</v>
      </c>
      <c r="AK1105" s="6">
        <v>1</v>
      </c>
      <c r="AL1105" s="26">
        <v>250000</v>
      </c>
      <c r="AM1105" s="26">
        <v>250000</v>
      </c>
      <c r="AN1105" s="26">
        <v>250000</v>
      </c>
      <c r="AO1105" s="6" t="s">
        <v>2003</v>
      </c>
      <c r="AQ1105" s="6" t="s">
        <v>71</v>
      </c>
      <c r="AU1105" s="6">
        <v>227018</v>
      </c>
    </row>
    <row r="1106" spans="1:47" x14ac:dyDescent="0.3">
      <c r="A1106" s="28" t="s">
        <v>42</v>
      </c>
      <c r="B1106" s="6" t="s">
        <v>2190</v>
      </c>
      <c r="D1106" s="6" t="s">
        <v>2104</v>
      </c>
      <c r="E1106" s="6">
        <v>1</v>
      </c>
      <c r="F1106" s="6" t="s">
        <v>2004</v>
      </c>
      <c r="G1106" s="6" t="s">
        <v>2005</v>
      </c>
      <c r="H1106" s="6" t="s">
        <v>2005</v>
      </c>
      <c r="I1106" s="6" t="str">
        <f t="shared" si="34"/>
        <v>Lift Fork</v>
      </c>
      <c r="J1106" s="6" t="s">
        <v>102</v>
      </c>
      <c r="K1106" s="6">
        <v>1</v>
      </c>
      <c r="P1106" s="6">
        <f t="shared" si="35"/>
        <v>800000</v>
      </c>
      <c r="R1106" s="6" t="s">
        <v>2003</v>
      </c>
      <c r="T1106" s="6" t="s">
        <v>1888</v>
      </c>
      <c r="U1106" s="6">
        <v>2013</v>
      </c>
      <c r="V1106" s="6">
        <v>1</v>
      </c>
      <c r="AD1106" s="6" t="s">
        <v>45</v>
      </c>
      <c r="AJ1106" s="31" t="s">
        <v>2110</v>
      </c>
      <c r="AK1106" s="6">
        <v>1</v>
      </c>
      <c r="AL1106" s="26">
        <v>700000</v>
      </c>
      <c r="AM1106" s="26">
        <v>700000</v>
      </c>
      <c r="AN1106" s="26">
        <v>700000</v>
      </c>
      <c r="AO1106" s="6" t="s">
        <v>2003</v>
      </c>
      <c r="AQ1106" s="6" t="s">
        <v>1317</v>
      </c>
      <c r="AU1106" s="6">
        <v>227023</v>
      </c>
    </row>
    <row r="1107" spans="1:47" hidden="1" x14ac:dyDescent="0.3">
      <c r="A1107" s="28" t="s">
        <v>42</v>
      </c>
      <c r="B1107" s="6" t="s">
        <v>2181</v>
      </c>
      <c r="E1107" s="6">
        <v>1</v>
      </c>
      <c r="F1107" s="6" t="s">
        <v>2004</v>
      </c>
      <c r="G1107" s="6" t="s">
        <v>2005</v>
      </c>
      <c r="H1107" s="6" t="s">
        <v>2005</v>
      </c>
      <c r="I1107" s="6" t="str">
        <f t="shared" si="34"/>
        <v>ETC</v>
      </c>
      <c r="J1107" s="6" t="s">
        <v>1929</v>
      </c>
      <c r="K1107" s="6">
        <v>1</v>
      </c>
      <c r="P1107" s="6">
        <f t="shared" si="35"/>
        <v>900000</v>
      </c>
      <c r="R1107" s="6" t="s">
        <v>2003</v>
      </c>
      <c r="T1107" s="6" t="s">
        <v>1889</v>
      </c>
      <c r="U1107" s="6">
        <v>2015</v>
      </c>
      <c r="V1107" s="6">
        <v>12</v>
      </c>
      <c r="AD1107" s="6" t="s">
        <v>45</v>
      </c>
      <c r="AJ1107" s="31" t="s">
        <v>2111</v>
      </c>
      <c r="AK1107" s="6">
        <v>1</v>
      </c>
      <c r="AL1107" s="26">
        <v>800000</v>
      </c>
      <c r="AM1107" s="26">
        <v>800000</v>
      </c>
      <c r="AN1107" s="26">
        <v>800000</v>
      </c>
      <c r="AO1107" s="6" t="s">
        <v>2003</v>
      </c>
      <c r="AQ1107" s="6" t="s">
        <v>1921</v>
      </c>
      <c r="AU1107" s="6">
        <v>227024</v>
      </c>
    </row>
    <row r="1108" spans="1:47" x14ac:dyDescent="0.3">
      <c r="A1108" s="28" t="s">
        <v>42</v>
      </c>
      <c r="B1108" s="6" t="s">
        <v>2178</v>
      </c>
      <c r="C1108" s="6" t="s">
        <v>1975</v>
      </c>
      <c r="D1108" s="6" t="s">
        <v>2100</v>
      </c>
      <c r="E1108" s="6">
        <v>1</v>
      </c>
      <c r="F1108" s="6" t="s">
        <v>2004</v>
      </c>
      <c r="G1108" s="6" t="s">
        <v>2005</v>
      </c>
      <c r="H1108" s="6" t="s">
        <v>2005</v>
      </c>
      <c r="I1108" s="6" t="str">
        <f t="shared" si="34"/>
        <v>Side Breaker</v>
      </c>
      <c r="J1108" s="6" t="s">
        <v>2149</v>
      </c>
      <c r="K1108" s="6">
        <v>1</v>
      </c>
      <c r="P1108" s="6">
        <f t="shared" si="35"/>
        <v>4700000</v>
      </c>
      <c r="R1108" s="6" t="s">
        <v>2003</v>
      </c>
      <c r="T1108" s="6" t="s">
        <v>2094</v>
      </c>
      <c r="U1108" s="6">
        <v>2014</v>
      </c>
      <c r="V1108" s="6">
        <v>6</v>
      </c>
      <c r="AD1108" s="6" t="s">
        <v>45</v>
      </c>
      <c r="AJ1108" s="31" t="s">
        <v>2122</v>
      </c>
      <c r="AK1108" s="6">
        <v>1</v>
      </c>
      <c r="AL1108" s="26">
        <v>4500000</v>
      </c>
      <c r="AM1108" s="26">
        <v>4500000</v>
      </c>
      <c r="AN1108" s="26">
        <v>4500000</v>
      </c>
      <c r="AO1108" s="6" t="s">
        <v>2003</v>
      </c>
      <c r="AQ1108" s="6" t="s">
        <v>1227</v>
      </c>
      <c r="AU1108" s="6">
        <v>227025</v>
      </c>
    </row>
    <row r="1109" spans="1:47" x14ac:dyDescent="0.3">
      <c r="A1109" s="28" t="s">
        <v>42</v>
      </c>
      <c r="B1109" s="6" t="s">
        <v>2181</v>
      </c>
      <c r="D1109" s="6" t="s">
        <v>2100</v>
      </c>
      <c r="E1109" s="6">
        <v>1</v>
      </c>
      <c r="F1109" s="6" t="s">
        <v>2004</v>
      </c>
      <c r="G1109" s="6" t="s">
        <v>2005</v>
      </c>
      <c r="H1109" s="6" t="s">
        <v>2005</v>
      </c>
      <c r="I1109" s="6" t="str">
        <f t="shared" si="34"/>
        <v>ETC</v>
      </c>
      <c r="J1109" s="6" t="s">
        <v>46</v>
      </c>
      <c r="K1109" s="6">
        <v>1</v>
      </c>
      <c r="P1109" s="6">
        <f t="shared" si="35"/>
        <v>3700000</v>
      </c>
      <c r="R1109" s="6" t="s">
        <v>2003</v>
      </c>
      <c r="T1109" s="6" t="s">
        <v>2015</v>
      </c>
      <c r="U1109" s="6">
        <v>2012</v>
      </c>
      <c r="V1109" s="6">
        <v>6</v>
      </c>
      <c r="AD1109" s="6" t="s">
        <v>45</v>
      </c>
      <c r="AJ1109" s="31" t="s">
        <v>2113</v>
      </c>
      <c r="AK1109" s="6">
        <v>1</v>
      </c>
      <c r="AL1109" s="26">
        <v>3500000</v>
      </c>
      <c r="AM1109" s="26">
        <v>3500000</v>
      </c>
      <c r="AN1109" s="26">
        <v>3500000</v>
      </c>
      <c r="AO1109" s="6" t="s">
        <v>2003</v>
      </c>
      <c r="AQ1109" s="6" t="s">
        <v>47</v>
      </c>
      <c r="AU1109" s="6">
        <v>227033</v>
      </c>
    </row>
    <row r="1110" spans="1:47" x14ac:dyDescent="0.3">
      <c r="A1110" s="28" t="s">
        <v>42</v>
      </c>
      <c r="B1110" s="6" t="s">
        <v>2179</v>
      </c>
      <c r="C1110" s="6" t="s">
        <v>1976</v>
      </c>
      <c r="D1110" s="6" t="s">
        <v>2104</v>
      </c>
      <c r="E1110" s="6">
        <v>1</v>
      </c>
      <c r="F1110" s="6" t="s">
        <v>2004</v>
      </c>
      <c r="G1110" s="6" t="s">
        <v>2005</v>
      </c>
      <c r="H1110" s="6" t="s">
        <v>2005</v>
      </c>
      <c r="I1110" s="6" t="str">
        <f t="shared" si="34"/>
        <v>Skeleton Bucket</v>
      </c>
      <c r="J1110" s="6" t="s">
        <v>118</v>
      </c>
      <c r="K1110" s="6">
        <v>1</v>
      </c>
      <c r="P1110" s="6">
        <f t="shared" si="35"/>
        <v>900000</v>
      </c>
      <c r="R1110" s="6" t="s">
        <v>2003</v>
      </c>
      <c r="T1110" s="6" t="s">
        <v>823</v>
      </c>
      <c r="U1110" s="6">
        <v>2013</v>
      </c>
      <c r="V1110" s="6">
        <v>1</v>
      </c>
      <c r="AD1110" s="6" t="s">
        <v>45</v>
      </c>
      <c r="AJ1110" s="31" t="s">
        <v>2113</v>
      </c>
      <c r="AK1110" s="6">
        <v>1</v>
      </c>
      <c r="AL1110" s="26">
        <v>800000</v>
      </c>
      <c r="AM1110" s="26">
        <v>800000</v>
      </c>
      <c r="AN1110" s="26">
        <v>800000</v>
      </c>
      <c r="AO1110" s="6" t="s">
        <v>2003</v>
      </c>
      <c r="AQ1110" s="6" t="s">
        <v>49</v>
      </c>
      <c r="AU1110" s="6">
        <v>227049</v>
      </c>
    </row>
    <row r="1111" spans="1:47" x14ac:dyDescent="0.3">
      <c r="A1111" s="28" t="s">
        <v>42</v>
      </c>
      <c r="B1111" s="6" t="s">
        <v>2181</v>
      </c>
      <c r="D1111" s="6" t="s">
        <v>2102</v>
      </c>
      <c r="E1111" s="6">
        <v>1</v>
      </c>
      <c r="F1111" s="6" t="s">
        <v>2004</v>
      </c>
      <c r="G1111" s="6" t="s">
        <v>2005</v>
      </c>
      <c r="H1111" s="6" t="s">
        <v>2005</v>
      </c>
      <c r="I1111" s="6" t="str">
        <f t="shared" si="34"/>
        <v>ETC</v>
      </c>
      <c r="J1111" s="6" t="s">
        <v>165</v>
      </c>
      <c r="K1111" s="6">
        <v>1</v>
      </c>
      <c r="P1111" s="6">
        <f t="shared" si="35"/>
        <v>2500000</v>
      </c>
      <c r="R1111" s="6" t="s">
        <v>2003</v>
      </c>
      <c r="T1111" s="6" t="s">
        <v>70</v>
      </c>
      <c r="U1111" s="6">
        <v>2016</v>
      </c>
      <c r="V1111" s="6">
        <v>7</v>
      </c>
      <c r="AD1111" s="6" t="s">
        <v>45</v>
      </c>
      <c r="AJ1111" s="31" t="s">
        <v>2113</v>
      </c>
      <c r="AK1111" s="6">
        <v>1</v>
      </c>
      <c r="AL1111" s="26">
        <v>2300000</v>
      </c>
      <c r="AM1111" s="26">
        <v>2300000</v>
      </c>
      <c r="AN1111" s="26">
        <v>2300000</v>
      </c>
      <c r="AO1111" s="6" t="s">
        <v>2003</v>
      </c>
      <c r="AQ1111" s="6" t="s">
        <v>71</v>
      </c>
      <c r="AU1111" s="6">
        <v>227052</v>
      </c>
    </row>
    <row r="1112" spans="1:47" x14ac:dyDescent="0.3">
      <c r="A1112" s="28" t="s">
        <v>42</v>
      </c>
      <c r="B1112" s="6" t="s">
        <v>2178</v>
      </c>
      <c r="C1112" s="6" t="s">
        <v>1975</v>
      </c>
      <c r="D1112" s="6" t="s">
        <v>2106</v>
      </c>
      <c r="E1112" s="6">
        <v>1</v>
      </c>
      <c r="F1112" s="6" t="s">
        <v>2004</v>
      </c>
      <c r="G1112" s="6" t="s">
        <v>2005</v>
      </c>
      <c r="H1112" s="6" t="s">
        <v>2005</v>
      </c>
      <c r="I1112" s="6" t="str">
        <f t="shared" si="34"/>
        <v>Side Breaker</v>
      </c>
      <c r="J1112" s="6" t="s">
        <v>172</v>
      </c>
      <c r="K1112" s="6">
        <v>1</v>
      </c>
      <c r="P1112" s="6">
        <f t="shared" si="35"/>
        <v>1700000</v>
      </c>
      <c r="R1112" s="6" t="s">
        <v>2003</v>
      </c>
      <c r="T1112" s="6" t="s">
        <v>70</v>
      </c>
      <c r="U1112" s="6">
        <v>2015</v>
      </c>
      <c r="V1112" s="6">
        <v>1</v>
      </c>
      <c r="AD1112" s="6" t="s">
        <v>45</v>
      </c>
      <c r="AJ1112" s="31" t="s">
        <v>2113</v>
      </c>
      <c r="AK1112" s="6">
        <v>1</v>
      </c>
      <c r="AL1112" s="26">
        <v>1600000</v>
      </c>
      <c r="AM1112" s="26">
        <v>1600000</v>
      </c>
      <c r="AN1112" s="26">
        <v>1600000</v>
      </c>
      <c r="AO1112" s="6" t="s">
        <v>2003</v>
      </c>
      <c r="AQ1112" s="6" t="s">
        <v>71</v>
      </c>
      <c r="AU1112" s="6">
        <v>227059</v>
      </c>
    </row>
    <row r="1113" spans="1:47" x14ac:dyDescent="0.3">
      <c r="A1113" s="28" t="s">
        <v>42</v>
      </c>
      <c r="B1113" s="6" t="s">
        <v>2178</v>
      </c>
      <c r="C1113" s="6" t="s">
        <v>1975</v>
      </c>
      <c r="D1113" s="6" t="s">
        <v>2104</v>
      </c>
      <c r="E1113" s="6">
        <v>1</v>
      </c>
      <c r="F1113" s="6" t="s">
        <v>2004</v>
      </c>
      <c r="G1113" s="6" t="s">
        <v>2005</v>
      </c>
      <c r="H1113" s="6" t="s">
        <v>2005</v>
      </c>
      <c r="I1113" s="6" t="str">
        <f t="shared" si="34"/>
        <v>Side Breaker</v>
      </c>
      <c r="J1113" s="6" t="s">
        <v>240</v>
      </c>
      <c r="K1113" s="6">
        <v>1</v>
      </c>
      <c r="P1113" s="6">
        <f t="shared" si="35"/>
        <v>5700000</v>
      </c>
      <c r="R1113" s="6" t="s">
        <v>2003</v>
      </c>
      <c r="T1113" s="6" t="s">
        <v>823</v>
      </c>
      <c r="U1113" s="6">
        <v>2016</v>
      </c>
      <c r="V1113" s="6">
        <v>1</v>
      </c>
      <c r="AD1113" s="6" t="s">
        <v>45</v>
      </c>
      <c r="AJ1113" s="31" t="s">
        <v>2113</v>
      </c>
      <c r="AK1113" s="6">
        <v>1</v>
      </c>
      <c r="AL1113" s="26">
        <v>5200000</v>
      </c>
      <c r="AM1113" s="26">
        <v>5200000</v>
      </c>
      <c r="AN1113" s="26">
        <v>5200000</v>
      </c>
      <c r="AO1113" s="6" t="s">
        <v>2003</v>
      </c>
      <c r="AQ1113" s="6" t="s">
        <v>49</v>
      </c>
      <c r="AU1113" s="6">
        <v>227062</v>
      </c>
    </row>
    <row r="1114" spans="1:47" hidden="1" x14ac:dyDescent="0.3">
      <c r="A1114" s="28" t="s">
        <v>42</v>
      </c>
      <c r="B1114" s="6" t="s">
        <v>2181</v>
      </c>
      <c r="E1114" s="6">
        <v>1</v>
      </c>
      <c r="F1114" s="6" t="s">
        <v>2004</v>
      </c>
      <c r="G1114" s="6" t="s">
        <v>2005</v>
      </c>
      <c r="H1114" s="6" t="s">
        <v>2005</v>
      </c>
      <c r="I1114" s="6" t="str">
        <f t="shared" si="34"/>
        <v>ETC</v>
      </c>
      <c r="J1114" s="6" t="s">
        <v>771</v>
      </c>
      <c r="K1114" s="6">
        <v>1</v>
      </c>
      <c r="P1114" s="6">
        <f t="shared" si="35"/>
        <v>11500000</v>
      </c>
      <c r="R1114" s="6" t="s">
        <v>2003</v>
      </c>
      <c r="T1114" s="6" t="s">
        <v>1121</v>
      </c>
      <c r="U1114" s="6">
        <v>2013</v>
      </c>
      <c r="V1114" s="6">
        <v>1</v>
      </c>
      <c r="AD1114" s="6" t="s">
        <v>45</v>
      </c>
      <c r="AJ1114" s="31" t="s">
        <v>2125</v>
      </c>
      <c r="AK1114" s="6">
        <v>1</v>
      </c>
      <c r="AL1114" s="26">
        <v>11000000</v>
      </c>
      <c r="AM1114" s="26">
        <v>11000000</v>
      </c>
      <c r="AN1114" s="26">
        <v>11000000</v>
      </c>
      <c r="AO1114" s="6" t="s">
        <v>2003</v>
      </c>
      <c r="AQ1114" s="6" t="s">
        <v>1161</v>
      </c>
      <c r="AU1114" s="6">
        <v>227063</v>
      </c>
    </row>
    <row r="1115" spans="1:47" x14ac:dyDescent="0.3">
      <c r="A1115" s="28" t="s">
        <v>42</v>
      </c>
      <c r="B1115" s="6" t="s">
        <v>2179</v>
      </c>
      <c r="C1115" s="6" t="s">
        <v>1982</v>
      </c>
      <c r="D1115" s="6" t="s">
        <v>2105</v>
      </c>
      <c r="E1115" s="6">
        <v>1</v>
      </c>
      <c r="F1115" s="6" t="s">
        <v>2004</v>
      </c>
      <c r="G1115" s="6" t="s">
        <v>2005</v>
      </c>
      <c r="H1115" s="6" t="s">
        <v>2005</v>
      </c>
      <c r="I1115" s="6" t="str">
        <f t="shared" si="34"/>
        <v>Standard Bucket</v>
      </c>
      <c r="J1115" s="6" t="s">
        <v>507</v>
      </c>
      <c r="K1115" s="6">
        <v>1</v>
      </c>
      <c r="P1115" s="6">
        <f t="shared" si="35"/>
        <v>2200000</v>
      </c>
      <c r="R1115" s="6" t="s">
        <v>2003</v>
      </c>
      <c r="T1115" s="6" t="s">
        <v>813</v>
      </c>
      <c r="U1115" s="6">
        <v>2013</v>
      </c>
      <c r="V1115" s="6">
        <v>1</v>
      </c>
      <c r="AD1115" s="6" t="s">
        <v>45</v>
      </c>
      <c r="AJ1115" s="31" t="s">
        <v>2113</v>
      </c>
      <c r="AK1115" s="6">
        <v>1</v>
      </c>
      <c r="AL1115" s="26">
        <v>2000000</v>
      </c>
      <c r="AM1115" s="26">
        <v>2000000</v>
      </c>
      <c r="AN1115" s="26">
        <v>2000000</v>
      </c>
      <c r="AO1115" s="6" t="s">
        <v>2003</v>
      </c>
      <c r="AQ1115" s="6" t="s">
        <v>79</v>
      </c>
      <c r="AU1115" s="6">
        <v>227065</v>
      </c>
    </row>
    <row r="1116" spans="1:47" x14ac:dyDescent="0.3">
      <c r="A1116" s="28" t="s">
        <v>42</v>
      </c>
      <c r="B1116" s="6" t="s">
        <v>2179</v>
      </c>
      <c r="C1116" s="6" t="s">
        <v>1977</v>
      </c>
      <c r="D1116" s="6" t="s">
        <v>2103</v>
      </c>
      <c r="E1116" s="6">
        <v>1</v>
      </c>
      <c r="F1116" s="6" t="s">
        <v>2004</v>
      </c>
      <c r="G1116" s="6" t="s">
        <v>2005</v>
      </c>
      <c r="H1116" s="6" t="s">
        <v>2005</v>
      </c>
      <c r="I1116" s="6" t="str">
        <f t="shared" si="34"/>
        <v>Wide Bucket</v>
      </c>
      <c r="J1116" s="6" t="s">
        <v>275</v>
      </c>
      <c r="K1116" s="6">
        <v>1</v>
      </c>
      <c r="P1116" s="6">
        <f t="shared" si="35"/>
        <v>2700000</v>
      </c>
      <c r="R1116" s="6" t="s">
        <v>2003</v>
      </c>
      <c r="T1116" s="6" t="s">
        <v>2011</v>
      </c>
      <c r="U1116" s="6">
        <v>2012</v>
      </c>
      <c r="V1116" s="6">
        <v>6</v>
      </c>
      <c r="AD1116" s="6" t="s">
        <v>45</v>
      </c>
      <c r="AJ1116" s="31" t="s">
        <v>2123</v>
      </c>
      <c r="AK1116" s="6">
        <v>1</v>
      </c>
      <c r="AL1116" s="26">
        <v>2500000</v>
      </c>
      <c r="AM1116" s="26">
        <v>2500000</v>
      </c>
      <c r="AN1116" s="26">
        <v>2500000</v>
      </c>
      <c r="AO1116" s="6" t="s">
        <v>2003</v>
      </c>
      <c r="AQ1116" s="6" t="s">
        <v>1200</v>
      </c>
      <c r="AU1116" s="6">
        <v>227067</v>
      </c>
    </row>
    <row r="1117" spans="1:47" x14ac:dyDescent="0.3">
      <c r="A1117" s="28" t="s">
        <v>42</v>
      </c>
      <c r="B1117" s="6" t="s">
        <v>2177</v>
      </c>
      <c r="C1117" s="6" t="s">
        <v>1972</v>
      </c>
      <c r="D1117" s="6" t="s">
        <v>2104</v>
      </c>
      <c r="E1117" s="6">
        <v>1</v>
      </c>
      <c r="F1117" s="6" t="s">
        <v>2004</v>
      </c>
      <c r="G1117" s="6" t="s">
        <v>2005</v>
      </c>
      <c r="H1117" s="6" t="s">
        <v>2005</v>
      </c>
      <c r="I1117" s="6" t="str">
        <f t="shared" si="34"/>
        <v>Stone Grapple</v>
      </c>
      <c r="J1117" s="6" t="s">
        <v>44</v>
      </c>
      <c r="K1117" s="6">
        <v>1</v>
      </c>
      <c r="P1117" s="6">
        <f t="shared" si="35"/>
        <v>2600000</v>
      </c>
      <c r="R1117" s="6" t="s">
        <v>2003</v>
      </c>
      <c r="T1117" s="6" t="s">
        <v>2007</v>
      </c>
      <c r="U1117" s="6">
        <v>2015</v>
      </c>
      <c r="V1117" s="6">
        <v>1</v>
      </c>
      <c r="AD1117" s="6" t="s">
        <v>45</v>
      </c>
      <c r="AJ1117" s="31" t="s">
        <v>2113</v>
      </c>
      <c r="AK1117" s="6">
        <v>1</v>
      </c>
      <c r="AL1117" s="26">
        <v>2400000</v>
      </c>
      <c r="AM1117" s="26">
        <v>2400000</v>
      </c>
      <c r="AN1117" s="26">
        <v>2400000</v>
      </c>
      <c r="AO1117" s="6" t="s">
        <v>2003</v>
      </c>
      <c r="AQ1117" s="6" t="s">
        <v>49</v>
      </c>
      <c r="AU1117" s="6">
        <v>227071</v>
      </c>
    </row>
    <row r="1118" spans="1:47" x14ac:dyDescent="0.3">
      <c r="A1118" s="28" t="s">
        <v>42</v>
      </c>
      <c r="B1118" s="6" t="s">
        <v>2201</v>
      </c>
      <c r="C1118" s="19" t="s">
        <v>2207</v>
      </c>
      <c r="D1118" s="6" t="s">
        <v>2104</v>
      </c>
      <c r="E1118" s="6">
        <v>1</v>
      </c>
      <c r="F1118" s="6" t="s">
        <v>2004</v>
      </c>
      <c r="G1118" s="6" t="s">
        <v>2005</v>
      </c>
      <c r="H1118" s="6" t="s">
        <v>2005</v>
      </c>
      <c r="I1118" s="6" t="str">
        <f t="shared" si="34"/>
        <v>Hydraulic Crusher</v>
      </c>
      <c r="J1118" s="6" t="s">
        <v>103</v>
      </c>
      <c r="K1118" s="6">
        <v>1</v>
      </c>
      <c r="P1118" s="6">
        <f t="shared" si="35"/>
        <v>11000000</v>
      </c>
      <c r="R1118" s="6" t="s">
        <v>2003</v>
      </c>
      <c r="T1118" s="6" t="s">
        <v>1890</v>
      </c>
      <c r="U1118" s="6">
        <v>2011</v>
      </c>
      <c r="V1118" s="6">
        <v>4</v>
      </c>
      <c r="AD1118" s="6" t="s">
        <v>45</v>
      </c>
      <c r="AJ1118" s="31" t="s">
        <v>2111</v>
      </c>
      <c r="AK1118" s="6">
        <v>1</v>
      </c>
      <c r="AL1118" s="26">
        <v>10500000</v>
      </c>
      <c r="AM1118" s="26">
        <v>10500000</v>
      </c>
      <c r="AN1118" s="26">
        <v>10500000</v>
      </c>
      <c r="AO1118" s="6" t="s">
        <v>2003</v>
      </c>
      <c r="AQ1118" s="6" t="s">
        <v>1277</v>
      </c>
      <c r="AU1118" s="6">
        <v>227077</v>
      </c>
    </row>
    <row r="1119" spans="1:47" x14ac:dyDescent="0.3">
      <c r="A1119" s="28" t="s">
        <v>42</v>
      </c>
      <c r="B1119" s="6" t="s">
        <v>2177</v>
      </c>
      <c r="C1119" s="6" t="s">
        <v>1972</v>
      </c>
      <c r="D1119" s="6" t="s">
        <v>2104</v>
      </c>
      <c r="E1119" s="6">
        <v>1</v>
      </c>
      <c r="F1119" s="6" t="s">
        <v>2004</v>
      </c>
      <c r="G1119" s="6" t="s">
        <v>2005</v>
      </c>
      <c r="H1119" s="6" t="s">
        <v>2005</v>
      </c>
      <c r="I1119" s="6" t="str">
        <f t="shared" si="34"/>
        <v>Stone Grapple</v>
      </c>
      <c r="J1119" s="6" t="s">
        <v>193</v>
      </c>
      <c r="K1119" s="6">
        <v>1</v>
      </c>
      <c r="P1119" s="6">
        <f t="shared" si="35"/>
        <v>1900000</v>
      </c>
      <c r="R1119" s="6" t="s">
        <v>2003</v>
      </c>
      <c r="T1119" s="6" t="s">
        <v>2007</v>
      </c>
      <c r="U1119" s="6">
        <v>2013</v>
      </c>
      <c r="V1119" s="6">
        <v>1</v>
      </c>
      <c r="AD1119" s="6" t="s">
        <v>45</v>
      </c>
      <c r="AJ1119" s="31" t="s">
        <v>2113</v>
      </c>
      <c r="AK1119" s="6">
        <v>1</v>
      </c>
      <c r="AL1119" s="26">
        <v>1800000</v>
      </c>
      <c r="AM1119" s="26">
        <v>1800000</v>
      </c>
      <c r="AN1119" s="26">
        <v>1800000</v>
      </c>
      <c r="AO1119" s="6" t="s">
        <v>2003</v>
      </c>
      <c r="AQ1119" s="6" t="s">
        <v>49</v>
      </c>
      <c r="AU1119" s="6">
        <v>227082</v>
      </c>
    </row>
    <row r="1120" spans="1:47" x14ac:dyDescent="0.3">
      <c r="A1120" s="28" t="s">
        <v>42</v>
      </c>
      <c r="B1120" s="6" t="s">
        <v>2198</v>
      </c>
      <c r="D1120" s="6" t="s">
        <v>2100</v>
      </c>
      <c r="E1120" s="6">
        <v>1</v>
      </c>
      <c r="F1120" s="6" t="s">
        <v>2004</v>
      </c>
      <c r="G1120" s="6" t="s">
        <v>2005</v>
      </c>
      <c r="H1120" s="6" t="s">
        <v>2005</v>
      </c>
      <c r="I1120" s="6" t="str">
        <f t="shared" si="34"/>
        <v>Ripper</v>
      </c>
      <c r="J1120" s="6" t="s">
        <v>390</v>
      </c>
      <c r="K1120" s="6">
        <v>1</v>
      </c>
      <c r="P1120" s="6">
        <f t="shared" si="35"/>
        <v>500000</v>
      </c>
      <c r="R1120" s="6" t="s">
        <v>2003</v>
      </c>
      <c r="T1120" s="6" t="s">
        <v>51</v>
      </c>
      <c r="U1120" s="6">
        <v>2017</v>
      </c>
      <c r="V1120" s="6">
        <v>1</v>
      </c>
      <c r="AD1120" s="6" t="s">
        <v>45</v>
      </c>
      <c r="AJ1120" s="31" t="s">
        <v>2113</v>
      </c>
      <c r="AK1120" s="6">
        <v>1</v>
      </c>
      <c r="AL1120" s="26">
        <v>450000</v>
      </c>
      <c r="AM1120" s="26">
        <v>450000</v>
      </c>
      <c r="AN1120" s="26">
        <v>450000</v>
      </c>
      <c r="AO1120" s="6" t="s">
        <v>2003</v>
      </c>
      <c r="AQ1120" s="6" t="s">
        <v>49</v>
      </c>
      <c r="AU1120" s="6">
        <v>227083</v>
      </c>
    </row>
    <row r="1121" spans="1:47" x14ac:dyDescent="0.3">
      <c r="A1121" s="28" t="s">
        <v>42</v>
      </c>
      <c r="B1121" s="6" t="s">
        <v>2174</v>
      </c>
      <c r="C1121" s="6" t="s">
        <v>1975</v>
      </c>
      <c r="D1121" s="6" t="s">
        <v>2105</v>
      </c>
      <c r="E1121" s="6">
        <v>1</v>
      </c>
      <c r="F1121" s="6" t="s">
        <v>2004</v>
      </c>
      <c r="G1121" s="6" t="s">
        <v>2005</v>
      </c>
      <c r="H1121" s="6" t="s">
        <v>2005</v>
      </c>
      <c r="I1121" s="6" t="str">
        <f t="shared" si="34"/>
        <v>Side Breaker</v>
      </c>
      <c r="J1121" s="6" t="s">
        <v>306</v>
      </c>
      <c r="K1121" s="6">
        <v>1</v>
      </c>
      <c r="P1121" s="6">
        <f t="shared" si="35"/>
        <v>6000000</v>
      </c>
      <c r="R1121" s="6" t="s">
        <v>2003</v>
      </c>
      <c r="T1121" s="6" t="s">
        <v>2033</v>
      </c>
      <c r="U1121" s="6">
        <v>2009</v>
      </c>
      <c r="V1121" s="6">
        <v>1</v>
      </c>
      <c r="AD1121" s="6" t="s">
        <v>45</v>
      </c>
      <c r="AJ1121" s="31" t="s">
        <v>2121</v>
      </c>
      <c r="AK1121" s="6">
        <v>1</v>
      </c>
      <c r="AL1121" s="26">
        <v>5500000</v>
      </c>
      <c r="AM1121" s="26">
        <v>5500000</v>
      </c>
      <c r="AN1121" s="26">
        <v>5500000</v>
      </c>
      <c r="AO1121" s="6" t="s">
        <v>2003</v>
      </c>
      <c r="AQ1121" s="6" t="s">
        <v>1218</v>
      </c>
      <c r="AU1121" s="6">
        <v>227085</v>
      </c>
    </row>
    <row r="1122" spans="1:47" x14ac:dyDescent="0.3">
      <c r="A1122" s="28" t="s">
        <v>42</v>
      </c>
      <c r="B1122" s="6" t="s">
        <v>2183</v>
      </c>
      <c r="D1122" s="6" t="s">
        <v>2104</v>
      </c>
      <c r="E1122" s="6">
        <v>1</v>
      </c>
      <c r="F1122" s="6" t="s">
        <v>2004</v>
      </c>
      <c r="G1122" s="6" t="s">
        <v>2005</v>
      </c>
      <c r="H1122" s="6" t="s">
        <v>2005</v>
      </c>
      <c r="I1122" s="6" t="str">
        <f t="shared" si="34"/>
        <v>ETC</v>
      </c>
      <c r="J1122" s="6" t="s">
        <v>1930</v>
      </c>
      <c r="K1122" s="6">
        <v>1</v>
      </c>
      <c r="P1122" s="6">
        <f t="shared" si="35"/>
        <v>5600000</v>
      </c>
      <c r="R1122" s="6" t="s">
        <v>2003</v>
      </c>
      <c r="T1122" s="6" t="s">
        <v>823</v>
      </c>
      <c r="U1122" s="6">
        <v>2014</v>
      </c>
      <c r="V1122" s="6">
        <v>1</v>
      </c>
      <c r="AD1122" s="6" t="s">
        <v>45</v>
      </c>
      <c r="AJ1122" s="31" t="s">
        <v>2113</v>
      </c>
      <c r="AK1122" s="6">
        <v>1</v>
      </c>
      <c r="AL1122" s="26">
        <v>5100000</v>
      </c>
      <c r="AM1122" s="26">
        <v>5100000</v>
      </c>
      <c r="AN1122" s="26">
        <v>5100000</v>
      </c>
      <c r="AO1122" s="6" t="s">
        <v>2003</v>
      </c>
      <c r="AQ1122" s="6" t="s">
        <v>49</v>
      </c>
      <c r="AU1122" s="6">
        <v>227092</v>
      </c>
    </row>
    <row r="1123" spans="1:47" x14ac:dyDescent="0.3">
      <c r="A1123" s="28" t="s">
        <v>42</v>
      </c>
      <c r="B1123" s="6" t="s">
        <v>2184</v>
      </c>
      <c r="C1123" s="6" t="s">
        <v>1972</v>
      </c>
      <c r="D1123" s="6" t="s">
        <v>2103</v>
      </c>
      <c r="E1123" s="6">
        <v>1</v>
      </c>
      <c r="F1123" s="6" t="s">
        <v>2004</v>
      </c>
      <c r="G1123" s="6" t="s">
        <v>2005</v>
      </c>
      <c r="H1123" s="6" t="s">
        <v>2005</v>
      </c>
      <c r="I1123" s="6" t="str">
        <f t="shared" si="34"/>
        <v>Stone Grapple</v>
      </c>
      <c r="J1123" s="6" t="s">
        <v>94</v>
      </c>
      <c r="K1123" s="6">
        <v>1</v>
      </c>
      <c r="P1123" s="6">
        <f t="shared" si="35"/>
        <v>2700000</v>
      </c>
      <c r="R1123" s="6" t="s">
        <v>2003</v>
      </c>
      <c r="T1123" s="6" t="s">
        <v>2011</v>
      </c>
      <c r="U1123" s="6">
        <v>2010</v>
      </c>
      <c r="V1123" s="6">
        <v>6</v>
      </c>
      <c r="AD1123" s="6" t="s">
        <v>45</v>
      </c>
      <c r="AJ1123" s="31" t="s">
        <v>2123</v>
      </c>
      <c r="AK1123" s="6">
        <v>1</v>
      </c>
      <c r="AL1123" s="26">
        <v>2500000</v>
      </c>
      <c r="AM1123" s="26">
        <v>2500000</v>
      </c>
      <c r="AN1123" s="26">
        <v>2500000</v>
      </c>
      <c r="AO1123" s="6" t="s">
        <v>2003</v>
      </c>
      <c r="AQ1123" s="6" t="s">
        <v>1200</v>
      </c>
      <c r="AU1123" s="6">
        <v>227094</v>
      </c>
    </row>
    <row r="1124" spans="1:47" x14ac:dyDescent="0.3">
      <c r="A1124" s="28" t="s">
        <v>42</v>
      </c>
      <c r="B1124" s="6" t="s">
        <v>2199</v>
      </c>
      <c r="D1124" s="6" t="s">
        <v>2100</v>
      </c>
      <c r="E1124" s="6">
        <v>1</v>
      </c>
      <c r="F1124" s="6" t="s">
        <v>2004</v>
      </c>
      <c r="G1124" s="6" t="s">
        <v>2005</v>
      </c>
      <c r="H1124" s="6" t="s">
        <v>2005</v>
      </c>
      <c r="I1124" s="6" t="str">
        <f t="shared" si="34"/>
        <v>Quick Coupler</v>
      </c>
      <c r="J1124" s="6" t="s">
        <v>367</v>
      </c>
      <c r="K1124" s="6">
        <v>1</v>
      </c>
      <c r="P1124" s="6">
        <f t="shared" si="35"/>
        <v>800000</v>
      </c>
      <c r="R1124" s="6" t="s">
        <v>2003</v>
      </c>
      <c r="T1124" s="6" t="s">
        <v>51</v>
      </c>
      <c r="U1124" s="6">
        <v>2017</v>
      </c>
      <c r="V1124" s="6">
        <v>1</v>
      </c>
      <c r="AD1124" s="6" t="s">
        <v>45</v>
      </c>
      <c r="AJ1124" s="31" t="s">
        <v>2113</v>
      </c>
      <c r="AK1124" s="6">
        <v>1</v>
      </c>
      <c r="AL1124" s="26">
        <v>700000</v>
      </c>
      <c r="AM1124" s="26">
        <v>700000</v>
      </c>
      <c r="AN1124" s="26">
        <v>700000</v>
      </c>
      <c r="AO1124" s="6" t="s">
        <v>2003</v>
      </c>
      <c r="AQ1124" s="6" t="s">
        <v>49</v>
      </c>
      <c r="AU1124" s="6">
        <v>227095</v>
      </c>
    </row>
    <row r="1125" spans="1:47" x14ac:dyDescent="0.3">
      <c r="A1125" s="28" t="s">
        <v>42</v>
      </c>
      <c r="B1125" s="6" t="s">
        <v>2175</v>
      </c>
      <c r="C1125" s="6" t="s">
        <v>1978</v>
      </c>
      <c r="D1125" s="6" t="s">
        <v>2105</v>
      </c>
      <c r="E1125" s="6">
        <v>1</v>
      </c>
      <c r="F1125" s="6" t="s">
        <v>2004</v>
      </c>
      <c r="G1125" s="6" t="s">
        <v>2005</v>
      </c>
      <c r="H1125" s="6" t="s">
        <v>2005</v>
      </c>
      <c r="I1125" s="6" t="str">
        <f t="shared" si="34"/>
        <v>Hydraulic Pulverizer</v>
      </c>
      <c r="J1125" s="6" t="s">
        <v>272</v>
      </c>
      <c r="K1125" s="6">
        <v>1</v>
      </c>
      <c r="P1125" s="6">
        <f t="shared" si="35"/>
        <v>16500000</v>
      </c>
      <c r="R1125" s="6" t="s">
        <v>2003</v>
      </c>
      <c r="T1125" s="6" t="s">
        <v>813</v>
      </c>
      <c r="U1125" s="6">
        <v>2014</v>
      </c>
      <c r="V1125" s="6">
        <v>1</v>
      </c>
      <c r="AD1125" s="6" t="s">
        <v>45</v>
      </c>
      <c r="AJ1125" s="31" t="s">
        <v>2113</v>
      </c>
      <c r="AK1125" s="6">
        <v>1</v>
      </c>
      <c r="AL1125" s="26">
        <v>16000000</v>
      </c>
      <c r="AM1125" s="26">
        <v>16000000</v>
      </c>
      <c r="AN1125" s="26">
        <v>16000000</v>
      </c>
      <c r="AO1125" s="6" t="s">
        <v>2003</v>
      </c>
      <c r="AQ1125" s="6" t="s">
        <v>79</v>
      </c>
      <c r="AU1125" s="6">
        <v>227099</v>
      </c>
    </row>
    <row r="1126" spans="1:47" x14ac:dyDescent="0.3">
      <c r="A1126" s="28" t="s">
        <v>42</v>
      </c>
      <c r="B1126" s="6" t="s">
        <v>2182</v>
      </c>
      <c r="C1126" s="6" t="s">
        <v>1980</v>
      </c>
      <c r="D1126" s="6" t="s">
        <v>2104</v>
      </c>
      <c r="E1126" s="6">
        <v>1</v>
      </c>
      <c r="F1126" s="6" t="s">
        <v>2004</v>
      </c>
      <c r="G1126" s="6" t="s">
        <v>2005</v>
      </c>
      <c r="H1126" s="6" t="s">
        <v>2005</v>
      </c>
      <c r="I1126" s="6" t="str">
        <f t="shared" si="34"/>
        <v>Small Bucket</v>
      </c>
      <c r="J1126" s="6" t="s">
        <v>97</v>
      </c>
      <c r="K1126" s="6">
        <v>1</v>
      </c>
      <c r="P1126" s="6">
        <f t="shared" si="35"/>
        <v>600000</v>
      </c>
      <c r="R1126" s="6" t="s">
        <v>2003</v>
      </c>
      <c r="T1126" s="6" t="s">
        <v>823</v>
      </c>
      <c r="U1126" s="6">
        <v>2013</v>
      </c>
      <c r="V1126" s="6">
        <v>1</v>
      </c>
      <c r="AD1126" s="6" t="s">
        <v>45</v>
      </c>
      <c r="AJ1126" s="31" t="s">
        <v>2113</v>
      </c>
      <c r="AK1126" s="6">
        <v>1</v>
      </c>
      <c r="AL1126" s="26">
        <v>500000</v>
      </c>
      <c r="AM1126" s="26">
        <v>500000</v>
      </c>
      <c r="AN1126" s="26">
        <v>500000</v>
      </c>
      <c r="AO1126" s="6" t="s">
        <v>2003</v>
      </c>
      <c r="AQ1126" s="6" t="s">
        <v>49</v>
      </c>
      <c r="AU1126" s="6">
        <v>227100</v>
      </c>
    </row>
    <row r="1127" spans="1:47" x14ac:dyDescent="0.3">
      <c r="A1127" s="28" t="s">
        <v>42</v>
      </c>
      <c r="B1127" s="6" t="s">
        <v>2192</v>
      </c>
      <c r="D1127" s="6" t="s">
        <v>2104</v>
      </c>
      <c r="E1127" s="6">
        <v>1</v>
      </c>
      <c r="F1127" s="6" t="s">
        <v>2004</v>
      </c>
      <c r="G1127" s="6" t="s">
        <v>2005</v>
      </c>
      <c r="H1127" s="6" t="s">
        <v>2005</v>
      </c>
      <c r="I1127" s="6" t="str">
        <f t="shared" si="34"/>
        <v>Lift Fork</v>
      </c>
      <c r="J1127" s="6" t="s">
        <v>102</v>
      </c>
      <c r="K1127" s="6">
        <v>1</v>
      </c>
      <c r="P1127" s="6">
        <f t="shared" si="35"/>
        <v>1100000</v>
      </c>
      <c r="R1127" s="6" t="s">
        <v>2003</v>
      </c>
      <c r="T1127" s="6" t="s">
        <v>51</v>
      </c>
      <c r="U1127" s="6">
        <v>2017</v>
      </c>
      <c r="V1127" s="6">
        <v>1</v>
      </c>
      <c r="AD1127" s="6" t="s">
        <v>45</v>
      </c>
      <c r="AJ1127" s="31" t="s">
        <v>2113</v>
      </c>
      <c r="AK1127" s="6">
        <v>1</v>
      </c>
      <c r="AL1127" s="26">
        <v>1000000</v>
      </c>
      <c r="AM1127" s="26">
        <v>1000000</v>
      </c>
      <c r="AN1127" s="26">
        <v>1000000</v>
      </c>
      <c r="AO1127" s="6" t="s">
        <v>2003</v>
      </c>
      <c r="AQ1127" s="6" t="s">
        <v>49</v>
      </c>
      <c r="AU1127" s="6">
        <v>227103</v>
      </c>
    </row>
    <row r="1128" spans="1:47" x14ac:dyDescent="0.3">
      <c r="A1128" s="28" t="s">
        <v>42</v>
      </c>
      <c r="B1128" s="6" t="s">
        <v>2174</v>
      </c>
      <c r="C1128" s="6" t="s">
        <v>1975</v>
      </c>
      <c r="D1128" s="6" t="s">
        <v>2100</v>
      </c>
      <c r="E1128" s="6">
        <v>1</v>
      </c>
      <c r="F1128" s="6" t="s">
        <v>2004</v>
      </c>
      <c r="G1128" s="6" t="s">
        <v>2005</v>
      </c>
      <c r="H1128" s="6" t="s">
        <v>2005</v>
      </c>
      <c r="I1128" s="6" t="str">
        <f t="shared" si="34"/>
        <v>Side Breaker</v>
      </c>
      <c r="J1128" s="6" t="s">
        <v>266</v>
      </c>
      <c r="K1128" s="6">
        <v>1</v>
      </c>
      <c r="P1128" s="6">
        <f t="shared" si="35"/>
        <v>2400000</v>
      </c>
      <c r="R1128" s="6" t="s">
        <v>2003</v>
      </c>
      <c r="T1128" s="6" t="s">
        <v>2011</v>
      </c>
      <c r="U1128" s="6">
        <v>2016</v>
      </c>
      <c r="V1128" s="6">
        <v>6</v>
      </c>
      <c r="AD1128" s="6" t="s">
        <v>45</v>
      </c>
      <c r="AJ1128" s="31" t="s">
        <v>2123</v>
      </c>
      <c r="AK1128" s="6">
        <v>1</v>
      </c>
      <c r="AL1128" s="26">
        <v>2200000</v>
      </c>
      <c r="AM1128" s="26">
        <v>2200000</v>
      </c>
      <c r="AN1128" s="26">
        <v>2200000</v>
      </c>
      <c r="AO1128" s="6" t="s">
        <v>2003</v>
      </c>
      <c r="AQ1128" s="6" t="s">
        <v>1200</v>
      </c>
      <c r="AU1128" s="6">
        <v>227106</v>
      </c>
    </row>
    <row r="1129" spans="1:47" x14ac:dyDescent="0.3">
      <c r="A1129" s="28" t="s">
        <v>42</v>
      </c>
      <c r="B1129" s="6" t="s">
        <v>2174</v>
      </c>
      <c r="C1129" s="6" t="s">
        <v>1975</v>
      </c>
      <c r="D1129" s="6" t="s">
        <v>2104</v>
      </c>
      <c r="E1129" s="6">
        <v>1</v>
      </c>
      <c r="F1129" s="6" t="s">
        <v>2004</v>
      </c>
      <c r="G1129" s="6" t="s">
        <v>2005</v>
      </c>
      <c r="H1129" s="6" t="s">
        <v>2005</v>
      </c>
      <c r="I1129" s="6" t="str">
        <f t="shared" si="34"/>
        <v>Side Breaker</v>
      </c>
      <c r="J1129" s="6" t="s">
        <v>1931</v>
      </c>
      <c r="K1129" s="6">
        <v>1</v>
      </c>
      <c r="P1129" s="6">
        <f t="shared" si="35"/>
        <v>3000000</v>
      </c>
      <c r="R1129" s="6" t="s">
        <v>2003</v>
      </c>
      <c r="T1129" s="6" t="s">
        <v>68</v>
      </c>
      <c r="U1129" s="6">
        <v>2013</v>
      </c>
      <c r="V1129" s="6">
        <v>1</v>
      </c>
      <c r="AD1129" s="6" t="s">
        <v>45</v>
      </c>
      <c r="AJ1129" s="31" t="s">
        <v>2116</v>
      </c>
      <c r="AK1129" s="6">
        <v>1</v>
      </c>
      <c r="AL1129" s="26">
        <v>2800000</v>
      </c>
      <c r="AM1129" s="26">
        <v>2800000</v>
      </c>
      <c r="AN1129" s="26">
        <v>2800000</v>
      </c>
      <c r="AO1129" s="6" t="s">
        <v>2003</v>
      </c>
      <c r="AQ1129" s="6" t="s">
        <v>1153</v>
      </c>
      <c r="AU1129" s="6">
        <v>227110</v>
      </c>
    </row>
    <row r="1130" spans="1:47" hidden="1" x14ac:dyDescent="0.3">
      <c r="A1130" s="28" t="s">
        <v>42</v>
      </c>
      <c r="B1130" s="6" t="s">
        <v>2182</v>
      </c>
      <c r="E1130" s="6">
        <v>1</v>
      </c>
      <c r="F1130" s="6" t="s">
        <v>2004</v>
      </c>
      <c r="G1130" s="6" t="s">
        <v>2005</v>
      </c>
      <c r="H1130" s="6" t="s">
        <v>2005</v>
      </c>
      <c r="I1130" s="6" t="str">
        <f t="shared" si="34"/>
        <v>Bucket</v>
      </c>
      <c r="J1130" s="6" t="s">
        <v>1932</v>
      </c>
      <c r="K1130" s="6">
        <v>1</v>
      </c>
      <c r="P1130" s="6">
        <f t="shared" si="35"/>
        <v>420000</v>
      </c>
      <c r="R1130" s="6" t="s">
        <v>2003</v>
      </c>
      <c r="T1130" s="6" t="s">
        <v>1891</v>
      </c>
      <c r="U1130" s="6">
        <v>2017</v>
      </c>
      <c r="V1130" s="6">
        <v>1</v>
      </c>
      <c r="AD1130" s="6" t="s">
        <v>45</v>
      </c>
      <c r="AJ1130" s="31" t="s">
        <v>2113</v>
      </c>
      <c r="AK1130" s="6">
        <v>1</v>
      </c>
      <c r="AL1130" s="26">
        <v>370000</v>
      </c>
      <c r="AM1130" s="26">
        <v>370000</v>
      </c>
      <c r="AN1130" s="26">
        <v>370000</v>
      </c>
      <c r="AO1130" s="6" t="s">
        <v>2003</v>
      </c>
      <c r="AQ1130" s="6" t="s">
        <v>49</v>
      </c>
      <c r="AU1130" s="6">
        <v>227113</v>
      </c>
    </row>
    <row r="1131" spans="1:47" x14ac:dyDescent="0.3">
      <c r="A1131" s="28" t="s">
        <v>42</v>
      </c>
      <c r="B1131" s="6" t="s">
        <v>2175</v>
      </c>
      <c r="C1131" s="19" t="s">
        <v>2207</v>
      </c>
      <c r="D1131" s="6" t="s">
        <v>2104</v>
      </c>
      <c r="E1131" s="6">
        <v>1</v>
      </c>
      <c r="F1131" s="6" t="s">
        <v>2004</v>
      </c>
      <c r="G1131" s="6" t="s">
        <v>2005</v>
      </c>
      <c r="H1131" s="6" t="s">
        <v>2005</v>
      </c>
      <c r="I1131" s="6" t="str">
        <f t="shared" si="34"/>
        <v>Hydraulic Crusher</v>
      </c>
      <c r="J1131" s="6" t="s">
        <v>103</v>
      </c>
      <c r="K1131" s="6">
        <v>1</v>
      </c>
      <c r="P1131" s="6">
        <f t="shared" si="35"/>
        <v>11500000</v>
      </c>
      <c r="R1131" s="6" t="s">
        <v>2003</v>
      </c>
      <c r="T1131" s="6" t="s">
        <v>823</v>
      </c>
      <c r="U1131" s="6">
        <v>2014</v>
      </c>
      <c r="V1131" s="6">
        <v>1</v>
      </c>
      <c r="AD1131" s="6" t="s">
        <v>45</v>
      </c>
      <c r="AJ1131" s="31" t="s">
        <v>2113</v>
      </c>
      <c r="AK1131" s="6">
        <v>1</v>
      </c>
      <c r="AL1131" s="26">
        <v>11000000</v>
      </c>
      <c r="AM1131" s="26">
        <v>11000000</v>
      </c>
      <c r="AN1131" s="26">
        <v>11000000</v>
      </c>
      <c r="AO1131" s="6" t="s">
        <v>2003</v>
      </c>
      <c r="AQ1131" s="6" t="s">
        <v>49</v>
      </c>
      <c r="AU1131" s="6">
        <v>227114</v>
      </c>
    </row>
    <row r="1132" spans="1:47" x14ac:dyDescent="0.3">
      <c r="A1132" s="28" t="s">
        <v>42</v>
      </c>
      <c r="B1132" s="6" t="s">
        <v>2179</v>
      </c>
      <c r="C1132" s="6" t="s">
        <v>1976</v>
      </c>
      <c r="D1132" s="6" t="s">
        <v>2103</v>
      </c>
      <c r="E1132" s="6">
        <v>1</v>
      </c>
      <c r="F1132" s="6" t="s">
        <v>2004</v>
      </c>
      <c r="G1132" s="6" t="s">
        <v>2005</v>
      </c>
      <c r="H1132" s="6" t="s">
        <v>2005</v>
      </c>
      <c r="I1132" s="6" t="str">
        <f t="shared" si="34"/>
        <v>Skeleton Bucket</v>
      </c>
      <c r="J1132" s="6" t="s">
        <v>685</v>
      </c>
      <c r="K1132" s="6">
        <v>1</v>
      </c>
      <c r="P1132" s="6">
        <f t="shared" si="35"/>
        <v>2500000</v>
      </c>
      <c r="R1132" s="6" t="s">
        <v>2003</v>
      </c>
      <c r="T1132" s="6" t="s">
        <v>813</v>
      </c>
      <c r="U1132" s="6">
        <v>2016</v>
      </c>
      <c r="V1132" s="6">
        <v>1</v>
      </c>
      <c r="AD1132" s="6" t="s">
        <v>45</v>
      </c>
      <c r="AJ1132" s="31" t="s">
        <v>2113</v>
      </c>
      <c r="AK1132" s="6">
        <v>1</v>
      </c>
      <c r="AL1132" s="26">
        <v>2300000</v>
      </c>
      <c r="AM1132" s="26">
        <v>2300000</v>
      </c>
      <c r="AN1132" s="26">
        <v>2300000</v>
      </c>
      <c r="AO1132" s="6" t="s">
        <v>2003</v>
      </c>
      <c r="AQ1132" s="6" t="s">
        <v>79</v>
      </c>
      <c r="AU1132" s="6">
        <v>227115</v>
      </c>
    </row>
    <row r="1133" spans="1:47" x14ac:dyDescent="0.3">
      <c r="A1133" s="28" t="s">
        <v>42</v>
      </c>
      <c r="B1133" s="6" t="s">
        <v>2177</v>
      </c>
      <c r="C1133" s="6" t="s">
        <v>1972</v>
      </c>
      <c r="D1133" s="6" t="s">
        <v>2104</v>
      </c>
      <c r="E1133" s="6">
        <v>1</v>
      </c>
      <c r="F1133" s="6" t="s">
        <v>2004</v>
      </c>
      <c r="G1133" s="6" t="s">
        <v>2005</v>
      </c>
      <c r="H1133" s="6" t="s">
        <v>2005</v>
      </c>
      <c r="I1133" s="6" t="str">
        <f t="shared" si="34"/>
        <v>Stone Grapple</v>
      </c>
      <c r="J1133" s="6" t="s">
        <v>1933</v>
      </c>
      <c r="K1133" s="6">
        <v>1</v>
      </c>
      <c r="P1133" s="6">
        <f t="shared" si="35"/>
        <v>2700000</v>
      </c>
      <c r="R1133" s="6" t="s">
        <v>2003</v>
      </c>
      <c r="T1133" s="6" t="s">
        <v>1892</v>
      </c>
      <c r="U1133" s="6">
        <v>2015</v>
      </c>
      <c r="V1133" s="6">
        <v>3</v>
      </c>
      <c r="AD1133" s="6" t="s">
        <v>45</v>
      </c>
      <c r="AJ1133" s="31" t="s">
        <v>2110</v>
      </c>
      <c r="AK1133" s="6">
        <v>1</v>
      </c>
      <c r="AL1133" s="26">
        <v>2500000</v>
      </c>
      <c r="AM1133" s="26">
        <v>2500000</v>
      </c>
      <c r="AN1133" s="26">
        <v>2500000</v>
      </c>
      <c r="AO1133" s="6" t="s">
        <v>2003</v>
      </c>
      <c r="AQ1133" s="6" t="s">
        <v>1312</v>
      </c>
      <c r="AU1133" s="6">
        <v>227116</v>
      </c>
    </row>
    <row r="1134" spans="1:47" x14ac:dyDescent="0.3">
      <c r="A1134" s="28" t="s">
        <v>42</v>
      </c>
      <c r="B1134" s="6" t="s">
        <v>2177</v>
      </c>
      <c r="C1134" s="6" t="s">
        <v>1972</v>
      </c>
      <c r="D1134" s="6" t="s">
        <v>2104</v>
      </c>
      <c r="E1134" s="6">
        <v>1</v>
      </c>
      <c r="F1134" s="6" t="s">
        <v>2004</v>
      </c>
      <c r="G1134" s="6" t="s">
        <v>2005</v>
      </c>
      <c r="H1134" s="6" t="s">
        <v>2005</v>
      </c>
      <c r="I1134" s="6" t="str">
        <f t="shared" si="34"/>
        <v>Stone Grapple</v>
      </c>
      <c r="J1134" s="6" t="s">
        <v>44</v>
      </c>
      <c r="K1134" s="6">
        <v>1</v>
      </c>
      <c r="P1134" s="6">
        <f t="shared" si="35"/>
        <v>2700000</v>
      </c>
      <c r="R1134" s="6" t="s">
        <v>2003</v>
      </c>
      <c r="T1134" s="6" t="s">
        <v>2007</v>
      </c>
      <c r="U1134" s="6">
        <v>2014</v>
      </c>
      <c r="V1134" s="6">
        <v>1</v>
      </c>
      <c r="AD1134" s="6" t="s">
        <v>45</v>
      </c>
      <c r="AJ1134" s="31" t="s">
        <v>2113</v>
      </c>
      <c r="AK1134" s="6">
        <v>1</v>
      </c>
      <c r="AL1134" s="26">
        <v>2500000</v>
      </c>
      <c r="AM1134" s="26">
        <v>2500000</v>
      </c>
      <c r="AN1134" s="26">
        <v>2500000</v>
      </c>
      <c r="AO1134" s="6" t="s">
        <v>2003</v>
      </c>
      <c r="AQ1134" s="6" t="s">
        <v>49</v>
      </c>
      <c r="AU1134" s="6">
        <v>227118</v>
      </c>
    </row>
    <row r="1135" spans="1:47" hidden="1" x14ac:dyDescent="0.3">
      <c r="A1135" s="28" t="s">
        <v>42</v>
      </c>
      <c r="B1135" s="6" t="s">
        <v>2181</v>
      </c>
      <c r="E1135" s="6">
        <v>1</v>
      </c>
      <c r="F1135" s="6" t="s">
        <v>2004</v>
      </c>
      <c r="G1135" s="6" t="s">
        <v>2005</v>
      </c>
      <c r="H1135" s="6" t="s">
        <v>2005</v>
      </c>
      <c r="I1135" s="6" t="str">
        <f t="shared" si="34"/>
        <v>ETC</v>
      </c>
      <c r="J1135" s="6" t="s">
        <v>670</v>
      </c>
      <c r="K1135" s="6">
        <v>1</v>
      </c>
      <c r="P1135" s="6">
        <f t="shared" si="35"/>
        <v>60500000</v>
      </c>
      <c r="R1135" s="6" t="s">
        <v>2003</v>
      </c>
      <c r="T1135" s="6" t="s">
        <v>2095</v>
      </c>
      <c r="U1135" s="6">
        <v>2010</v>
      </c>
      <c r="V1135" s="6">
        <v>1</v>
      </c>
      <c r="AD1135" s="6" t="s">
        <v>45</v>
      </c>
      <c r="AJ1135" s="31" t="s">
        <v>2122</v>
      </c>
      <c r="AK1135" s="6">
        <v>1</v>
      </c>
      <c r="AL1135" s="26">
        <v>60000000</v>
      </c>
      <c r="AM1135" s="26">
        <v>60000000</v>
      </c>
      <c r="AN1135" s="26">
        <v>60000000</v>
      </c>
      <c r="AO1135" s="6" t="s">
        <v>2003</v>
      </c>
      <c r="AQ1135" s="6" t="s">
        <v>1219</v>
      </c>
      <c r="AU1135" s="6">
        <v>227121</v>
      </c>
    </row>
    <row r="1136" spans="1:47" x14ac:dyDescent="0.3">
      <c r="A1136" s="28" t="s">
        <v>42</v>
      </c>
      <c r="B1136" s="6" t="s">
        <v>2181</v>
      </c>
      <c r="D1136" s="6" t="s">
        <v>2104</v>
      </c>
      <c r="E1136" s="6">
        <v>1</v>
      </c>
      <c r="F1136" s="6" t="s">
        <v>2004</v>
      </c>
      <c r="G1136" s="6" t="s">
        <v>2005</v>
      </c>
      <c r="H1136" s="6" t="s">
        <v>2005</v>
      </c>
      <c r="I1136" s="6" t="str">
        <f t="shared" si="34"/>
        <v>ETC</v>
      </c>
      <c r="J1136" s="6" t="s">
        <v>1934</v>
      </c>
      <c r="K1136" s="6">
        <v>1</v>
      </c>
      <c r="P1136" s="6">
        <f t="shared" si="35"/>
        <v>2500000</v>
      </c>
      <c r="R1136" s="6" t="s">
        <v>2003</v>
      </c>
      <c r="T1136" s="6" t="s">
        <v>801</v>
      </c>
      <c r="U1136" s="6">
        <v>2015</v>
      </c>
      <c r="V1136" s="6">
        <v>1</v>
      </c>
      <c r="AD1136" s="6" t="s">
        <v>45</v>
      </c>
      <c r="AJ1136" s="31" t="s">
        <v>2110</v>
      </c>
      <c r="AK1136" s="6">
        <v>1</v>
      </c>
      <c r="AL1136" s="26">
        <v>2300000</v>
      </c>
      <c r="AM1136" s="26">
        <v>2300000</v>
      </c>
      <c r="AN1136" s="26">
        <v>2300000</v>
      </c>
      <c r="AO1136" s="6" t="s">
        <v>2003</v>
      </c>
      <c r="AQ1136" s="6" t="s">
        <v>1182</v>
      </c>
      <c r="AU1136" s="6">
        <v>227126</v>
      </c>
    </row>
    <row r="1137" spans="1:47" x14ac:dyDescent="0.3">
      <c r="A1137" s="28" t="s">
        <v>42</v>
      </c>
      <c r="B1137" s="6" t="s">
        <v>2179</v>
      </c>
      <c r="C1137" s="19" t="s">
        <v>2205</v>
      </c>
      <c r="D1137" s="6" t="s">
        <v>2104</v>
      </c>
      <c r="E1137" s="6">
        <v>1</v>
      </c>
      <c r="F1137" s="6" t="s">
        <v>2004</v>
      </c>
      <c r="G1137" s="6" t="s">
        <v>2005</v>
      </c>
      <c r="H1137" s="6" t="s">
        <v>2005</v>
      </c>
      <c r="I1137" s="6" t="str">
        <f t="shared" si="34"/>
        <v>Standard Bucket</v>
      </c>
      <c r="J1137" s="6" t="s">
        <v>143</v>
      </c>
      <c r="K1137" s="6">
        <v>1</v>
      </c>
      <c r="P1137" s="6">
        <f t="shared" si="35"/>
        <v>500000</v>
      </c>
      <c r="R1137" s="6" t="s">
        <v>2003</v>
      </c>
      <c r="T1137" s="6" t="s">
        <v>810</v>
      </c>
      <c r="U1137" s="6">
        <v>2013</v>
      </c>
      <c r="V1137" s="6">
        <v>5</v>
      </c>
      <c r="AD1137" s="6" t="s">
        <v>45</v>
      </c>
      <c r="AJ1137" s="31" t="s">
        <v>2123</v>
      </c>
      <c r="AK1137" s="6">
        <v>1</v>
      </c>
      <c r="AL1137" s="26">
        <v>450000</v>
      </c>
      <c r="AM1137" s="26">
        <v>450000</v>
      </c>
      <c r="AN1137" s="26">
        <v>450000</v>
      </c>
      <c r="AO1137" s="6" t="s">
        <v>2003</v>
      </c>
      <c r="AQ1137" s="6" t="s">
        <v>1189</v>
      </c>
      <c r="AU1137" s="6">
        <v>227128</v>
      </c>
    </row>
    <row r="1138" spans="1:47" x14ac:dyDescent="0.3">
      <c r="A1138" s="28" t="s">
        <v>42</v>
      </c>
      <c r="B1138" s="6" t="s">
        <v>2196</v>
      </c>
      <c r="D1138" s="6" t="s">
        <v>2105</v>
      </c>
      <c r="E1138" s="6">
        <v>1</v>
      </c>
      <c r="F1138" s="6" t="s">
        <v>2004</v>
      </c>
      <c r="G1138" s="6" t="s">
        <v>2005</v>
      </c>
      <c r="H1138" s="6" t="s">
        <v>2005</v>
      </c>
      <c r="I1138" s="6" t="str">
        <f t="shared" si="34"/>
        <v>Shear&amp;Cutter</v>
      </c>
      <c r="J1138" s="6" t="s">
        <v>216</v>
      </c>
      <c r="K1138" s="6">
        <v>1</v>
      </c>
      <c r="P1138" s="6">
        <f t="shared" si="35"/>
        <v>15500000</v>
      </c>
      <c r="R1138" s="6" t="s">
        <v>2003</v>
      </c>
      <c r="T1138" s="6" t="s">
        <v>813</v>
      </c>
      <c r="U1138" s="6">
        <v>2014</v>
      </c>
      <c r="V1138" s="6">
        <v>1</v>
      </c>
      <c r="AD1138" s="6" t="s">
        <v>45</v>
      </c>
      <c r="AJ1138" s="31" t="s">
        <v>2113</v>
      </c>
      <c r="AK1138" s="6">
        <v>1</v>
      </c>
      <c r="AL1138" s="26">
        <v>15000000</v>
      </c>
      <c r="AM1138" s="26">
        <v>15000000</v>
      </c>
      <c r="AN1138" s="26">
        <v>15000000</v>
      </c>
      <c r="AO1138" s="6" t="s">
        <v>2003</v>
      </c>
      <c r="AQ1138" s="6" t="s">
        <v>79</v>
      </c>
      <c r="AU1138" s="6">
        <v>227132</v>
      </c>
    </row>
    <row r="1139" spans="1:47" x14ac:dyDescent="0.3">
      <c r="A1139" s="28" t="s">
        <v>42</v>
      </c>
      <c r="B1139" s="6" t="s">
        <v>2197</v>
      </c>
      <c r="D1139" s="6" t="s">
        <v>2101</v>
      </c>
      <c r="E1139" s="6">
        <v>1</v>
      </c>
      <c r="F1139" s="6" t="s">
        <v>2004</v>
      </c>
      <c r="G1139" s="6" t="s">
        <v>2005</v>
      </c>
      <c r="H1139" s="6" t="s">
        <v>2005</v>
      </c>
      <c r="I1139" s="6" t="str">
        <f t="shared" si="34"/>
        <v>Ripper</v>
      </c>
      <c r="J1139" s="6" t="s">
        <v>1935</v>
      </c>
      <c r="K1139" s="6">
        <v>1</v>
      </c>
      <c r="P1139" s="6">
        <f t="shared" si="35"/>
        <v>3700000</v>
      </c>
      <c r="R1139" s="6" t="s">
        <v>2003</v>
      </c>
      <c r="T1139" s="6" t="s">
        <v>1893</v>
      </c>
      <c r="U1139" s="6">
        <v>2016</v>
      </c>
      <c r="V1139" s="6">
        <v>5</v>
      </c>
      <c r="AD1139" s="6" t="s">
        <v>45</v>
      </c>
      <c r="AJ1139" s="31" t="s">
        <v>2114</v>
      </c>
      <c r="AK1139" s="6">
        <v>1</v>
      </c>
      <c r="AL1139" s="26">
        <v>3500000</v>
      </c>
      <c r="AM1139" s="26">
        <v>3500000</v>
      </c>
      <c r="AN1139" s="26">
        <v>3500000</v>
      </c>
      <c r="AO1139" s="6" t="s">
        <v>2003</v>
      </c>
      <c r="AQ1139" s="6" t="s">
        <v>1210</v>
      </c>
      <c r="AU1139" s="6">
        <v>227134</v>
      </c>
    </row>
    <row r="1140" spans="1:47" x14ac:dyDescent="0.3">
      <c r="A1140" s="28" t="s">
        <v>42</v>
      </c>
      <c r="B1140" s="6" t="s">
        <v>2184</v>
      </c>
      <c r="C1140" s="6" t="s">
        <v>1972</v>
      </c>
      <c r="D1140" s="6" t="s">
        <v>2104</v>
      </c>
      <c r="E1140" s="6">
        <v>1</v>
      </c>
      <c r="F1140" s="6" t="s">
        <v>2004</v>
      </c>
      <c r="G1140" s="6" t="s">
        <v>2005</v>
      </c>
      <c r="H1140" s="6" t="s">
        <v>2005</v>
      </c>
      <c r="I1140" s="6" t="str">
        <f t="shared" si="34"/>
        <v>Stone Grapple</v>
      </c>
      <c r="J1140" s="6" t="s">
        <v>340</v>
      </c>
      <c r="K1140" s="6">
        <v>1</v>
      </c>
      <c r="P1140" s="6">
        <f t="shared" si="35"/>
        <v>2400000</v>
      </c>
      <c r="R1140" s="6" t="s">
        <v>2003</v>
      </c>
      <c r="T1140" s="6" t="s">
        <v>2007</v>
      </c>
      <c r="U1140" s="6">
        <v>2013</v>
      </c>
      <c r="V1140" s="6">
        <v>1</v>
      </c>
      <c r="AD1140" s="6" t="s">
        <v>45</v>
      </c>
      <c r="AJ1140" s="31" t="s">
        <v>2113</v>
      </c>
      <c r="AK1140" s="6">
        <v>1</v>
      </c>
      <c r="AL1140" s="26">
        <v>2200000</v>
      </c>
      <c r="AM1140" s="26">
        <v>2200000</v>
      </c>
      <c r="AN1140" s="26">
        <v>2200000</v>
      </c>
      <c r="AO1140" s="6" t="s">
        <v>2003</v>
      </c>
      <c r="AQ1140" s="6" t="s">
        <v>49</v>
      </c>
      <c r="AU1140" s="6">
        <v>227135</v>
      </c>
    </row>
    <row r="1141" spans="1:47" x14ac:dyDescent="0.3">
      <c r="A1141" s="28" t="s">
        <v>42</v>
      </c>
      <c r="B1141" s="6" t="s">
        <v>2199</v>
      </c>
      <c r="D1141" s="6" t="s">
        <v>2105</v>
      </c>
      <c r="E1141" s="6">
        <v>1</v>
      </c>
      <c r="F1141" s="6" t="s">
        <v>2004</v>
      </c>
      <c r="G1141" s="6" t="s">
        <v>2005</v>
      </c>
      <c r="H1141" s="6" t="s">
        <v>2005</v>
      </c>
      <c r="I1141" s="6" t="str">
        <f t="shared" si="34"/>
        <v>Quick Coupler</v>
      </c>
      <c r="J1141" s="6" t="s">
        <v>290</v>
      </c>
      <c r="K1141" s="6">
        <v>1</v>
      </c>
      <c r="P1141" s="6">
        <f t="shared" si="35"/>
        <v>1200000</v>
      </c>
      <c r="R1141" s="6" t="s">
        <v>2003</v>
      </c>
      <c r="T1141" s="6" t="s">
        <v>813</v>
      </c>
      <c r="U1141" s="6">
        <v>2013</v>
      </c>
      <c r="V1141" s="6">
        <v>1</v>
      </c>
      <c r="AD1141" s="6" t="s">
        <v>45</v>
      </c>
      <c r="AJ1141" s="31" t="s">
        <v>2113</v>
      </c>
      <c r="AK1141" s="6">
        <v>1</v>
      </c>
      <c r="AL1141" s="26">
        <v>1100000</v>
      </c>
      <c r="AM1141" s="26">
        <v>1100000</v>
      </c>
      <c r="AN1141" s="26">
        <v>1100000</v>
      </c>
      <c r="AO1141" s="6" t="s">
        <v>2003</v>
      </c>
      <c r="AQ1141" s="6" t="s">
        <v>79</v>
      </c>
      <c r="AU1141" s="6">
        <v>227136</v>
      </c>
    </row>
    <row r="1142" spans="1:47" x14ac:dyDescent="0.3">
      <c r="A1142" s="28" t="s">
        <v>42</v>
      </c>
      <c r="B1142" s="6" t="s">
        <v>2183</v>
      </c>
      <c r="D1142" s="6" t="s">
        <v>2104</v>
      </c>
      <c r="E1142" s="6">
        <v>1</v>
      </c>
      <c r="F1142" s="6" t="s">
        <v>2004</v>
      </c>
      <c r="G1142" s="6" t="s">
        <v>2005</v>
      </c>
      <c r="H1142" s="6" t="s">
        <v>2005</v>
      </c>
      <c r="I1142" s="6" t="str">
        <f t="shared" si="34"/>
        <v>ETC</v>
      </c>
      <c r="J1142" s="6" t="s">
        <v>476</v>
      </c>
      <c r="K1142" s="6">
        <v>1</v>
      </c>
      <c r="P1142" s="6">
        <f t="shared" si="35"/>
        <v>11500000</v>
      </c>
      <c r="R1142" s="6" t="s">
        <v>2003</v>
      </c>
      <c r="T1142" s="6" t="s">
        <v>2033</v>
      </c>
      <c r="U1142" s="6">
        <v>2014</v>
      </c>
      <c r="V1142" s="6">
        <v>9</v>
      </c>
      <c r="AD1142" s="6" t="s">
        <v>45</v>
      </c>
      <c r="AJ1142" s="31" t="s">
        <v>2121</v>
      </c>
      <c r="AK1142" s="6">
        <v>1</v>
      </c>
      <c r="AL1142" s="26">
        <v>11000000</v>
      </c>
      <c r="AM1142" s="26">
        <v>11000000</v>
      </c>
      <c r="AN1142" s="26">
        <v>11000000</v>
      </c>
      <c r="AO1142" s="6" t="s">
        <v>2003</v>
      </c>
      <c r="AQ1142" s="6" t="s">
        <v>1219</v>
      </c>
      <c r="AU1142" s="6">
        <v>227138</v>
      </c>
    </row>
    <row r="1143" spans="1:47" x14ac:dyDescent="0.3">
      <c r="A1143" s="28" t="s">
        <v>42</v>
      </c>
      <c r="B1143" s="6" t="s">
        <v>2175</v>
      </c>
      <c r="C1143" s="6" t="s">
        <v>1978</v>
      </c>
      <c r="D1143" s="6" t="s">
        <v>2105</v>
      </c>
      <c r="E1143" s="6">
        <v>1</v>
      </c>
      <c r="F1143" s="6" t="s">
        <v>2004</v>
      </c>
      <c r="G1143" s="6" t="s">
        <v>2005</v>
      </c>
      <c r="H1143" s="6" t="s">
        <v>2005</v>
      </c>
      <c r="I1143" s="6" t="str">
        <f t="shared" si="34"/>
        <v>Hydraulic Pulverizer</v>
      </c>
      <c r="J1143" s="6" t="s">
        <v>258</v>
      </c>
      <c r="K1143" s="6">
        <v>1</v>
      </c>
      <c r="P1143" s="6">
        <f t="shared" si="35"/>
        <v>14000000</v>
      </c>
      <c r="R1143" s="6" t="s">
        <v>2003</v>
      </c>
      <c r="T1143" s="6" t="s">
        <v>813</v>
      </c>
      <c r="U1143" s="6">
        <v>2013</v>
      </c>
      <c r="V1143" s="6">
        <v>1</v>
      </c>
      <c r="AD1143" s="6" t="s">
        <v>45</v>
      </c>
      <c r="AJ1143" s="31" t="s">
        <v>2113</v>
      </c>
      <c r="AK1143" s="6">
        <v>1</v>
      </c>
      <c r="AL1143" s="26">
        <v>13500000</v>
      </c>
      <c r="AM1143" s="26">
        <v>13500000</v>
      </c>
      <c r="AN1143" s="26">
        <v>13500000</v>
      </c>
      <c r="AO1143" s="6" t="s">
        <v>2003</v>
      </c>
      <c r="AQ1143" s="6" t="s">
        <v>79</v>
      </c>
      <c r="AU1143" s="6">
        <v>227140</v>
      </c>
    </row>
    <row r="1144" spans="1:47" x14ac:dyDescent="0.3">
      <c r="A1144" s="28" t="s">
        <v>42</v>
      </c>
      <c r="B1144" s="6" t="s">
        <v>2175</v>
      </c>
      <c r="C1144" s="6" t="s">
        <v>2207</v>
      </c>
      <c r="D1144" s="6" t="s">
        <v>2103</v>
      </c>
      <c r="E1144" s="6">
        <v>1</v>
      </c>
      <c r="F1144" s="6" t="s">
        <v>2004</v>
      </c>
      <c r="G1144" s="6" t="s">
        <v>2005</v>
      </c>
      <c r="H1144" s="6" t="s">
        <v>2005</v>
      </c>
      <c r="I1144" s="6" t="str">
        <f t="shared" si="34"/>
        <v>Hydraulic Crusher</v>
      </c>
      <c r="J1144" s="6" t="s">
        <v>223</v>
      </c>
      <c r="K1144" s="6">
        <v>1</v>
      </c>
      <c r="P1144" s="6">
        <f t="shared" si="35"/>
        <v>9500000</v>
      </c>
      <c r="R1144" s="6" t="s">
        <v>2003</v>
      </c>
      <c r="T1144" s="6" t="s">
        <v>813</v>
      </c>
      <c r="U1144" s="6">
        <v>2014</v>
      </c>
      <c r="V1144" s="6">
        <v>1</v>
      </c>
      <c r="AD1144" s="6" t="s">
        <v>45</v>
      </c>
      <c r="AJ1144" s="31" t="s">
        <v>2113</v>
      </c>
      <c r="AK1144" s="6">
        <v>1</v>
      </c>
      <c r="AL1144" s="26">
        <v>9000000</v>
      </c>
      <c r="AM1144" s="26">
        <v>9000000</v>
      </c>
      <c r="AN1144" s="26">
        <v>9000000</v>
      </c>
      <c r="AO1144" s="6" t="s">
        <v>2003</v>
      </c>
      <c r="AQ1144" s="6" t="s">
        <v>80</v>
      </c>
      <c r="AU1144" s="6">
        <v>227144</v>
      </c>
    </row>
    <row r="1145" spans="1:47" x14ac:dyDescent="0.3">
      <c r="A1145" s="28" t="s">
        <v>42</v>
      </c>
      <c r="B1145" s="6" t="s">
        <v>2198</v>
      </c>
      <c r="D1145" s="6" t="s">
        <v>2105</v>
      </c>
      <c r="E1145" s="6">
        <v>1</v>
      </c>
      <c r="F1145" s="6" t="s">
        <v>2004</v>
      </c>
      <c r="G1145" s="6" t="s">
        <v>2005</v>
      </c>
      <c r="H1145" s="6" t="s">
        <v>2005</v>
      </c>
      <c r="I1145" s="6" t="str">
        <f t="shared" si="34"/>
        <v>Ripper</v>
      </c>
      <c r="J1145" s="6" t="s">
        <v>129</v>
      </c>
      <c r="K1145" s="6">
        <v>1</v>
      </c>
      <c r="P1145" s="6">
        <f t="shared" si="35"/>
        <v>1200000</v>
      </c>
      <c r="R1145" s="6" t="s">
        <v>2003</v>
      </c>
      <c r="T1145" s="6" t="s">
        <v>1894</v>
      </c>
      <c r="U1145" s="6">
        <v>2013</v>
      </c>
      <c r="V1145" s="6">
        <v>1</v>
      </c>
      <c r="AD1145" s="6" t="s">
        <v>45</v>
      </c>
      <c r="AJ1145" s="31" t="s">
        <v>2114</v>
      </c>
      <c r="AK1145" s="6">
        <v>1</v>
      </c>
      <c r="AL1145" s="26">
        <v>1100000</v>
      </c>
      <c r="AM1145" s="26">
        <v>1100000</v>
      </c>
      <c r="AN1145" s="26">
        <v>1100000</v>
      </c>
      <c r="AO1145" s="6" t="s">
        <v>2003</v>
      </c>
      <c r="AQ1145" s="6" t="s">
        <v>57</v>
      </c>
      <c r="AU1145" s="6">
        <v>227146</v>
      </c>
    </row>
    <row r="1146" spans="1:47" x14ac:dyDescent="0.3">
      <c r="A1146" s="28" t="s">
        <v>42</v>
      </c>
      <c r="B1146" s="6" t="s">
        <v>2174</v>
      </c>
      <c r="C1146" s="6" t="s">
        <v>1975</v>
      </c>
      <c r="D1146" s="6" t="s">
        <v>2104</v>
      </c>
      <c r="E1146" s="6">
        <v>1</v>
      </c>
      <c r="F1146" s="6" t="s">
        <v>2004</v>
      </c>
      <c r="G1146" s="6" t="s">
        <v>2005</v>
      </c>
      <c r="H1146" s="6" t="s">
        <v>2005</v>
      </c>
      <c r="I1146" s="6" t="str">
        <f t="shared" si="34"/>
        <v>Side Breaker</v>
      </c>
      <c r="J1146" s="6" t="s">
        <v>146</v>
      </c>
      <c r="K1146" s="6">
        <v>1</v>
      </c>
      <c r="P1146" s="6">
        <f t="shared" si="35"/>
        <v>2400000</v>
      </c>
      <c r="R1146" s="6" t="s">
        <v>2003</v>
      </c>
      <c r="T1146" s="6" t="s">
        <v>1895</v>
      </c>
      <c r="U1146" s="6">
        <v>2008</v>
      </c>
      <c r="V1146" s="6">
        <v>1</v>
      </c>
      <c r="AD1146" s="6" t="s">
        <v>45</v>
      </c>
      <c r="AJ1146" s="31" t="s">
        <v>2118</v>
      </c>
      <c r="AK1146" s="6">
        <v>1</v>
      </c>
      <c r="AL1146" s="26">
        <v>2200000</v>
      </c>
      <c r="AM1146" s="26">
        <v>2200000</v>
      </c>
      <c r="AN1146" s="26">
        <v>2200000</v>
      </c>
      <c r="AO1146" s="6" t="s">
        <v>2003</v>
      </c>
      <c r="AQ1146" s="6" t="s">
        <v>67</v>
      </c>
      <c r="AU1146" s="6">
        <v>227147</v>
      </c>
    </row>
    <row r="1147" spans="1:47" x14ac:dyDescent="0.3">
      <c r="A1147" s="28" t="s">
        <v>42</v>
      </c>
      <c r="B1147" s="6" t="s">
        <v>2175</v>
      </c>
      <c r="C1147" s="6" t="s">
        <v>1978</v>
      </c>
      <c r="D1147" s="6" t="s">
        <v>2103</v>
      </c>
      <c r="E1147" s="6">
        <v>1</v>
      </c>
      <c r="F1147" s="6" t="s">
        <v>2004</v>
      </c>
      <c r="G1147" s="6" t="s">
        <v>2005</v>
      </c>
      <c r="H1147" s="6" t="s">
        <v>2005</v>
      </c>
      <c r="I1147" s="6" t="str">
        <f t="shared" si="34"/>
        <v>Hydraulic Pulverizer</v>
      </c>
      <c r="J1147" s="6" t="s">
        <v>1936</v>
      </c>
      <c r="K1147" s="6">
        <v>1</v>
      </c>
      <c r="P1147" s="6">
        <f t="shared" si="35"/>
        <v>6500000</v>
      </c>
      <c r="R1147" s="6" t="s">
        <v>2003</v>
      </c>
      <c r="T1147" s="6" t="s">
        <v>813</v>
      </c>
      <c r="U1147" s="6">
        <v>2014</v>
      </c>
      <c r="V1147" s="6">
        <v>1</v>
      </c>
      <c r="AD1147" s="6" t="s">
        <v>45</v>
      </c>
      <c r="AJ1147" s="31" t="s">
        <v>2113</v>
      </c>
      <c r="AK1147" s="6">
        <v>1</v>
      </c>
      <c r="AL1147" s="26">
        <v>6000000</v>
      </c>
      <c r="AM1147" s="26">
        <v>6000000</v>
      </c>
      <c r="AN1147" s="26">
        <v>6000000</v>
      </c>
      <c r="AO1147" s="6" t="s">
        <v>2003</v>
      </c>
      <c r="AQ1147" s="6" t="s">
        <v>79</v>
      </c>
      <c r="AU1147" s="6">
        <v>227148</v>
      </c>
    </row>
    <row r="1148" spans="1:47" x14ac:dyDescent="0.3">
      <c r="A1148" s="28" t="s">
        <v>42</v>
      </c>
      <c r="B1148" s="6" t="s">
        <v>2183</v>
      </c>
      <c r="C1148" s="6" t="s">
        <v>1979</v>
      </c>
      <c r="D1148" s="6" t="s">
        <v>2104</v>
      </c>
      <c r="E1148" s="6">
        <v>1</v>
      </c>
      <c r="F1148" s="6" t="s">
        <v>2004</v>
      </c>
      <c r="G1148" s="6" t="s">
        <v>2005</v>
      </c>
      <c r="H1148" s="6" t="s">
        <v>2005</v>
      </c>
      <c r="I1148" s="6" t="str">
        <f t="shared" si="34"/>
        <v>Thumb Grapple</v>
      </c>
      <c r="J1148" s="6" t="s">
        <v>93</v>
      </c>
      <c r="K1148" s="6">
        <v>1</v>
      </c>
      <c r="P1148" s="6">
        <f t="shared" si="35"/>
        <v>800000</v>
      </c>
      <c r="R1148" s="6" t="s">
        <v>2003</v>
      </c>
      <c r="T1148" s="6" t="s">
        <v>813</v>
      </c>
      <c r="U1148" s="6">
        <v>2013</v>
      </c>
      <c r="V1148" s="6">
        <v>1</v>
      </c>
      <c r="AD1148" s="6" t="s">
        <v>45</v>
      </c>
      <c r="AJ1148" s="31" t="s">
        <v>2113</v>
      </c>
      <c r="AK1148" s="6">
        <v>1</v>
      </c>
      <c r="AL1148" s="26">
        <v>700000</v>
      </c>
      <c r="AM1148" s="26">
        <v>700000</v>
      </c>
      <c r="AN1148" s="26">
        <v>700000</v>
      </c>
      <c r="AO1148" s="6" t="s">
        <v>2003</v>
      </c>
      <c r="AQ1148" s="6" t="s">
        <v>80</v>
      </c>
      <c r="AU1148" s="6">
        <v>227149</v>
      </c>
    </row>
    <row r="1149" spans="1:47" hidden="1" x14ac:dyDescent="0.3">
      <c r="A1149" s="28" t="s">
        <v>42</v>
      </c>
      <c r="B1149" s="6" t="s">
        <v>2183</v>
      </c>
      <c r="E1149" s="6">
        <v>1</v>
      </c>
      <c r="F1149" s="6" t="s">
        <v>2004</v>
      </c>
      <c r="G1149" s="6" t="s">
        <v>2005</v>
      </c>
      <c r="H1149" s="6" t="s">
        <v>2005</v>
      </c>
      <c r="I1149" s="6" t="str">
        <f t="shared" si="34"/>
        <v>ETC</v>
      </c>
      <c r="J1149" s="6" t="s">
        <v>1937</v>
      </c>
      <c r="K1149" s="6">
        <v>1</v>
      </c>
      <c r="P1149" s="6">
        <f t="shared" si="35"/>
        <v>7500000</v>
      </c>
      <c r="R1149" s="6" t="s">
        <v>2003</v>
      </c>
      <c r="T1149" s="6" t="s">
        <v>969</v>
      </c>
      <c r="U1149" s="6">
        <v>2010</v>
      </c>
      <c r="V1149" s="6">
        <v>10</v>
      </c>
      <c r="AD1149" s="6" t="s">
        <v>45</v>
      </c>
      <c r="AJ1149" s="31" t="s">
        <v>2110</v>
      </c>
      <c r="AK1149" s="6">
        <v>1</v>
      </c>
      <c r="AL1149" s="26">
        <v>7000000</v>
      </c>
      <c r="AM1149" s="26">
        <v>7000000</v>
      </c>
      <c r="AN1149" s="26">
        <v>7000000</v>
      </c>
      <c r="AO1149" s="6" t="s">
        <v>2003</v>
      </c>
      <c r="AQ1149" s="6" t="s">
        <v>1147</v>
      </c>
      <c r="AU1149" s="6">
        <v>227151</v>
      </c>
    </row>
    <row r="1150" spans="1:47" hidden="1" x14ac:dyDescent="0.3">
      <c r="A1150" s="28" t="s">
        <v>42</v>
      </c>
      <c r="B1150" s="6" t="s">
        <v>2174</v>
      </c>
      <c r="C1150" s="6" t="s">
        <v>1975</v>
      </c>
      <c r="E1150" s="6">
        <v>1</v>
      </c>
      <c r="F1150" s="6" t="s">
        <v>2004</v>
      </c>
      <c r="G1150" s="6" t="s">
        <v>2005</v>
      </c>
      <c r="H1150" s="6" t="s">
        <v>2005</v>
      </c>
      <c r="I1150" s="6" t="str">
        <f t="shared" si="34"/>
        <v>Side Breaker</v>
      </c>
      <c r="J1150" s="6" t="s">
        <v>270</v>
      </c>
      <c r="K1150" s="6">
        <v>1</v>
      </c>
      <c r="P1150" s="6">
        <f t="shared" si="35"/>
        <v>1900000</v>
      </c>
      <c r="R1150" s="6" t="s">
        <v>2003</v>
      </c>
      <c r="T1150" s="6" t="s">
        <v>2096</v>
      </c>
      <c r="U1150" s="6">
        <v>2017</v>
      </c>
      <c r="V1150" s="6">
        <v>1</v>
      </c>
      <c r="AD1150" s="6" t="s">
        <v>45</v>
      </c>
      <c r="AJ1150" s="31" t="s">
        <v>2113</v>
      </c>
      <c r="AK1150" s="6">
        <v>1</v>
      </c>
      <c r="AL1150" s="26">
        <v>1800000</v>
      </c>
      <c r="AM1150" s="26">
        <v>1800000</v>
      </c>
      <c r="AN1150" s="26">
        <v>1800000</v>
      </c>
      <c r="AO1150" s="6" t="s">
        <v>2003</v>
      </c>
      <c r="AQ1150" s="6" t="s">
        <v>49</v>
      </c>
      <c r="AU1150" s="6">
        <v>227152</v>
      </c>
    </row>
    <row r="1151" spans="1:47" x14ac:dyDescent="0.3">
      <c r="A1151" s="28" t="s">
        <v>42</v>
      </c>
      <c r="B1151" s="6" t="s">
        <v>2184</v>
      </c>
      <c r="C1151" s="6" t="s">
        <v>1972</v>
      </c>
      <c r="D1151" s="6" t="s">
        <v>2100</v>
      </c>
      <c r="E1151" s="6">
        <v>1</v>
      </c>
      <c r="F1151" s="6" t="s">
        <v>2004</v>
      </c>
      <c r="G1151" s="6" t="s">
        <v>2005</v>
      </c>
      <c r="H1151" s="6" t="s">
        <v>2005</v>
      </c>
      <c r="I1151" s="6" t="str">
        <f t="shared" si="34"/>
        <v>Stone Grapple</v>
      </c>
      <c r="J1151" s="6" t="s">
        <v>109</v>
      </c>
      <c r="K1151" s="6">
        <v>1</v>
      </c>
      <c r="P1151" s="6">
        <f t="shared" si="35"/>
        <v>3300000</v>
      </c>
      <c r="R1151" s="6" t="s">
        <v>2003</v>
      </c>
      <c r="T1151" s="6" t="s">
        <v>2007</v>
      </c>
      <c r="U1151" s="6">
        <v>2014</v>
      </c>
      <c r="V1151" s="6">
        <v>1</v>
      </c>
      <c r="AD1151" s="6" t="s">
        <v>45</v>
      </c>
      <c r="AJ1151" s="31" t="s">
        <v>2113</v>
      </c>
      <c r="AK1151" s="6">
        <v>1</v>
      </c>
      <c r="AL1151" s="26">
        <v>3100000</v>
      </c>
      <c r="AM1151" s="26">
        <v>3100000</v>
      </c>
      <c r="AN1151" s="26">
        <v>3100000</v>
      </c>
      <c r="AO1151" s="6" t="s">
        <v>2003</v>
      </c>
      <c r="AQ1151" s="6" t="s">
        <v>49</v>
      </c>
      <c r="AU1151" s="6">
        <v>227160</v>
      </c>
    </row>
    <row r="1152" spans="1:47" x14ac:dyDescent="0.3">
      <c r="A1152" s="28" t="s">
        <v>42</v>
      </c>
      <c r="B1152" s="6" t="s">
        <v>2174</v>
      </c>
      <c r="C1152" s="6" t="s">
        <v>1975</v>
      </c>
      <c r="D1152" s="6" t="s">
        <v>2104</v>
      </c>
      <c r="E1152" s="6">
        <v>1</v>
      </c>
      <c r="F1152" s="6" t="s">
        <v>2004</v>
      </c>
      <c r="G1152" s="6" t="s">
        <v>2005</v>
      </c>
      <c r="H1152" s="6" t="s">
        <v>2005</v>
      </c>
      <c r="I1152" s="6" t="str">
        <f t="shared" si="34"/>
        <v>Side Breaker</v>
      </c>
      <c r="J1152" s="6" t="s">
        <v>240</v>
      </c>
      <c r="K1152" s="6">
        <v>1</v>
      </c>
      <c r="P1152" s="6">
        <f t="shared" si="35"/>
        <v>5700000</v>
      </c>
      <c r="R1152" s="6" t="s">
        <v>2003</v>
      </c>
      <c r="T1152" s="6" t="s">
        <v>813</v>
      </c>
      <c r="U1152" s="6">
        <v>2016</v>
      </c>
      <c r="V1152" s="6">
        <v>1</v>
      </c>
      <c r="AD1152" s="6" t="s">
        <v>45</v>
      </c>
      <c r="AJ1152" s="31" t="s">
        <v>2113</v>
      </c>
      <c r="AK1152" s="6">
        <v>1</v>
      </c>
      <c r="AL1152" s="26">
        <v>5200000</v>
      </c>
      <c r="AM1152" s="26">
        <v>5200000</v>
      </c>
      <c r="AN1152" s="26">
        <v>5200000</v>
      </c>
      <c r="AO1152" s="6" t="s">
        <v>2003</v>
      </c>
      <c r="AQ1152" s="6" t="s">
        <v>79</v>
      </c>
      <c r="AU1152" s="6">
        <v>227164</v>
      </c>
    </row>
    <row r="1153" spans="1:47" x14ac:dyDescent="0.3">
      <c r="A1153" s="28" t="s">
        <v>42</v>
      </c>
      <c r="B1153" s="6" t="s">
        <v>2184</v>
      </c>
      <c r="C1153" s="6" t="s">
        <v>1972</v>
      </c>
      <c r="D1153" s="6" t="s">
        <v>2104</v>
      </c>
      <c r="E1153" s="6">
        <v>1</v>
      </c>
      <c r="F1153" s="6" t="s">
        <v>2004</v>
      </c>
      <c r="G1153" s="6" t="s">
        <v>2005</v>
      </c>
      <c r="H1153" s="6" t="s">
        <v>2005</v>
      </c>
      <c r="I1153" s="6" t="str">
        <f t="shared" si="34"/>
        <v>Stone Grapple</v>
      </c>
      <c r="J1153" s="6" t="s">
        <v>130</v>
      </c>
      <c r="K1153" s="6">
        <v>1</v>
      </c>
      <c r="P1153" s="6">
        <f t="shared" si="35"/>
        <v>1800000</v>
      </c>
      <c r="R1153" s="6" t="s">
        <v>2003</v>
      </c>
      <c r="T1153" s="6" t="s">
        <v>51</v>
      </c>
      <c r="U1153" s="6">
        <v>2013</v>
      </c>
      <c r="V1153" s="6">
        <v>1</v>
      </c>
      <c r="AD1153" s="6" t="s">
        <v>45</v>
      </c>
      <c r="AJ1153" s="31" t="s">
        <v>2113</v>
      </c>
      <c r="AK1153" s="6">
        <v>1</v>
      </c>
      <c r="AL1153" s="26">
        <v>1700000</v>
      </c>
      <c r="AM1153" s="26">
        <v>1700000</v>
      </c>
      <c r="AN1153" s="26">
        <v>1700000</v>
      </c>
      <c r="AO1153" s="6" t="s">
        <v>2003</v>
      </c>
      <c r="AQ1153" s="6" t="s">
        <v>49</v>
      </c>
      <c r="AU1153" s="6">
        <v>227166</v>
      </c>
    </row>
    <row r="1154" spans="1:47" x14ac:dyDescent="0.3">
      <c r="A1154" s="28" t="s">
        <v>42</v>
      </c>
      <c r="B1154" s="6" t="s">
        <v>2192</v>
      </c>
      <c r="D1154" s="6" t="s">
        <v>2104</v>
      </c>
      <c r="E1154" s="6">
        <v>1</v>
      </c>
      <c r="F1154" s="6" t="s">
        <v>2004</v>
      </c>
      <c r="G1154" s="6" t="s">
        <v>2005</v>
      </c>
      <c r="H1154" s="6" t="s">
        <v>2005</v>
      </c>
      <c r="I1154" s="6" t="str">
        <f t="shared" ref="I1154:I1217" si="36">IF(ISBLANK(C1154),B1154,C1154)</f>
        <v>Lift Fork</v>
      </c>
      <c r="J1154" s="6" t="s">
        <v>102</v>
      </c>
      <c r="K1154" s="6">
        <v>1</v>
      </c>
      <c r="P1154" s="6">
        <f t="shared" si="35"/>
        <v>600000</v>
      </c>
      <c r="R1154" s="6" t="s">
        <v>2003</v>
      </c>
      <c r="T1154" s="6" t="s">
        <v>813</v>
      </c>
      <c r="U1154" s="6">
        <v>2013</v>
      </c>
      <c r="V1154" s="6">
        <v>1</v>
      </c>
      <c r="AD1154" s="6" t="s">
        <v>45</v>
      </c>
      <c r="AJ1154" s="31" t="s">
        <v>2113</v>
      </c>
      <c r="AK1154" s="6">
        <v>1</v>
      </c>
      <c r="AL1154" s="26">
        <v>500000</v>
      </c>
      <c r="AM1154" s="26">
        <v>500000</v>
      </c>
      <c r="AN1154" s="26">
        <v>500000</v>
      </c>
      <c r="AO1154" s="6" t="s">
        <v>2003</v>
      </c>
      <c r="AQ1154" s="6" t="s">
        <v>80</v>
      </c>
      <c r="AU1154" s="6">
        <v>227167</v>
      </c>
    </row>
    <row r="1155" spans="1:47" x14ac:dyDescent="0.3">
      <c r="A1155" s="28" t="s">
        <v>42</v>
      </c>
      <c r="B1155" s="6" t="s">
        <v>2174</v>
      </c>
      <c r="C1155" s="6" t="s">
        <v>1975</v>
      </c>
      <c r="D1155" s="6" t="s">
        <v>2104</v>
      </c>
      <c r="E1155" s="6">
        <v>1</v>
      </c>
      <c r="F1155" s="6" t="s">
        <v>2004</v>
      </c>
      <c r="G1155" s="6" t="s">
        <v>2005</v>
      </c>
      <c r="H1155" s="6" t="s">
        <v>2005</v>
      </c>
      <c r="I1155" s="6" t="str">
        <f t="shared" si="36"/>
        <v>Side Breaker</v>
      </c>
      <c r="J1155" s="6" t="s">
        <v>440</v>
      </c>
      <c r="K1155" s="6">
        <v>1</v>
      </c>
      <c r="P1155" s="6">
        <f t="shared" ref="P1155:P1218" si="37">IF(AM1155&lt;500000,AM1155+50000,IF(AND(AM1155&gt;=500000,AM1155&lt;2000000),AM1155+100000,IF(AND(AM1155&gt;=2000000,AM1155&lt;5000000),AM1155+200000,IF(AM1155&gt;=5000000,AM1155+500000,AM1155))))</f>
        <v>6000000</v>
      </c>
      <c r="R1155" s="6" t="s">
        <v>2003</v>
      </c>
      <c r="T1155" s="6" t="s">
        <v>813</v>
      </c>
      <c r="U1155" s="6">
        <v>2016</v>
      </c>
      <c r="V1155" s="6">
        <v>1</v>
      </c>
      <c r="AD1155" s="6" t="s">
        <v>45</v>
      </c>
      <c r="AJ1155" s="31" t="s">
        <v>2113</v>
      </c>
      <c r="AK1155" s="6">
        <v>1</v>
      </c>
      <c r="AL1155" s="26">
        <v>5500000</v>
      </c>
      <c r="AM1155" s="26">
        <v>5500000</v>
      </c>
      <c r="AN1155" s="26">
        <v>5500000</v>
      </c>
      <c r="AO1155" s="6" t="s">
        <v>2003</v>
      </c>
      <c r="AQ1155" s="6" t="s">
        <v>79</v>
      </c>
      <c r="AU1155" s="6">
        <v>227168</v>
      </c>
    </row>
    <row r="1156" spans="1:47" x14ac:dyDescent="0.3">
      <c r="A1156" s="28" t="s">
        <v>42</v>
      </c>
      <c r="B1156" s="6" t="s">
        <v>2182</v>
      </c>
      <c r="C1156" s="6" t="s">
        <v>1976</v>
      </c>
      <c r="D1156" s="6" t="s">
        <v>2100</v>
      </c>
      <c r="E1156" s="6">
        <v>1</v>
      </c>
      <c r="F1156" s="6" t="s">
        <v>2004</v>
      </c>
      <c r="G1156" s="6" t="s">
        <v>2005</v>
      </c>
      <c r="H1156" s="6" t="s">
        <v>2005</v>
      </c>
      <c r="I1156" s="6" t="str">
        <f t="shared" si="36"/>
        <v>Skeleton Bucket</v>
      </c>
      <c r="J1156" s="6" t="s">
        <v>557</v>
      </c>
      <c r="K1156" s="6">
        <v>1</v>
      </c>
      <c r="P1156" s="6">
        <f t="shared" si="37"/>
        <v>700000</v>
      </c>
      <c r="R1156" s="6" t="s">
        <v>2003</v>
      </c>
      <c r="T1156" s="6" t="s">
        <v>2011</v>
      </c>
      <c r="U1156" s="6">
        <v>2017</v>
      </c>
      <c r="V1156" s="6">
        <v>6</v>
      </c>
      <c r="AD1156" s="6" t="s">
        <v>45</v>
      </c>
      <c r="AJ1156" s="31" t="s">
        <v>2123</v>
      </c>
      <c r="AK1156" s="6">
        <v>1</v>
      </c>
      <c r="AL1156" s="26">
        <v>600000</v>
      </c>
      <c r="AM1156" s="26">
        <v>600000</v>
      </c>
      <c r="AN1156" s="26">
        <v>600000</v>
      </c>
      <c r="AO1156" s="6" t="s">
        <v>2003</v>
      </c>
      <c r="AQ1156" s="6" t="s">
        <v>1200</v>
      </c>
      <c r="AU1156" s="6">
        <v>227169</v>
      </c>
    </row>
    <row r="1157" spans="1:47" x14ac:dyDescent="0.3">
      <c r="A1157" s="28" t="s">
        <v>42</v>
      </c>
      <c r="B1157" s="6" t="s">
        <v>2183</v>
      </c>
      <c r="D1157" s="6" t="s">
        <v>2104</v>
      </c>
      <c r="E1157" s="6">
        <v>1</v>
      </c>
      <c r="F1157" s="6" t="s">
        <v>2004</v>
      </c>
      <c r="G1157" s="6" t="s">
        <v>2005</v>
      </c>
      <c r="H1157" s="6" t="s">
        <v>2005</v>
      </c>
      <c r="I1157" s="6" t="str">
        <f t="shared" si="36"/>
        <v>ETC</v>
      </c>
      <c r="J1157" s="6" t="s">
        <v>1938</v>
      </c>
      <c r="K1157" s="6">
        <v>1</v>
      </c>
      <c r="P1157" s="6">
        <f t="shared" si="37"/>
        <v>900000</v>
      </c>
      <c r="R1157" s="6" t="s">
        <v>2003</v>
      </c>
      <c r="T1157" s="6" t="s">
        <v>2007</v>
      </c>
      <c r="U1157" s="6">
        <v>2014</v>
      </c>
      <c r="V1157" s="6">
        <v>1</v>
      </c>
      <c r="AD1157" s="6" t="s">
        <v>45</v>
      </c>
      <c r="AJ1157" s="31" t="s">
        <v>2113</v>
      </c>
      <c r="AK1157" s="6">
        <v>1</v>
      </c>
      <c r="AL1157" s="26">
        <v>800000</v>
      </c>
      <c r="AM1157" s="26">
        <v>800000</v>
      </c>
      <c r="AN1157" s="26">
        <v>800000</v>
      </c>
      <c r="AO1157" s="6" t="s">
        <v>2003</v>
      </c>
      <c r="AQ1157" s="6" t="s">
        <v>49</v>
      </c>
      <c r="AU1157" s="6">
        <v>227174</v>
      </c>
    </row>
    <row r="1158" spans="1:47" x14ac:dyDescent="0.3">
      <c r="A1158" s="28" t="s">
        <v>42</v>
      </c>
      <c r="B1158" s="6" t="s">
        <v>2182</v>
      </c>
      <c r="C1158" s="6" t="s">
        <v>1982</v>
      </c>
      <c r="D1158" s="6" t="s">
        <v>2104</v>
      </c>
      <c r="E1158" s="6">
        <v>1</v>
      </c>
      <c r="F1158" s="6" t="s">
        <v>2004</v>
      </c>
      <c r="G1158" s="6" t="s">
        <v>2005</v>
      </c>
      <c r="H1158" s="6" t="s">
        <v>2005</v>
      </c>
      <c r="I1158" s="6" t="str">
        <f t="shared" si="36"/>
        <v>Standard Bucket</v>
      </c>
      <c r="J1158" s="6" t="s">
        <v>563</v>
      </c>
      <c r="K1158" s="6">
        <v>1</v>
      </c>
      <c r="P1158" s="6">
        <f t="shared" si="37"/>
        <v>1300000</v>
      </c>
      <c r="R1158" s="6" t="s">
        <v>2003</v>
      </c>
      <c r="T1158" s="6" t="s">
        <v>1896</v>
      </c>
      <c r="U1158" s="6">
        <v>2017</v>
      </c>
      <c r="V1158" s="6">
        <v>1</v>
      </c>
      <c r="AD1158" s="6" t="s">
        <v>45</v>
      </c>
      <c r="AJ1158" s="31" t="s">
        <v>2122</v>
      </c>
      <c r="AK1158" s="6">
        <v>1</v>
      </c>
      <c r="AL1158" s="26">
        <v>1200000</v>
      </c>
      <c r="AM1158" s="26">
        <v>1200000</v>
      </c>
      <c r="AN1158" s="26">
        <v>1200000</v>
      </c>
      <c r="AO1158" s="6" t="s">
        <v>2003</v>
      </c>
      <c r="AQ1158" s="6" t="s">
        <v>1279</v>
      </c>
      <c r="AU1158" s="6">
        <v>227177</v>
      </c>
    </row>
    <row r="1159" spans="1:47" x14ac:dyDescent="0.3">
      <c r="A1159" s="28" t="s">
        <v>42</v>
      </c>
      <c r="B1159" s="6" t="s">
        <v>2184</v>
      </c>
      <c r="C1159" s="6" t="s">
        <v>1972</v>
      </c>
      <c r="D1159" s="6" t="s">
        <v>2104</v>
      </c>
      <c r="E1159" s="6">
        <v>1</v>
      </c>
      <c r="F1159" s="6" t="s">
        <v>2004</v>
      </c>
      <c r="G1159" s="6" t="s">
        <v>2005</v>
      </c>
      <c r="H1159" s="6" t="s">
        <v>2005</v>
      </c>
      <c r="I1159" s="6" t="str">
        <f t="shared" si="36"/>
        <v>Stone Grapple</v>
      </c>
      <c r="J1159" s="6" t="s">
        <v>72</v>
      </c>
      <c r="K1159" s="6">
        <v>1</v>
      </c>
      <c r="P1159" s="6">
        <f t="shared" si="37"/>
        <v>5500000</v>
      </c>
      <c r="R1159" s="6" t="s">
        <v>2003</v>
      </c>
      <c r="T1159" s="6" t="s">
        <v>813</v>
      </c>
      <c r="U1159" s="6">
        <v>2014</v>
      </c>
      <c r="V1159" s="6">
        <v>1</v>
      </c>
      <c r="AD1159" s="6" t="s">
        <v>45</v>
      </c>
      <c r="AJ1159" s="31" t="s">
        <v>2113</v>
      </c>
      <c r="AK1159" s="6">
        <v>1</v>
      </c>
      <c r="AL1159" s="26">
        <v>5000000</v>
      </c>
      <c r="AM1159" s="26">
        <v>5000000</v>
      </c>
      <c r="AN1159" s="26">
        <v>5000000</v>
      </c>
      <c r="AO1159" s="6" t="s">
        <v>2003</v>
      </c>
      <c r="AQ1159" s="6" t="s">
        <v>80</v>
      </c>
      <c r="AU1159" s="6">
        <v>227179</v>
      </c>
    </row>
    <row r="1160" spans="1:47" x14ac:dyDescent="0.3">
      <c r="A1160" s="28" t="s">
        <v>42</v>
      </c>
      <c r="B1160" s="6" t="s">
        <v>2174</v>
      </c>
      <c r="C1160" s="6" t="s">
        <v>1975</v>
      </c>
      <c r="D1160" s="6" t="s">
        <v>2100</v>
      </c>
      <c r="E1160" s="6">
        <v>1</v>
      </c>
      <c r="F1160" s="6" t="s">
        <v>2004</v>
      </c>
      <c r="G1160" s="6" t="s">
        <v>2005</v>
      </c>
      <c r="H1160" s="6" t="s">
        <v>2005</v>
      </c>
      <c r="I1160" s="6" t="str">
        <f t="shared" si="36"/>
        <v>Side Breaker</v>
      </c>
      <c r="J1160" s="6" t="s">
        <v>83</v>
      </c>
      <c r="K1160" s="6">
        <v>1</v>
      </c>
      <c r="P1160" s="6">
        <f t="shared" si="37"/>
        <v>1650000</v>
      </c>
      <c r="R1160" s="6" t="s">
        <v>2003</v>
      </c>
      <c r="T1160" s="6" t="s">
        <v>2007</v>
      </c>
      <c r="U1160" s="6">
        <v>2014</v>
      </c>
      <c r="V1160" s="6">
        <v>1</v>
      </c>
      <c r="AD1160" s="6" t="s">
        <v>45</v>
      </c>
      <c r="AJ1160" s="31" t="s">
        <v>2113</v>
      </c>
      <c r="AK1160" s="6">
        <v>1</v>
      </c>
      <c r="AL1160" s="26">
        <v>1550000</v>
      </c>
      <c r="AM1160" s="26">
        <v>1550000</v>
      </c>
      <c r="AN1160" s="26">
        <v>1550000</v>
      </c>
      <c r="AO1160" s="6" t="s">
        <v>2003</v>
      </c>
      <c r="AQ1160" s="6" t="s">
        <v>49</v>
      </c>
      <c r="AU1160" s="6">
        <v>227181</v>
      </c>
    </row>
    <row r="1161" spans="1:47" x14ac:dyDescent="0.3">
      <c r="A1161" s="28" t="s">
        <v>42</v>
      </c>
      <c r="B1161" s="6" t="s">
        <v>2183</v>
      </c>
      <c r="D1161" s="6" t="s">
        <v>2104</v>
      </c>
      <c r="E1161" s="6">
        <v>1</v>
      </c>
      <c r="F1161" s="6" t="s">
        <v>2004</v>
      </c>
      <c r="G1161" s="6" t="s">
        <v>2005</v>
      </c>
      <c r="H1161" s="6" t="s">
        <v>2005</v>
      </c>
      <c r="I1161" s="6" t="str">
        <f t="shared" si="36"/>
        <v>ETC</v>
      </c>
      <c r="J1161" s="6" t="s">
        <v>1939</v>
      </c>
      <c r="K1161" s="6">
        <v>1</v>
      </c>
      <c r="P1161" s="6">
        <f t="shared" si="37"/>
        <v>4700000</v>
      </c>
      <c r="R1161" s="6" t="s">
        <v>2003</v>
      </c>
      <c r="T1161" s="6" t="s">
        <v>54</v>
      </c>
      <c r="U1161" s="6">
        <v>2010</v>
      </c>
      <c r="V1161" s="6">
        <v>1</v>
      </c>
      <c r="AD1161" s="6" t="s">
        <v>45</v>
      </c>
      <c r="AJ1161" s="31" t="s">
        <v>2114</v>
      </c>
      <c r="AK1161" s="6">
        <v>1</v>
      </c>
      <c r="AL1161" s="26">
        <v>4500000</v>
      </c>
      <c r="AM1161" s="26">
        <v>4500000</v>
      </c>
      <c r="AN1161" s="26">
        <v>4500000</v>
      </c>
      <c r="AO1161" s="6" t="s">
        <v>2003</v>
      </c>
      <c r="AQ1161" s="6" t="s">
        <v>54</v>
      </c>
      <c r="AU1161" s="6">
        <v>227183</v>
      </c>
    </row>
    <row r="1162" spans="1:47" hidden="1" x14ac:dyDescent="0.3">
      <c r="A1162" s="28" t="s">
        <v>42</v>
      </c>
      <c r="B1162" s="6" t="s">
        <v>2183</v>
      </c>
      <c r="E1162" s="6">
        <v>1</v>
      </c>
      <c r="F1162" s="6" t="s">
        <v>2004</v>
      </c>
      <c r="G1162" s="6" t="s">
        <v>2005</v>
      </c>
      <c r="H1162" s="6" t="s">
        <v>2005</v>
      </c>
      <c r="I1162" s="6" t="str">
        <f t="shared" si="36"/>
        <v>ETC</v>
      </c>
      <c r="J1162" s="6" t="s">
        <v>1940</v>
      </c>
      <c r="K1162" s="6">
        <v>1</v>
      </c>
      <c r="P1162" s="6">
        <f t="shared" si="37"/>
        <v>600000</v>
      </c>
      <c r="R1162" s="6" t="s">
        <v>2003</v>
      </c>
      <c r="T1162" s="6" t="s">
        <v>1897</v>
      </c>
      <c r="U1162" s="6">
        <v>2016</v>
      </c>
      <c r="V1162" s="6">
        <v>10</v>
      </c>
      <c r="AD1162" s="6" t="s">
        <v>45</v>
      </c>
      <c r="AJ1162" s="31" t="s">
        <v>2117</v>
      </c>
      <c r="AK1162" s="6">
        <v>1</v>
      </c>
      <c r="AL1162" s="26">
        <v>500000</v>
      </c>
      <c r="AM1162" s="26">
        <v>500000</v>
      </c>
      <c r="AN1162" s="26">
        <v>500000</v>
      </c>
      <c r="AO1162" s="6" t="s">
        <v>2003</v>
      </c>
      <c r="AQ1162" s="6" t="s">
        <v>1322</v>
      </c>
      <c r="AU1162" s="6">
        <v>227184</v>
      </c>
    </row>
    <row r="1163" spans="1:47" x14ac:dyDescent="0.3">
      <c r="A1163" s="28" t="s">
        <v>42</v>
      </c>
      <c r="B1163" s="6" t="s">
        <v>2184</v>
      </c>
      <c r="C1163" s="6" t="s">
        <v>1972</v>
      </c>
      <c r="D1163" s="6" t="s">
        <v>2100</v>
      </c>
      <c r="E1163" s="6">
        <v>1</v>
      </c>
      <c r="F1163" s="6" t="s">
        <v>2004</v>
      </c>
      <c r="G1163" s="6" t="s">
        <v>2005</v>
      </c>
      <c r="H1163" s="6" t="s">
        <v>2005</v>
      </c>
      <c r="I1163" s="6" t="str">
        <f t="shared" si="36"/>
        <v>Stone Grapple</v>
      </c>
      <c r="J1163" s="6" t="s">
        <v>1941</v>
      </c>
      <c r="K1163" s="6">
        <v>1</v>
      </c>
      <c r="P1163" s="6">
        <f t="shared" si="37"/>
        <v>3300000</v>
      </c>
      <c r="R1163" s="6" t="s">
        <v>2003</v>
      </c>
      <c r="T1163" s="6" t="s">
        <v>1898</v>
      </c>
      <c r="U1163" s="6">
        <v>2014</v>
      </c>
      <c r="V1163" s="6">
        <v>1</v>
      </c>
      <c r="AD1163" s="6" t="s">
        <v>45</v>
      </c>
      <c r="AJ1163" s="31" t="s">
        <v>2113</v>
      </c>
      <c r="AK1163" s="6">
        <v>1</v>
      </c>
      <c r="AL1163" s="26">
        <v>3100000</v>
      </c>
      <c r="AM1163" s="26">
        <v>3100000</v>
      </c>
      <c r="AN1163" s="26">
        <v>3100000</v>
      </c>
      <c r="AO1163" s="6" t="s">
        <v>2003</v>
      </c>
      <c r="AQ1163" s="6" t="s">
        <v>49</v>
      </c>
      <c r="AU1163" s="6">
        <v>227185</v>
      </c>
    </row>
    <row r="1164" spans="1:47" hidden="1" x14ac:dyDescent="0.3">
      <c r="A1164" s="28" t="s">
        <v>42</v>
      </c>
      <c r="B1164" s="6" t="s">
        <v>2183</v>
      </c>
      <c r="E1164" s="6">
        <v>1</v>
      </c>
      <c r="F1164" s="6" t="s">
        <v>2004</v>
      </c>
      <c r="G1164" s="6" t="s">
        <v>2005</v>
      </c>
      <c r="H1164" s="6" t="s">
        <v>2005</v>
      </c>
      <c r="I1164" s="6" t="str">
        <f t="shared" si="36"/>
        <v>ETC</v>
      </c>
      <c r="J1164" s="6" t="s">
        <v>408</v>
      </c>
      <c r="K1164" s="6">
        <v>1</v>
      </c>
      <c r="P1164" s="6">
        <f t="shared" si="37"/>
        <v>7500000</v>
      </c>
      <c r="R1164" s="6" t="s">
        <v>2003</v>
      </c>
      <c r="T1164" s="6" t="s">
        <v>810</v>
      </c>
      <c r="U1164" s="6">
        <v>2016</v>
      </c>
      <c r="V1164" s="6">
        <v>4</v>
      </c>
      <c r="AD1164" s="6" t="s">
        <v>45</v>
      </c>
      <c r="AJ1164" s="31" t="s">
        <v>2123</v>
      </c>
      <c r="AK1164" s="6">
        <v>1</v>
      </c>
      <c r="AL1164" s="26">
        <v>7000000</v>
      </c>
      <c r="AM1164" s="26">
        <v>7000000</v>
      </c>
      <c r="AN1164" s="26">
        <v>7000000</v>
      </c>
      <c r="AO1164" s="6" t="s">
        <v>2003</v>
      </c>
      <c r="AQ1164" s="6" t="s">
        <v>1189</v>
      </c>
      <c r="AU1164" s="6">
        <v>227186</v>
      </c>
    </row>
    <row r="1165" spans="1:47" x14ac:dyDescent="0.3">
      <c r="A1165" s="28" t="s">
        <v>42</v>
      </c>
      <c r="B1165" s="6" t="s">
        <v>2184</v>
      </c>
      <c r="C1165" s="6" t="s">
        <v>1974</v>
      </c>
      <c r="D1165" s="6" t="s">
        <v>2100</v>
      </c>
      <c r="E1165" s="6">
        <v>1</v>
      </c>
      <c r="F1165" s="6" t="s">
        <v>2004</v>
      </c>
      <c r="G1165" s="6" t="s">
        <v>2005</v>
      </c>
      <c r="H1165" s="6" t="s">
        <v>2005</v>
      </c>
      <c r="I1165" s="6" t="str">
        <f t="shared" si="36"/>
        <v>Etc Grapple</v>
      </c>
      <c r="J1165" s="6" t="s">
        <v>136</v>
      </c>
      <c r="K1165" s="6">
        <v>1</v>
      </c>
      <c r="P1165" s="6">
        <f t="shared" si="37"/>
        <v>1900000</v>
      </c>
      <c r="R1165" s="6" t="s">
        <v>2003</v>
      </c>
      <c r="T1165" s="6" t="s">
        <v>2011</v>
      </c>
      <c r="U1165" s="6">
        <v>2010</v>
      </c>
      <c r="V1165" s="6">
        <v>5</v>
      </c>
      <c r="AD1165" s="6" t="s">
        <v>45</v>
      </c>
      <c r="AJ1165" s="31" t="s">
        <v>2123</v>
      </c>
      <c r="AK1165" s="6">
        <v>1</v>
      </c>
      <c r="AL1165" s="26">
        <v>1800000</v>
      </c>
      <c r="AM1165" s="26">
        <v>1800000</v>
      </c>
      <c r="AN1165" s="26">
        <v>1800000</v>
      </c>
      <c r="AO1165" s="6" t="s">
        <v>2003</v>
      </c>
      <c r="AQ1165" s="6" t="s">
        <v>1200</v>
      </c>
      <c r="AU1165" s="6">
        <v>227189</v>
      </c>
    </row>
    <row r="1166" spans="1:47" x14ac:dyDescent="0.3">
      <c r="A1166" s="28" t="s">
        <v>42</v>
      </c>
      <c r="B1166" s="6" t="s">
        <v>2182</v>
      </c>
      <c r="C1166" s="6" t="s">
        <v>2210</v>
      </c>
      <c r="D1166" s="6" t="s">
        <v>2100</v>
      </c>
      <c r="E1166" s="6">
        <v>1</v>
      </c>
      <c r="F1166" s="6" t="s">
        <v>2004</v>
      </c>
      <c r="G1166" s="6" t="s">
        <v>2005</v>
      </c>
      <c r="H1166" s="6" t="s">
        <v>2005</v>
      </c>
      <c r="I1166" s="6" t="str">
        <f t="shared" si="36"/>
        <v>Etc Bucket</v>
      </c>
      <c r="J1166" s="6" t="s">
        <v>428</v>
      </c>
      <c r="K1166" s="6">
        <v>1</v>
      </c>
      <c r="P1166" s="6">
        <f t="shared" si="37"/>
        <v>330000</v>
      </c>
      <c r="R1166" s="6" t="s">
        <v>2003</v>
      </c>
      <c r="T1166" s="6" t="s">
        <v>823</v>
      </c>
      <c r="U1166" s="6">
        <v>2013</v>
      </c>
      <c r="V1166" s="6">
        <v>1</v>
      </c>
      <c r="AD1166" s="6" t="s">
        <v>45</v>
      </c>
      <c r="AJ1166" s="31" t="s">
        <v>2113</v>
      </c>
      <c r="AK1166" s="6">
        <v>1</v>
      </c>
      <c r="AL1166" s="26">
        <v>280000</v>
      </c>
      <c r="AM1166" s="26">
        <v>280000</v>
      </c>
      <c r="AN1166" s="26">
        <v>280000</v>
      </c>
      <c r="AO1166" s="6" t="s">
        <v>2003</v>
      </c>
      <c r="AQ1166" s="6" t="s">
        <v>49</v>
      </c>
      <c r="AU1166" s="6">
        <v>227191</v>
      </c>
    </row>
    <row r="1167" spans="1:47" x14ac:dyDescent="0.3">
      <c r="A1167" s="28" t="s">
        <v>42</v>
      </c>
      <c r="B1167" s="6" t="s">
        <v>2182</v>
      </c>
      <c r="C1167" s="6" t="s">
        <v>1977</v>
      </c>
      <c r="D1167" s="6" t="s">
        <v>2100</v>
      </c>
      <c r="E1167" s="6">
        <v>1</v>
      </c>
      <c r="F1167" s="6" t="s">
        <v>2004</v>
      </c>
      <c r="G1167" s="6" t="s">
        <v>2005</v>
      </c>
      <c r="H1167" s="6" t="s">
        <v>2005</v>
      </c>
      <c r="I1167" s="6" t="str">
        <f t="shared" si="36"/>
        <v>Wide Bucket</v>
      </c>
      <c r="J1167" s="6" t="s">
        <v>64</v>
      </c>
      <c r="K1167" s="6">
        <v>1</v>
      </c>
      <c r="P1167" s="6">
        <f t="shared" si="37"/>
        <v>350000</v>
      </c>
      <c r="R1167" s="6" t="s">
        <v>2003</v>
      </c>
      <c r="T1167" s="6" t="s">
        <v>793</v>
      </c>
      <c r="U1167" s="6">
        <v>2012</v>
      </c>
      <c r="V1167" s="6">
        <v>1</v>
      </c>
      <c r="AD1167" s="6" t="s">
        <v>45</v>
      </c>
      <c r="AJ1167" s="31" t="s">
        <v>2116</v>
      </c>
      <c r="AK1167" s="6">
        <v>1</v>
      </c>
      <c r="AL1167" s="26">
        <v>300000</v>
      </c>
      <c r="AM1167" s="26">
        <v>300000</v>
      </c>
      <c r="AN1167" s="26">
        <v>300000</v>
      </c>
      <c r="AO1167" s="6" t="s">
        <v>2003</v>
      </c>
      <c r="AQ1167" s="6" t="s">
        <v>1146</v>
      </c>
      <c r="AU1167" s="6">
        <v>227192</v>
      </c>
    </row>
    <row r="1168" spans="1:47" x14ac:dyDescent="0.3">
      <c r="A1168" s="28" t="s">
        <v>42</v>
      </c>
      <c r="B1168" s="6" t="s">
        <v>2183</v>
      </c>
      <c r="D1168" s="6" t="s">
        <v>2100</v>
      </c>
      <c r="E1168" s="6">
        <v>1</v>
      </c>
      <c r="F1168" s="6" t="s">
        <v>2004</v>
      </c>
      <c r="G1168" s="6" t="s">
        <v>2005</v>
      </c>
      <c r="H1168" s="6" t="s">
        <v>2005</v>
      </c>
      <c r="I1168" s="6" t="str">
        <f t="shared" si="36"/>
        <v>ETC</v>
      </c>
      <c r="J1168" s="6" t="s">
        <v>138</v>
      </c>
      <c r="K1168" s="6">
        <v>1</v>
      </c>
      <c r="P1168" s="6">
        <f t="shared" si="37"/>
        <v>3700000</v>
      </c>
      <c r="R1168" s="6" t="s">
        <v>2003</v>
      </c>
      <c r="T1168" s="6" t="s">
        <v>2015</v>
      </c>
      <c r="U1168" s="6">
        <v>2012</v>
      </c>
      <c r="V1168" s="6">
        <v>6</v>
      </c>
      <c r="AD1168" s="6" t="s">
        <v>45</v>
      </c>
      <c r="AJ1168" s="31" t="s">
        <v>2113</v>
      </c>
      <c r="AK1168" s="6">
        <v>1</v>
      </c>
      <c r="AL1168" s="26">
        <v>3500000</v>
      </c>
      <c r="AM1168" s="26">
        <v>3500000</v>
      </c>
      <c r="AN1168" s="26">
        <v>3500000</v>
      </c>
      <c r="AO1168" s="6" t="s">
        <v>2003</v>
      </c>
      <c r="AQ1168" s="6" t="s">
        <v>47</v>
      </c>
      <c r="AU1168" s="6">
        <v>227193</v>
      </c>
    </row>
    <row r="1169" spans="1:47" x14ac:dyDescent="0.3">
      <c r="A1169" s="28" t="s">
        <v>42</v>
      </c>
      <c r="B1169" s="6" t="s">
        <v>2184</v>
      </c>
      <c r="C1169" s="6" t="s">
        <v>1974</v>
      </c>
      <c r="D1169" s="6" t="s">
        <v>2100</v>
      </c>
      <c r="E1169" s="6">
        <v>1</v>
      </c>
      <c r="F1169" s="6" t="s">
        <v>2004</v>
      </c>
      <c r="G1169" s="6" t="s">
        <v>2005</v>
      </c>
      <c r="H1169" s="6" t="s">
        <v>2005</v>
      </c>
      <c r="I1169" s="6" t="str">
        <f t="shared" si="36"/>
        <v>Etc Grapple</v>
      </c>
      <c r="J1169" s="6" t="s">
        <v>136</v>
      </c>
      <c r="K1169" s="6">
        <v>1</v>
      </c>
      <c r="P1169" s="6">
        <f t="shared" si="37"/>
        <v>2200000</v>
      </c>
      <c r="R1169" s="6" t="s">
        <v>2003</v>
      </c>
      <c r="T1169" s="6" t="s">
        <v>54</v>
      </c>
      <c r="U1169" s="6">
        <v>2010</v>
      </c>
      <c r="V1169" s="6">
        <v>1</v>
      </c>
      <c r="AD1169" s="6" t="s">
        <v>45</v>
      </c>
      <c r="AJ1169" s="31" t="s">
        <v>2114</v>
      </c>
      <c r="AK1169" s="6">
        <v>1</v>
      </c>
      <c r="AL1169" s="26">
        <v>2000000</v>
      </c>
      <c r="AM1169" s="26">
        <v>2000000</v>
      </c>
      <c r="AN1169" s="26">
        <v>2000000</v>
      </c>
      <c r="AO1169" s="6" t="s">
        <v>2003</v>
      </c>
      <c r="AQ1169" s="6" t="s">
        <v>54</v>
      </c>
      <c r="AU1169" s="6">
        <v>227194</v>
      </c>
    </row>
    <row r="1170" spans="1:47" x14ac:dyDescent="0.3">
      <c r="A1170" s="28" t="s">
        <v>42</v>
      </c>
      <c r="B1170" s="6" t="s">
        <v>2184</v>
      </c>
      <c r="C1170" s="6" t="s">
        <v>1972</v>
      </c>
      <c r="D1170" s="6" t="s">
        <v>2104</v>
      </c>
      <c r="E1170" s="6">
        <v>1</v>
      </c>
      <c r="F1170" s="6" t="s">
        <v>2004</v>
      </c>
      <c r="G1170" s="6" t="s">
        <v>2005</v>
      </c>
      <c r="H1170" s="6" t="s">
        <v>2005</v>
      </c>
      <c r="I1170" s="6" t="str">
        <f t="shared" si="36"/>
        <v>Stone Grapple</v>
      </c>
      <c r="J1170" s="6" t="s">
        <v>225</v>
      </c>
      <c r="K1170" s="6">
        <v>1</v>
      </c>
      <c r="P1170" s="6">
        <f t="shared" si="37"/>
        <v>2600000</v>
      </c>
      <c r="R1170" s="6" t="s">
        <v>2003</v>
      </c>
      <c r="T1170" s="6" t="s">
        <v>2007</v>
      </c>
      <c r="U1170" s="6">
        <v>2014</v>
      </c>
      <c r="V1170" s="6">
        <v>1</v>
      </c>
      <c r="AD1170" s="6" t="s">
        <v>45</v>
      </c>
      <c r="AJ1170" s="31" t="s">
        <v>2113</v>
      </c>
      <c r="AK1170" s="6">
        <v>1</v>
      </c>
      <c r="AL1170" s="26">
        <v>2400000</v>
      </c>
      <c r="AM1170" s="26">
        <v>2400000</v>
      </c>
      <c r="AN1170" s="26">
        <v>2400000</v>
      </c>
      <c r="AO1170" s="6" t="s">
        <v>2003</v>
      </c>
      <c r="AQ1170" s="6" t="s">
        <v>49</v>
      </c>
      <c r="AU1170" s="6">
        <v>227196</v>
      </c>
    </row>
    <row r="1171" spans="1:47" x14ac:dyDescent="0.3">
      <c r="A1171" s="28" t="s">
        <v>42</v>
      </c>
      <c r="B1171" s="6" t="s">
        <v>2174</v>
      </c>
      <c r="C1171" s="6" t="s">
        <v>1975</v>
      </c>
      <c r="D1171" s="6" t="s">
        <v>2103</v>
      </c>
      <c r="E1171" s="6">
        <v>1</v>
      </c>
      <c r="F1171" s="6" t="s">
        <v>2004</v>
      </c>
      <c r="G1171" s="6" t="s">
        <v>2005</v>
      </c>
      <c r="H1171" s="6" t="s">
        <v>2005</v>
      </c>
      <c r="I1171" s="6" t="str">
        <f t="shared" si="36"/>
        <v>Side Breaker</v>
      </c>
      <c r="J1171" s="6" t="s">
        <v>1942</v>
      </c>
      <c r="K1171" s="6">
        <v>1</v>
      </c>
      <c r="P1171" s="6">
        <f t="shared" si="37"/>
        <v>9500000</v>
      </c>
      <c r="R1171" s="6" t="s">
        <v>2003</v>
      </c>
      <c r="T1171" s="6" t="s">
        <v>1899</v>
      </c>
      <c r="U1171" s="6">
        <v>2016</v>
      </c>
      <c r="V1171" s="6">
        <v>1</v>
      </c>
      <c r="AD1171" s="6" t="s">
        <v>45</v>
      </c>
      <c r="AJ1171" s="31" t="s">
        <v>2118</v>
      </c>
      <c r="AK1171" s="6">
        <v>1</v>
      </c>
      <c r="AL1171" s="26">
        <v>9000000</v>
      </c>
      <c r="AM1171" s="26">
        <v>9000000</v>
      </c>
      <c r="AN1171" s="26">
        <v>9000000</v>
      </c>
      <c r="AO1171" s="6" t="s">
        <v>2003</v>
      </c>
      <c r="AQ1171" s="6" t="s">
        <v>63</v>
      </c>
      <c r="AU1171" s="6">
        <v>227197</v>
      </c>
    </row>
    <row r="1172" spans="1:47" x14ac:dyDescent="0.3">
      <c r="A1172" s="28" t="s">
        <v>42</v>
      </c>
      <c r="B1172" s="6" t="s">
        <v>2192</v>
      </c>
      <c r="D1172" s="6" t="s">
        <v>2104</v>
      </c>
      <c r="E1172" s="6">
        <v>1</v>
      </c>
      <c r="F1172" s="6" t="s">
        <v>2004</v>
      </c>
      <c r="G1172" s="6" t="s">
        <v>2005</v>
      </c>
      <c r="H1172" s="6" t="s">
        <v>2005</v>
      </c>
      <c r="I1172" s="6" t="str">
        <f t="shared" si="36"/>
        <v>Lift Fork</v>
      </c>
      <c r="J1172" s="6" t="s">
        <v>102</v>
      </c>
      <c r="K1172" s="6">
        <v>1</v>
      </c>
      <c r="P1172" s="6">
        <f t="shared" si="37"/>
        <v>750000</v>
      </c>
      <c r="R1172" s="6" t="s">
        <v>2003</v>
      </c>
      <c r="T1172" s="6" t="s">
        <v>1900</v>
      </c>
      <c r="U1172" s="6">
        <v>2013</v>
      </c>
      <c r="V1172" s="6">
        <v>1</v>
      </c>
      <c r="AD1172" s="6" t="s">
        <v>45</v>
      </c>
      <c r="AJ1172" s="31" t="s">
        <v>2110</v>
      </c>
      <c r="AK1172" s="6">
        <v>1</v>
      </c>
      <c r="AL1172" s="26">
        <v>650000</v>
      </c>
      <c r="AM1172" s="26">
        <v>650000</v>
      </c>
      <c r="AN1172" s="26">
        <v>650000</v>
      </c>
      <c r="AO1172" s="6" t="s">
        <v>2003</v>
      </c>
      <c r="AQ1172" s="6" t="s">
        <v>1317</v>
      </c>
      <c r="AU1172" s="6">
        <v>227199</v>
      </c>
    </row>
    <row r="1173" spans="1:47" x14ac:dyDescent="0.3">
      <c r="A1173" s="28" t="s">
        <v>42</v>
      </c>
      <c r="B1173" s="6" t="s">
        <v>2174</v>
      </c>
      <c r="C1173" s="6" t="s">
        <v>1975</v>
      </c>
      <c r="D1173" s="6" t="s">
        <v>2101</v>
      </c>
      <c r="E1173" s="6">
        <v>1</v>
      </c>
      <c r="F1173" s="6" t="s">
        <v>2004</v>
      </c>
      <c r="G1173" s="6" t="s">
        <v>2005</v>
      </c>
      <c r="H1173" s="6" t="s">
        <v>2005</v>
      </c>
      <c r="I1173" s="6" t="str">
        <f t="shared" si="36"/>
        <v>Side Breaker</v>
      </c>
      <c r="J1173" s="6" t="s">
        <v>1943</v>
      </c>
      <c r="K1173" s="6">
        <v>1</v>
      </c>
      <c r="P1173" s="6">
        <f t="shared" si="37"/>
        <v>17500000</v>
      </c>
      <c r="R1173" s="6" t="s">
        <v>2003</v>
      </c>
      <c r="T1173" s="6" t="s">
        <v>54</v>
      </c>
      <c r="U1173" s="6">
        <v>2011</v>
      </c>
      <c r="V1173" s="6">
        <v>1</v>
      </c>
      <c r="AD1173" s="6" t="s">
        <v>45</v>
      </c>
      <c r="AJ1173" s="31" t="s">
        <v>2114</v>
      </c>
      <c r="AK1173" s="6">
        <v>1</v>
      </c>
      <c r="AL1173" s="26">
        <v>17000000</v>
      </c>
      <c r="AM1173" s="26">
        <v>17000000</v>
      </c>
      <c r="AN1173" s="26">
        <v>17000000</v>
      </c>
      <c r="AO1173" s="6" t="s">
        <v>2003</v>
      </c>
      <c r="AQ1173" s="6" t="s">
        <v>54</v>
      </c>
      <c r="AU1173" s="6">
        <v>227202</v>
      </c>
    </row>
    <row r="1174" spans="1:47" hidden="1" x14ac:dyDescent="0.3">
      <c r="A1174" s="28" t="s">
        <v>42</v>
      </c>
      <c r="B1174" s="6" t="s">
        <v>2175</v>
      </c>
      <c r="E1174" s="6">
        <v>1</v>
      </c>
      <c r="F1174" s="6" t="s">
        <v>2004</v>
      </c>
      <c r="G1174" s="6" t="s">
        <v>2005</v>
      </c>
      <c r="H1174" s="6" t="s">
        <v>2005</v>
      </c>
      <c r="I1174" s="6" t="str">
        <f t="shared" si="36"/>
        <v>Crusher</v>
      </c>
      <c r="J1174" s="6" t="s">
        <v>463</v>
      </c>
      <c r="K1174" s="6">
        <v>1</v>
      </c>
      <c r="P1174" s="6">
        <f t="shared" si="37"/>
        <v>7500000</v>
      </c>
      <c r="R1174" s="6" t="s">
        <v>2003</v>
      </c>
      <c r="T1174" s="6" t="s">
        <v>1901</v>
      </c>
      <c r="U1174" s="6">
        <v>2017</v>
      </c>
      <c r="V1174" s="6">
        <v>2</v>
      </c>
      <c r="AD1174" s="6" t="s">
        <v>45</v>
      </c>
      <c r="AJ1174" s="31" t="s">
        <v>2116</v>
      </c>
      <c r="AK1174" s="6">
        <v>1</v>
      </c>
      <c r="AL1174" s="26">
        <v>7000000</v>
      </c>
      <c r="AM1174" s="26">
        <v>7000000</v>
      </c>
      <c r="AN1174" s="26">
        <v>7000000</v>
      </c>
      <c r="AO1174" s="6" t="s">
        <v>2003</v>
      </c>
      <c r="AQ1174" s="6" t="s">
        <v>1258</v>
      </c>
      <c r="AU1174" s="6">
        <v>227205</v>
      </c>
    </row>
    <row r="1175" spans="1:47" x14ac:dyDescent="0.3">
      <c r="A1175" s="28" t="s">
        <v>42</v>
      </c>
      <c r="B1175" s="6" t="s">
        <v>2177</v>
      </c>
      <c r="C1175" s="19" t="s">
        <v>2206</v>
      </c>
      <c r="D1175" s="6" t="s">
        <v>2104</v>
      </c>
      <c r="E1175" s="6">
        <v>1</v>
      </c>
      <c r="F1175" s="6" t="s">
        <v>2004</v>
      </c>
      <c r="G1175" s="6" t="s">
        <v>2005</v>
      </c>
      <c r="H1175" s="6" t="s">
        <v>2005</v>
      </c>
      <c r="I1175" s="6" t="str">
        <f t="shared" si="36"/>
        <v>Etc Grapple</v>
      </c>
      <c r="J1175" s="6" t="s">
        <v>745</v>
      </c>
      <c r="K1175" s="6">
        <v>1</v>
      </c>
      <c r="P1175" s="6">
        <f t="shared" si="37"/>
        <v>6500000</v>
      </c>
      <c r="R1175" s="6" t="s">
        <v>2003</v>
      </c>
      <c r="T1175" s="6" t="s">
        <v>1109</v>
      </c>
      <c r="U1175" s="6">
        <v>2016</v>
      </c>
      <c r="V1175" s="6">
        <v>4</v>
      </c>
      <c r="AD1175" s="6" t="s">
        <v>45</v>
      </c>
      <c r="AJ1175" s="31" t="s">
        <v>2122</v>
      </c>
      <c r="AK1175" s="6">
        <v>1</v>
      </c>
      <c r="AL1175" s="26">
        <v>6000000</v>
      </c>
      <c r="AM1175" s="26">
        <v>6000000</v>
      </c>
      <c r="AN1175" s="26">
        <v>6000000</v>
      </c>
      <c r="AO1175" s="6" t="s">
        <v>2003</v>
      </c>
      <c r="AQ1175" s="6" t="s">
        <v>1281</v>
      </c>
      <c r="AU1175" s="6">
        <v>227206</v>
      </c>
    </row>
    <row r="1176" spans="1:47" x14ac:dyDescent="0.3">
      <c r="A1176" s="28" t="s">
        <v>42</v>
      </c>
      <c r="B1176" s="6" t="s">
        <v>2191</v>
      </c>
      <c r="C1176" s="6" t="s">
        <v>1975</v>
      </c>
      <c r="D1176" s="6" t="s">
        <v>2105</v>
      </c>
      <c r="E1176" s="6">
        <v>1</v>
      </c>
      <c r="F1176" s="6" t="s">
        <v>2004</v>
      </c>
      <c r="G1176" s="6" t="s">
        <v>2005</v>
      </c>
      <c r="H1176" s="6" t="s">
        <v>2005</v>
      </c>
      <c r="I1176" s="6" t="str">
        <f t="shared" si="36"/>
        <v>Side Breaker</v>
      </c>
      <c r="J1176" s="6" t="s">
        <v>393</v>
      </c>
      <c r="K1176" s="6">
        <v>1</v>
      </c>
      <c r="P1176" s="6">
        <f t="shared" si="37"/>
        <v>6000000</v>
      </c>
      <c r="R1176" s="6" t="s">
        <v>2003</v>
      </c>
      <c r="T1176" s="6" t="s">
        <v>845</v>
      </c>
      <c r="U1176" s="6">
        <v>2010</v>
      </c>
      <c r="V1176" s="6">
        <v>1</v>
      </c>
      <c r="AD1176" s="6" t="s">
        <v>45</v>
      </c>
      <c r="AJ1176" s="31" t="s">
        <v>2122</v>
      </c>
      <c r="AK1176" s="6">
        <v>1</v>
      </c>
      <c r="AL1176" s="26">
        <v>5500000</v>
      </c>
      <c r="AM1176" s="26">
        <v>5500000</v>
      </c>
      <c r="AN1176" s="26">
        <v>5500000</v>
      </c>
      <c r="AO1176" s="6" t="s">
        <v>2003</v>
      </c>
      <c r="AQ1176" s="6" t="s">
        <v>1167</v>
      </c>
      <c r="AU1176" s="6">
        <v>227208</v>
      </c>
    </row>
    <row r="1177" spans="1:47" hidden="1" x14ac:dyDescent="0.3">
      <c r="A1177" s="28" t="s">
        <v>42</v>
      </c>
      <c r="B1177" s="6" t="s">
        <v>2185</v>
      </c>
      <c r="E1177" s="6">
        <v>1</v>
      </c>
      <c r="F1177" s="6" t="s">
        <v>2004</v>
      </c>
      <c r="G1177" s="6" t="s">
        <v>2005</v>
      </c>
      <c r="H1177" s="6" t="s">
        <v>2005</v>
      </c>
      <c r="I1177" s="6" t="str">
        <f t="shared" si="36"/>
        <v>ETC</v>
      </c>
      <c r="J1177" s="6" t="s">
        <v>1944</v>
      </c>
      <c r="K1177" s="6">
        <v>1</v>
      </c>
      <c r="P1177" s="6">
        <f t="shared" si="37"/>
        <v>900000</v>
      </c>
      <c r="R1177" s="6" t="s">
        <v>2003</v>
      </c>
      <c r="T1177" s="6" t="s">
        <v>1902</v>
      </c>
      <c r="U1177" s="6">
        <v>2016</v>
      </c>
      <c r="V1177" s="6">
        <v>7</v>
      </c>
      <c r="AD1177" s="6" t="s">
        <v>45</v>
      </c>
      <c r="AJ1177" s="31" t="s">
        <v>2111</v>
      </c>
      <c r="AK1177" s="6">
        <v>1</v>
      </c>
      <c r="AL1177" s="26">
        <v>800000</v>
      </c>
      <c r="AM1177" s="26">
        <v>800000</v>
      </c>
      <c r="AN1177" s="26">
        <v>800000</v>
      </c>
      <c r="AO1177" s="6" t="s">
        <v>2003</v>
      </c>
      <c r="AQ1177" s="6" t="s">
        <v>1921</v>
      </c>
      <c r="AU1177" s="6">
        <v>227210</v>
      </c>
    </row>
    <row r="1178" spans="1:47" x14ac:dyDescent="0.3">
      <c r="A1178" s="28" t="s">
        <v>42</v>
      </c>
      <c r="B1178" s="6" t="s">
        <v>2187</v>
      </c>
      <c r="C1178" s="6" t="s">
        <v>1972</v>
      </c>
      <c r="D1178" s="6" t="s">
        <v>2104</v>
      </c>
      <c r="E1178" s="6">
        <v>1</v>
      </c>
      <c r="F1178" s="6" t="s">
        <v>2004</v>
      </c>
      <c r="G1178" s="6" t="s">
        <v>2005</v>
      </c>
      <c r="H1178" s="6" t="s">
        <v>2005</v>
      </c>
      <c r="I1178" s="6" t="str">
        <f t="shared" si="36"/>
        <v>Stone Grapple</v>
      </c>
      <c r="J1178" s="6" t="s">
        <v>81</v>
      </c>
      <c r="K1178" s="6">
        <v>1</v>
      </c>
      <c r="P1178" s="6">
        <f t="shared" si="37"/>
        <v>3700000</v>
      </c>
      <c r="R1178" s="6" t="s">
        <v>2003</v>
      </c>
      <c r="T1178" s="6" t="s">
        <v>2097</v>
      </c>
      <c r="U1178" s="6">
        <v>2014</v>
      </c>
      <c r="V1178" s="6">
        <v>1</v>
      </c>
      <c r="AD1178" s="6" t="s">
        <v>45</v>
      </c>
      <c r="AJ1178" s="31" t="s">
        <v>2110</v>
      </c>
      <c r="AK1178" s="6">
        <v>1</v>
      </c>
      <c r="AL1178" s="26">
        <v>3500000</v>
      </c>
      <c r="AM1178" s="26">
        <v>3500000</v>
      </c>
      <c r="AN1178" s="26">
        <v>3500000</v>
      </c>
      <c r="AO1178" s="6" t="s">
        <v>2003</v>
      </c>
      <c r="AQ1178" s="6" t="s">
        <v>1922</v>
      </c>
      <c r="AU1178" s="6">
        <v>227214</v>
      </c>
    </row>
    <row r="1179" spans="1:47" x14ac:dyDescent="0.3">
      <c r="A1179" s="28" t="s">
        <v>42</v>
      </c>
      <c r="B1179" s="6" t="s">
        <v>2191</v>
      </c>
      <c r="C1179" s="6" t="s">
        <v>1975</v>
      </c>
      <c r="D1179" s="6" t="s">
        <v>2106</v>
      </c>
      <c r="E1179" s="6">
        <v>1</v>
      </c>
      <c r="F1179" s="6" t="s">
        <v>2004</v>
      </c>
      <c r="G1179" s="6" t="s">
        <v>2005</v>
      </c>
      <c r="H1179" s="6" t="s">
        <v>2005</v>
      </c>
      <c r="I1179" s="6" t="str">
        <f t="shared" si="36"/>
        <v>Side Breaker</v>
      </c>
      <c r="J1179" s="6" t="s">
        <v>742</v>
      </c>
      <c r="K1179" s="6">
        <v>1</v>
      </c>
      <c r="P1179" s="6">
        <f t="shared" si="37"/>
        <v>1700000</v>
      </c>
      <c r="R1179" s="6" t="s">
        <v>2003</v>
      </c>
      <c r="T1179" s="6" t="s">
        <v>798</v>
      </c>
      <c r="U1179" s="6">
        <v>2015</v>
      </c>
      <c r="V1179" s="6">
        <v>1</v>
      </c>
      <c r="AD1179" s="6" t="s">
        <v>45</v>
      </c>
      <c r="AJ1179" s="31" t="s">
        <v>2113</v>
      </c>
      <c r="AK1179" s="6">
        <v>1</v>
      </c>
      <c r="AL1179" s="26">
        <v>1600000</v>
      </c>
      <c r="AM1179" s="26">
        <v>1600000</v>
      </c>
      <c r="AN1179" s="26">
        <v>1600000</v>
      </c>
      <c r="AO1179" s="6" t="s">
        <v>2003</v>
      </c>
      <c r="AQ1179" s="6" t="s">
        <v>1923</v>
      </c>
      <c r="AU1179" s="6">
        <v>227225</v>
      </c>
    </row>
    <row r="1180" spans="1:47" x14ac:dyDescent="0.3">
      <c r="A1180" s="28" t="s">
        <v>42</v>
      </c>
      <c r="B1180" s="6" t="s">
        <v>2187</v>
      </c>
      <c r="C1180" s="6" t="s">
        <v>1972</v>
      </c>
      <c r="D1180" s="6" t="s">
        <v>2104</v>
      </c>
      <c r="E1180" s="6">
        <v>1</v>
      </c>
      <c r="F1180" s="6" t="s">
        <v>2004</v>
      </c>
      <c r="G1180" s="6" t="s">
        <v>2005</v>
      </c>
      <c r="H1180" s="6" t="s">
        <v>2005</v>
      </c>
      <c r="I1180" s="6" t="str">
        <f t="shared" si="36"/>
        <v>Stone Grapple</v>
      </c>
      <c r="J1180" s="6" t="s">
        <v>207</v>
      </c>
      <c r="K1180" s="6">
        <v>1</v>
      </c>
      <c r="P1180" s="6">
        <f t="shared" si="37"/>
        <v>2500000</v>
      </c>
      <c r="R1180" s="6" t="s">
        <v>2003</v>
      </c>
      <c r="T1180" s="6" t="s">
        <v>2012</v>
      </c>
      <c r="U1180" s="6">
        <v>2014</v>
      </c>
      <c r="V1180" s="6">
        <v>1</v>
      </c>
      <c r="AD1180" s="6" t="s">
        <v>45</v>
      </c>
      <c r="AJ1180" s="31" t="s">
        <v>2113</v>
      </c>
      <c r="AK1180" s="6">
        <v>1</v>
      </c>
      <c r="AL1180" s="26">
        <v>2300000</v>
      </c>
      <c r="AM1180" s="26">
        <v>2300000</v>
      </c>
      <c r="AN1180" s="26">
        <v>2300000</v>
      </c>
      <c r="AO1180" s="6" t="s">
        <v>2003</v>
      </c>
      <c r="AQ1180" s="6" t="s">
        <v>49</v>
      </c>
      <c r="AU1180" s="6">
        <v>227230</v>
      </c>
    </row>
    <row r="1181" spans="1:47" x14ac:dyDescent="0.3">
      <c r="A1181" s="28" t="s">
        <v>42</v>
      </c>
      <c r="B1181" s="6" t="s">
        <v>2185</v>
      </c>
      <c r="D1181" s="6" t="s">
        <v>2100</v>
      </c>
      <c r="E1181" s="6">
        <v>1</v>
      </c>
      <c r="F1181" s="6" t="s">
        <v>2004</v>
      </c>
      <c r="G1181" s="6" t="s">
        <v>2005</v>
      </c>
      <c r="H1181" s="6" t="s">
        <v>2005</v>
      </c>
      <c r="I1181" s="6" t="str">
        <f t="shared" si="36"/>
        <v>ETC</v>
      </c>
      <c r="J1181" s="6" t="s">
        <v>46</v>
      </c>
      <c r="K1181" s="6">
        <v>1</v>
      </c>
      <c r="P1181" s="6">
        <f t="shared" si="37"/>
        <v>2700000</v>
      </c>
      <c r="R1181" s="6" t="s">
        <v>2003</v>
      </c>
      <c r="T1181" s="6" t="s">
        <v>2015</v>
      </c>
      <c r="U1181" s="6">
        <v>2012</v>
      </c>
      <c r="V1181" s="6">
        <v>6</v>
      </c>
      <c r="AD1181" s="6" t="s">
        <v>45</v>
      </c>
      <c r="AJ1181" s="31" t="s">
        <v>2113</v>
      </c>
      <c r="AK1181" s="6">
        <v>1</v>
      </c>
      <c r="AL1181" s="26">
        <v>2500000</v>
      </c>
      <c r="AM1181" s="26">
        <v>2500000</v>
      </c>
      <c r="AN1181" s="26">
        <v>2500000</v>
      </c>
      <c r="AO1181" s="6" t="s">
        <v>2003</v>
      </c>
      <c r="AQ1181" s="6" t="s">
        <v>47</v>
      </c>
      <c r="AU1181" s="6">
        <v>227232</v>
      </c>
    </row>
    <row r="1182" spans="1:47" x14ac:dyDescent="0.3">
      <c r="A1182" s="28" t="s">
        <v>42</v>
      </c>
      <c r="B1182" s="6" t="s">
        <v>2187</v>
      </c>
      <c r="C1182" s="6" t="s">
        <v>1972</v>
      </c>
      <c r="D1182" s="6" t="s">
        <v>2100</v>
      </c>
      <c r="E1182" s="6">
        <v>1</v>
      </c>
      <c r="F1182" s="6" t="s">
        <v>2004</v>
      </c>
      <c r="G1182" s="6" t="s">
        <v>2005</v>
      </c>
      <c r="H1182" s="6" t="s">
        <v>2005</v>
      </c>
      <c r="I1182" s="6" t="str">
        <f t="shared" si="36"/>
        <v>Stone Grapple</v>
      </c>
      <c r="J1182" s="6" t="s">
        <v>252</v>
      </c>
      <c r="K1182" s="6">
        <v>1</v>
      </c>
      <c r="P1182" s="6">
        <f t="shared" si="37"/>
        <v>3300000</v>
      </c>
      <c r="R1182" s="6" t="s">
        <v>2003</v>
      </c>
      <c r="T1182" s="6" t="s">
        <v>2007</v>
      </c>
      <c r="U1182" s="6">
        <v>2014</v>
      </c>
      <c r="V1182" s="6">
        <v>1</v>
      </c>
      <c r="AD1182" s="6" t="s">
        <v>45</v>
      </c>
      <c r="AJ1182" s="31" t="s">
        <v>2113</v>
      </c>
      <c r="AK1182" s="6">
        <v>1</v>
      </c>
      <c r="AL1182" s="26">
        <v>3100000</v>
      </c>
      <c r="AM1182" s="26">
        <v>3100000</v>
      </c>
      <c r="AN1182" s="26">
        <v>3100000</v>
      </c>
      <c r="AO1182" s="6" t="s">
        <v>2003</v>
      </c>
      <c r="AQ1182" s="6" t="s">
        <v>49</v>
      </c>
      <c r="AU1182" s="6">
        <v>227235</v>
      </c>
    </row>
    <row r="1183" spans="1:47" x14ac:dyDescent="0.3">
      <c r="A1183" s="28" t="s">
        <v>42</v>
      </c>
      <c r="B1183" s="6" t="s">
        <v>2204</v>
      </c>
      <c r="C1183" s="6" t="s">
        <v>1979</v>
      </c>
      <c r="D1183" s="6" t="s">
        <v>2104</v>
      </c>
      <c r="E1183" s="6">
        <v>1</v>
      </c>
      <c r="F1183" s="6" t="s">
        <v>2004</v>
      </c>
      <c r="G1183" s="6" t="s">
        <v>2005</v>
      </c>
      <c r="H1183" s="6" t="s">
        <v>2005</v>
      </c>
      <c r="I1183" s="6" t="str">
        <f t="shared" si="36"/>
        <v>Thumb Grapple</v>
      </c>
      <c r="J1183" s="6" t="s">
        <v>117</v>
      </c>
      <c r="K1183" s="6">
        <v>1</v>
      </c>
      <c r="P1183" s="6">
        <f t="shared" si="37"/>
        <v>600000</v>
      </c>
      <c r="R1183" s="6" t="s">
        <v>2003</v>
      </c>
      <c r="T1183" s="6" t="s">
        <v>54</v>
      </c>
      <c r="U1183" s="6">
        <v>2011</v>
      </c>
      <c r="V1183" s="6">
        <v>1</v>
      </c>
      <c r="AD1183" s="6" t="s">
        <v>45</v>
      </c>
      <c r="AJ1183" s="31" t="s">
        <v>2114</v>
      </c>
      <c r="AK1183" s="6">
        <v>1</v>
      </c>
      <c r="AL1183" s="26">
        <v>500000</v>
      </c>
      <c r="AM1183" s="26">
        <v>500000</v>
      </c>
      <c r="AN1183" s="26">
        <v>500000</v>
      </c>
      <c r="AO1183" s="6" t="s">
        <v>2003</v>
      </c>
      <c r="AQ1183" s="6" t="s">
        <v>54</v>
      </c>
      <c r="AU1183" s="6">
        <v>227237</v>
      </c>
    </row>
    <row r="1184" spans="1:47" x14ac:dyDescent="0.3">
      <c r="A1184" s="28" t="s">
        <v>42</v>
      </c>
      <c r="B1184" s="6" t="s">
        <v>2185</v>
      </c>
      <c r="D1184" s="6" t="s">
        <v>2105</v>
      </c>
      <c r="E1184" s="6">
        <v>1</v>
      </c>
      <c r="F1184" s="6" t="s">
        <v>2004</v>
      </c>
      <c r="G1184" s="6" t="s">
        <v>2005</v>
      </c>
      <c r="H1184" s="6" t="s">
        <v>2005</v>
      </c>
      <c r="I1184" s="6" t="str">
        <f t="shared" si="36"/>
        <v>ETC</v>
      </c>
      <c r="J1184" s="6" t="s">
        <v>1945</v>
      </c>
      <c r="K1184" s="6">
        <v>1</v>
      </c>
      <c r="P1184" s="6">
        <f t="shared" si="37"/>
        <v>4200000</v>
      </c>
      <c r="R1184" s="6" t="s">
        <v>2003</v>
      </c>
      <c r="T1184" s="6" t="s">
        <v>54</v>
      </c>
      <c r="U1184" s="6">
        <v>2011</v>
      </c>
      <c r="V1184" s="6">
        <v>1</v>
      </c>
      <c r="AD1184" s="6" t="s">
        <v>45</v>
      </c>
      <c r="AJ1184" s="31" t="s">
        <v>2114</v>
      </c>
      <c r="AK1184" s="6">
        <v>1</v>
      </c>
      <c r="AL1184" s="26">
        <v>4000000</v>
      </c>
      <c r="AM1184" s="26">
        <v>4000000</v>
      </c>
      <c r="AN1184" s="26">
        <v>4000000</v>
      </c>
      <c r="AO1184" s="6" t="s">
        <v>2003</v>
      </c>
      <c r="AQ1184" s="6" t="s">
        <v>54</v>
      </c>
      <c r="AU1184" s="6">
        <v>227240</v>
      </c>
    </row>
    <row r="1185" spans="1:47" x14ac:dyDescent="0.3">
      <c r="A1185" s="28" t="s">
        <v>42</v>
      </c>
      <c r="B1185" s="6" t="s">
        <v>2191</v>
      </c>
      <c r="C1185" s="6" t="s">
        <v>1975</v>
      </c>
      <c r="D1185" s="6" t="s">
        <v>2100</v>
      </c>
      <c r="E1185" s="6">
        <v>1</v>
      </c>
      <c r="F1185" s="6" t="s">
        <v>2004</v>
      </c>
      <c r="G1185" s="6" t="s">
        <v>2005</v>
      </c>
      <c r="H1185" s="6" t="s">
        <v>2005</v>
      </c>
      <c r="I1185" s="6" t="str">
        <f t="shared" si="36"/>
        <v>Side Breaker</v>
      </c>
      <c r="J1185" s="6" t="s">
        <v>160</v>
      </c>
      <c r="K1185" s="6">
        <v>1</v>
      </c>
      <c r="P1185" s="6">
        <f t="shared" si="37"/>
        <v>1650000</v>
      </c>
      <c r="R1185" s="6" t="s">
        <v>2003</v>
      </c>
      <c r="T1185" s="6" t="s">
        <v>2007</v>
      </c>
      <c r="U1185" s="6">
        <v>2015</v>
      </c>
      <c r="V1185" s="6">
        <v>1</v>
      </c>
      <c r="AD1185" s="6" t="s">
        <v>45</v>
      </c>
      <c r="AJ1185" s="31" t="s">
        <v>2113</v>
      </c>
      <c r="AK1185" s="6">
        <v>1</v>
      </c>
      <c r="AL1185" s="26">
        <v>1550000</v>
      </c>
      <c r="AM1185" s="26">
        <v>1550000</v>
      </c>
      <c r="AN1185" s="26">
        <v>1550000</v>
      </c>
      <c r="AO1185" s="6" t="s">
        <v>2003</v>
      </c>
      <c r="AQ1185" s="6" t="s">
        <v>49</v>
      </c>
      <c r="AU1185" s="6">
        <v>227241</v>
      </c>
    </row>
    <row r="1186" spans="1:47" x14ac:dyDescent="0.3">
      <c r="A1186" s="28" t="s">
        <v>42</v>
      </c>
      <c r="B1186" s="6" t="s">
        <v>2204</v>
      </c>
      <c r="C1186" s="6" t="s">
        <v>1979</v>
      </c>
      <c r="D1186" s="6" t="s">
        <v>2104</v>
      </c>
      <c r="E1186" s="6">
        <v>1</v>
      </c>
      <c r="F1186" s="6" t="s">
        <v>2004</v>
      </c>
      <c r="G1186" s="6" t="s">
        <v>2005</v>
      </c>
      <c r="H1186" s="6" t="s">
        <v>2005</v>
      </c>
      <c r="I1186" s="6" t="str">
        <f t="shared" si="36"/>
        <v>Thumb Grapple</v>
      </c>
      <c r="J1186" s="6" t="s">
        <v>93</v>
      </c>
      <c r="K1186" s="6">
        <v>1</v>
      </c>
      <c r="P1186" s="6">
        <f t="shared" si="37"/>
        <v>800000</v>
      </c>
      <c r="R1186" s="6" t="s">
        <v>2003</v>
      </c>
      <c r="T1186" s="6" t="s">
        <v>2012</v>
      </c>
      <c r="U1186" s="6">
        <v>2013</v>
      </c>
      <c r="V1186" s="6">
        <v>1</v>
      </c>
      <c r="AD1186" s="6" t="s">
        <v>45</v>
      </c>
      <c r="AJ1186" s="31" t="s">
        <v>2113</v>
      </c>
      <c r="AK1186" s="6">
        <v>1</v>
      </c>
      <c r="AL1186" s="26">
        <v>700000</v>
      </c>
      <c r="AM1186" s="26">
        <v>700000</v>
      </c>
      <c r="AN1186" s="26">
        <v>700000</v>
      </c>
      <c r="AO1186" s="6" t="s">
        <v>2003</v>
      </c>
      <c r="AQ1186" s="6" t="s">
        <v>49</v>
      </c>
      <c r="AU1186" s="6">
        <v>227244</v>
      </c>
    </row>
    <row r="1187" spans="1:47" x14ac:dyDescent="0.3">
      <c r="A1187" s="28" t="s">
        <v>42</v>
      </c>
      <c r="B1187" s="6" t="s">
        <v>2194</v>
      </c>
      <c r="D1187" s="6" t="s">
        <v>2100</v>
      </c>
      <c r="E1187" s="6">
        <v>1</v>
      </c>
      <c r="F1187" s="6" t="s">
        <v>2004</v>
      </c>
      <c r="G1187" s="6" t="s">
        <v>2005</v>
      </c>
      <c r="H1187" s="6" t="s">
        <v>2005</v>
      </c>
      <c r="I1187" s="6" t="str">
        <f t="shared" si="36"/>
        <v>Lift Fork</v>
      </c>
      <c r="J1187" s="6" t="s">
        <v>391</v>
      </c>
      <c r="K1187" s="6">
        <v>1</v>
      </c>
      <c r="P1187" s="6">
        <f t="shared" si="37"/>
        <v>900000</v>
      </c>
      <c r="R1187" s="6" t="s">
        <v>2003</v>
      </c>
      <c r="T1187" s="6" t="s">
        <v>2029</v>
      </c>
      <c r="U1187" s="6">
        <v>2016</v>
      </c>
      <c r="V1187" s="6">
        <v>12</v>
      </c>
      <c r="AD1187" s="6" t="s">
        <v>45</v>
      </c>
      <c r="AJ1187" s="31" t="s">
        <v>2123</v>
      </c>
      <c r="AK1187" s="6">
        <v>1</v>
      </c>
      <c r="AL1187" s="26">
        <v>800000</v>
      </c>
      <c r="AM1187" s="26">
        <v>800000</v>
      </c>
      <c r="AN1187" s="26">
        <v>800000</v>
      </c>
      <c r="AO1187" s="6" t="s">
        <v>2003</v>
      </c>
      <c r="AQ1187" s="6" t="s">
        <v>1143</v>
      </c>
      <c r="AU1187" s="6">
        <v>227246</v>
      </c>
    </row>
    <row r="1188" spans="1:47" x14ac:dyDescent="0.3">
      <c r="A1188" s="28" t="s">
        <v>42</v>
      </c>
      <c r="B1188" s="6" t="s">
        <v>2186</v>
      </c>
      <c r="C1188" s="19" t="s">
        <v>2205</v>
      </c>
      <c r="D1188" s="6" t="s">
        <v>2101</v>
      </c>
      <c r="E1188" s="6">
        <v>1</v>
      </c>
      <c r="F1188" s="6" t="s">
        <v>2004</v>
      </c>
      <c r="G1188" s="6" t="s">
        <v>2005</v>
      </c>
      <c r="H1188" s="6" t="s">
        <v>2005</v>
      </c>
      <c r="I1188" s="6" t="str">
        <f t="shared" si="36"/>
        <v>Standard Bucket</v>
      </c>
      <c r="J1188" s="6" t="s">
        <v>236</v>
      </c>
      <c r="K1188" s="6">
        <v>1</v>
      </c>
      <c r="P1188" s="6">
        <f t="shared" si="37"/>
        <v>4200000</v>
      </c>
      <c r="R1188" s="6" t="s">
        <v>2003</v>
      </c>
      <c r="T1188" s="6" t="s">
        <v>54</v>
      </c>
      <c r="U1188" s="6">
        <v>2010</v>
      </c>
      <c r="V1188" s="6">
        <v>1</v>
      </c>
      <c r="AD1188" s="6" t="s">
        <v>45</v>
      </c>
      <c r="AJ1188" s="31" t="s">
        <v>2114</v>
      </c>
      <c r="AK1188" s="6">
        <v>1</v>
      </c>
      <c r="AL1188" s="26">
        <v>4000000</v>
      </c>
      <c r="AM1188" s="26">
        <v>4000000</v>
      </c>
      <c r="AN1188" s="26">
        <v>4000000</v>
      </c>
      <c r="AO1188" s="6" t="s">
        <v>2003</v>
      </c>
      <c r="AQ1188" s="6" t="s">
        <v>54</v>
      </c>
      <c r="AU1188" s="6">
        <v>227247</v>
      </c>
    </row>
    <row r="1189" spans="1:47" x14ac:dyDescent="0.3">
      <c r="A1189" s="28" t="s">
        <v>42</v>
      </c>
      <c r="B1189" s="6" t="s">
        <v>2182</v>
      </c>
      <c r="C1189" s="19" t="s">
        <v>2205</v>
      </c>
      <c r="D1189" s="6" t="s">
        <v>2101</v>
      </c>
      <c r="E1189" s="6">
        <v>1</v>
      </c>
      <c r="F1189" s="6" t="s">
        <v>2004</v>
      </c>
      <c r="G1189" s="6" t="s">
        <v>2005</v>
      </c>
      <c r="H1189" s="6" t="s">
        <v>2005</v>
      </c>
      <c r="I1189" s="6" t="str">
        <f t="shared" si="36"/>
        <v>Standard Bucket</v>
      </c>
      <c r="J1189" s="6" t="s">
        <v>75</v>
      </c>
      <c r="K1189" s="6">
        <v>1</v>
      </c>
      <c r="P1189" s="6">
        <f t="shared" si="37"/>
        <v>3200000</v>
      </c>
      <c r="R1189" s="6" t="s">
        <v>2003</v>
      </c>
      <c r="T1189" s="6" t="s">
        <v>839</v>
      </c>
      <c r="U1189" s="6">
        <v>2011</v>
      </c>
      <c r="V1189" s="6">
        <v>6</v>
      </c>
      <c r="AD1189" s="6" t="s">
        <v>45</v>
      </c>
      <c r="AJ1189" s="31" t="s">
        <v>2110</v>
      </c>
      <c r="AK1189" s="6">
        <v>1</v>
      </c>
      <c r="AL1189" s="26">
        <v>3000000</v>
      </c>
      <c r="AM1189" s="26">
        <v>3000000</v>
      </c>
      <c r="AN1189" s="26">
        <v>3000000</v>
      </c>
      <c r="AO1189" s="6" t="s">
        <v>2003</v>
      </c>
      <c r="AQ1189" s="6" t="s">
        <v>1234</v>
      </c>
      <c r="AU1189" s="6">
        <v>227256</v>
      </c>
    </row>
    <row r="1190" spans="1:47" x14ac:dyDescent="0.3">
      <c r="A1190" s="28" t="s">
        <v>42</v>
      </c>
      <c r="B1190" s="6" t="s">
        <v>2182</v>
      </c>
      <c r="C1190" s="6" t="s">
        <v>1977</v>
      </c>
      <c r="D1190" s="6" t="s">
        <v>2103</v>
      </c>
      <c r="E1190" s="6">
        <v>1</v>
      </c>
      <c r="F1190" s="6" t="s">
        <v>2004</v>
      </c>
      <c r="G1190" s="6" t="s">
        <v>2005</v>
      </c>
      <c r="H1190" s="6" t="s">
        <v>2005</v>
      </c>
      <c r="I1190" s="6" t="str">
        <f t="shared" si="36"/>
        <v>Wide Bucket</v>
      </c>
      <c r="J1190" s="6" t="s">
        <v>275</v>
      </c>
      <c r="K1190" s="6">
        <v>1</v>
      </c>
      <c r="P1190" s="6">
        <f t="shared" si="37"/>
        <v>2700000</v>
      </c>
      <c r="R1190" s="6" t="s">
        <v>2003</v>
      </c>
      <c r="T1190" s="6" t="s">
        <v>2011</v>
      </c>
      <c r="U1190" s="6">
        <v>2012</v>
      </c>
      <c r="V1190" s="6">
        <v>6</v>
      </c>
      <c r="AD1190" s="6" t="s">
        <v>45</v>
      </c>
      <c r="AJ1190" s="31" t="s">
        <v>2123</v>
      </c>
      <c r="AK1190" s="6">
        <v>1</v>
      </c>
      <c r="AL1190" s="26">
        <v>2500000</v>
      </c>
      <c r="AM1190" s="26">
        <v>2500000</v>
      </c>
      <c r="AN1190" s="26">
        <v>2500000</v>
      </c>
      <c r="AO1190" s="6" t="s">
        <v>2003</v>
      </c>
      <c r="AQ1190" s="6" t="s">
        <v>1200</v>
      </c>
      <c r="AU1190" s="6">
        <v>227264</v>
      </c>
    </row>
    <row r="1191" spans="1:47" x14ac:dyDescent="0.3">
      <c r="A1191" s="28" t="s">
        <v>42</v>
      </c>
      <c r="B1191" s="6" t="s">
        <v>2174</v>
      </c>
      <c r="C1191" s="6" t="s">
        <v>1975</v>
      </c>
      <c r="D1191" s="6" t="s">
        <v>2101</v>
      </c>
      <c r="E1191" s="6">
        <v>1</v>
      </c>
      <c r="F1191" s="6" t="s">
        <v>2004</v>
      </c>
      <c r="G1191" s="6" t="s">
        <v>2005</v>
      </c>
      <c r="H1191" s="6" t="s">
        <v>2005</v>
      </c>
      <c r="I1191" s="6" t="str">
        <f t="shared" si="36"/>
        <v>Side Breaker</v>
      </c>
      <c r="J1191" s="6" t="s">
        <v>748</v>
      </c>
      <c r="K1191" s="6">
        <v>1</v>
      </c>
      <c r="P1191" s="6">
        <f t="shared" si="37"/>
        <v>20500000</v>
      </c>
      <c r="R1191" s="6" t="s">
        <v>2003</v>
      </c>
      <c r="T1191" s="6" t="s">
        <v>1110</v>
      </c>
      <c r="U1191" s="6">
        <v>2015</v>
      </c>
      <c r="V1191" s="6">
        <v>5</v>
      </c>
      <c r="AD1191" s="6" t="s">
        <v>45</v>
      </c>
      <c r="AJ1191" s="31" t="s">
        <v>2111</v>
      </c>
      <c r="AK1191" s="6">
        <v>1</v>
      </c>
      <c r="AL1191" s="26">
        <v>20000000</v>
      </c>
      <c r="AM1191" s="26">
        <v>20000000</v>
      </c>
      <c r="AN1191" s="26">
        <v>20000000</v>
      </c>
      <c r="AO1191" s="6" t="s">
        <v>2003</v>
      </c>
      <c r="AQ1191" s="6" t="s">
        <v>92</v>
      </c>
      <c r="AU1191" s="6">
        <v>227266</v>
      </c>
    </row>
    <row r="1192" spans="1:47" hidden="1" x14ac:dyDescent="0.3">
      <c r="A1192" s="28" t="s">
        <v>42</v>
      </c>
      <c r="B1192" s="6" t="s">
        <v>2183</v>
      </c>
      <c r="E1192" s="6">
        <v>1</v>
      </c>
      <c r="F1192" s="6" t="s">
        <v>2004</v>
      </c>
      <c r="G1192" s="6" t="s">
        <v>2005</v>
      </c>
      <c r="H1192" s="6" t="s">
        <v>2005</v>
      </c>
      <c r="I1192" s="6" t="str">
        <f t="shared" si="36"/>
        <v>ETC</v>
      </c>
      <c r="J1192" s="6" t="s">
        <v>736</v>
      </c>
      <c r="K1192" s="6">
        <v>1</v>
      </c>
      <c r="P1192" s="6">
        <f t="shared" si="37"/>
        <v>4500000</v>
      </c>
      <c r="R1192" s="6" t="s">
        <v>2003</v>
      </c>
      <c r="T1192" s="6" t="s">
        <v>829</v>
      </c>
      <c r="U1192" s="6">
        <v>2013</v>
      </c>
      <c r="V1192" s="6">
        <v>7</v>
      </c>
      <c r="AD1192" s="6" t="s">
        <v>45</v>
      </c>
      <c r="AJ1192" s="31" t="s">
        <v>2125</v>
      </c>
      <c r="AK1192" s="6">
        <v>1</v>
      </c>
      <c r="AL1192" s="26">
        <v>4300000</v>
      </c>
      <c r="AM1192" s="26">
        <v>4300000</v>
      </c>
      <c r="AN1192" s="26">
        <v>4300000</v>
      </c>
      <c r="AO1192" s="6" t="s">
        <v>2003</v>
      </c>
      <c r="AQ1192" s="6" t="s">
        <v>1220</v>
      </c>
      <c r="AU1192" s="6">
        <v>227267</v>
      </c>
    </row>
    <row r="1193" spans="1:47" x14ac:dyDescent="0.3">
      <c r="A1193" s="28" t="s">
        <v>42</v>
      </c>
      <c r="B1193" s="6" t="s">
        <v>2175</v>
      </c>
      <c r="C1193" s="19" t="s">
        <v>2207</v>
      </c>
      <c r="D1193" s="6" t="s">
        <v>2104</v>
      </c>
      <c r="E1193" s="6">
        <v>1</v>
      </c>
      <c r="F1193" s="6" t="s">
        <v>2004</v>
      </c>
      <c r="G1193" s="6" t="s">
        <v>2005</v>
      </c>
      <c r="H1193" s="6" t="s">
        <v>2005</v>
      </c>
      <c r="I1193" s="6" t="str">
        <f t="shared" si="36"/>
        <v>Hydraulic Crusher</v>
      </c>
      <c r="J1193" s="6" t="s">
        <v>104</v>
      </c>
      <c r="K1193" s="6">
        <v>1</v>
      </c>
      <c r="P1193" s="6">
        <f t="shared" si="37"/>
        <v>11500000</v>
      </c>
      <c r="R1193" s="6" t="s">
        <v>2003</v>
      </c>
      <c r="T1193" s="6" t="s">
        <v>1903</v>
      </c>
      <c r="U1193" s="6">
        <v>2011</v>
      </c>
      <c r="V1193" s="6">
        <v>1</v>
      </c>
      <c r="AD1193" s="6" t="s">
        <v>45</v>
      </c>
      <c r="AJ1193" s="31" t="s">
        <v>2119</v>
      </c>
      <c r="AK1193" s="6">
        <v>1</v>
      </c>
      <c r="AL1193" s="26">
        <v>11000000</v>
      </c>
      <c r="AM1193" s="26">
        <v>11000000</v>
      </c>
      <c r="AN1193" s="26">
        <v>11000000</v>
      </c>
      <c r="AO1193" s="6" t="s">
        <v>2003</v>
      </c>
      <c r="AQ1193" s="6" t="s">
        <v>60</v>
      </c>
      <c r="AU1193" s="6">
        <v>227269</v>
      </c>
    </row>
    <row r="1194" spans="1:47" hidden="1" x14ac:dyDescent="0.3">
      <c r="A1194" s="28" t="s">
        <v>42</v>
      </c>
      <c r="B1194" s="6" t="s">
        <v>2178</v>
      </c>
      <c r="C1194" s="6" t="s">
        <v>1975</v>
      </c>
      <c r="E1194" s="6">
        <v>1</v>
      </c>
      <c r="F1194" s="6" t="s">
        <v>2004</v>
      </c>
      <c r="G1194" s="6" t="s">
        <v>2005</v>
      </c>
      <c r="H1194" s="6" t="s">
        <v>2005</v>
      </c>
      <c r="I1194" s="6" t="str">
        <f t="shared" si="36"/>
        <v>Side Breaker</v>
      </c>
      <c r="J1194" s="6" t="s">
        <v>314</v>
      </c>
      <c r="K1194" s="6">
        <v>1</v>
      </c>
      <c r="P1194" s="6">
        <f t="shared" si="37"/>
        <v>5500000</v>
      </c>
      <c r="R1194" s="6" t="s">
        <v>2003</v>
      </c>
      <c r="T1194" s="6" t="s">
        <v>829</v>
      </c>
      <c r="U1194" s="6">
        <v>2010</v>
      </c>
      <c r="V1194" s="6">
        <v>7</v>
      </c>
      <c r="AD1194" s="6" t="s">
        <v>45</v>
      </c>
      <c r="AJ1194" s="31" t="s">
        <v>2125</v>
      </c>
      <c r="AK1194" s="6">
        <v>1</v>
      </c>
      <c r="AL1194" s="26">
        <v>5000000</v>
      </c>
      <c r="AM1194" s="26">
        <v>5000000</v>
      </c>
      <c r="AN1194" s="26">
        <v>5000000</v>
      </c>
      <c r="AO1194" s="6" t="s">
        <v>2003</v>
      </c>
      <c r="AQ1194" s="6" t="s">
        <v>1220</v>
      </c>
      <c r="AU1194" s="6">
        <v>227272</v>
      </c>
    </row>
    <row r="1195" spans="1:47" x14ac:dyDescent="0.3">
      <c r="A1195" s="28" t="s">
        <v>42</v>
      </c>
      <c r="B1195" s="6" t="s">
        <v>2177</v>
      </c>
      <c r="C1195" s="6" t="s">
        <v>1972</v>
      </c>
      <c r="D1195" s="6" t="s">
        <v>2103</v>
      </c>
      <c r="E1195" s="6">
        <v>1</v>
      </c>
      <c r="F1195" s="6" t="s">
        <v>2004</v>
      </c>
      <c r="G1195" s="6" t="s">
        <v>2005</v>
      </c>
      <c r="H1195" s="6" t="s">
        <v>2005</v>
      </c>
      <c r="I1195" s="6" t="str">
        <f t="shared" si="36"/>
        <v>Stone Grapple</v>
      </c>
      <c r="J1195" s="6" t="s">
        <v>94</v>
      </c>
      <c r="K1195" s="6">
        <v>1</v>
      </c>
      <c r="P1195" s="6">
        <f t="shared" si="37"/>
        <v>2700000</v>
      </c>
      <c r="R1195" s="6" t="s">
        <v>2003</v>
      </c>
      <c r="T1195" s="6" t="s">
        <v>2011</v>
      </c>
      <c r="U1195" s="6">
        <v>2010</v>
      </c>
      <c r="V1195" s="6">
        <v>6</v>
      </c>
      <c r="AD1195" s="6" t="s">
        <v>45</v>
      </c>
      <c r="AJ1195" s="31" t="s">
        <v>2123</v>
      </c>
      <c r="AK1195" s="6">
        <v>1</v>
      </c>
      <c r="AL1195" s="26">
        <v>2500000</v>
      </c>
      <c r="AM1195" s="26">
        <v>2500000</v>
      </c>
      <c r="AN1195" s="26">
        <v>2500000</v>
      </c>
      <c r="AO1195" s="6" t="s">
        <v>2003</v>
      </c>
      <c r="AQ1195" s="6" t="s">
        <v>1200</v>
      </c>
      <c r="AU1195" s="6">
        <v>227275</v>
      </c>
    </row>
    <row r="1196" spans="1:47" x14ac:dyDescent="0.3">
      <c r="A1196" s="28" t="s">
        <v>42</v>
      </c>
      <c r="B1196" s="6" t="s">
        <v>2177</v>
      </c>
      <c r="C1196" s="6" t="s">
        <v>1972</v>
      </c>
      <c r="D1196" s="6" t="s">
        <v>2104</v>
      </c>
      <c r="E1196" s="6">
        <v>1</v>
      </c>
      <c r="F1196" s="6" t="s">
        <v>2004</v>
      </c>
      <c r="G1196" s="6" t="s">
        <v>2005</v>
      </c>
      <c r="H1196" s="6" t="s">
        <v>2005</v>
      </c>
      <c r="I1196" s="6" t="str">
        <f t="shared" si="36"/>
        <v>Stone Grapple</v>
      </c>
      <c r="J1196" s="6" t="s">
        <v>44</v>
      </c>
      <c r="K1196" s="6">
        <v>1</v>
      </c>
      <c r="P1196" s="6">
        <f t="shared" si="37"/>
        <v>2300000</v>
      </c>
      <c r="R1196" s="6" t="s">
        <v>2003</v>
      </c>
      <c r="T1196" s="6" t="s">
        <v>1904</v>
      </c>
      <c r="U1196" s="6">
        <v>2014</v>
      </c>
      <c r="V1196" s="6">
        <v>1</v>
      </c>
      <c r="AD1196" s="6" t="s">
        <v>45</v>
      </c>
      <c r="AJ1196" s="31" t="s">
        <v>2114</v>
      </c>
      <c r="AK1196" s="6">
        <v>1</v>
      </c>
      <c r="AL1196" s="26">
        <v>2100000</v>
      </c>
      <c r="AM1196" s="26">
        <v>2100000</v>
      </c>
      <c r="AN1196" s="26">
        <v>2100000</v>
      </c>
      <c r="AO1196" s="6" t="s">
        <v>2003</v>
      </c>
      <c r="AQ1196" s="6" t="s">
        <v>57</v>
      </c>
      <c r="AU1196" s="6">
        <v>227278</v>
      </c>
    </row>
    <row r="1197" spans="1:47" x14ac:dyDescent="0.3">
      <c r="A1197" s="28" t="s">
        <v>42</v>
      </c>
      <c r="B1197" s="6" t="s">
        <v>2177</v>
      </c>
      <c r="C1197" s="6" t="s">
        <v>1972</v>
      </c>
      <c r="D1197" s="6" t="s">
        <v>2104</v>
      </c>
      <c r="E1197" s="6">
        <v>1</v>
      </c>
      <c r="F1197" s="6" t="s">
        <v>2004</v>
      </c>
      <c r="G1197" s="6" t="s">
        <v>2005</v>
      </c>
      <c r="H1197" s="6" t="s">
        <v>2005</v>
      </c>
      <c r="I1197" s="6" t="str">
        <f t="shared" si="36"/>
        <v>Stone Grapple</v>
      </c>
      <c r="J1197" s="6" t="s">
        <v>120</v>
      </c>
      <c r="K1197" s="6">
        <v>1</v>
      </c>
      <c r="P1197" s="6">
        <f t="shared" si="37"/>
        <v>6500000</v>
      </c>
      <c r="R1197" s="6" t="s">
        <v>2003</v>
      </c>
      <c r="T1197" s="6" t="s">
        <v>1110</v>
      </c>
      <c r="U1197" s="6">
        <v>2016</v>
      </c>
      <c r="V1197" s="6">
        <v>7</v>
      </c>
      <c r="AD1197" s="6" t="s">
        <v>45</v>
      </c>
      <c r="AJ1197" s="31" t="s">
        <v>2123</v>
      </c>
      <c r="AK1197" s="6">
        <v>1</v>
      </c>
      <c r="AL1197" s="26">
        <v>6000000</v>
      </c>
      <c r="AM1197" s="26">
        <v>6000000</v>
      </c>
      <c r="AN1197" s="26">
        <v>6000000</v>
      </c>
      <c r="AO1197" s="6" t="s">
        <v>2003</v>
      </c>
      <c r="AQ1197" s="6" t="s">
        <v>92</v>
      </c>
      <c r="AU1197" s="6">
        <v>227279</v>
      </c>
    </row>
    <row r="1198" spans="1:47" x14ac:dyDescent="0.3">
      <c r="A1198" s="28" t="s">
        <v>42</v>
      </c>
      <c r="B1198" s="6" t="s">
        <v>2181</v>
      </c>
      <c r="D1198" s="6" t="s">
        <v>2101</v>
      </c>
      <c r="E1198" s="6">
        <v>1</v>
      </c>
      <c r="F1198" s="6" t="s">
        <v>2004</v>
      </c>
      <c r="G1198" s="6" t="s">
        <v>2005</v>
      </c>
      <c r="H1198" s="6" t="s">
        <v>2005</v>
      </c>
      <c r="I1198" s="6" t="str">
        <f t="shared" si="36"/>
        <v>ETC</v>
      </c>
      <c r="J1198" s="6" t="s">
        <v>1946</v>
      </c>
      <c r="K1198" s="6">
        <v>1</v>
      </c>
      <c r="P1198" s="6">
        <f t="shared" si="37"/>
        <v>10500000</v>
      </c>
      <c r="R1198" s="6" t="s">
        <v>2003</v>
      </c>
      <c r="T1198" s="6" t="s">
        <v>1905</v>
      </c>
      <c r="U1198" s="6">
        <v>2005</v>
      </c>
      <c r="V1198" s="6">
        <v>1</v>
      </c>
      <c r="AD1198" s="6" t="s">
        <v>45</v>
      </c>
      <c r="AJ1198" s="31" t="s">
        <v>2110</v>
      </c>
      <c r="AK1198" s="6">
        <v>1</v>
      </c>
      <c r="AL1198" s="26">
        <v>10000000</v>
      </c>
      <c r="AM1198" s="26">
        <v>10000000</v>
      </c>
      <c r="AN1198" s="26">
        <v>10000000</v>
      </c>
      <c r="AO1198" s="6" t="s">
        <v>2003</v>
      </c>
      <c r="AQ1198" s="6" t="s">
        <v>1208</v>
      </c>
      <c r="AU1198" s="6">
        <v>227280</v>
      </c>
    </row>
    <row r="1199" spans="1:47" x14ac:dyDescent="0.3">
      <c r="A1199" s="28" t="s">
        <v>42</v>
      </c>
      <c r="B1199" s="6" t="s">
        <v>2181</v>
      </c>
      <c r="D1199" s="6" t="s">
        <v>2101</v>
      </c>
      <c r="E1199" s="6">
        <v>1</v>
      </c>
      <c r="F1199" s="6" t="s">
        <v>2004</v>
      </c>
      <c r="G1199" s="6" t="s">
        <v>2005</v>
      </c>
      <c r="H1199" s="6" t="s">
        <v>2005</v>
      </c>
      <c r="I1199" s="6" t="str">
        <f t="shared" si="36"/>
        <v>ETC</v>
      </c>
      <c r="J1199" s="6" t="s">
        <v>126</v>
      </c>
      <c r="K1199" s="6">
        <v>1</v>
      </c>
      <c r="P1199" s="6">
        <f t="shared" si="37"/>
        <v>10500000</v>
      </c>
      <c r="R1199" s="6" t="s">
        <v>2003</v>
      </c>
      <c r="T1199" s="6" t="s">
        <v>813</v>
      </c>
      <c r="U1199" s="6">
        <v>2014</v>
      </c>
      <c r="V1199" s="6">
        <v>1</v>
      </c>
      <c r="AD1199" s="6" t="s">
        <v>45</v>
      </c>
      <c r="AJ1199" s="31" t="s">
        <v>2113</v>
      </c>
      <c r="AK1199" s="6">
        <v>1</v>
      </c>
      <c r="AL1199" s="26">
        <v>10000000</v>
      </c>
      <c r="AM1199" s="26">
        <v>10000000</v>
      </c>
      <c r="AN1199" s="26">
        <v>10000000</v>
      </c>
      <c r="AO1199" s="6" t="s">
        <v>2003</v>
      </c>
      <c r="AQ1199" s="6" t="s">
        <v>80</v>
      </c>
      <c r="AU1199" s="6">
        <v>227282</v>
      </c>
    </row>
    <row r="1200" spans="1:47" x14ac:dyDescent="0.3">
      <c r="A1200" s="28" t="s">
        <v>42</v>
      </c>
      <c r="B1200" s="6" t="s">
        <v>2177</v>
      </c>
      <c r="C1200" s="6" t="s">
        <v>1972</v>
      </c>
      <c r="D1200" s="6" t="s">
        <v>2104</v>
      </c>
      <c r="E1200" s="6">
        <v>1</v>
      </c>
      <c r="F1200" s="6" t="s">
        <v>2004</v>
      </c>
      <c r="G1200" s="6" t="s">
        <v>2005</v>
      </c>
      <c r="H1200" s="6" t="s">
        <v>2005</v>
      </c>
      <c r="I1200" s="6" t="str">
        <f t="shared" si="36"/>
        <v>Stone Grapple</v>
      </c>
      <c r="J1200" s="6" t="s">
        <v>81</v>
      </c>
      <c r="K1200" s="6">
        <v>1</v>
      </c>
      <c r="P1200" s="6">
        <f t="shared" si="37"/>
        <v>2600000</v>
      </c>
      <c r="R1200" s="6" t="s">
        <v>2003</v>
      </c>
      <c r="T1200" s="6" t="s">
        <v>2007</v>
      </c>
      <c r="U1200" s="6">
        <v>2014</v>
      </c>
      <c r="V1200" s="6">
        <v>1</v>
      </c>
      <c r="AD1200" s="6" t="s">
        <v>45</v>
      </c>
      <c r="AJ1200" s="31" t="s">
        <v>2113</v>
      </c>
      <c r="AK1200" s="6">
        <v>1</v>
      </c>
      <c r="AL1200" s="26">
        <v>2400000</v>
      </c>
      <c r="AM1200" s="26">
        <v>2400000</v>
      </c>
      <c r="AN1200" s="26">
        <v>2400000</v>
      </c>
      <c r="AO1200" s="6" t="s">
        <v>2003</v>
      </c>
      <c r="AQ1200" s="6" t="s">
        <v>49</v>
      </c>
      <c r="AU1200" s="6">
        <v>227283</v>
      </c>
    </row>
    <row r="1201" spans="1:47" x14ac:dyDescent="0.3">
      <c r="A1201" s="28" t="s">
        <v>42</v>
      </c>
      <c r="B1201" s="6" t="s">
        <v>2178</v>
      </c>
      <c r="C1201" s="6" t="s">
        <v>1975</v>
      </c>
      <c r="D1201" s="6" t="s">
        <v>2100</v>
      </c>
      <c r="E1201" s="6">
        <v>1</v>
      </c>
      <c r="F1201" s="6" t="s">
        <v>2004</v>
      </c>
      <c r="G1201" s="6" t="s">
        <v>2005</v>
      </c>
      <c r="H1201" s="6" t="s">
        <v>2005</v>
      </c>
      <c r="I1201" s="6" t="str">
        <f t="shared" si="36"/>
        <v>Side Breaker</v>
      </c>
      <c r="J1201" s="6" t="s">
        <v>266</v>
      </c>
      <c r="K1201" s="6">
        <v>1</v>
      </c>
      <c r="P1201" s="6">
        <f t="shared" si="37"/>
        <v>2400000</v>
      </c>
      <c r="R1201" s="6" t="s">
        <v>2003</v>
      </c>
      <c r="T1201" s="6" t="s">
        <v>2011</v>
      </c>
      <c r="U1201" s="6">
        <v>2016</v>
      </c>
      <c r="V1201" s="6">
        <v>6</v>
      </c>
      <c r="AD1201" s="6" t="s">
        <v>45</v>
      </c>
      <c r="AJ1201" s="31" t="s">
        <v>2123</v>
      </c>
      <c r="AK1201" s="6">
        <v>1</v>
      </c>
      <c r="AL1201" s="26">
        <v>2200000</v>
      </c>
      <c r="AM1201" s="26">
        <v>2200000</v>
      </c>
      <c r="AN1201" s="26">
        <v>2200000</v>
      </c>
      <c r="AO1201" s="6" t="s">
        <v>2003</v>
      </c>
      <c r="AQ1201" s="6" t="s">
        <v>1200</v>
      </c>
      <c r="AU1201" s="6">
        <v>227285</v>
      </c>
    </row>
    <row r="1202" spans="1:47" x14ac:dyDescent="0.3">
      <c r="A1202" s="28" t="s">
        <v>42</v>
      </c>
      <c r="B1202" s="6" t="s">
        <v>2177</v>
      </c>
      <c r="C1202" s="6" t="s">
        <v>1972</v>
      </c>
      <c r="D1202" s="6" t="s">
        <v>2104</v>
      </c>
      <c r="E1202" s="6">
        <v>1</v>
      </c>
      <c r="F1202" s="6" t="s">
        <v>2004</v>
      </c>
      <c r="G1202" s="6" t="s">
        <v>2005</v>
      </c>
      <c r="H1202" s="6" t="s">
        <v>2005</v>
      </c>
      <c r="I1202" s="6" t="str">
        <f t="shared" si="36"/>
        <v>Stone Grapple</v>
      </c>
      <c r="J1202" s="6" t="s">
        <v>197</v>
      </c>
      <c r="K1202" s="6">
        <v>1</v>
      </c>
      <c r="P1202" s="6">
        <f t="shared" si="37"/>
        <v>2700000</v>
      </c>
      <c r="R1202" s="6" t="s">
        <v>2003</v>
      </c>
      <c r="T1202" s="6" t="s">
        <v>2007</v>
      </c>
      <c r="U1202" s="6">
        <v>2014</v>
      </c>
      <c r="V1202" s="6">
        <v>1</v>
      </c>
      <c r="AD1202" s="6" t="s">
        <v>45</v>
      </c>
      <c r="AJ1202" s="31" t="s">
        <v>2113</v>
      </c>
      <c r="AK1202" s="6">
        <v>1</v>
      </c>
      <c r="AL1202" s="26">
        <v>2500000</v>
      </c>
      <c r="AM1202" s="26">
        <v>2500000</v>
      </c>
      <c r="AN1202" s="26">
        <v>2500000</v>
      </c>
      <c r="AO1202" s="6" t="s">
        <v>2003</v>
      </c>
      <c r="AQ1202" s="6" t="s">
        <v>49</v>
      </c>
      <c r="AU1202" s="6">
        <v>227291</v>
      </c>
    </row>
    <row r="1203" spans="1:47" x14ac:dyDescent="0.3">
      <c r="A1203" s="28" t="s">
        <v>42</v>
      </c>
      <c r="B1203" s="6" t="s">
        <v>2177</v>
      </c>
      <c r="C1203" s="6" t="s">
        <v>1972</v>
      </c>
      <c r="D1203" s="6" t="s">
        <v>2104</v>
      </c>
      <c r="E1203" s="6">
        <v>1</v>
      </c>
      <c r="F1203" s="6" t="s">
        <v>2004</v>
      </c>
      <c r="G1203" s="6" t="s">
        <v>2005</v>
      </c>
      <c r="H1203" s="6" t="s">
        <v>2005</v>
      </c>
      <c r="I1203" s="6" t="str">
        <f t="shared" si="36"/>
        <v>Stone Grapple</v>
      </c>
      <c r="J1203" s="6" t="s">
        <v>1947</v>
      </c>
      <c r="K1203" s="6">
        <v>1</v>
      </c>
      <c r="P1203" s="6">
        <f t="shared" si="37"/>
        <v>1900000</v>
      </c>
      <c r="R1203" s="6" t="s">
        <v>2003</v>
      </c>
      <c r="T1203" s="6" t="s">
        <v>2007</v>
      </c>
      <c r="U1203" s="6">
        <v>2013</v>
      </c>
      <c r="V1203" s="6">
        <v>1</v>
      </c>
      <c r="AD1203" s="6" t="s">
        <v>45</v>
      </c>
      <c r="AJ1203" s="31" t="s">
        <v>2113</v>
      </c>
      <c r="AK1203" s="6">
        <v>1</v>
      </c>
      <c r="AL1203" s="26">
        <v>1800000</v>
      </c>
      <c r="AM1203" s="26">
        <v>1800000</v>
      </c>
      <c r="AN1203" s="26">
        <v>1800000</v>
      </c>
      <c r="AO1203" s="6" t="s">
        <v>2003</v>
      </c>
      <c r="AQ1203" s="6" t="s">
        <v>49</v>
      </c>
      <c r="AU1203" s="6">
        <v>227292</v>
      </c>
    </row>
    <row r="1204" spans="1:47" x14ac:dyDescent="0.3">
      <c r="A1204" s="28" t="s">
        <v>42</v>
      </c>
      <c r="B1204" s="6" t="s">
        <v>2201</v>
      </c>
      <c r="C1204" s="6" t="s">
        <v>1978</v>
      </c>
      <c r="D1204" s="6" t="s">
        <v>2105</v>
      </c>
      <c r="E1204" s="6">
        <v>1</v>
      </c>
      <c r="F1204" s="6" t="s">
        <v>2004</v>
      </c>
      <c r="G1204" s="6" t="s">
        <v>2005</v>
      </c>
      <c r="H1204" s="6" t="s">
        <v>2005</v>
      </c>
      <c r="I1204" s="6" t="str">
        <f t="shared" si="36"/>
        <v>Hydraulic Pulverizer</v>
      </c>
      <c r="J1204" s="6" t="s">
        <v>272</v>
      </c>
      <c r="K1204" s="6">
        <v>1</v>
      </c>
      <c r="P1204" s="6">
        <f t="shared" si="37"/>
        <v>14000000</v>
      </c>
      <c r="R1204" s="6" t="s">
        <v>2003</v>
      </c>
      <c r="T1204" s="6" t="s">
        <v>813</v>
      </c>
      <c r="U1204" s="6">
        <v>2014</v>
      </c>
      <c r="V1204" s="6">
        <v>1</v>
      </c>
      <c r="AD1204" s="6" t="s">
        <v>45</v>
      </c>
      <c r="AJ1204" s="31" t="s">
        <v>2113</v>
      </c>
      <c r="AK1204" s="6">
        <v>1</v>
      </c>
      <c r="AL1204" s="26">
        <v>13500000</v>
      </c>
      <c r="AM1204" s="26">
        <v>13500000</v>
      </c>
      <c r="AN1204" s="26">
        <v>13500000</v>
      </c>
      <c r="AO1204" s="6" t="s">
        <v>2003</v>
      </c>
      <c r="AQ1204" s="6" t="s">
        <v>79</v>
      </c>
      <c r="AU1204" s="6">
        <v>227294</v>
      </c>
    </row>
    <row r="1205" spans="1:47" x14ac:dyDescent="0.3">
      <c r="A1205" s="28" t="s">
        <v>42</v>
      </c>
      <c r="B1205" s="6" t="s">
        <v>2177</v>
      </c>
      <c r="C1205" s="6" t="s">
        <v>1986</v>
      </c>
      <c r="D1205" s="6" t="s">
        <v>2103</v>
      </c>
      <c r="E1205" s="6">
        <v>1</v>
      </c>
      <c r="F1205" s="6" t="s">
        <v>2004</v>
      </c>
      <c r="G1205" s="6" t="s">
        <v>2005</v>
      </c>
      <c r="H1205" s="6" t="s">
        <v>2005</v>
      </c>
      <c r="I1205" s="6" t="str">
        <f t="shared" si="36"/>
        <v>ClamShell Grapple</v>
      </c>
      <c r="J1205" s="6" t="s">
        <v>720</v>
      </c>
      <c r="K1205" s="6">
        <v>1</v>
      </c>
      <c r="P1205" s="6">
        <f t="shared" si="37"/>
        <v>3200000</v>
      </c>
      <c r="R1205" s="6" t="s">
        <v>2003</v>
      </c>
      <c r="T1205" s="6" t="s">
        <v>813</v>
      </c>
      <c r="U1205" s="6">
        <v>2013</v>
      </c>
      <c r="V1205" s="6">
        <v>1</v>
      </c>
      <c r="AD1205" s="6" t="s">
        <v>45</v>
      </c>
      <c r="AJ1205" s="31" t="s">
        <v>2113</v>
      </c>
      <c r="AK1205" s="6">
        <v>1</v>
      </c>
      <c r="AL1205" s="26">
        <v>3000000</v>
      </c>
      <c r="AM1205" s="26">
        <v>3000000</v>
      </c>
      <c r="AN1205" s="26">
        <v>3000000</v>
      </c>
      <c r="AO1205" s="6" t="s">
        <v>2003</v>
      </c>
      <c r="AQ1205" s="6" t="s">
        <v>80</v>
      </c>
      <c r="AU1205" s="6">
        <v>227299</v>
      </c>
    </row>
    <row r="1206" spans="1:47" hidden="1" x14ac:dyDescent="0.3">
      <c r="A1206" s="28" t="s">
        <v>42</v>
      </c>
      <c r="B1206" s="6" t="s">
        <v>2178</v>
      </c>
      <c r="C1206" s="6" t="s">
        <v>1975</v>
      </c>
      <c r="E1206" s="6">
        <v>1</v>
      </c>
      <c r="F1206" s="6" t="s">
        <v>2004</v>
      </c>
      <c r="G1206" s="6" t="s">
        <v>2005</v>
      </c>
      <c r="H1206" s="6" t="s">
        <v>2005</v>
      </c>
      <c r="I1206" s="6" t="str">
        <f t="shared" si="36"/>
        <v>Side Breaker</v>
      </c>
      <c r="J1206" s="6" t="s">
        <v>1948</v>
      </c>
      <c r="K1206" s="6">
        <v>1</v>
      </c>
      <c r="P1206" s="6">
        <f t="shared" si="37"/>
        <v>3000000</v>
      </c>
      <c r="R1206" s="6" t="s">
        <v>2003</v>
      </c>
      <c r="T1206" s="6" t="s">
        <v>52</v>
      </c>
      <c r="U1206" s="6">
        <v>2012</v>
      </c>
      <c r="V1206" s="6">
        <v>1</v>
      </c>
      <c r="AD1206" s="6" t="s">
        <v>45</v>
      </c>
      <c r="AJ1206" s="31" t="s">
        <v>2114</v>
      </c>
      <c r="AK1206" s="6">
        <v>1</v>
      </c>
      <c r="AL1206" s="26">
        <v>2800000</v>
      </c>
      <c r="AM1206" s="26">
        <v>2800000</v>
      </c>
      <c r="AN1206" s="26">
        <v>2800000</v>
      </c>
      <c r="AO1206" s="6" t="s">
        <v>2003</v>
      </c>
      <c r="AQ1206" s="6" t="s">
        <v>1153</v>
      </c>
      <c r="AU1206" s="6">
        <v>227301</v>
      </c>
    </row>
    <row r="1207" spans="1:47" x14ac:dyDescent="0.3">
      <c r="A1207" s="28" t="s">
        <v>42</v>
      </c>
      <c r="B1207" s="6" t="s">
        <v>2181</v>
      </c>
      <c r="D1207" s="6" t="s">
        <v>2001</v>
      </c>
      <c r="E1207" s="6">
        <v>1</v>
      </c>
      <c r="F1207" s="6" t="s">
        <v>2004</v>
      </c>
      <c r="G1207" s="6" t="s">
        <v>2005</v>
      </c>
      <c r="H1207" s="6" t="s">
        <v>2005</v>
      </c>
      <c r="I1207" s="6" t="str">
        <f t="shared" si="36"/>
        <v>ETC</v>
      </c>
      <c r="J1207" s="6" t="s">
        <v>1949</v>
      </c>
      <c r="K1207" s="6">
        <v>1</v>
      </c>
      <c r="P1207" s="6">
        <f t="shared" si="37"/>
        <v>13500000</v>
      </c>
      <c r="R1207" s="6" t="s">
        <v>2003</v>
      </c>
      <c r="T1207" s="6" t="s">
        <v>1906</v>
      </c>
      <c r="U1207" s="6">
        <v>2015</v>
      </c>
      <c r="V1207" s="6">
        <v>9</v>
      </c>
      <c r="AD1207" s="6" t="s">
        <v>45</v>
      </c>
      <c r="AJ1207" s="31" t="s">
        <v>2118</v>
      </c>
      <c r="AK1207" s="6">
        <v>1</v>
      </c>
      <c r="AL1207" s="26">
        <v>13000000</v>
      </c>
      <c r="AM1207" s="26">
        <v>13000000</v>
      </c>
      <c r="AN1207" s="26">
        <v>13000000</v>
      </c>
      <c r="AO1207" s="6" t="s">
        <v>2003</v>
      </c>
      <c r="AQ1207" s="6" t="s">
        <v>63</v>
      </c>
      <c r="AU1207" s="6">
        <v>227302</v>
      </c>
    </row>
    <row r="1208" spans="1:47" x14ac:dyDescent="0.3">
      <c r="A1208" s="28" t="s">
        <v>42</v>
      </c>
      <c r="B1208" s="6" t="s">
        <v>2178</v>
      </c>
      <c r="C1208" s="6" t="s">
        <v>1975</v>
      </c>
      <c r="D1208" s="6" t="s">
        <v>2100</v>
      </c>
      <c r="E1208" s="6">
        <v>1</v>
      </c>
      <c r="F1208" s="6" t="s">
        <v>2004</v>
      </c>
      <c r="G1208" s="6" t="s">
        <v>2005</v>
      </c>
      <c r="H1208" s="6" t="s">
        <v>2005</v>
      </c>
      <c r="I1208" s="6" t="str">
        <f t="shared" si="36"/>
        <v>Side Breaker</v>
      </c>
      <c r="J1208" s="6" t="s">
        <v>1950</v>
      </c>
      <c r="K1208" s="6">
        <v>1</v>
      </c>
      <c r="P1208" s="6">
        <f t="shared" si="37"/>
        <v>1600000</v>
      </c>
      <c r="R1208" s="6" t="s">
        <v>2003</v>
      </c>
      <c r="T1208" s="6" t="s">
        <v>54</v>
      </c>
      <c r="U1208" s="6">
        <v>2011</v>
      </c>
      <c r="V1208" s="6">
        <v>1</v>
      </c>
      <c r="AD1208" s="6" t="s">
        <v>45</v>
      </c>
      <c r="AJ1208" s="31" t="s">
        <v>2114</v>
      </c>
      <c r="AK1208" s="6">
        <v>1</v>
      </c>
      <c r="AL1208" s="26">
        <v>1500000</v>
      </c>
      <c r="AM1208" s="26">
        <v>1500000</v>
      </c>
      <c r="AN1208" s="26">
        <v>1500000</v>
      </c>
      <c r="AO1208" s="6" t="s">
        <v>2003</v>
      </c>
      <c r="AQ1208" s="6" t="s">
        <v>54</v>
      </c>
      <c r="AU1208" s="6">
        <v>227305</v>
      </c>
    </row>
    <row r="1209" spans="1:47" x14ac:dyDescent="0.3">
      <c r="A1209" s="28" t="s">
        <v>42</v>
      </c>
      <c r="B1209" s="6" t="s">
        <v>2177</v>
      </c>
      <c r="C1209" s="6" t="s">
        <v>1972</v>
      </c>
      <c r="D1209" s="6" t="s">
        <v>2104</v>
      </c>
      <c r="E1209" s="6">
        <v>1</v>
      </c>
      <c r="F1209" s="6" t="s">
        <v>2004</v>
      </c>
      <c r="G1209" s="6" t="s">
        <v>2005</v>
      </c>
      <c r="H1209" s="6" t="s">
        <v>2005</v>
      </c>
      <c r="I1209" s="6" t="str">
        <f t="shared" si="36"/>
        <v>Stone Grapple</v>
      </c>
      <c r="J1209" s="6" t="s">
        <v>340</v>
      </c>
      <c r="K1209" s="6">
        <v>1</v>
      </c>
      <c r="P1209" s="6">
        <f t="shared" si="37"/>
        <v>2500000</v>
      </c>
      <c r="R1209" s="6" t="s">
        <v>2003</v>
      </c>
      <c r="T1209" s="6" t="s">
        <v>814</v>
      </c>
      <c r="U1209" s="6">
        <v>2014</v>
      </c>
      <c r="V1209" s="6">
        <v>12</v>
      </c>
      <c r="AD1209" s="6" t="s">
        <v>45</v>
      </c>
      <c r="AJ1209" s="31" t="s">
        <v>2119</v>
      </c>
      <c r="AK1209" s="6">
        <v>1</v>
      </c>
      <c r="AL1209" s="26">
        <v>2300000</v>
      </c>
      <c r="AM1209" s="26">
        <v>2300000</v>
      </c>
      <c r="AN1209" s="26">
        <v>2300000</v>
      </c>
      <c r="AO1209" s="6" t="s">
        <v>2003</v>
      </c>
      <c r="AQ1209" s="6" t="s">
        <v>1194</v>
      </c>
      <c r="AU1209" s="6">
        <v>227306</v>
      </c>
    </row>
    <row r="1210" spans="1:47" x14ac:dyDescent="0.3">
      <c r="A1210" s="28" t="s">
        <v>42</v>
      </c>
      <c r="B1210" s="6" t="s">
        <v>2177</v>
      </c>
      <c r="C1210" s="6" t="s">
        <v>1972</v>
      </c>
      <c r="D1210" s="6" t="s">
        <v>2104</v>
      </c>
      <c r="E1210" s="6">
        <v>1</v>
      </c>
      <c r="F1210" s="6" t="s">
        <v>2004</v>
      </c>
      <c r="G1210" s="6" t="s">
        <v>2005</v>
      </c>
      <c r="H1210" s="6" t="s">
        <v>2005</v>
      </c>
      <c r="I1210" s="6" t="str">
        <f t="shared" si="36"/>
        <v>Stone Grapple</v>
      </c>
      <c r="J1210" s="6" t="s">
        <v>340</v>
      </c>
      <c r="K1210" s="6">
        <v>1</v>
      </c>
      <c r="P1210" s="6">
        <f t="shared" si="37"/>
        <v>2700000</v>
      </c>
      <c r="R1210" s="6" t="s">
        <v>2003</v>
      </c>
      <c r="T1210" s="6" t="s">
        <v>814</v>
      </c>
      <c r="U1210" s="6">
        <v>2015</v>
      </c>
      <c r="V1210" s="6">
        <v>11</v>
      </c>
      <c r="AD1210" s="6" t="s">
        <v>45</v>
      </c>
      <c r="AJ1210" s="31" t="s">
        <v>2119</v>
      </c>
      <c r="AK1210" s="6">
        <v>1</v>
      </c>
      <c r="AL1210" s="26">
        <v>2500000</v>
      </c>
      <c r="AM1210" s="26">
        <v>2500000</v>
      </c>
      <c r="AN1210" s="26">
        <v>2500000</v>
      </c>
      <c r="AO1210" s="6" t="s">
        <v>2003</v>
      </c>
      <c r="AQ1210" s="6" t="s">
        <v>1194</v>
      </c>
      <c r="AU1210" s="6">
        <v>227310</v>
      </c>
    </row>
    <row r="1211" spans="1:47" x14ac:dyDescent="0.3">
      <c r="A1211" s="28" t="s">
        <v>42</v>
      </c>
      <c r="B1211" s="6" t="s">
        <v>2177</v>
      </c>
      <c r="C1211" s="6" t="s">
        <v>1972</v>
      </c>
      <c r="D1211" s="6" t="s">
        <v>2104</v>
      </c>
      <c r="E1211" s="6">
        <v>1</v>
      </c>
      <c r="F1211" s="6" t="s">
        <v>2004</v>
      </c>
      <c r="G1211" s="6" t="s">
        <v>2005</v>
      </c>
      <c r="H1211" s="6" t="s">
        <v>2005</v>
      </c>
      <c r="I1211" s="6" t="str">
        <f t="shared" si="36"/>
        <v>Stone Grapple</v>
      </c>
      <c r="J1211" s="6" t="s">
        <v>44</v>
      </c>
      <c r="K1211" s="6">
        <v>1</v>
      </c>
      <c r="P1211" s="6">
        <f t="shared" si="37"/>
        <v>2500000</v>
      </c>
      <c r="R1211" s="6" t="s">
        <v>2003</v>
      </c>
      <c r="T1211" s="6" t="s">
        <v>813</v>
      </c>
      <c r="U1211" s="6">
        <v>2014</v>
      </c>
      <c r="V1211" s="6">
        <v>1</v>
      </c>
      <c r="AD1211" s="6" t="s">
        <v>45</v>
      </c>
      <c r="AJ1211" s="31" t="s">
        <v>2113</v>
      </c>
      <c r="AK1211" s="6">
        <v>1</v>
      </c>
      <c r="AL1211" s="26">
        <v>2300000</v>
      </c>
      <c r="AM1211" s="26">
        <v>2300000</v>
      </c>
      <c r="AN1211" s="26">
        <v>2300000</v>
      </c>
      <c r="AO1211" s="6" t="s">
        <v>2003</v>
      </c>
      <c r="AQ1211" s="6" t="s">
        <v>80</v>
      </c>
      <c r="AU1211" s="6">
        <v>227311</v>
      </c>
    </row>
    <row r="1212" spans="1:47" x14ac:dyDescent="0.3">
      <c r="A1212" s="28" t="s">
        <v>42</v>
      </c>
      <c r="B1212" s="6" t="s">
        <v>2190</v>
      </c>
      <c r="D1212" s="6" t="s">
        <v>2104</v>
      </c>
      <c r="E1212" s="6">
        <v>1</v>
      </c>
      <c r="F1212" s="6" t="s">
        <v>2004</v>
      </c>
      <c r="G1212" s="6" t="s">
        <v>2005</v>
      </c>
      <c r="H1212" s="6" t="s">
        <v>2005</v>
      </c>
      <c r="I1212" s="6" t="str">
        <f t="shared" si="36"/>
        <v>Lift Fork</v>
      </c>
      <c r="J1212" s="6" t="s">
        <v>102</v>
      </c>
      <c r="K1212" s="6">
        <v>1</v>
      </c>
      <c r="P1212" s="6">
        <f t="shared" si="37"/>
        <v>700000</v>
      </c>
      <c r="R1212" s="6" t="s">
        <v>2003</v>
      </c>
      <c r="T1212" s="6" t="s">
        <v>2007</v>
      </c>
      <c r="U1212" s="6">
        <v>2012</v>
      </c>
      <c r="V1212" s="6">
        <v>1</v>
      </c>
      <c r="AD1212" s="6" t="s">
        <v>45</v>
      </c>
      <c r="AJ1212" s="31" t="s">
        <v>2113</v>
      </c>
      <c r="AK1212" s="6">
        <v>1</v>
      </c>
      <c r="AL1212" s="26">
        <v>600000</v>
      </c>
      <c r="AM1212" s="26">
        <v>600000</v>
      </c>
      <c r="AN1212" s="26">
        <v>600000</v>
      </c>
      <c r="AO1212" s="6" t="s">
        <v>2003</v>
      </c>
      <c r="AQ1212" s="6" t="s">
        <v>49</v>
      </c>
      <c r="AU1212" s="6">
        <v>227314</v>
      </c>
    </row>
    <row r="1213" spans="1:47" x14ac:dyDescent="0.3">
      <c r="A1213" s="28" t="s">
        <v>42</v>
      </c>
      <c r="B1213" s="6" t="s">
        <v>2177</v>
      </c>
      <c r="C1213" s="6" t="s">
        <v>1972</v>
      </c>
      <c r="D1213" s="6" t="s">
        <v>2105</v>
      </c>
      <c r="E1213" s="6">
        <v>1</v>
      </c>
      <c r="F1213" s="6" t="s">
        <v>2004</v>
      </c>
      <c r="G1213" s="6" t="s">
        <v>2005</v>
      </c>
      <c r="H1213" s="6" t="s">
        <v>2005</v>
      </c>
      <c r="I1213" s="6" t="str">
        <f t="shared" si="36"/>
        <v>Stone Grapple</v>
      </c>
      <c r="J1213" s="6" t="s">
        <v>472</v>
      </c>
      <c r="K1213" s="6">
        <v>1</v>
      </c>
      <c r="P1213" s="6">
        <f t="shared" si="37"/>
        <v>10000000</v>
      </c>
      <c r="R1213" s="6" t="s">
        <v>2003</v>
      </c>
      <c r="T1213" s="6" t="s">
        <v>814</v>
      </c>
      <c r="U1213" s="6">
        <v>2016</v>
      </c>
      <c r="V1213" s="6">
        <v>5</v>
      </c>
      <c r="AD1213" s="6" t="s">
        <v>45</v>
      </c>
      <c r="AJ1213" s="31" t="s">
        <v>2119</v>
      </c>
      <c r="AK1213" s="6">
        <v>1</v>
      </c>
      <c r="AL1213" s="26">
        <v>9500000</v>
      </c>
      <c r="AM1213" s="26">
        <v>9500000</v>
      </c>
      <c r="AN1213" s="26">
        <v>9500000</v>
      </c>
      <c r="AO1213" s="6" t="s">
        <v>2003</v>
      </c>
      <c r="AQ1213" s="6" t="s">
        <v>1194</v>
      </c>
      <c r="AU1213" s="6">
        <v>227315</v>
      </c>
    </row>
    <row r="1214" spans="1:47" x14ac:dyDescent="0.3">
      <c r="A1214" s="28" t="s">
        <v>42</v>
      </c>
      <c r="B1214" s="6" t="s">
        <v>2177</v>
      </c>
      <c r="C1214" s="6" t="s">
        <v>1972</v>
      </c>
      <c r="D1214" s="6" t="s">
        <v>2104</v>
      </c>
      <c r="E1214" s="6">
        <v>1</v>
      </c>
      <c r="F1214" s="6" t="s">
        <v>2004</v>
      </c>
      <c r="G1214" s="6" t="s">
        <v>2005</v>
      </c>
      <c r="H1214" s="6" t="s">
        <v>2005</v>
      </c>
      <c r="I1214" s="6" t="str">
        <f t="shared" si="36"/>
        <v>Stone Grapple</v>
      </c>
      <c r="J1214" s="6" t="s">
        <v>207</v>
      </c>
      <c r="K1214" s="6">
        <v>1</v>
      </c>
      <c r="P1214" s="6">
        <f t="shared" si="37"/>
        <v>2600000</v>
      </c>
      <c r="R1214" s="6" t="s">
        <v>2003</v>
      </c>
      <c r="T1214" s="6" t="s">
        <v>813</v>
      </c>
      <c r="U1214" s="6">
        <v>2014</v>
      </c>
      <c r="V1214" s="6">
        <v>1</v>
      </c>
      <c r="AD1214" s="6" t="s">
        <v>45</v>
      </c>
      <c r="AJ1214" s="31" t="s">
        <v>2113</v>
      </c>
      <c r="AK1214" s="6">
        <v>1</v>
      </c>
      <c r="AL1214" s="26">
        <v>2400000</v>
      </c>
      <c r="AM1214" s="26">
        <v>2400000</v>
      </c>
      <c r="AN1214" s="26">
        <v>2400000</v>
      </c>
      <c r="AO1214" s="6" t="s">
        <v>2003</v>
      </c>
      <c r="AQ1214" s="6" t="s">
        <v>79</v>
      </c>
      <c r="AU1214" s="6">
        <v>227316</v>
      </c>
    </row>
    <row r="1215" spans="1:47" x14ac:dyDescent="0.3">
      <c r="A1215" s="28" t="s">
        <v>42</v>
      </c>
      <c r="B1215" s="6" t="s">
        <v>2179</v>
      </c>
      <c r="C1215" s="19" t="s">
        <v>2205</v>
      </c>
      <c r="D1215" s="6" t="s">
        <v>2101</v>
      </c>
      <c r="E1215" s="6">
        <v>1</v>
      </c>
      <c r="F1215" s="6" t="s">
        <v>2004</v>
      </c>
      <c r="G1215" s="6" t="s">
        <v>2005</v>
      </c>
      <c r="H1215" s="6" t="s">
        <v>2005</v>
      </c>
      <c r="I1215" s="6" t="str">
        <f t="shared" si="36"/>
        <v>Standard Bucket</v>
      </c>
      <c r="J1215" s="6" t="s">
        <v>778</v>
      </c>
      <c r="K1215" s="6">
        <v>1</v>
      </c>
      <c r="P1215" s="6">
        <f t="shared" si="37"/>
        <v>4200000</v>
      </c>
      <c r="R1215" s="6" t="s">
        <v>2003</v>
      </c>
      <c r="T1215" s="6" t="s">
        <v>1130</v>
      </c>
      <c r="U1215" s="6">
        <v>2010</v>
      </c>
      <c r="V1215" s="6">
        <v>1</v>
      </c>
      <c r="AD1215" s="6" t="s">
        <v>45</v>
      </c>
      <c r="AJ1215" s="31" t="s">
        <v>2123</v>
      </c>
      <c r="AK1215" s="6">
        <v>1</v>
      </c>
      <c r="AL1215" s="26">
        <v>4000000</v>
      </c>
      <c r="AM1215" s="26">
        <v>4000000</v>
      </c>
      <c r="AN1215" s="26">
        <v>4000000</v>
      </c>
      <c r="AO1215" s="6" t="s">
        <v>2003</v>
      </c>
      <c r="AQ1215" s="6" t="s">
        <v>1167</v>
      </c>
      <c r="AU1215" s="6">
        <v>227318</v>
      </c>
    </row>
    <row r="1216" spans="1:47" x14ac:dyDescent="0.3">
      <c r="A1216" s="28" t="s">
        <v>42</v>
      </c>
      <c r="B1216" s="6" t="s">
        <v>2174</v>
      </c>
      <c r="C1216" s="6" t="s">
        <v>1975</v>
      </c>
      <c r="D1216" s="6" t="s">
        <v>2105</v>
      </c>
      <c r="E1216" s="6">
        <v>1</v>
      </c>
      <c r="F1216" s="6" t="s">
        <v>2004</v>
      </c>
      <c r="G1216" s="6" t="s">
        <v>2005</v>
      </c>
      <c r="H1216" s="6" t="s">
        <v>2005</v>
      </c>
      <c r="I1216" s="6" t="str">
        <f t="shared" si="36"/>
        <v>Side Breaker</v>
      </c>
      <c r="J1216" s="6" t="s">
        <v>668</v>
      </c>
      <c r="K1216" s="6">
        <v>1</v>
      </c>
      <c r="P1216" s="6">
        <f t="shared" si="37"/>
        <v>9500000</v>
      </c>
      <c r="R1216" s="6" t="s">
        <v>2003</v>
      </c>
      <c r="T1216" s="6" t="s">
        <v>814</v>
      </c>
      <c r="U1216" s="6">
        <v>2015</v>
      </c>
      <c r="V1216" s="6">
        <v>10</v>
      </c>
      <c r="AD1216" s="6" t="s">
        <v>45</v>
      </c>
      <c r="AJ1216" s="31" t="s">
        <v>2119</v>
      </c>
      <c r="AK1216" s="6">
        <v>1</v>
      </c>
      <c r="AL1216" s="26">
        <v>9000000</v>
      </c>
      <c r="AM1216" s="26">
        <v>9000000</v>
      </c>
      <c r="AN1216" s="26">
        <v>9000000</v>
      </c>
      <c r="AO1216" s="6" t="s">
        <v>2003</v>
      </c>
      <c r="AQ1216" s="6" t="s">
        <v>1194</v>
      </c>
      <c r="AU1216" s="6">
        <v>227319</v>
      </c>
    </row>
    <row r="1217" spans="1:47" x14ac:dyDescent="0.3">
      <c r="A1217" s="28" t="s">
        <v>42</v>
      </c>
      <c r="B1217" s="6" t="s">
        <v>2182</v>
      </c>
      <c r="C1217" s="19" t="s">
        <v>2205</v>
      </c>
      <c r="D1217" s="6" t="s">
        <v>2104</v>
      </c>
      <c r="E1217" s="6">
        <v>1</v>
      </c>
      <c r="F1217" s="6" t="s">
        <v>2004</v>
      </c>
      <c r="G1217" s="6" t="s">
        <v>2005</v>
      </c>
      <c r="H1217" s="6" t="s">
        <v>2005</v>
      </c>
      <c r="I1217" s="6" t="str">
        <f t="shared" si="36"/>
        <v>Standard Bucket</v>
      </c>
      <c r="J1217" s="6" t="s">
        <v>143</v>
      </c>
      <c r="K1217" s="6">
        <v>1</v>
      </c>
      <c r="P1217" s="6">
        <f t="shared" si="37"/>
        <v>950000</v>
      </c>
      <c r="R1217" s="6" t="s">
        <v>2003</v>
      </c>
      <c r="T1217" s="6" t="s">
        <v>813</v>
      </c>
      <c r="U1217" s="6">
        <v>2013</v>
      </c>
      <c r="V1217" s="6">
        <v>1</v>
      </c>
      <c r="AD1217" s="6" t="s">
        <v>45</v>
      </c>
      <c r="AJ1217" s="31" t="s">
        <v>2113</v>
      </c>
      <c r="AK1217" s="6">
        <v>1</v>
      </c>
      <c r="AL1217" s="26">
        <v>850000</v>
      </c>
      <c r="AM1217" s="26">
        <v>850000</v>
      </c>
      <c r="AN1217" s="26">
        <v>850000</v>
      </c>
      <c r="AO1217" s="6" t="s">
        <v>2003</v>
      </c>
      <c r="AQ1217" s="6" t="s">
        <v>79</v>
      </c>
      <c r="AU1217" s="6">
        <v>227325</v>
      </c>
    </row>
    <row r="1218" spans="1:47" x14ac:dyDescent="0.3">
      <c r="A1218" s="28" t="s">
        <v>42</v>
      </c>
      <c r="B1218" s="6" t="s">
        <v>2184</v>
      </c>
      <c r="C1218" s="6" t="s">
        <v>1974</v>
      </c>
      <c r="D1218" s="6" t="s">
        <v>2106</v>
      </c>
      <c r="E1218" s="6">
        <v>1</v>
      </c>
      <c r="F1218" s="6" t="s">
        <v>2004</v>
      </c>
      <c r="G1218" s="6" t="s">
        <v>2005</v>
      </c>
      <c r="H1218" s="6" t="s">
        <v>2005</v>
      </c>
      <c r="I1218" s="6" t="str">
        <f t="shared" ref="I1218:I1281" si="38">IF(ISBLANK(C1218),B1218,C1218)</f>
        <v>Etc Grapple</v>
      </c>
      <c r="J1218" s="6" t="s">
        <v>672</v>
      </c>
      <c r="K1218" s="6">
        <v>1</v>
      </c>
      <c r="P1218" s="6">
        <f t="shared" si="37"/>
        <v>4100000</v>
      </c>
      <c r="R1218" s="6" t="s">
        <v>2003</v>
      </c>
      <c r="T1218" s="6" t="s">
        <v>2098</v>
      </c>
      <c r="U1218" s="6">
        <v>2017</v>
      </c>
      <c r="V1218" s="6">
        <v>1</v>
      </c>
      <c r="AD1218" s="6" t="s">
        <v>45</v>
      </c>
      <c r="AJ1218" s="31" t="s">
        <v>2110</v>
      </c>
      <c r="AK1218" s="6">
        <v>1</v>
      </c>
      <c r="AL1218" s="26">
        <v>3900000</v>
      </c>
      <c r="AM1218" s="26">
        <v>3900000</v>
      </c>
      <c r="AN1218" s="26">
        <v>3900000</v>
      </c>
      <c r="AO1218" s="6" t="s">
        <v>2003</v>
      </c>
      <c r="AQ1218" s="6" t="s">
        <v>1155</v>
      </c>
      <c r="AU1218" s="6">
        <v>227328</v>
      </c>
    </row>
    <row r="1219" spans="1:47" x14ac:dyDescent="0.3">
      <c r="A1219" s="28" t="s">
        <v>42</v>
      </c>
      <c r="B1219" s="6" t="s">
        <v>2199</v>
      </c>
      <c r="D1219" s="6" t="s">
        <v>2104</v>
      </c>
      <c r="E1219" s="6">
        <v>1</v>
      </c>
      <c r="F1219" s="6" t="s">
        <v>2004</v>
      </c>
      <c r="G1219" s="6" t="s">
        <v>2005</v>
      </c>
      <c r="H1219" s="6" t="s">
        <v>2005</v>
      </c>
      <c r="I1219" s="6" t="str">
        <f t="shared" si="38"/>
        <v>Quick Coupler</v>
      </c>
      <c r="J1219" s="6" t="s">
        <v>140</v>
      </c>
      <c r="K1219" s="6">
        <v>1</v>
      </c>
      <c r="P1219" s="6">
        <f t="shared" ref="P1219:P1282" si="39">IF(AM1219&lt;500000,AM1219+50000,IF(AND(AM1219&gt;=500000,AM1219&lt;2000000),AM1219+100000,IF(AND(AM1219&gt;=2000000,AM1219&lt;5000000),AM1219+200000,IF(AM1219&gt;=5000000,AM1219+500000,AM1219))))</f>
        <v>900000</v>
      </c>
      <c r="R1219" s="6" t="s">
        <v>2003</v>
      </c>
      <c r="T1219" s="6" t="s">
        <v>813</v>
      </c>
      <c r="U1219" s="6">
        <v>2014</v>
      </c>
      <c r="V1219" s="6">
        <v>1</v>
      </c>
      <c r="AD1219" s="6" t="s">
        <v>45</v>
      </c>
      <c r="AJ1219" s="31" t="s">
        <v>2113</v>
      </c>
      <c r="AK1219" s="6">
        <v>1</v>
      </c>
      <c r="AL1219" s="26">
        <v>800000</v>
      </c>
      <c r="AM1219" s="26">
        <v>800000</v>
      </c>
      <c r="AN1219" s="26">
        <v>800000</v>
      </c>
      <c r="AO1219" s="6" t="s">
        <v>2003</v>
      </c>
      <c r="AQ1219" s="6" t="s">
        <v>79</v>
      </c>
      <c r="AU1219" s="6">
        <v>227330</v>
      </c>
    </row>
    <row r="1220" spans="1:47" x14ac:dyDescent="0.3">
      <c r="A1220" s="28" t="s">
        <v>42</v>
      </c>
      <c r="B1220" s="6" t="s">
        <v>2183</v>
      </c>
      <c r="D1220" s="6" t="s">
        <v>2100</v>
      </c>
      <c r="E1220" s="6">
        <v>1</v>
      </c>
      <c r="F1220" s="6" t="s">
        <v>2004</v>
      </c>
      <c r="G1220" s="6" t="s">
        <v>2005</v>
      </c>
      <c r="H1220" s="6" t="s">
        <v>2005</v>
      </c>
      <c r="I1220" s="6" t="str">
        <f t="shared" si="38"/>
        <v>ETC</v>
      </c>
      <c r="J1220" s="6" t="s">
        <v>617</v>
      </c>
      <c r="K1220" s="6">
        <v>1</v>
      </c>
      <c r="P1220" s="6">
        <f t="shared" si="39"/>
        <v>900000</v>
      </c>
      <c r="R1220" s="6" t="s">
        <v>2003</v>
      </c>
      <c r="T1220" s="6" t="s">
        <v>2011</v>
      </c>
      <c r="U1220" s="6">
        <v>2017</v>
      </c>
      <c r="V1220" s="6">
        <v>2</v>
      </c>
      <c r="AD1220" s="6" t="s">
        <v>45</v>
      </c>
      <c r="AJ1220" s="31" t="s">
        <v>2123</v>
      </c>
      <c r="AK1220" s="6">
        <v>1</v>
      </c>
      <c r="AL1220" s="26">
        <v>800000</v>
      </c>
      <c r="AM1220" s="26">
        <v>800000</v>
      </c>
      <c r="AN1220" s="26">
        <v>800000</v>
      </c>
      <c r="AO1220" s="6" t="s">
        <v>2003</v>
      </c>
      <c r="AQ1220" s="6" t="s">
        <v>1200</v>
      </c>
      <c r="AU1220" s="6">
        <v>227332</v>
      </c>
    </row>
    <row r="1221" spans="1:47" x14ac:dyDescent="0.3">
      <c r="A1221" s="28" t="s">
        <v>42</v>
      </c>
      <c r="B1221" s="6" t="s">
        <v>2192</v>
      </c>
      <c r="D1221" s="6" t="s">
        <v>2104</v>
      </c>
      <c r="E1221" s="6">
        <v>1</v>
      </c>
      <c r="F1221" s="6" t="s">
        <v>2004</v>
      </c>
      <c r="G1221" s="6" t="s">
        <v>2005</v>
      </c>
      <c r="H1221" s="6" t="s">
        <v>2005</v>
      </c>
      <c r="I1221" s="6" t="str">
        <f t="shared" si="38"/>
        <v>Lift Fork</v>
      </c>
      <c r="J1221" s="6" t="s">
        <v>102</v>
      </c>
      <c r="K1221" s="6">
        <v>1</v>
      </c>
      <c r="P1221" s="6">
        <f t="shared" si="39"/>
        <v>700000</v>
      </c>
      <c r="R1221" s="6" t="s">
        <v>2003</v>
      </c>
      <c r="T1221" s="6" t="s">
        <v>813</v>
      </c>
      <c r="U1221" s="6">
        <v>2013</v>
      </c>
      <c r="V1221" s="6">
        <v>1</v>
      </c>
      <c r="AD1221" s="6" t="s">
        <v>45</v>
      </c>
      <c r="AJ1221" s="31" t="s">
        <v>2113</v>
      </c>
      <c r="AK1221" s="6">
        <v>1</v>
      </c>
      <c r="AL1221" s="26">
        <v>600000</v>
      </c>
      <c r="AM1221" s="26">
        <v>600000</v>
      </c>
      <c r="AN1221" s="26">
        <v>600000</v>
      </c>
      <c r="AO1221" s="6" t="s">
        <v>2003</v>
      </c>
      <c r="AQ1221" s="6" t="s">
        <v>80</v>
      </c>
      <c r="AU1221" s="6">
        <v>227336</v>
      </c>
    </row>
    <row r="1222" spans="1:47" x14ac:dyDescent="0.3">
      <c r="A1222" s="28" t="s">
        <v>42</v>
      </c>
      <c r="B1222" s="6" t="s">
        <v>2184</v>
      </c>
      <c r="C1222" s="6" t="s">
        <v>2218</v>
      </c>
      <c r="D1222" s="6" t="s">
        <v>2100</v>
      </c>
      <c r="E1222" s="6">
        <v>1</v>
      </c>
      <c r="F1222" s="6" t="s">
        <v>2004</v>
      </c>
      <c r="G1222" s="6" t="s">
        <v>2005</v>
      </c>
      <c r="H1222" s="6" t="s">
        <v>2005</v>
      </c>
      <c r="I1222" s="6" t="str">
        <f t="shared" si="38"/>
        <v>Multi Grapple</v>
      </c>
      <c r="J1222" s="6" t="s">
        <v>1951</v>
      </c>
      <c r="K1222" s="6">
        <v>1</v>
      </c>
      <c r="P1222" s="6">
        <f t="shared" si="39"/>
        <v>900000</v>
      </c>
      <c r="R1222" s="6" t="s">
        <v>2003</v>
      </c>
      <c r="T1222" s="6" t="s">
        <v>823</v>
      </c>
      <c r="U1222" s="6">
        <v>2013</v>
      </c>
      <c r="V1222" s="6">
        <v>1</v>
      </c>
      <c r="AD1222" s="6" t="s">
        <v>45</v>
      </c>
      <c r="AJ1222" s="31" t="s">
        <v>2113</v>
      </c>
      <c r="AK1222" s="6">
        <v>1</v>
      </c>
      <c r="AL1222" s="26">
        <v>800000</v>
      </c>
      <c r="AM1222" s="26">
        <v>800000</v>
      </c>
      <c r="AN1222" s="26">
        <v>800000</v>
      </c>
      <c r="AO1222" s="6" t="s">
        <v>2003</v>
      </c>
      <c r="AQ1222" s="6" t="s">
        <v>49</v>
      </c>
      <c r="AU1222" s="6">
        <v>227339</v>
      </c>
    </row>
    <row r="1223" spans="1:47" x14ac:dyDescent="0.3">
      <c r="A1223" s="28" t="s">
        <v>42</v>
      </c>
      <c r="B1223" s="6" t="s">
        <v>2185</v>
      </c>
      <c r="C1223" s="6" t="s">
        <v>1979</v>
      </c>
      <c r="D1223" s="6" t="s">
        <v>2104</v>
      </c>
      <c r="E1223" s="6">
        <v>1</v>
      </c>
      <c r="F1223" s="6" t="s">
        <v>2004</v>
      </c>
      <c r="G1223" s="6" t="s">
        <v>2005</v>
      </c>
      <c r="H1223" s="6" t="s">
        <v>2005</v>
      </c>
      <c r="I1223" s="6" t="str">
        <f t="shared" si="38"/>
        <v>Thumb Grapple</v>
      </c>
      <c r="J1223" s="6" t="s">
        <v>1952</v>
      </c>
      <c r="K1223" s="6">
        <v>1</v>
      </c>
      <c r="P1223" s="6">
        <f t="shared" si="39"/>
        <v>1100000</v>
      </c>
      <c r="R1223" s="6" t="s">
        <v>2003</v>
      </c>
      <c r="T1223" s="6" t="s">
        <v>793</v>
      </c>
      <c r="U1223" s="6">
        <v>2012</v>
      </c>
      <c r="V1223" s="6">
        <v>6</v>
      </c>
      <c r="AD1223" s="6" t="s">
        <v>45</v>
      </c>
      <c r="AJ1223" s="31" t="s">
        <v>2116</v>
      </c>
      <c r="AK1223" s="6">
        <v>1</v>
      </c>
      <c r="AL1223" s="26">
        <v>1000000</v>
      </c>
      <c r="AM1223" s="26">
        <v>1000000</v>
      </c>
      <c r="AN1223" s="26">
        <v>1000000</v>
      </c>
      <c r="AO1223" s="6" t="s">
        <v>2003</v>
      </c>
      <c r="AQ1223" s="6" t="s">
        <v>1146</v>
      </c>
      <c r="AU1223" s="6">
        <v>227340</v>
      </c>
    </row>
    <row r="1224" spans="1:47" x14ac:dyDescent="0.3">
      <c r="A1224" s="28" t="s">
        <v>42</v>
      </c>
      <c r="B1224" s="6" t="s">
        <v>2186</v>
      </c>
      <c r="C1224" s="6" t="s">
        <v>1976</v>
      </c>
      <c r="D1224" s="6" t="s">
        <v>2100</v>
      </c>
      <c r="E1224" s="6">
        <v>1</v>
      </c>
      <c r="F1224" s="6" t="s">
        <v>2004</v>
      </c>
      <c r="G1224" s="6" t="s">
        <v>2005</v>
      </c>
      <c r="H1224" s="6" t="s">
        <v>2005</v>
      </c>
      <c r="I1224" s="6" t="str">
        <f t="shared" si="38"/>
        <v>Skeleton Bucket</v>
      </c>
      <c r="J1224" s="6" t="s">
        <v>557</v>
      </c>
      <c r="K1224" s="6">
        <v>1</v>
      </c>
      <c r="P1224" s="6">
        <f t="shared" si="39"/>
        <v>700000</v>
      </c>
      <c r="R1224" s="6" t="s">
        <v>2003</v>
      </c>
      <c r="T1224" s="6" t="s">
        <v>2011</v>
      </c>
      <c r="U1224" s="6">
        <v>2017</v>
      </c>
      <c r="V1224" s="6">
        <v>2</v>
      </c>
      <c r="AD1224" s="6" t="s">
        <v>45</v>
      </c>
      <c r="AJ1224" s="31" t="s">
        <v>2123</v>
      </c>
      <c r="AK1224" s="6">
        <v>1</v>
      </c>
      <c r="AL1224" s="26">
        <v>600000</v>
      </c>
      <c r="AM1224" s="26">
        <v>600000</v>
      </c>
      <c r="AN1224" s="26">
        <v>600000</v>
      </c>
      <c r="AO1224" s="6" t="s">
        <v>2003</v>
      </c>
      <c r="AQ1224" s="6" t="s">
        <v>1200</v>
      </c>
      <c r="AU1224" s="6">
        <v>227345</v>
      </c>
    </row>
    <row r="1225" spans="1:47" x14ac:dyDescent="0.3">
      <c r="A1225" s="28" t="s">
        <v>42</v>
      </c>
      <c r="B1225" s="6" t="s">
        <v>2186</v>
      </c>
      <c r="C1225" s="6" t="s">
        <v>1976</v>
      </c>
      <c r="D1225" s="6" t="s">
        <v>2105</v>
      </c>
      <c r="E1225" s="6">
        <v>1</v>
      </c>
      <c r="F1225" s="6" t="s">
        <v>2004</v>
      </c>
      <c r="G1225" s="6" t="s">
        <v>2005</v>
      </c>
      <c r="H1225" s="6" t="s">
        <v>2005</v>
      </c>
      <c r="I1225" s="6" t="str">
        <f t="shared" si="38"/>
        <v>Skeleton Bucket</v>
      </c>
      <c r="J1225" s="6" t="s">
        <v>336</v>
      </c>
      <c r="K1225" s="6">
        <v>1</v>
      </c>
      <c r="P1225" s="6">
        <f t="shared" si="39"/>
        <v>2200000</v>
      </c>
      <c r="R1225" s="6" t="s">
        <v>2003</v>
      </c>
      <c r="T1225" s="6" t="s">
        <v>2011</v>
      </c>
      <c r="U1225" s="6">
        <v>2010</v>
      </c>
      <c r="V1225" s="6">
        <v>6</v>
      </c>
      <c r="AD1225" s="6" t="s">
        <v>45</v>
      </c>
      <c r="AJ1225" s="31" t="s">
        <v>2123</v>
      </c>
      <c r="AK1225" s="6">
        <v>1</v>
      </c>
      <c r="AL1225" s="26">
        <v>2000000</v>
      </c>
      <c r="AM1225" s="26">
        <v>2000000</v>
      </c>
      <c r="AN1225" s="26">
        <v>2000000</v>
      </c>
      <c r="AO1225" s="6" t="s">
        <v>2003</v>
      </c>
      <c r="AQ1225" s="6" t="s">
        <v>1200</v>
      </c>
      <c r="AU1225" s="6">
        <v>227350</v>
      </c>
    </row>
    <row r="1226" spans="1:47" x14ac:dyDescent="0.3">
      <c r="A1226" s="28" t="s">
        <v>42</v>
      </c>
      <c r="B1226" s="6" t="s">
        <v>2191</v>
      </c>
      <c r="C1226" s="6" t="s">
        <v>1975</v>
      </c>
      <c r="D1226" s="6" t="s">
        <v>2104</v>
      </c>
      <c r="E1226" s="6">
        <v>1</v>
      </c>
      <c r="F1226" s="6" t="s">
        <v>2004</v>
      </c>
      <c r="G1226" s="6" t="s">
        <v>2005</v>
      </c>
      <c r="H1226" s="6" t="s">
        <v>2005</v>
      </c>
      <c r="I1226" s="6" t="str">
        <f t="shared" si="38"/>
        <v>Side Breaker</v>
      </c>
      <c r="J1226" s="6" t="s">
        <v>218</v>
      </c>
      <c r="K1226" s="6">
        <v>1</v>
      </c>
      <c r="P1226" s="6">
        <f t="shared" si="39"/>
        <v>2900000</v>
      </c>
      <c r="R1226" s="6" t="s">
        <v>2003</v>
      </c>
      <c r="T1226" s="6" t="s">
        <v>814</v>
      </c>
      <c r="U1226" s="6">
        <v>2015</v>
      </c>
      <c r="V1226" s="6">
        <v>8</v>
      </c>
      <c r="AD1226" s="6" t="s">
        <v>45</v>
      </c>
      <c r="AJ1226" s="31" t="s">
        <v>2119</v>
      </c>
      <c r="AK1226" s="6">
        <v>1</v>
      </c>
      <c r="AL1226" s="26">
        <v>2700000</v>
      </c>
      <c r="AM1226" s="26">
        <v>2700000</v>
      </c>
      <c r="AN1226" s="26">
        <v>2700000</v>
      </c>
      <c r="AO1226" s="6" t="s">
        <v>2003</v>
      </c>
      <c r="AQ1226" s="6" t="s">
        <v>1194</v>
      </c>
      <c r="AU1226" s="6">
        <v>227353</v>
      </c>
    </row>
    <row r="1227" spans="1:47" x14ac:dyDescent="0.3">
      <c r="A1227" s="28" t="s">
        <v>42</v>
      </c>
      <c r="B1227" s="6" t="s">
        <v>2187</v>
      </c>
      <c r="C1227" s="6" t="s">
        <v>1973</v>
      </c>
      <c r="D1227" s="6" t="s">
        <v>2104</v>
      </c>
      <c r="E1227" s="6">
        <v>1</v>
      </c>
      <c r="F1227" s="6" t="s">
        <v>2004</v>
      </c>
      <c r="G1227" s="6" t="s">
        <v>2005</v>
      </c>
      <c r="H1227" s="6" t="s">
        <v>2005</v>
      </c>
      <c r="I1227" s="6" t="str">
        <f t="shared" si="38"/>
        <v>Wood Grapple</v>
      </c>
      <c r="J1227" s="6" t="s">
        <v>101</v>
      </c>
      <c r="K1227" s="6">
        <v>1</v>
      </c>
      <c r="P1227" s="6">
        <f t="shared" si="39"/>
        <v>4800000</v>
      </c>
      <c r="R1227" s="6" t="s">
        <v>2003</v>
      </c>
      <c r="T1227" s="6" t="s">
        <v>813</v>
      </c>
      <c r="U1227" s="6">
        <v>2014</v>
      </c>
      <c r="V1227" s="6">
        <v>1</v>
      </c>
      <c r="AD1227" s="6" t="s">
        <v>45</v>
      </c>
      <c r="AJ1227" s="31" t="s">
        <v>2113</v>
      </c>
      <c r="AK1227" s="6">
        <v>1</v>
      </c>
      <c r="AL1227" s="26">
        <v>4600000</v>
      </c>
      <c r="AM1227" s="26">
        <v>4600000</v>
      </c>
      <c r="AN1227" s="26">
        <v>4600000</v>
      </c>
      <c r="AO1227" s="6" t="s">
        <v>2003</v>
      </c>
      <c r="AQ1227" s="6" t="s">
        <v>79</v>
      </c>
      <c r="AU1227" s="6">
        <v>227354</v>
      </c>
    </row>
    <row r="1228" spans="1:47" x14ac:dyDescent="0.3">
      <c r="A1228" s="28" t="s">
        <v>42</v>
      </c>
      <c r="B1228" s="6" t="s">
        <v>2185</v>
      </c>
      <c r="D1228" s="6" t="s">
        <v>2101</v>
      </c>
      <c r="E1228" s="6">
        <v>1</v>
      </c>
      <c r="F1228" s="6" t="s">
        <v>2004</v>
      </c>
      <c r="G1228" s="6" t="s">
        <v>2005</v>
      </c>
      <c r="H1228" s="6" t="s">
        <v>2005</v>
      </c>
      <c r="I1228" s="6" t="str">
        <f t="shared" si="38"/>
        <v>ETC</v>
      </c>
      <c r="J1228" s="6" t="s">
        <v>1953</v>
      </c>
      <c r="K1228" s="6">
        <v>1</v>
      </c>
      <c r="P1228" s="6">
        <f t="shared" si="39"/>
        <v>35500000</v>
      </c>
      <c r="R1228" s="6" t="s">
        <v>2003</v>
      </c>
      <c r="T1228" s="6" t="s">
        <v>821</v>
      </c>
      <c r="U1228" s="6">
        <v>2015</v>
      </c>
      <c r="V1228" s="6">
        <v>8</v>
      </c>
      <c r="AD1228" s="6" t="s">
        <v>45</v>
      </c>
      <c r="AJ1228" s="31" t="s">
        <v>2121</v>
      </c>
      <c r="AK1228" s="6">
        <v>1</v>
      </c>
      <c r="AL1228" s="26">
        <v>35000000</v>
      </c>
      <c r="AM1228" s="26">
        <v>35000000</v>
      </c>
      <c r="AN1228" s="26">
        <v>35000000</v>
      </c>
      <c r="AO1228" s="6" t="s">
        <v>2003</v>
      </c>
      <c r="AQ1228" s="6" t="s">
        <v>87</v>
      </c>
      <c r="AU1228" s="6">
        <v>227355</v>
      </c>
    </row>
    <row r="1229" spans="1:47" x14ac:dyDescent="0.3">
      <c r="A1229" s="28" t="s">
        <v>42</v>
      </c>
      <c r="B1229" s="6" t="s">
        <v>2185</v>
      </c>
      <c r="D1229" s="6" t="s">
        <v>2100</v>
      </c>
      <c r="E1229" s="6">
        <v>1</v>
      </c>
      <c r="F1229" s="6" t="s">
        <v>2004</v>
      </c>
      <c r="G1229" s="6" t="s">
        <v>2005</v>
      </c>
      <c r="H1229" s="6" t="s">
        <v>2005</v>
      </c>
      <c r="I1229" s="6" t="str">
        <f t="shared" si="38"/>
        <v>ETC</v>
      </c>
      <c r="J1229" s="6" t="s">
        <v>522</v>
      </c>
      <c r="K1229" s="6">
        <v>1</v>
      </c>
      <c r="P1229" s="6">
        <f t="shared" si="39"/>
        <v>1600000</v>
      </c>
      <c r="R1229" s="6" t="s">
        <v>2003</v>
      </c>
      <c r="T1229" s="6" t="s">
        <v>794</v>
      </c>
      <c r="U1229" s="6">
        <v>2015</v>
      </c>
      <c r="V1229" s="6">
        <v>8</v>
      </c>
      <c r="AD1229" s="6" t="s">
        <v>45</v>
      </c>
      <c r="AJ1229" s="31" t="s">
        <v>2122</v>
      </c>
      <c r="AK1229" s="6">
        <v>1</v>
      </c>
      <c r="AL1229" s="26">
        <v>1500000</v>
      </c>
      <c r="AM1229" s="26">
        <v>1500000</v>
      </c>
      <c r="AN1229" s="26">
        <v>1500000</v>
      </c>
      <c r="AO1229" s="6" t="s">
        <v>2003</v>
      </c>
      <c r="AQ1229" s="6" t="s">
        <v>1154</v>
      </c>
      <c r="AU1229" s="6">
        <v>227360</v>
      </c>
    </row>
    <row r="1230" spans="1:47" x14ac:dyDescent="0.3">
      <c r="A1230" s="28" t="s">
        <v>42</v>
      </c>
      <c r="B1230" s="6" t="s">
        <v>2187</v>
      </c>
      <c r="C1230" s="6" t="s">
        <v>1972</v>
      </c>
      <c r="D1230" s="6" t="s">
        <v>2100</v>
      </c>
      <c r="E1230" s="6">
        <v>1</v>
      </c>
      <c r="F1230" s="6" t="s">
        <v>2004</v>
      </c>
      <c r="G1230" s="6" t="s">
        <v>2005</v>
      </c>
      <c r="H1230" s="6" t="s">
        <v>2005</v>
      </c>
      <c r="I1230" s="6" t="str">
        <f t="shared" si="38"/>
        <v>Stone Grapple</v>
      </c>
      <c r="J1230" s="6" t="s">
        <v>1954</v>
      </c>
      <c r="K1230" s="6">
        <v>1</v>
      </c>
      <c r="P1230" s="6">
        <f t="shared" si="39"/>
        <v>3300000</v>
      </c>
      <c r="R1230" s="6" t="s">
        <v>2003</v>
      </c>
      <c r="T1230" s="6" t="s">
        <v>823</v>
      </c>
      <c r="U1230" s="6">
        <v>2014</v>
      </c>
      <c r="V1230" s="6">
        <v>1</v>
      </c>
      <c r="AD1230" s="6" t="s">
        <v>45</v>
      </c>
      <c r="AJ1230" s="31" t="s">
        <v>2113</v>
      </c>
      <c r="AK1230" s="6">
        <v>1</v>
      </c>
      <c r="AL1230" s="26">
        <v>3100000</v>
      </c>
      <c r="AM1230" s="26">
        <v>3100000</v>
      </c>
      <c r="AN1230" s="26">
        <v>3100000</v>
      </c>
      <c r="AO1230" s="6" t="s">
        <v>2003</v>
      </c>
      <c r="AQ1230" s="6" t="s">
        <v>49</v>
      </c>
      <c r="AU1230" s="6">
        <v>227362</v>
      </c>
    </row>
    <row r="1231" spans="1:47" hidden="1" x14ac:dyDescent="0.3">
      <c r="A1231" s="28" t="s">
        <v>42</v>
      </c>
      <c r="B1231" s="6" t="s">
        <v>2189</v>
      </c>
      <c r="E1231" s="6">
        <v>1</v>
      </c>
      <c r="F1231" s="6" t="s">
        <v>2004</v>
      </c>
      <c r="G1231" s="6" t="s">
        <v>2005</v>
      </c>
      <c r="H1231" s="6" t="s">
        <v>2005</v>
      </c>
      <c r="I1231" s="6" t="str">
        <f t="shared" si="38"/>
        <v>Quick Coupler</v>
      </c>
      <c r="J1231" s="6" t="s">
        <v>1955</v>
      </c>
      <c r="K1231" s="6">
        <v>1</v>
      </c>
      <c r="P1231" s="6">
        <f t="shared" si="39"/>
        <v>950000</v>
      </c>
      <c r="R1231" s="6" t="s">
        <v>2003</v>
      </c>
      <c r="T1231" s="6" t="s">
        <v>2007</v>
      </c>
      <c r="U1231" s="6">
        <v>2017</v>
      </c>
      <c r="V1231" s="6">
        <v>1</v>
      </c>
      <c r="AD1231" s="6" t="s">
        <v>45</v>
      </c>
      <c r="AJ1231" s="31" t="s">
        <v>2113</v>
      </c>
      <c r="AK1231" s="6">
        <v>1</v>
      </c>
      <c r="AL1231" s="26">
        <v>850000</v>
      </c>
      <c r="AM1231" s="26">
        <v>850000</v>
      </c>
      <c r="AN1231" s="26">
        <v>850000</v>
      </c>
      <c r="AO1231" s="6" t="s">
        <v>2003</v>
      </c>
      <c r="AQ1231" s="6" t="s">
        <v>49</v>
      </c>
      <c r="AU1231" s="6">
        <v>227367</v>
      </c>
    </row>
    <row r="1232" spans="1:47" x14ac:dyDescent="0.3">
      <c r="A1232" s="28" t="s">
        <v>42</v>
      </c>
      <c r="B1232" s="6" t="s">
        <v>2186</v>
      </c>
      <c r="C1232" s="6" t="s">
        <v>1980</v>
      </c>
      <c r="D1232" s="6" t="s">
        <v>2101</v>
      </c>
      <c r="E1232" s="6">
        <v>1</v>
      </c>
      <c r="F1232" s="6" t="s">
        <v>2004</v>
      </c>
      <c r="G1232" s="6" t="s">
        <v>2005</v>
      </c>
      <c r="H1232" s="6" t="s">
        <v>2005</v>
      </c>
      <c r="I1232" s="6" t="str">
        <f t="shared" si="38"/>
        <v>Small Bucket</v>
      </c>
      <c r="J1232" s="6" t="s">
        <v>535</v>
      </c>
      <c r="K1232" s="6">
        <v>1</v>
      </c>
      <c r="P1232" s="6">
        <f t="shared" si="39"/>
        <v>1600000</v>
      </c>
      <c r="R1232" s="6" t="s">
        <v>2003</v>
      </c>
      <c r="T1232" s="6" t="s">
        <v>946</v>
      </c>
      <c r="U1232" s="6">
        <v>2010</v>
      </c>
      <c r="V1232" s="6">
        <v>1</v>
      </c>
      <c r="AD1232" s="6" t="s">
        <v>45</v>
      </c>
      <c r="AJ1232" s="31" t="s">
        <v>2122</v>
      </c>
      <c r="AK1232" s="6">
        <v>1</v>
      </c>
      <c r="AL1232" s="26">
        <v>1500000</v>
      </c>
      <c r="AM1232" s="26">
        <v>1500000</v>
      </c>
      <c r="AN1232" s="26">
        <v>1500000</v>
      </c>
      <c r="AO1232" s="6" t="s">
        <v>2003</v>
      </c>
      <c r="AQ1232" s="6" t="s">
        <v>1167</v>
      </c>
      <c r="AU1232" s="6">
        <v>227368</v>
      </c>
    </row>
    <row r="1233" spans="1:47" x14ac:dyDescent="0.3">
      <c r="A1233" s="28" t="s">
        <v>42</v>
      </c>
      <c r="B1233" s="6" t="s">
        <v>2216</v>
      </c>
      <c r="C1233" s="6" t="s">
        <v>1978</v>
      </c>
      <c r="D1233" s="6" t="s">
        <v>2105</v>
      </c>
      <c r="E1233" s="6">
        <v>1</v>
      </c>
      <c r="F1233" s="6" t="s">
        <v>2004</v>
      </c>
      <c r="G1233" s="6" t="s">
        <v>2005</v>
      </c>
      <c r="H1233" s="6" t="s">
        <v>2005</v>
      </c>
      <c r="I1233" s="6" t="str">
        <f t="shared" si="38"/>
        <v>Hydraulic Pulverizer</v>
      </c>
      <c r="J1233" s="6" t="s">
        <v>253</v>
      </c>
      <c r="K1233" s="6">
        <v>1</v>
      </c>
      <c r="P1233" s="6">
        <f t="shared" si="39"/>
        <v>10500000</v>
      </c>
      <c r="R1233" s="6" t="s">
        <v>2003</v>
      </c>
      <c r="T1233" s="6" t="s">
        <v>1907</v>
      </c>
      <c r="U1233" s="6">
        <v>2005</v>
      </c>
      <c r="V1233" s="6">
        <v>1</v>
      </c>
      <c r="AD1233" s="6" t="s">
        <v>45</v>
      </c>
      <c r="AJ1233" s="31" t="s">
        <v>2110</v>
      </c>
      <c r="AK1233" s="6">
        <v>1</v>
      </c>
      <c r="AL1233" s="26">
        <v>10000000</v>
      </c>
      <c r="AM1233" s="26">
        <v>10000000</v>
      </c>
      <c r="AN1233" s="26">
        <v>10000000</v>
      </c>
      <c r="AO1233" s="6" t="s">
        <v>2003</v>
      </c>
      <c r="AQ1233" s="6" t="s">
        <v>1317</v>
      </c>
      <c r="AU1233" s="6">
        <v>227372</v>
      </c>
    </row>
    <row r="1234" spans="1:47" x14ac:dyDescent="0.3">
      <c r="A1234" s="28" t="s">
        <v>42</v>
      </c>
      <c r="B1234" s="6" t="s">
        <v>2195</v>
      </c>
      <c r="C1234" s="19" t="s">
        <v>2207</v>
      </c>
      <c r="D1234" s="6" t="s">
        <v>2105</v>
      </c>
      <c r="E1234" s="6">
        <v>1</v>
      </c>
      <c r="F1234" s="6" t="s">
        <v>2004</v>
      </c>
      <c r="G1234" s="6" t="s">
        <v>2005</v>
      </c>
      <c r="H1234" s="6" t="s">
        <v>2005</v>
      </c>
      <c r="I1234" s="6" t="str">
        <f t="shared" si="38"/>
        <v>Hydraulic Crusher</v>
      </c>
      <c r="J1234" s="6" t="s">
        <v>181</v>
      </c>
      <c r="K1234" s="6">
        <v>1</v>
      </c>
      <c r="P1234" s="6">
        <f t="shared" si="39"/>
        <v>12500000</v>
      </c>
      <c r="R1234" s="6" t="s">
        <v>2003</v>
      </c>
      <c r="T1234" s="6" t="s">
        <v>1908</v>
      </c>
      <c r="U1234" s="6">
        <v>2005</v>
      </c>
      <c r="V1234" s="6">
        <v>1</v>
      </c>
      <c r="AD1234" s="6" t="s">
        <v>45</v>
      </c>
      <c r="AJ1234" s="31" t="s">
        <v>2110</v>
      </c>
      <c r="AK1234" s="6">
        <v>1</v>
      </c>
      <c r="AL1234" s="26">
        <v>12000000</v>
      </c>
      <c r="AM1234" s="26">
        <v>12000000</v>
      </c>
      <c r="AN1234" s="26">
        <v>12000000</v>
      </c>
      <c r="AO1234" s="6" t="s">
        <v>2003</v>
      </c>
      <c r="AQ1234" s="6" t="s">
        <v>1317</v>
      </c>
      <c r="AU1234" s="6">
        <v>227375</v>
      </c>
    </row>
    <row r="1235" spans="1:47" x14ac:dyDescent="0.3">
      <c r="A1235" s="28" t="s">
        <v>42</v>
      </c>
      <c r="B1235" s="6" t="s">
        <v>2177</v>
      </c>
      <c r="C1235" s="13" t="s">
        <v>1389</v>
      </c>
      <c r="D1235" s="6" t="s">
        <v>2104</v>
      </c>
      <c r="E1235" s="6">
        <v>1</v>
      </c>
      <c r="F1235" s="6" t="s">
        <v>2004</v>
      </c>
      <c r="G1235" s="6" t="s">
        <v>2005</v>
      </c>
      <c r="H1235" s="6" t="s">
        <v>2005</v>
      </c>
      <c r="I1235" s="6" t="str">
        <f t="shared" si="38"/>
        <v>Advanced Grapple</v>
      </c>
      <c r="J1235" s="6" t="s">
        <v>1956</v>
      </c>
      <c r="K1235" s="6">
        <v>1</v>
      </c>
      <c r="P1235" s="6">
        <f t="shared" si="39"/>
        <v>1100000</v>
      </c>
      <c r="R1235" s="6" t="s">
        <v>2003</v>
      </c>
      <c r="T1235" s="6" t="s">
        <v>54</v>
      </c>
      <c r="U1235" s="6">
        <v>2012</v>
      </c>
      <c r="V1235" s="6">
        <v>1</v>
      </c>
      <c r="AD1235" s="6" t="s">
        <v>45</v>
      </c>
      <c r="AJ1235" s="31" t="s">
        <v>2114</v>
      </c>
      <c r="AK1235" s="6">
        <v>1</v>
      </c>
      <c r="AL1235" s="26">
        <v>1000000</v>
      </c>
      <c r="AM1235" s="26">
        <v>1000000</v>
      </c>
      <c r="AN1235" s="26">
        <v>1000000</v>
      </c>
      <c r="AO1235" s="6" t="s">
        <v>2003</v>
      </c>
      <c r="AQ1235" s="6" t="s">
        <v>54</v>
      </c>
      <c r="AU1235" s="6">
        <v>227377</v>
      </c>
    </row>
    <row r="1236" spans="1:47" x14ac:dyDescent="0.3">
      <c r="A1236" s="28" t="s">
        <v>42</v>
      </c>
      <c r="B1236" s="6" t="s">
        <v>2185</v>
      </c>
      <c r="D1236" s="6" t="s">
        <v>2103</v>
      </c>
      <c r="E1236" s="6">
        <v>1</v>
      </c>
      <c r="F1236" s="6" t="s">
        <v>2004</v>
      </c>
      <c r="G1236" s="6" t="s">
        <v>2005</v>
      </c>
      <c r="H1236" s="6" t="s">
        <v>2005</v>
      </c>
      <c r="I1236" s="6" t="str">
        <f t="shared" si="38"/>
        <v>ETC</v>
      </c>
      <c r="J1236" s="6" t="s">
        <v>1957</v>
      </c>
      <c r="K1236" s="6">
        <v>1</v>
      </c>
      <c r="P1236" s="6">
        <f t="shared" si="39"/>
        <v>14500000</v>
      </c>
      <c r="R1236" s="6" t="s">
        <v>2003</v>
      </c>
      <c r="T1236" s="6" t="s">
        <v>1909</v>
      </c>
      <c r="U1236" s="6">
        <v>2013</v>
      </c>
      <c r="V1236" s="6">
        <v>1</v>
      </c>
      <c r="AD1236" s="6" t="s">
        <v>45</v>
      </c>
      <c r="AJ1236" s="31" t="s">
        <v>2111</v>
      </c>
      <c r="AK1236" s="6">
        <v>1</v>
      </c>
      <c r="AL1236" s="26">
        <v>14000000</v>
      </c>
      <c r="AM1236" s="26">
        <v>14000000</v>
      </c>
      <c r="AN1236" s="26">
        <v>14000000</v>
      </c>
      <c r="AO1236" s="6" t="s">
        <v>2003</v>
      </c>
      <c r="AQ1236" s="6" t="s">
        <v>1924</v>
      </c>
      <c r="AU1236" s="6">
        <v>227379</v>
      </c>
    </row>
    <row r="1237" spans="1:47" x14ac:dyDescent="0.3">
      <c r="A1237" s="28" t="s">
        <v>42</v>
      </c>
      <c r="B1237" s="6" t="s">
        <v>2187</v>
      </c>
      <c r="C1237" s="6" t="s">
        <v>1974</v>
      </c>
      <c r="D1237" s="6" t="s">
        <v>2104</v>
      </c>
      <c r="E1237" s="6">
        <v>1</v>
      </c>
      <c r="F1237" s="6" t="s">
        <v>2004</v>
      </c>
      <c r="G1237" s="6" t="s">
        <v>2005</v>
      </c>
      <c r="H1237" s="6" t="s">
        <v>2005</v>
      </c>
      <c r="I1237" s="6" t="str">
        <f t="shared" si="38"/>
        <v>Etc Grapple</v>
      </c>
      <c r="J1237" s="6" t="s">
        <v>125</v>
      </c>
      <c r="K1237" s="6">
        <v>1</v>
      </c>
      <c r="P1237" s="6">
        <f t="shared" si="39"/>
        <v>1100000</v>
      </c>
      <c r="R1237" s="6" t="s">
        <v>2003</v>
      </c>
      <c r="T1237" s="6" t="s">
        <v>54</v>
      </c>
      <c r="U1237" s="6">
        <v>2005</v>
      </c>
      <c r="V1237" s="6">
        <v>1</v>
      </c>
      <c r="AD1237" s="6" t="s">
        <v>45</v>
      </c>
      <c r="AJ1237" s="31" t="s">
        <v>2114</v>
      </c>
      <c r="AK1237" s="6">
        <v>1</v>
      </c>
      <c r="AL1237" s="26">
        <v>1000000</v>
      </c>
      <c r="AM1237" s="26">
        <v>1000000</v>
      </c>
      <c r="AN1237" s="26">
        <v>1000000</v>
      </c>
      <c r="AO1237" s="6" t="s">
        <v>2003</v>
      </c>
      <c r="AQ1237" s="6" t="s">
        <v>54</v>
      </c>
      <c r="AU1237" s="6">
        <v>227382</v>
      </c>
    </row>
    <row r="1238" spans="1:47" hidden="1" x14ac:dyDescent="0.3">
      <c r="A1238" s="28" t="s">
        <v>42</v>
      </c>
      <c r="B1238" s="6" t="s">
        <v>2187</v>
      </c>
      <c r="E1238" s="6">
        <v>1</v>
      </c>
      <c r="F1238" s="6" t="s">
        <v>2004</v>
      </c>
      <c r="G1238" s="6" t="s">
        <v>2005</v>
      </c>
      <c r="H1238" s="6" t="s">
        <v>2005</v>
      </c>
      <c r="I1238" s="6" t="str">
        <f t="shared" si="38"/>
        <v>Grapple</v>
      </c>
      <c r="J1238" s="6" t="s">
        <v>279</v>
      </c>
      <c r="K1238" s="6">
        <v>1</v>
      </c>
      <c r="P1238" s="6">
        <f t="shared" si="39"/>
        <v>600000</v>
      </c>
      <c r="R1238" s="6" t="s">
        <v>2003</v>
      </c>
      <c r="T1238" s="6" t="s">
        <v>789</v>
      </c>
      <c r="U1238" s="6">
        <v>2009</v>
      </c>
      <c r="V1238" s="6">
        <v>2</v>
      </c>
      <c r="AD1238" s="6" t="s">
        <v>45</v>
      </c>
      <c r="AJ1238" s="31" t="s">
        <v>2122</v>
      </c>
      <c r="AK1238" s="6">
        <v>1</v>
      </c>
      <c r="AL1238" s="26">
        <v>500000</v>
      </c>
      <c r="AM1238" s="26">
        <v>500000</v>
      </c>
      <c r="AN1238" s="26">
        <v>500000</v>
      </c>
      <c r="AO1238" s="6" t="s">
        <v>2003</v>
      </c>
      <c r="AQ1238" s="6" t="s">
        <v>65</v>
      </c>
      <c r="AU1238" s="6">
        <v>227388</v>
      </c>
    </row>
    <row r="1239" spans="1:47" hidden="1" x14ac:dyDescent="0.3">
      <c r="A1239" s="28" t="s">
        <v>42</v>
      </c>
      <c r="B1239" s="6" t="s">
        <v>2185</v>
      </c>
      <c r="E1239" s="6">
        <v>1</v>
      </c>
      <c r="F1239" s="6" t="s">
        <v>2004</v>
      </c>
      <c r="G1239" s="6" t="s">
        <v>2005</v>
      </c>
      <c r="H1239" s="6" t="s">
        <v>2005</v>
      </c>
      <c r="I1239" s="6" t="str">
        <f t="shared" si="38"/>
        <v>ETC</v>
      </c>
      <c r="J1239" s="6" t="s">
        <v>1958</v>
      </c>
      <c r="K1239" s="6">
        <v>1</v>
      </c>
      <c r="P1239" s="6">
        <f t="shared" si="39"/>
        <v>900000</v>
      </c>
      <c r="R1239" s="6" t="s">
        <v>2003</v>
      </c>
      <c r="T1239" s="6" t="s">
        <v>1910</v>
      </c>
      <c r="U1239" s="6">
        <v>2016</v>
      </c>
      <c r="V1239" s="6">
        <v>10</v>
      </c>
      <c r="AD1239" s="6" t="s">
        <v>45</v>
      </c>
      <c r="AJ1239" s="31" t="s">
        <v>2111</v>
      </c>
      <c r="AK1239" s="6">
        <v>1</v>
      </c>
      <c r="AL1239" s="26">
        <v>800000</v>
      </c>
      <c r="AM1239" s="26">
        <v>800000</v>
      </c>
      <c r="AN1239" s="26">
        <v>800000</v>
      </c>
      <c r="AO1239" s="6" t="s">
        <v>2003</v>
      </c>
      <c r="AQ1239" s="6" t="s">
        <v>1925</v>
      </c>
      <c r="AU1239" s="6">
        <v>227389</v>
      </c>
    </row>
    <row r="1240" spans="1:47" x14ac:dyDescent="0.3">
      <c r="A1240" s="28" t="s">
        <v>42</v>
      </c>
      <c r="B1240" s="6" t="s">
        <v>2187</v>
      </c>
      <c r="C1240" s="6" t="s">
        <v>1972</v>
      </c>
      <c r="D1240" s="6" t="s">
        <v>2104</v>
      </c>
      <c r="E1240" s="6">
        <v>1</v>
      </c>
      <c r="F1240" s="6" t="s">
        <v>2004</v>
      </c>
      <c r="G1240" s="6" t="s">
        <v>2005</v>
      </c>
      <c r="H1240" s="6" t="s">
        <v>2005</v>
      </c>
      <c r="I1240" s="6" t="str">
        <f t="shared" si="38"/>
        <v>Stone Grapple</v>
      </c>
      <c r="J1240" s="6" t="s">
        <v>1959</v>
      </c>
      <c r="K1240" s="6">
        <v>1</v>
      </c>
      <c r="P1240" s="6">
        <f t="shared" si="39"/>
        <v>1900000</v>
      </c>
      <c r="R1240" s="6" t="s">
        <v>2003</v>
      </c>
      <c r="T1240" s="6" t="s">
        <v>823</v>
      </c>
      <c r="U1240" s="6">
        <v>2014</v>
      </c>
      <c r="V1240" s="6">
        <v>1</v>
      </c>
      <c r="AD1240" s="6" t="s">
        <v>45</v>
      </c>
      <c r="AJ1240" s="31" t="s">
        <v>2113</v>
      </c>
      <c r="AK1240" s="6">
        <v>1</v>
      </c>
      <c r="AL1240" s="26">
        <v>1800000</v>
      </c>
      <c r="AM1240" s="26">
        <v>1800000</v>
      </c>
      <c r="AN1240" s="26">
        <v>1800000</v>
      </c>
      <c r="AO1240" s="6" t="s">
        <v>2003</v>
      </c>
      <c r="AQ1240" s="6" t="s">
        <v>49</v>
      </c>
      <c r="AU1240" s="6">
        <v>227391</v>
      </c>
    </row>
    <row r="1241" spans="1:47" x14ac:dyDescent="0.3">
      <c r="A1241" s="28" t="s">
        <v>42</v>
      </c>
      <c r="B1241" s="6" t="s">
        <v>2191</v>
      </c>
      <c r="C1241" s="6" t="s">
        <v>1975</v>
      </c>
      <c r="D1241" s="6" t="s">
        <v>2101</v>
      </c>
      <c r="E1241" s="6">
        <v>1</v>
      </c>
      <c r="F1241" s="6" t="s">
        <v>2004</v>
      </c>
      <c r="G1241" s="6" t="s">
        <v>2005</v>
      </c>
      <c r="H1241" s="6" t="s">
        <v>2005</v>
      </c>
      <c r="I1241" s="6" t="str">
        <f t="shared" si="38"/>
        <v>Side Breaker</v>
      </c>
      <c r="J1241" s="6" t="s">
        <v>1943</v>
      </c>
      <c r="K1241" s="6">
        <v>1</v>
      </c>
      <c r="P1241" s="6">
        <f t="shared" si="39"/>
        <v>17500000</v>
      </c>
      <c r="R1241" s="6" t="s">
        <v>2003</v>
      </c>
      <c r="T1241" s="6" t="s">
        <v>54</v>
      </c>
      <c r="U1241" s="6">
        <v>2012</v>
      </c>
      <c r="V1241" s="6">
        <v>1</v>
      </c>
      <c r="AD1241" s="6" t="s">
        <v>45</v>
      </c>
      <c r="AJ1241" s="31" t="s">
        <v>2111</v>
      </c>
      <c r="AK1241" s="6">
        <v>1</v>
      </c>
      <c r="AL1241" s="26">
        <v>17000000</v>
      </c>
      <c r="AM1241" s="26">
        <v>17000000</v>
      </c>
      <c r="AN1241" s="26">
        <v>17000000</v>
      </c>
      <c r="AO1241" s="6" t="s">
        <v>2003</v>
      </c>
      <c r="AQ1241" s="6" t="s">
        <v>54</v>
      </c>
      <c r="AU1241" s="6">
        <v>227392</v>
      </c>
    </row>
    <row r="1242" spans="1:47" x14ac:dyDescent="0.3">
      <c r="A1242" s="28" t="s">
        <v>42</v>
      </c>
      <c r="B1242" s="6" t="s">
        <v>2189</v>
      </c>
      <c r="D1242" s="6" t="s">
        <v>2100</v>
      </c>
      <c r="E1242" s="6">
        <v>1</v>
      </c>
      <c r="F1242" s="6" t="s">
        <v>2004</v>
      </c>
      <c r="G1242" s="6" t="s">
        <v>2005</v>
      </c>
      <c r="H1242" s="6" t="s">
        <v>2005</v>
      </c>
      <c r="I1242" s="6" t="str">
        <f t="shared" si="38"/>
        <v>Quick Coupler</v>
      </c>
      <c r="J1242" s="6" t="s">
        <v>367</v>
      </c>
      <c r="K1242" s="6">
        <v>1</v>
      </c>
      <c r="P1242" s="6">
        <f t="shared" si="39"/>
        <v>950000</v>
      </c>
      <c r="R1242" s="6" t="s">
        <v>2003</v>
      </c>
      <c r="T1242" s="6" t="s">
        <v>2007</v>
      </c>
      <c r="U1242" s="6">
        <v>2017</v>
      </c>
      <c r="V1242" s="6">
        <v>1</v>
      </c>
      <c r="AD1242" s="6" t="s">
        <v>45</v>
      </c>
      <c r="AJ1242" s="31" t="s">
        <v>2113</v>
      </c>
      <c r="AK1242" s="6">
        <v>1</v>
      </c>
      <c r="AL1242" s="26">
        <v>850000</v>
      </c>
      <c r="AM1242" s="26">
        <v>850000</v>
      </c>
      <c r="AN1242" s="26">
        <v>850000</v>
      </c>
      <c r="AO1242" s="6" t="s">
        <v>2003</v>
      </c>
      <c r="AQ1242" s="6" t="s">
        <v>49</v>
      </c>
      <c r="AU1242" s="6">
        <v>227396</v>
      </c>
    </row>
    <row r="1243" spans="1:47" x14ac:dyDescent="0.3">
      <c r="A1243" s="28" t="s">
        <v>42</v>
      </c>
      <c r="B1243" s="6" t="s">
        <v>2189</v>
      </c>
      <c r="D1243" s="6" t="s">
        <v>2100</v>
      </c>
      <c r="E1243" s="6">
        <v>1</v>
      </c>
      <c r="F1243" s="6" t="s">
        <v>2004</v>
      </c>
      <c r="G1243" s="6" t="s">
        <v>2005</v>
      </c>
      <c r="H1243" s="6" t="s">
        <v>2005</v>
      </c>
      <c r="I1243" s="6" t="str">
        <f t="shared" si="38"/>
        <v>Quick Coupler</v>
      </c>
      <c r="J1243" s="6" t="s">
        <v>1960</v>
      </c>
      <c r="K1243" s="6">
        <v>1</v>
      </c>
      <c r="P1243" s="6">
        <f t="shared" si="39"/>
        <v>950000</v>
      </c>
      <c r="R1243" s="6" t="s">
        <v>2003</v>
      </c>
      <c r="T1243" s="6" t="s">
        <v>2007</v>
      </c>
      <c r="U1243" s="6">
        <v>2017</v>
      </c>
      <c r="V1243" s="6">
        <v>1</v>
      </c>
      <c r="AD1243" s="6" t="s">
        <v>45</v>
      </c>
      <c r="AJ1243" s="31" t="s">
        <v>2113</v>
      </c>
      <c r="AK1243" s="6">
        <v>1</v>
      </c>
      <c r="AL1243" s="26">
        <v>850000</v>
      </c>
      <c r="AM1243" s="26">
        <v>850000</v>
      </c>
      <c r="AN1243" s="26">
        <v>850000</v>
      </c>
      <c r="AO1243" s="6" t="s">
        <v>2003</v>
      </c>
      <c r="AQ1243" s="6" t="s">
        <v>49</v>
      </c>
      <c r="AU1243" s="6">
        <v>227405</v>
      </c>
    </row>
    <row r="1244" spans="1:47" x14ac:dyDescent="0.3">
      <c r="A1244" s="28" t="s">
        <v>42</v>
      </c>
      <c r="B1244" s="6" t="s">
        <v>2191</v>
      </c>
      <c r="C1244" s="6" t="s">
        <v>1975</v>
      </c>
      <c r="D1244" s="6" t="s">
        <v>2105</v>
      </c>
      <c r="E1244" s="6">
        <v>1</v>
      </c>
      <c r="F1244" s="6" t="s">
        <v>2004</v>
      </c>
      <c r="G1244" s="6" t="s">
        <v>2005</v>
      </c>
      <c r="H1244" s="6" t="s">
        <v>2005</v>
      </c>
      <c r="I1244" s="6" t="str">
        <f t="shared" si="38"/>
        <v>Side Breaker</v>
      </c>
      <c r="J1244" s="6" t="s">
        <v>709</v>
      </c>
      <c r="K1244" s="6">
        <v>1</v>
      </c>
      <c r="P1244" s="6">
        <f t="shared" si="39"/>
        <v>3700000</v>
      </c>
      <c r="R1244" s="6" t="s">
        <v>2003</v>
      </c>
      <c r="T1244" s="6" t="s">
        <v>1132</v>
      </c>
      <c r="U1244" s="6">
        <v>2010</v>
      </c>
      <c r="V1244" s="6">
        <v>1</v>
      </c>
      <c r="AD1244" s="6" t="s">
        <v>45</v>
      </c>
      <c r="AJ1244" s="31" t="s">
        <v>2116</v>
      </c>
      <c r="AK1244" s="6">
        <v>1</v>
      </c>
      <c r="AL1244" s="26">
        <v>3500000</v>
      </c>
      <c r="AM1244" s="26">
        <v>3500000</v>
      </c>
      <c r="AN1244" s="26">
        <v>3500000</v>
      </c>
      <c r="AO1244" s="6" t="s">
        <v>2003</v>
      </c>
      <c r="AQ1244" s="6" t="s">
        <v>1146</v>
      </c>
      <c r="AU1244" s="6">
        <v>227409</v>
      </c>
    </row>
    <row r="1245" spans="1:47" x14ac:dyDescent="0.3">
      <c r="A1245" s="28" t="s">
        <v>42</v>
      </c>
      <c r="B1245" s="6" t="s">
        <v>2191</v>
      </c>
      <c r="C1245" s="6" t="s">
        <v>1975</v>
      </c>
      <c r="D1245" s="6" t="s">
        <v>2109</v>
      </c>
      <c r="E1245" s="6">
        <v>1</v>
      </c>
      <c r="F1245" s="6" t="s">
        <v>2004</v>
      </c>
      <c r="G1245" s="6" t="s">
        <v>2005</v>
      </c>
      <c r="H1245" s="6" t="s">
        <v>2005</v>
      </c>
      <c r="I1245" s="6" t="str">
        <f t="shared" si="38"/>
        <v>Side Breaker</v>
      </c>
      <c r="J1245" s="6" t="s">
        <v>318</v>
      </c>
      <c r="K1245" s="6">
        <v>1</v>
      </c>
      <c r="P1245" s="6">
        <f t="shared" si="39"/>
        <v>1200000</v>
      </c>
      <c r="R1245" s="6" t="s">
        <v>2003</v>
      </c>
      <c r="T1245" s="6" t="s">
        <v>2007</v>
      </c>
      <c r="U1245" s="6">
        <v>2013</v>
      </c>
      <c r="V1245" s="6">
        <v>1</v>
      </c>
      <c r="AD1245" s="6" t="s">
        <v>45</v>
      </c>
      <c r="AJ1245" s="31" t="s">
        <v>2113</v>
      </c>
      <c r="AK1245" s="6">
        <v>1</v>
      </c>
      <c r="AL1245" s="26">
        <v>1100000</v>
      </c>
      <c r="AM1245" s="26">
        <v>1100000</v>
      </c>
      <c r="AN1245" s="26">
        <v>1100000</v>
      </c>
      <c r="AO1245" s="6" t="s">
        <v>2003</v>
      </c>
      <c r="AQ1245" s="6" t="s">
        <v>49</v>
      </c>
      <c r="AU1245" s="6">
        <v>227415</v>
      </c>
    </row>
    <row r="1246" spans="1:47" x14ac:dyDescent="0.3">
      <c r="A1246" s="28" t="s">
        <v>42</v>
      </c>
      <c r="B1246" s="6" t="s">
        <v>2189</v>
      </c>
      <c r="D1246" s="6" t="s">
        <v>2101</v>
      </c>
      <c r="E1246" s="6">
        <v>1</v>
      </c>
      <c r="F1246" s="6" t="s">
        <v>2004</v>
      </c>
      <c r="G1246" s="6" t="s">
        <v>2005</v>
      </c>
      <c r="H1246" s="6" t="s">
        <v>2005</v>
      </c>
      <c r="I1246" s="6" t="str">
        <f t="shared" si="38"/>
        <v>Quick Coupler</v>
      </c>
      <c r="J1246" s="6" t="s">
        <v>238</v>
      </c>
      <c r="K1246" s="6">
        <v>1</v>
      </c>
      <c r="P1246" s="6">
        <f t="shared" si="39"/>
        <v>2200000</v>
      </c>
      <c r="R1246" s="6" t="s">
        <v>2003</v>
      </c>
      <c r="T1246" s="6" t="s">
        <v>1110</v>
      </c>
      <c r="U1246" s="6">
        <v>2015</v>
      </c>
      <c r="V1246" s="6">
        <v>6</v>
      </c>
      <c r="AD1246" s="6" t="s">
        <v>45</v>
      </c>
      <c r="AJ1246" s="31" t="s">
        <v>2123</v>
      </c>
      <c r="AK1246" s="6">
        <v>1</v>
      </c>
      <c r="AL1246" s="26">
        <v>2000000</v>
      </c>
      <c r="AM1246" s="26">
        <v>2000000</v>
      </c>
      <c r="AN1246" s="26">
        <v>2000000</v>
      </c>
      <c r="AO1246" s="6" t="s">
        <v>2003</v>
      </c>
      <c r="AQ1246" s="6" t="s">
        <v>92</v>
      </c>
      <c r="AU1246" s="6">
        <v>227416</v>
      </c>
    </row>
    <row r="1247" spans="1:47" x14ac:dyDescent="0.3">
      <c r="A1247" s="28" t="s">
        <v>42</v>
      </c>
      <c r="B1247" s="6" t="s">
        <v>2186</v>
      </c>
      <c r="C1247" s="6" t="s">
        <v>2205</v>
      </c>
      <c r="D1247" s="6" t="s">
        <v>2101</v>
      </c>
      <c r="E1247" s="6">
        <v>1</v>
      </c>
      <c r="F1247" s="6" t="s">
        <v>2004</v>
      </c>
      <c r="G1247" s="6" t="s">
        <v>2005</v>
      </c>
      <c r="H1247" s="6" t="s">
        <v>2005</v>
      </c>
      <c r="I1247" s="6" t="str">
        <f t="shared" si="38"/>
        <v>Standard Bucket</v>
      </c>
      <c r="J1247" s="6" t="s">
        <v>569</v>
      </c>
      <c r="K1247" s="6">
        <v>1</v>
      </c>
      <c r="P1247" s="6">
        <f t="shared" si="39"/>
        <v>13500000</v>
      </c>
      <c r="R1247" s="6" t="s">
        <v>2003</v>
      </c>
      <c r="T1247" s="6" t="s">
        <v>831</v>
      </c>
      <c r="U1247" s="6">
        <v>2012</v>
      </c>
      <c r="V1247" s="6">
        <v>1</v>
      </c>
      <c r="AD1247" s="6" t="s">
        <v>45</v>
      </c>
      <c r="AJ1247" s="31" t="s">
        <v>2117</v>
      </c>
      <c r="AK1247" s="6">
        <v>1</v>
      </c>
      <c r="AL1247" s="26">
        <v>13000000</v>
      </c>
      <c r="AM1247" s="26">
        <v>13000000</v>
      </c>
      <c r="AN1247" s="26">
        <v>13000000</v>
      </c>
      <c r="AO1247" s="6" t="s">
        <v>2003</v>
      </c>
      <c r="AQ1247" s="6" t="s">
        <v>1145</v>
      </c>
      <c r="AU1247" s="6">
        <v>227417</v>
      </c>
    </row>
    <row r="1248" spans="1:47" x14ac:dyDescent="0.3">
      <c r="A1248" s="28" t="s">
        <v>42</v>
      </c>
      <c r="B1248" s="6" t="s">
        <v>2199</v>
      </c>
      <c r="D1248" s="6" t="s">
        <v>2104</v>
      </c>
      <c r="E1248" s="6">
        <v>1</v>
      </c>
      <c r="F1248" s="6" t="s">
        <v>2004</v>
      </c>
      <c r="G1248" s="6" t="s">
        <v>2005</v>
      </c>
      <c r="H1248" s="6" t="s">
        <v>2005</v>
      </c>
      <c r="I1248" s="6" t="str">
        <f t="shared" si="38"/>
        <v>Quick Coupler</v>
      </c>
      <c r="J1248" s="6" t="s">
        <v>249</v>
      </c>
      <c r="K1248" s="6">
        <v>1</v>
      </c>
      <c r="P1248" s="6">
        <f t="shared" si="39"/>
        <v>900000</v>
      </c>
      <c r="R1248" s="6" t="s">
        <v>2003</v>
      </c>
      <c r="T1248" s="6" t="s">
        <v>2012</v>
      </c>
      <c r="U1248" s="6">
        <v>2014</v>
      </c>
      <c r="V1248" s="6">
        <v>1</v>
      </c>
      <c r="AD1248" s="6" t="s">
        <v>45</v>
      </c>
      <c r="AJ1248" s="31" t="s">
        <v>2113</v>
      </c>
      <c r="AK1248" s="6">
        <v>1</v>
      </c>
      <c r="AL1248" s="26">
        <v>800000</v>
      </c>
      <c r="AM1248" s="26">
        <v>800000</v>
      </c>
      <c r="AN1248" s="26">
        <v>800000</v>
      </c>
      <c r="AO1248" s="6" t="s">
        <v>2003</v>
      </c>
      <c r="AQ1248" s="6" t="s">
        <v>49</v>
      </c>
      <c r="AU1248" s="6">
        <v>227418</v>
      </c>
    </row>
    <row r="1249" spans="1:47" hidden="1" x14ac:dyDescent="0.3">
      <c r="A1249" s="28" t="s">
        <v>42</v>
      </c>
      <c r="B1249" s="6" t="s">
        <v>2175</v>
      </c>
      <c r="E1249" s="6">
        <v>1</v>
      </c>
      <c r="F1249" s="6" t="s">
        <v>2004</v>
      </c>
      <c r="G1249" s="6" t="s">
        <v>2005</v>
      </c>
      <c r="H1249" s="6" t="s">
        <v>2005</v>
      </c>
      <c r="I1249" s="6" t="str">
        <f t="shared" si="38"/>
        <v>Crusher</v>
      </c>
      <c r="J1249" s="6" t="s">
        <v>666</v>
      </c>
      <c r="K1249" s="6">
        <v>1</v>
      </c>
      <c r="P1249" s="6">
        <f t="shared" si="39"/>
        <v>5500000</v>
      </c>
      <c r="R1249" s="6" t="s">
        <v>2003</v>
      </c>
      <c r="T1249" s="6" t="s">
        <v>1911</v>
      </c>
      <c r="U1249" s="6">
        <v>2007</v>
      </c>
      <c r="V1249" s="6">
        <v>1</v>
      </c>
      <c r="AD1249" s="6" t="s">
        <v>45</v>
      </c>
      <c r="AJ1249" s="31" t="s">
        <v>2116</v>
      </c>
      <c r="AK1249" s="6">
        <v>1</v>
      </c>
      <c r="AL1249" s="26">
        <v>5000000</v>
      </c>
      <c r="AM1249" s="26">
        <v>5000000</v>
      </c>
      <c r="AN1249" s="26">
        <v>5000000</v>
      </c>
      <c r="AO1249" s="6" t="s">
        <v>2003</v>
      </c>
      <c r="AQ1249" s="6" t="s">
        <v>1298</v>
      </c>
      <c r="AU1249" s="6">
        <v>227420</v>
      </c>
    </row>
    <row r="1250" spans="1:47" x14ac:dyDescent="0.3">
      <c r="A1250" s="28" t="s">
        <v>42</v>
      </c>
      <c r="B1250" s="6" t="s">
        <v>2177</v>
      </c>
      <c r="C1250" s="6" t="s">
        <v>2206</v>
      </c>
      <c r="D1250" s="6" t="s">
        <v>2100</v>
      </c>
      <c r="E1250" s="6">
        <v>1</v>
      </c>
      <c r="F1250" s="6" t="s">
        <v>2004</v>
      </c>
      <c r="G1250" s="6" t="s">
        <v>2005</v>
      </c>
      <c r="H1250" s="6" t="s">
        <v>2005</v>
      </c>
      <c r="I1250" s="6" t="str">
        <f t="shared" si="38"/>
        <v>Etc Grapple</v>
      </c>
      <c r="J1250" s="6" t="s">
        <v>782</v>
      </c>
      <c r="K1250" s="6">
        <v>1</v>
      </c>
      <c r="P1250" s="6">
        <f t="shared" si="39"/>
        <v>2200000</v>
      </c>
      <c r="R1250" s="6" t="s">
        <v>2003</v>
      </c>
      <c r="T1250" s="6" t="s">
        <v>799</v>
      </c>
      <c r="U1250" s="6">
        <v>2012</v>
      </c>
      <c r="V1250" s="6">
        <v>1</v>
      </c>
      <c r="AD1250" s="6" t="s">
        <v>45</v>
      </c>
      <c r="AJ1250" s="31" t="s">
        <v>2110</v>
      </c>
      <c r="AK1250" s="6">
        <v>1</v>
      </c>
      <c r="AL1250" s="26">
        <v>2000000</v>
      </c>
      <c r="AM1250" s="26">
        <v>2000000</v>
      </c>
      <c r="AN1250" s="26">
        <v>2000000</v>
      </c>
      <c r="AO1250" s="6" t="s">
        <v>2003</v>
      </c>
      <c r="AQ1250" s="6" t="s">
        <v>1320</v>
      </c>
      <c r="AU1250" s="6">
        <v>227429</v>
      </c>
    </row>
    <row r="1251" spans="1:47" x14ac:dyDescent="0.3">
      <c r="A1251" s="28" t="s">
        <v>42</v>
      </c>
      <c r="B1251" s="6" t="s">
        <v>2191</v>
      </c>
      <c r="C1251" s="6" t="s">
        <v>1975</v>
      </c>
      <c r="D1251" s="6" t="s">
        <v>2100</v>
      </c>
      <c r="E1251" s="6">
        <v>1</v>
      </c>
      <c r="F1251" s="6" t="s">
        <v>2004</v>
      </c>
      <c r="G1251" s="6" t="s">
        <v>2005</v>
      </c>
      <c r="H1251" s="6" t="s">
        <v>2005</v>
      </c>
      <c r="I1251" s="6" t="str">
        <f t="shared" si="38"/>
        <v>Side Breaker</v>
      </c>
      <c r="J1251" s="6" t="s">
        <v>333</v>
      </c>
      <c r="K1251" s="6">
        <v>1</v>
      </c>
      <c r="P1251" s="6">
        <f t="shared" si="39"/>
        <v>1600000</v>
      </c>
      <c r="R1251" s="6" t="s">
        <v>2003</v>
      </c>
      <c r="T1251" s="6" t="s">
        <v>814</v>
      </c>
      <c r="U1251" s="6">
        <v>2014</v>
      </c>
      <c r="V1251" s="6">
        <v>6</v>
      </c>
      <c r="AD1251" s="6" t="s">
        <v>45</v>
      </c>
      <c r="AJ1251" s="31" t="s">
        <v>2119</v>
      </c>
      <c r="AK1251" s="6">
        <v>1</v>
      </c>
      <c r="AL1251" s="26">
        <v>1500000</v>
      </c>
      <c r="AM1251" s="26">
        <v>1500000</v>
      </c>
      <c r="AN1251" s="26">
        <v>1500000</v>
      </c>
      <c r="AO1251" s="6" t="s">
        <v>2003</v>
      </c>
      <c r="AQ1251" s="6" t="s">
        <v>1194</v>
      </c>
      <c r="AU1251" s="6">
        <v>227431</v>
      </c>
    </row>
    <row r="1252" spans="1:47" x14ac:dyDescent="0.3">
      <c r="A1252" s="28" t="s">
        <v>42</v>
      </c>
      <c r="B1252" s="6" t="s">
        <v>2191</v>
      </c>
      <c r="C1252" s="6" t="s">
        <v>1975</v>
      </c>
      <c r="D1252" s="6" t="s">
        <v>2104</v>
      </c>
      <c r="E1252" s="6">
        <v>1</v>
      </c>
      <c r="F1252" s="6" t="s">
        <v>2004</v>
      </c>
      <c r="G1252" s="6" t="s">
        <v>2005</v>
      </c>
      <c r="H1252" s="6" t="s">
        <v>2005</v>
      </c>
      <c r="I1252" s="6" t="str">
        <f t="shared" si="38"/>
        <v>Side Breaker</v>
      </c>
      <c r="J1252" s="6" t="s">
        <v>198</v>
      </c>
      <c r="K1252" s="6">
        <v>1</v>
      </c>
      <c r="P1252" s="6">
        <f t="shared" si="39"/>
        <v>3200000</v>
      </c>
      <c r="R1252" s="6" t="s">
        <v>2003</v>
      </c>
      <c r="T1252" s="6" t="s">
        <v>66</v>
      </c>
      <c r="U1252" s="6">
        <v>2010</v>
      </c>
      <c r="V1252" s="6">
        <v>1</v>
      </c>
      <c r="AD1252" s="6" t="s">
        <v>45</v>
      </c>
      <c r="AJ1252" s="31" t="s">
        <v>2118</v>
      </c>
      <c r="AK1252" s="6">
        <v>1</v>
      </c>
      <c r="AL1252" s="26">
        <v>3000000</v>
      </c>
      <c r="AM1252" s="26">
        <v>3000000</v>
      </c>
      <c r="AN1252" s="26">
        <v>3000000</v>
      </c>
      <c r="AO1252" s="6" t="s">
        <v>2003</v>
      </c>
      <c r="AQ1252" s="6" t="s">
        <v>67</v>
      </c>
      <c r="AU1252" s="6">
        <v>227434</v>
      </c>
    </row>
    <row r="1253" spans="1:47" x14ac:dyDescent="0.3">
      <c r="A1253" s="28" t="s">
        <v>42</v>
      </c>
      <c r="B1253" s="6" t="s">
        <v>2186</v>
      </c>
      <c r="C1253" s="6" t="s">
        <v>1971</v>
      </c>
      <c r="D1253" s="6" t="s">
        <v>2101</v>
      </c>
      <c r="E1253" s="6">
        <v>1</v>
      </c>
      <c r="F1253" s="6" t="s">
        <v>2004</v>
      </c>
      <c r="G1253" s="6" t="s">
        <v>2005</v>
      </c>
      <c r="H1253" s="6" t="s">
        <v>2005</v>
      </c>
      <c r="I1253" s="6" t="str">
        <f t="shared" si="38"/>
        <v>Special Bucket</v>
      </c>
      <c r="J1253" s="6" t="s">
        <v>604</v>
      </c>
      <c r="K1253" s="6">
        <v>1</v>
      </c>
      <c r="P1253" s="6">
        <f t="shared" si="39"/>
        <v>7000000</v>
      </c>
      <c r="R1253" s="6" t="s">
        <v>2003</v>
      </c>
      <c r="T1253" s="6" t="s">
        <v>796</v>
      </c>
      <c r="U1253" s="6">
        <v>2013</v>
      </c>
      <c r="V1253" s="6">
        <v>1</v>
      </c>
      <c r="AD1253" s="6" t="s">
        <v>45</v>
      </c>
      <c r="AJ1253" s="31" t="s">
        <v>2112</v>
      </c>
      <c r="AK1253" s="6">
        <v>1</v>
      </c>
      <c r="AL1253" s="26">
        <v>6500000</v>
      </c>
      <c r="AM1253" s="26">
        <v>6500000</v>
      </c>
      <c r="AN1253" s="26">
        <v>6500000</v>
      </c>
      <c r="AO1253" s="6" t="s">
        <v>2003</v>
      </c>
      <c r="AQ1253" s="6" t="s">
        <v>1213</v>
      </c>
      <c r="AU1253" s="6">
        <v>227435</v>
      </c>
    </row>
    <row r="1254" spans="1:47" hidden="1" x14ac:dyDescent="0.3">
      <c r="A1254" s="28" t="s">
        <v>42</v>
      </c>
      <c r="B1254" s="6" t="s">
        <v>2185</v>
      </c>
      <c r="E1254" s="6">
        <v>1</v>
      </c>
      <c r="F1254" s="6" t="s">
        <v>2004</v>
      </c>
      <c r="G1254" s="6" t="s">
        <v>2005</v>
      </c>
      <c r="H1254" s="6" t="s">
        <v>2005</v>
      </c>
      <c r="I1254" s="6" t="str">
        <f t="shared" si="38"/>
        <v>ETC</v>
      </c>
      <c r="J1254" s="6" t="s">
        <v>601</v>
      </c>
      <c r="K1254" s="6">
        <v>1</v>
      </c>
      <c r="P1254" s="6">
        <f t="shared" si="39"/>
        <v>1800000</v>
      </c>
      <c r="R1254" s="6" t="s">
        <v>2003</v>
      </c>
      <c r="T1254" s="6" t="s">
        <v>1912</v>
      </c>
      <c r="U1254" s="6">
        <v>2017</v>
      </c>
      <c r="V1254" s="6">
        <v>2</v>
      </c>
      <c r="AD1254" s="6" t="s">
        <v>45</v>
      </c>
      <c r="AJ1254" s="31" t="s">
        <v>2112</v>
      </c>
      <c r="AK1254" s="6">
        <v>1</v>
      </c>
      <c r="AL1254" s="26">
        <v>1700000</v>
      </c>
      <c r="AM1254" s="26">
        <v>1700000</v>
      </c>
      <c r="AN1254" s="26">
        <v>1700000</v>
      </c>
      <c r="AO1254" s="6" t="s">
        <v>2003</v>
      </c>
      <c r="AQ1254" s="6" t="s">
        <v>1239</v>
      </c>
      <c r="AU1254" s="6">
        <v>227436</v>
      </c>
    </row>
    <row r="1255" spans="1:47" x14ac:dyDescent="0.3">
      <c r="A1255" s="28" t="s">
        <v>42</v>
      </c>
      <c r="B1255" s="6" t="s">
        <v>2187</v>
      </c>
      <c r="C1255" s="6" t="s">
        <v>1972</v>
      </c>
      <c r="D1255" s="6" t="s">
        <v>2103</v>
      </c>
      <c r="E1255" s="6">
        <v>1</v>
      </c>
      <c r="F1255" s="6" t="s">
        <v>2004</v>
      </c>
      <c r="G1255" s="6" t="s">
        <v>2005</v>
      </c>
      <c r="H1255" s="6" t="s">
        <v>2005</v>
      </c>
      <c r="I1255" s="6" t="str">
        <f t="shared" si="38"/>
        <v>Stone Grapple</v>
      </c>
      <c r="J1255" s="6" t="s">
        <v>94</v>
      </c>
      <c r="K1255" s="6">
        <v>1</v>
      </c>
      <c r="P1255" s="6">
        <f t="shared" si="39"/>
        <v>2700000</v>
      </c>
      <c r="R1255" s="6" t="s">
        <v>2003</v>
      </c>
      <c r="T1255" s="6" t="s">
        <v>2011</v>
      </c>
      <c r="U1255" s="6">
        <v>2010</v>
      </c>
      <c r="V1255" s="6">
        <v>6</v>
      </c>
      <c r="AD1255" s="6" t="s">
        <v>45</v>
      </c>
      <c r="AJ1255" s="31" t="s">
        <v>2123</v>
      </c>
      <c r="AK1255" s="6">
        <v>1</v>
      </c>
      <c r="AL1255" s="26">
        <v>2500000</v>
      </c>
      <c r="AM1255" s="26">
        <v>2500000</v>
      </c>
      <c r="AN1255" s="26">
        <v>2500000</v>
      </c>
      <c r="AO1255" s="6" t="s">
        <v>2003</v>
      </c>
      <c r="AQ1255" s="6" t="s">
        <v>1200</v>
      </c>
      <c r="AU1255" s="6">
        <v>227439</v>
      </c>
    </row>
    <row r="1256" spans="1:47" x14ac:dyDescent="0.3">
      <c r="A1256" s="28" t="s">
        <v>42</v>
      </c>
      <c r="B1256" s="6" t="s">
        <v>2204</v>
      </c>
      <c r="C1256" s="6" t="s">
        <v>1987</v>
      </c>
      <c r="D1256" s="6" t="s">
        <v>2104</v>
      </c>
      <c r="E1256" s="6">
        <v>1</v>
      </c>
      <c r="F1256" s="6" t="s">
        <v>2004</v>
      </c>
      <c r="G1256" s="6" t="s">
        <v>2005</v>
      </c>
      <c r="H1256" s="6" t="s">
        <v>2005</v>
      </c>
      <c r="I1256" s="6" t="str">
        <f t="shared" si="38"/>
        <v>Progressive Thumb Grapple</v>
      </c>
      <c r="J1256" s="6" t="s">
        <v>1961</v>
      </c>
      <c r="K1256" s="6">
        <v>1</v>
      </c>
      <c r="P1256" s="6">
        <f t="shared" si="39"/>
        <v>1100000</v>
      </c>
      <c r="R1256" s="6" t="s">
        <v>2003</v>
      </c>
      <c r="T1256" s="6" t="s">
        <v>54</v>
      </c>
      <c r="U1256" s="6">
        <v>2010</v>
      </c>
      <c r="V1256" s="6">
        <v>1</v>
      </c>
      <c r="AD1256" s="6" t="s">
        <v>45</v>
      </c>
      <c r="AJ1256" s="31" t="s">
        <v>2111</v>
      </c>
      <c r="AK1256" s="6">
        <v>1</v>
      </c>
      <c r="AL1256" s="26">
        <v>1000000</v>
      </c>
      <c r="AM1256" s="26">
        <v>1000000</v>
      </c>
      <c r="AN1256" s="26">
        <v>1000000</v>
      </c>
      <c r="AO1256" s="6" t="s">
        <v>2003</v>
      </c>
      <c r="AQ1256" s="6" t="s">
        <v>54</v>
      </c>
      <c r="AU1256" s="6">
        <v>227441</v>
      </c>
    </row>
    <row r="1257" spans="1:47" x14ac:dyDescent="0.3">
      <c r="A1257" s="28" t="s">
        <v>42</v>
      </c>
      <c r="B1257" s="6" t="s">
        <v>2185</v>
      </c>
      <c r="D1257" s="6" t="s">
        <v>2103</v>
      </c>
      <c r="E1257" s="6">
        <v>1</v>
      </c>
      <c r="F1257" s="6" t="s">
        <v>2004</v>
      </c>
      <c r="G1257" s="6" t="s">
        <v>2005</v>
      </c>
      <c r="H1257" s="6" t="s">
        <v>2005</v>
      </c>
      <c r="I1257" s="6" t="str">
        <f t="shared" si="38"/>
        <v>ETC</v>
      </c>
      <c r="J1257" s="6" t="s">
        <v>331</v>
      </c>
      <c r="K1257" s="6">
        <v>1</v>
      </c>
      <c r="P1257" s="6">
        <f t="shared" si="39"/>
        <v>4700000</v>
      </c>
      <c r="R1257" s="6" t="s">
        <v>2003</v>
      </c>
      <c r="T1257" s="6" t="s">
        <v>1913</v>
      </c>
      <c r="U1257" s="6">
        <v>2000</v>
      </c>
      <c r="V1257" s="6">
        <v>1</v>
      </c>
      <c r="AD1257" s="6" t="s">
        <v>45</v>
      </c>
      <c r="AJ1257" s="31" t="s">
        <v>2111</v>
      </c>
      <c r="AK1257" s="6">
        <v>1</v>
      </c>
      <c r="AL1257" s="26">
        <v>4500000</v>
      </c>
      <c r="AM1257" s="26">
        <v>4500000</v>
      </c>
      <c r="AN1257" s="26">
        <v>4500000</v>
      </c>
      <c r="AO1257" s="6" t="s">
        <v>2003</v>
      </c>
      <c r="AQ1257" s="6" t="s">
        <v>1924</v>
      </c>
      <c r="AU1257" s="6">
        <v>227442</v>
      </c>
    </row>
    <row r="1258" spans="1:47" hidden="1" x14ac:dyDescent="0.3">
      <c r="A1258" s="28" t="s">
        <v>42</v>
      </c>
      <c r="B1258" s="6" t="s">
        <v>2185</v>
      </c>
      <c r="E1258" s="6">
        <v>1</v>
      </c>
      <c r="F1258" s="6" t="s">
        <v>2004</v>
      </c>
      <c r="G1258" s="6" t="s">
        <v>2005</v>
      </c>
      <c r="H1258" s="6" t="s">
        <v>2005</v>
      </c>
      <c r="I1258" s="6" t="str">
        <f t="shared" si="38"/>
        <v>ETC</v>
      </c>
      <c r="J1258" s="6" t="s">
        <v>211</v>
      </c>
      <c r="K1258" s="6">
        <v>1</v>
      </c>
      <c r="P1258" s="6">
        <f t="shared" si="39"/>
        <v>5500000</v>
      </c>
      <c r="R1258" s="6" t="s">
        <v>2003</v>
      </c>
      <c r="T1258" s="6" t="s">
        <v>1831</v>
      </c>
      <c r="U1258" s="6">
        <v>2010</v>
      </c>
      <c r="V1258" s="6">
        <v>5</v>
      </c>
      <c r="AD1258" s="6" t="s">
        <v>45</v>
      </c>
      <c r="AJ1258" s="31" t="s">
        <v>2125</v>
      </c>
      <c r="AK1258" s="6">
        <v>1</v>
      </c>
      <c r="AL1258" s="26">
        <v>5000000</v>
      </c>
      <c r="AM1258" s="26">
        <v>5000000</v>
      </c>
      <c r="AN1258" s="26">
        <v>5000000</v>
      </c>
      <c r="AO1258" s="6" t="s">
        <v>2003</v>
      </c>
      <c r="AQ1258" s="6" t="s">
        <v>1176</v>
      </c>
      <c r="AU1258" s="6">
        <v>227443</v>
      </c>
    </row>
    <row r="1259" spans="1:47" hidden="1" x14ac:dyDescent="0.3">
      <c r="A1259" s="28" t="s">
        <v>42</v>
      </c>
      <c r="B1259" s="6" t="s">
        <v>2185</v>
      </c>
      <c r="E1259" s="6">
        <v>1</v>
      </c>
      <c r="F1259" s="6" t="s">
        <v>2004</v>
      </c>
      <c r="G1259" s="6" t="s">
        <v>2005</v>
      </c>
      <c r="H1259" s="6" t="s">
        <v>2005</v>
      </c>
      <c r="I1259" s="6" t="str">
        <f t="shared" si="38"/>
        <v>ETC</v>
      </c>
      <c r="J1259" s="6" t="s">
        <v>1962</v>
      </c>
      <c r="K1259" s="6">
        <v>1</v>
      </c>
      <c r="P1259" s="6">
        <f t="shared" si="39"/>
        <v>17500000</v>
      </c>
      <c r="R1259" s="6" t="s">
        <v>2003</v>
      </c>
      <c r="T1259" s="6" t="s">
        <v>1914</v>
      </c>
      <c r="U1259" s="6">
        <v>1996</v>
      </c>
      <c r="V1259" s="6">
        <v>7</v>
      </c>
      <c r="AD1259" s="6" t="s">
        <v>45</v>
      </c>
      <c r="AJ1259" s="31" t="s">
        <v>2113</v>
      </c>
      <c r="AK1259" s="6">
        <v>1</v>
      </c>
      <c r="AL1259" s="26">
        <v>17000000</v>
      </c>
      <c r="AM1259" s="26">
        <v>17000000</v>
      </c>
      <c r="AN1259" s="26">
        <v>17000000</v>
      </c>
      <c r="AO1259" s="6" t="s">
        <v>2003</v>
      </c>
      <c r="AQ1259" s="6" t="s">
        <v>1926</v>
      </c>
      <c r="AU1259" s="6">
        <v>227444</v>
      </c>
    </row>
    <row r="1260" spans="1:47" x14ac:dyDescent="0.3">
      <c r="A1260" s="28" t="s">
        <v>42</v>
      </c>
      <c r="B1260" s="6" t="s">
        <v>2195</v>
      </c>
      <c r="C1260" s="6" t="s">
        <v>1978</v>
      </c>
      <c r="D1260" s="6" t="s">
        <v>2105</v>
      </c>
      <c r="E1260" s="6">
        <v>1</v>
      </c>
      <c r="F1260" s="6" t="s">
        <v>2004</v>
      </c>
      <c r="G1260" s="6" t="s">
        <v>2005</v>
      </c>
      <c r="H1260" s="6" t="s">
        <v>2005</v>
      </c>
      <c r="I1260" s="6" t="str">
        <f t="shared" si="38"/>
        <v>Hydraulic Pulverizer</v>
      </c>
      <c r="J1260" s="6" t="s">
        <v>412</v>
      </c>
      <c r="K1260" s="6">
        <v>1</v>
      </c>
      <c r="P1260" s="6">
        <f t="shared" si="39"/>
        <v>16500000</v>
      </c>
      <c r="R1260" s="6" t="s">
        <v>2003</v>
      </c>
      <c r="T1260" s="6" t="s">
        <v>813</v>
      </c>
      <c r="U1260" s="6">
        <v>2014</v>
      </c>
      <c r="V1260" s="6">
        <v>1</v>
      </c>
      <c r="AD1260" s="6" t="s">
        <v>45</v>
      </c>
      <c r="AJ1260" s="31" t="s">
        <v>2113</v>
      </c>
      <c r="AK1260" s="6">
        <v>1</v>
      </c>
      <c r="AL1260" s="26">
        <v>16000000</v>
      </c>
      <c r="AM1260" s="26">
        <v>16000000</v>
      </c>
      <c r="AN1260" s="26">
        <v>16000000</v>
      </c>
      <c r="AO1260" s="6" t="s">
        <v>2003</v>
      </c>
      <c r="AQ1260" s="6" t="s">
        <v>79</v>
      </c>
      <c r="AU1260" s="6">
        <v>227445</v>
      </c>
    </row>
    <row r="1261" spans="1:47" x14ac:dyDescent="0.3">
      <c r="A1261" s="28" t="s">
        <v>42</v>
      </c>
      <c r="B1261" s="6" t="s">
        <v>2191</v>
      </c>
      <c r="C1261" s="6" t="s">
        <v>1975</v>
      </c>
      <c r="D1261" s="6" t="s">
        <v>2104</v>
      </c>
      <c r="E1261" s="6">
        <v>1</v>
      </c>
      <c r="F1261" s="6" t="s">
        <v>2004</v>
      </c>
      <c r="G1261" s="6" t="s">
        <v>2005</v>
      </c>
      <c r="H1261" s="6" t="s">
        <v>2005</v>
      </c>
      <c r="I1261" s="6" t="str">
        <f t="shared" si="38"/>
        <v>Side Breaker</v>
      </c>
      <c r="J1261" s="6" t="s">
        <v>100</v>
      </c>
      <c r="K1261" s="6">
        <v>1</v>
      </c>
      <c r="P1261" s="6">
        <f t="shared" si="39"/>
        <v>3000000</v>
      </c>
      <c r="R1261" s="6" t="s">
        <v>2003</v>
      </c>
      <c r="T1261" s="6" t="s">
        <v>66</v>
      </c>
      <c r="U1261" s="6">
        <v>2008</v>
      </c>
      <c r="V1261" s="6">
        <v>1</v>
      </c>
      <c r="AD1261" s="6" t="s">
        <v>45</v>
      </c>
      <c r="AJ1261" s="31" t="s">
        <v>2118</v>
      </c>
      <c r="AK1261" s="6">
        <v>1</v>
      </c>
      <c r="AL1261" s="26">
        <v>2800000</v>
      </c>
      <c r="AM1261" s="26">
        <v>2800000</v>
      </c>
      <c r="AN1261" s="26">
        <v>2800000</v>
      </c>
      <c r="AO1261" s="6" t="s">
        <v>2003</v>
      </c>
      <c r="AQ1261" s="6" t="s">
        <v>67</v>
      </c>
      <c r="AU1261" s="6">
        <v>227448</v>
      </c>
    </row>
    <row r="1262" spans="1:47" x14ac:dyDescent="0.3">
      <c r="A1262" s="28" t="s">
        <v>42</v>
      </c>
      <c r="B1262" s="6" t="s">
        <v>2186</v>
      </c>
      <c r="C1262" s="6" t="s">
        <v>1977</v>
      </c>
      <c r="D1262" s="6" t="s">
        <v>2100</v>
      </c>
      <c r="E1262" s="6">
        <v>1</v>
      </c>
      <c r="F1262" s="6" t="s">
        <v>2004</v>
      </c>
      <c r="G1262" s="6" t="s">
        <v>2005</v>
      </c>
      <c r="H1262" s="6" t="s">
        <v>2005</v>
      </c>
      <c r="I1262" s="6" t="str">
        <f t="shared" si="38"/>
        <v>Wide Bucket</v>
      </c>
      <c r="J1262" s="6" t="s">
        <v>1963</v>
      </c>
      <c r="K1262" s="6">
        <v>1</v>
      </c>
      <c r="P1262" s="6">
        <f t="shared" si="39"/>
        <v>450000</v>
      </c>
      <c r="R1262" s="6" t="s">
        <v>2003</v>
      </c>
      <c r="T1262" s="6" t="s">
        <v>846</v>
      </c>
      <c r="U1262" s="6">
        <v>2017</v>
      </c>
      <c r="V1262" s="6">
        <v>1</v>
      </c>
      <c r="AD1262" s="6" t="s">
        <v>45</v>
      </c>
      <c r="AJ1262" s="31" t="s">
        <v>2113</v>
      </c>
      <c r="AK1262" s="6">
        <v>1</v>
      </c>
      <c r="AL1262" s="26">
        <v>400000</v>
      </c>
      <c r="AM1262" s="26">
        <v>400000</v>
      </c>
      <c r="AN1262" s="26">
        <v>400000</v>
      </c>
      <c r="AO1262" s="6" t="s">
        <v>2003</v>
      </c>
      <c r="AQ1262" s="6" t="s">
        <v>49</v>
      </c>
      <c r="AU1262" s="6">
        <v>227450</v>
      </c>
    </row>
    <row r="1263" spans="1:47" x14ac:dyDescent="0.3">
      <c r="A1263" s="28" t="s">
        <v>42</v>
      </c>
      <c r="B1263" s="6" t="s">
        <v>2187</v>
      </c>
      <c r="C1263" s="6" t="s">
        <v>1972</v>
      </c>
      <c r="D1263" s="6" t="s">
        <v>2105</v>
      </c>
      <c r="E1263" s="6">
        <v>1</v>
      </c>
      <c r="F1263" s="6" t="s">
        <v>2004</v>
      </c>
      <c r="G1263" s="6" t="s">
        <v>2005</v>
      </c>
      <c r="H1263" s="6" t="s">
        <v>2005</v>
      </c>
      <c r="I1263" s="6" t="str">
        <f t="shared" si="38"/>
        <v>Stone Grapple</v>
      </c>
      <c r="J1263" s="6" t="s">
        <v>174</v>
      </c>
      <c r="K1263" s="6">
        <v>1</v>
      </c>
      <c r="P1263" s="6">
        <f t="shared" si="39"/>
        <v>7500000</v>
      </c>
      <c r="R1263" s="6" t="s">
        <v>2003</v>
      </c>
      <c r="T1263" s="6" t="s">
        <v>2033</v>
      </c>
      <c r="U1263" s="6">
        <v>2015</v>
      </c>
      <c r="V1263" s="6">
        <v>5</v>
      </c>
      <c r="AD1263" s="6" t="s">
        <v>45</v>
      </c>
      <c r="AJ1263" s="31" t="s">
        <v>2123</v>
      </c>
      <c r="AK1263" s="6">
        <v>1</v>
      </c>
      <c r="AL1263" s="26">
        <v>7000000</v>
      </c>
      <c r="AM1263" s="26">
        <v>7000000</v>
      </c>
      <c r="AN1263" s="26">
        <v>7000000</v>
      </c>
      <c r="AO1263" s="6" t="s">
        <v>2003</v>
      </c>
      <c r="AQ1263" s="6" t="s">
        <v>1218</v>
      </c>
      <c r="AU1263" s="6">
        <v>227451</v>
      </c>
    </row>
    <row r="1264" spans="1:47" x14ac:dyDescent="0.3">
      <c r="A1264" s="28" t="s">
        <v>42</v>
      </c>
      <c r="B1264" s="6" t="s">
        <v>2185</v>
      </c>
      <c r="D1264" s="6" t="s">
        <v>2106</v>
      </c>
      <c r="E1264" s="6">
        <v>1</v>
      </c>
      <c r="F1264" s="6" t="s">
        <v>2004</v>
      </c>
      <c r="G1264" s="6" t="s">
        <v>2005</v>
      </c>
      <c r="H1264" s="6" t="s">
        <v>2005</v>
      </c>
      <c r="I1264" s="6" t="str">
        <f t="shared" si="38"/>
        <v>ETC</v>
      </c>
      <c r="J1264" s="6" t="s">
        <v>1964</v>
      </c>
      <c r="K1264" s="6">
        <v>1</v>
      </c>
      <c r="P1264" s="6">
        <f t="shared" si="39"/>
        <v>1900000</v>
      </c>
      <c r="R1264" s="6" t="s">
        <v>2003</v>
      </c>
      <c r="T1264" s="6" t="s">
        <v>798</v>
      </c>
      <c r="U1264" s="6">
        <v>2015</v>
      </c>
      <c r="V1264" s="6">
        <v>1</v>
      </c>
      <c r="AD1264" s="6" t="s">
        <v>45</v>
      </c>
      <c r="AJ1264" s="31" t="s">
        <v>2113</v>
      </c>
      <c r="AK1264" s="6">
        <v>1</v>
      </c>
      <c r="AL1264" s="26">
        <v>1800000</v>
      </c>
      <c r="AM1264" s="26">
        <v>1800000</v>
      </c>
      <c r="AN1264" s="26">
        <v>1800000</v>
      </c>
      <c r="AO1264" s="6" t="s">
        <v>2003</v>
      </c>
      <c r="AQ1264" s="6" t="s">
        <v>71</v>
      </c>
      <c r="AU1264" s="6">
        <v>227462</v>
      </c>
    </row>
    <row r="1265" spans="1:47" hidden="1" x14ac:dyDescent="0.3">
      <c r="A1265" s="28" t="s">
        <v>42</v>
      </c>
      <c r="B1265" s="6" t="s">
        <v>2185</v>
      </c>
      <c r="E1265" s="6">
        <v>1</v>
      </c>
      <c r="F1265" s="6" t="s">
        <v>2004</v>
      </c>
      <c r="G1265" s="6" t="s">
        <v>2005</v>
      </c>
      <c r="H1265" s="6" t="s">
        <v>2005</v>
      </c>
      <c r="I1265" s="6" t="str">
        <f t="shared" si="38"/>
        <v>ETC</v>
      </c>
      <c r="J1265" s="6" t="s">
        <v>763</v>
      </c>
      <c r="K1265" s="6">
        <v>1</v>
      </c>
      <c r="P1265" s="6">
        <f t="shared" si="39"/>
        <v>4500000</v>
      </c>
      <c r="R1265" s="6" t="s">
        <v>2003</v>
      </c>
      <c r="T1265" s="6" t="s">
        <v>1832</v>
      </c>
      <c r="U1265" s="6">
        <v>2007</v>
      </c>
      <c r="V1265" s="6">
        <v>1</v>
      </c>
      <c r="AD1265" s="6" t="s">
        <v>45</v>
      </c>
      <c r="AJ1265" s="31" t="s">
        <v>2117</v>
      </c>
      <c r="AK1265" s="6">
        <v>1</v>
      </c>
      <c r="AL1265" s="26">
        <v>4300000</v>
      </c>
      <c r="AM1265" s="26">
        <v>4300000</v>
      </c>
      <c r="AN1265" s="26">
        <v>4300000</v>
      </c>
      <c r="AO1265" s="6" t="s">
        <v>2003</v>
      </c>
      <c r="AQ1265" s="6" t="s">
        <v>1308</v>
      </c>
      <c r="AU1265" s="6">
        <v>227465</v>
      </c>
    </row>
    <row r="1266" spans="1:47" x14ac:dyDescent="0.3">
      <c r="A1266" s="28" t="s">
        <v>42</v>
      </c>
      <c r="B1266" s="6" t="s">
        <v>2187</v>
      </c>
      <c r="C1266" s="6" t="s">
        <v>1972</v>
      </c>
      <c r="D1266" s="6" t="s">
        <v>2104</v>
      </c>
      <c r="E1266" s="6">
        <v>1</v>
      </c>
      <c r="F1266" s="6" t="s">
        <v>2004</v>
      </c>
      <c r="G1266" s="6" t="s">
        <v>2005</v>
      </c>
      <c r="H1266" s="6" t="s">
        <v>2005</v>
      </c>
      <c r="I1266" s="6" t="str">
        <f t="shared" si="38"/>
        <v>Stone Grapple</v>
      </c>
      <c r="J1266" s="6" t="s">
        <v>120</v>
      </c>
      <c r="K1266" s="6">
        <v>1</v>
      </c>
      <c r="P1266" s="6">
        <f t="shared" si="39"/>
        <v>5500000</v>
      </c>
      <c r="R1266" s="6" t="s">
        <v>2003</v>
      </c>
      <c r="T1266" s="6" t="s">
        <v>2007</v>
      </c>
      <c r="U1266" s="6">
        <v>2014</v>
      </c>
      <c r="V1266" s="6">
        <v>1</v>
      </c>
      <c r="AD1266" s="6" t="s">
        <v>45</v>
      </c>
      <c r="AJ1266" s="31" t="s">
        <v>2113</v>
      </c>
      <c r="AK1266" s="6">
        <v>1</v>
      </c>
      <c r="AL1266" s="26">
        <v>5000000</v>
      </c>
      <c r="AM1266" s="26">
        <v>5000000</v>
      </c>
      <c r="AN1266" s="26">
        <v>5000000</v>
      </c>
      <c r="AO1266" s="6" t="s">
        <v>2003</v>
      </c>
      <c r="AQ1266" s="6" t="s">
        <v>49</v>
      </c>
      <c r="AU1266" s="6">
        <v>227468</v>
      </c>
    </row>
    <row r="1267" spans="1:47" x14ac:dyDescent="0.3">
      <c r="A1267" s="28" t="s">
        <v>42</v>
      </c>
      <c r="B1267" s="6" t="s">
        <v>2185</v>
      </c>
      <c r="D1267" s="6" t="s">
        <v>2102</v>
      </c>
      <c r="E1267" s="6">
        <v>1</v>
      </c>
      <c r="F1267" s="6" t="s">
        <v>2004</v>
      </c>
      <c r="G1267" s="6" t="s">
        <v>2005</v>
      </c>
      <c r="H1267" s="6" t="s">
        <v>2005</v>
      </c>
      <c r="I1267" s="6" t="str">
        <f t="shared" si="38"/>
        <v>ETC</v>
      </c>
      <c r="J1267" s="6" t="s">
        <v>378</v>
      </c>
      <c r="K1267" s="6">
        <v>1</v>
      </c>
      <c r="P1267" s="6">
        <f t="shared" si="39"/>
        <v>300000</v>
      </c>
      <c r="R1267" s="6" t="s">
        <v>2003</v>
      </c>
      <c r="T1267" s="6" t="s">
        <v>798</v>
      </c>
      <c r="U1267" s="6">
        <v>2017</v>
      </c>
      <c r="V1267" s="6">
        <v>1</v>
      </c>
      <c r="AD1267" s="6" t="s">
        <v>45</v>
      </c>
      <c r="AJ1267" s="31" t="s">
        <v>2113</v>
      </c>
      <c r="AK1267" s="6">
        <v>1</v>
      </c>
      <c r="AL1267" s="26">
        <v>250000</v>
      </c>
      <c r="AM1267" s="26">
        <v>250000</v>
      </c>
      <c r="AN1267" s="26">
        <v>250000</v>
      </c>
      <c r="AO1267" s="6" t="s">
        <v>2003</v>
      </c>
      <c r="AQ1267" s="6" t="s">
        <v>71</v>
      </c>
      <c r="AU1267" s="6">
        <v>227473</v>
      </c>
    </row>
    <row r="1268" spans="1:47" x14ac:dyDescent="0.3">
      <c r="A1268" s="28" t="s">
        <v>42</v>
      </c>
      <c r="B1268" s="6" t="s">
        <v>2187</v>
      </c>
      <c r="C1268" s="6" t="s">
        <v>1973</v>
      </c>
      <c r="D1268" s="6" t="s">
        <v>2100</v>
      </c>
      <c r="E1268" s="6">
        <v>1</v>
      </c>
      <c r="F1268" s="6" t="s">
        <v>2004</v>
      </c>
      <c r="G1268" s="6" t="s">
        <v>2005</v>
      </c>
      <c r="H1268" s="6" t="s">
        <v>2005</v>
      </c>
      <c r="I1268" s="6" t="str">
        <f t="shared" si="38"/>
        <v>Wood Grapple</v>
      </c>
      <c r="J1268" s="6" t="s">
        <v>127</v>
      </c>
      <c r="K1268" s="6">
        <v>1</v>
      </c>
      <c r="P1268" s="6">
        <f t="shared" si="39"/>
        <v>2200000</v>
      </c>
      <c r="R1268" s="6" t="s">
        <v>2003</v>
      </c>
      <c r="T1268" s="6" t="s">
        <v>54</v>
      </c>
      <c r="U1268" s="6">
        <v>2010</v>
      </c>
      <c r="V1268" s="6">
        <v>1</v>
      </c>
      <c r="AD1268" s="6" t="s">
        <v>45</v>
      </c>
      <c r="AJ1268" s="31" t="s">
        <v>2114</v>
      </c>
      <c r="AK1268" s="6">
        <v>1</v>
      </c>
      <c r="AL1268" s="26">
        <v>2000000</v>
      </c>
      <c r="AM1268" s="26">
        <v>2000000</v>
      </c>
      <c r="AN1268" s="26">
        <v>2000000</v>
      </c>
      <c r="AO1268" s="6" t="s">
        <v>2003</v>
      </c>
      <c r="AQ1268" s="6" t="s">
        <v>54</v>
      </c>
      <c r="AU1268" s="6">
        <v>227474</v>
      </c>
    </row>
    <row r="1269" spans="1:47" x14ac:dyDescent="0.3">
      <c r="A1269" s="28" t="s">
        <v>42</v>
      </c>
      <c r="B1269" s="6" t="s">
        <v>2195</v>
      </c>
      <c r="C1269" s="6" t="s">
        <v>1978</v>
      </c>
      <c r="D1269" s="6" t="s">
        <v>2103</v>
      </c>
      <c r="E1269" s="6">
        <v>1</v>
      </c>
      <c r="F1269" s="6" t="s">
        <v>2004</v>
      </c>
      <c r="G1269" s="6" t="s">
        <v>2005</v>
      </c>
      <c r="H1269" s="6" t="s">
        <v>2005</v>
      </c>
      <c r="I1269" s="6" t="str">
        <f t="shared" si="38"/>
        <v>Hydraulic Pulverizer</v>
      </c>
      <c r="J1269" s="6" t="s">
        <v>753</v>
      </c>
      <c r="K1269" s="6">
        <v>1</v>
      </c>
      <c r="P1269" s="6">
        <f t="shared" si="39"/>
        <v>6500000</v>
      </c>
      <c r="R1269" s="6" t="s">
        <v>2003</v>
      </c>
      <c r="T1269" s="6" t="s">
        <v>813</v>
      </c>
      <c r="U1269" s="6">
        <v>2013</v>
      </c>
      <c r="V1269" s="6">
        <v>1</v>
      </c>
      <c r="AD1269" s="6" t="s">
        <v>45</v>
      </c>
      <c r="AJ1269" s="31" t="s">
        <v>2113</v>
      </c>
      <c r="AK1269" s="6">
        <v>1</v>
      </c>
      <c r="AL1269" s="26">
        <v>6000000</v>
      </c>
      <c r="AM1269" s="26">
        <v>6000000</v>
      </c>
      <c r="AN1269" s="26">
        <v>6000000</v>
      </c>
      <c r="AO1269" s="6" t="s">
        <v>2003</v>
      </c>
      <c r="AQ1269" s="6" t="s">
        <v>80</v>
      </c>
      <c r="AU1269" s="6">
        <v>227476</v>
      </c>
    </row>
    <row r="1270" spans="1:47" x14ac:dyDescent="0.3">
      <c r="A1270" s="28" t="s">
        <v>42</v>
      </c>
      <c r="B1270" s="6" t="s">
        <v>2191</v>
      </c>
      <c r="C1270" s="6" t="s">
        <v>1975</v>
      </c>
      <c r="D1270" s="6" t="s">
        <v>2103</v>
      </c>
      <c r="E1270" s="6">
        <v>1</v>
      </c>
      <c r="F1270" s="6" t="s">
        <v>2004</v>
      </c>
      <c r="G1270" s="6" t="s">
        <v>2005</v>
      </c>
      <c r="H1270" s="6" t="s">
        <v>2005</v>
      </c>
      <c r="I1270" s="6" t="str">
        <f t="shared" si="38"/>
        <v>Side Breaker</v>
      </c>
      <c r="J1270" s="6" t="s">
        <v>1942</v>
      </c>
      <c r="K1270" s="6">
        <v>1</v>
      </c>
      <c r="P1270" s="6">
        <f t="shared" si="39"/>
        <v>9000000</v>
      </c>
      <c r="R1270" s="6" t="s">
        <v>2003</v>
      </c>
      <c r="T1270" s="6" t="s">
        <v>1833</v>
      </c>
      <c r="U1270" s="6">
        <v>2016</v>
      </c>
      <c r="V1270" s="6">
        <v>6</v>
      </c>
      <c r="AD1270" s="6" t="s">
        <v>45</v>
      </c>
      <c r="AJ1270" s="31" t="s">
        <v>2118</v>
      </c>
      <c r="AK1270" s="6">
        <v>1</v>
      </c>
      <c r="AL1270" s="26">
        <v>8500000</v>
      </c>
      <c r="AM1270" s="26">
        <v>8500000</v>
      </c>
      <c r="AN1270" s="26">
        <v>8500000</v>
      </c>
      <c r="AO1270" s="6" t="s">
        <v>2003</v>
      </c>
      <c r="AQ1270" s="6" t="s">
        <v>63</v>
      </c>
      <c r="AU1270" s="6">
        <v>227477</v>
      </c>
    </row>
    <row r="1271" spans="1:47" x14ac:dyDescent="0.3">
      <c r="A1271" s="28" t="s">
        <v>42</v>
      </c>
      <c r="B1271" s="6" t="s">
        <v>2189</v>
      </c>
      <c r="D1271" s="6" t="s">
        <v>2104</v>
      </c>
      <c r="E1271" s="6">
        <v>1</v>
      </c>
      <c r="F1271" s="6" t="s">
        <v>2004</v>
      </c>
      <c r="G1271" s="6" t="s">
        <v>2005</v>
      </c>
      <c r="H1271" s="6" t="s">
        <v>2005</v>
      </c>
      <c r="I1271" s="6" t="str">
        <f t="shared" si="38"/>
        <v>Quick Coupler</v>
      </c>
      <c r="J1271" s="6" t="s">
        <v>259</v>
      </c>
      <c r="K1271" s="6">
        <v>1</v>
      </c>
      <c r="P1271" s="6">
        <f t="shared" si="39"/>
        <v>800000</v>
      </c>
      <c r="R1271" s="6" t="s">
        <v>2003</v>
      </c>
      <c r="T1271" s="6" t="s">
        <v>2007</v>
      </c>
      <c r="U1271" s="6">
        <v>2015</v>
      </c>
      <c r="V1271" s="6">
        <v>1</v>
      </c>
      <c r="AD1271" s="6" t="s">
        <v>45</v>
      </c>
      <c r="AJ1271" s="31" t="s">
        <v>2113</v>
      </c>
      <c r="AK1271" s="6">
        <v>1</v>
      </c>
      <c r="AL1271" s="26">
        <v>700000</v>
      </c>
      <c r="AM1271" s="26">
        <v>700000</v>
      </c>
      <c r="AN1271" s="26">
        <v>700000</v>
      </c>
      <c r="AO1271" s="6" t="s">
        <v>2003</v>
      </c>
      <c r="AQ1271" s="6" t="s">
        <v>49</v>
      </c>
      <c r="AU1271" s="6">
        <v>227480</v>
      </c>
    </row>
    <row r="1272" spans="1:47" x14ac:dyDescent="0.3">
      <c r="A1272" s="28" t="s">
        <v>42</v>
      </c>
      <c r="B1272" s="6" t="s">
        <v>2186</v>
      </c>
      <c r="C1272" s="6" t="s">
        <v>1977</v>
      </c>
      <c r="D1272" s="6" t="s">
        <v>2104</v>
      </c>
      <c r="E1272" s="6">
        <v>1</v>
      </c>
      <c r="F1272" s="6" t="s">
        <v>2004</v>
      </c>
      <c r="G1272" s="6" t="s">
        <v>2005</v>
      </c>
      <c r="H1272" s="6" t="s">
        <v>2005</v>
      </c>
      <c r="I1272" s="6" t="str">
        <f t="shared" si="38"/>
        <v>Wide Bucket</v>
      </c>
      <c r="J1272" s="6" t="s">
        <v>123</v>
      </c>
      <c r="K1272" s="6">
        <v>1</v>
      </c>
      <c r="P1272" s="6">
        <f t="shared" si="39"/>
        <v>1200000</v>
      </c>
      <c r="R1272" s="6" t="s">
        <v>2003</v>
      </c>
      <c r="T1272" s="6" t="s">
        <v>813</v>
      </c>
      <c r="U1272" s="6">
        <v>2013</v>
      </c>
      <c r="V1272" s="6">
        <v>1</v>
      </c>
      <c r="AD1272" s="6" t="s">
        <v>45</v>
      </c>
      <c r="AJ1272" s="31" t="s">
        <v>2113</v>
      </c>
      <c r="AK1272" s="6">
        <v>1</v>
      </c>
      <c r="AL1272" s="26">
        <v>1100000</v>
      </c>
      <c r="AM1272" s="26">
        <v>1100000</v>
      </c>
      <c r="AN1272" s="26">
        <v>1100000</v>
      </c>
      <c r="AO1272" s="6" t="s">
        <v>2003</v>
      </c>
      <c r="AQ1272" s="6" t="s">
        <v>80</v>
      </c>
      <c r="AU1272" s="6">
        <v>227485</v>
      </c>
    </row>
    <row r="1273" spans="1:47" x14ac:dyDescent="0.3">
      <c r="A1273" s="28" t="s">
        <v>42</v>
      </c>
      <c r="B1273" s="6" t="s">
        <v>2187</v>
      </c>
      <c r="C1273" s="6" t="s">
        <v>1972</v>
      </c>
      <c r="D1273" s="6" t="s">
        <v>2104</v>
      </c>
      <c r="E1273" s="6">
        <v>1</v>
      </c>
      <c r="F1273" s="6" t="s">
        <v>2004</v>
      </c>
      <c r="G1273" s="6" t="s">
        <v>2005</v>
      </c>
      <c r="H1273" s="6" t="s">
        <v>2005</v>
      </c>
      <c r="I1273" s="6" t="str">
        <f t="shared" si="38"/>
        <v>Stone Grapple</v>
      </c>
      <c r="J1273" s="6" t="s">
        <v>58</v>
      </c>
      <c r="K1273" s="6">
        <v>1</v>
      </c>
      <c r="P1273" s="6">
        <f t="shared" si="39"/>
        <v>2600000</v>
      </c>
      <c r="R1273" s="6" t="s">
        <v>2003</v>
      </c>
      <c r="T1273" s="6" t="s">
        <v>813</v>
      </c>
      <c r="U1273" s="6">
        <v>2014</v>
      </c>
      <c r="V1273" s="6">
        <v>1</v>
      </c>
      <c r="AD1273" s="6" t="s">
        <v>45</v>
      </c>
      <c r="AJ1273" s="31" t="s">
        <v>2113</v>
      </c>
      <c r="AK1273" s="6">
        <v>1</v>
      </c>
      <c r="AL1273" s="26">
        <v>2400000</v>
      </c>
      <c r="AM1273" s="26">
        <v>2400000</v>
      </c>
      <c r="AN1273" s="26">
        <v>2400000</v>
      </c>
      <c r="AO1273" s="6" t="s">
        <v>2003</v>
      </c>
      <c r="AQ1273" s="6" t="s">
        <v>79</v>
      </c>
      <c r="AU1273" s="6">
        <v>227487</v>
      </c>
    </row>
    <row r="1274" spans="1:47" x14ac:dyDescent="0.3">
      <c r="A1274" s="28" t="s">
        <v>42</v>
      </c>
      <c r="B1274" s="6" t="s">
        <v>2186</v>
      </c>
      <c r="C1274" s="6" t="s">
        <v>1976</v>
      </c>
      <c r="D1274" s="6" t="s">
        <v>2104</v>
      </c>
      <c r="E1274" s="6">
        <v>1</v>
      </c>
      <c r="F1274" s="6" t="s">
        <v>2004</v>
      </c>
      <c r="G1274" s="6" t="s">
        <v>2005</v>
      </c>
      <c r="H1274" s="6" t="s">
        <v>2005</v>
      </c>
      <c r="I1274" s="6" t="str">
        <f t="shared" si="38"/>
        <v>Skeleton Bucket</v>
      </c>
      <c r="J1274" s="6" t="s">
        <v>455</v>
      </c>
      <c r="K1274" s="6">
        <v>1</v>
      </c>
      <c r="P1274" s="6">
        <f t="shared" si="39"/>
        <v>900000</v>
      </c>
      <c r="R1274" s="6" t="s">
        <v>2003</v>
      </c>
      <c r="T1274" s="6" t="s">
        <v>813</v>
      </c>
      <c r="U1274" s="6">
        <v>2013</v>
      </c>
      <c r="V1274" s="6">
        <v>1</v>
      </c>
      <c r="AD1274" s="6" t="s">
        <v>45</v>
      </c>
      <c r="AJ1274" s="31" t="s">
        <v>2113</v>
      </c>
      <c r="AK1274" s="6">
        <v>1</v>
      </c>
      <c r="AL1274" s="26">
        <v>800000</v>
      </c>
      <c r="AM1274" s="26">
        <v>800000</v>
      </c>
      <c r="AN1274" s="26">
        <v>800000</v>
      </c>
      <c r="AO1274" s="6" t="s">
        <v>2003</v>
      </c>
      <c r="AQ1274" s="6" t="s">
        <v>80</v>
      </c>
      <c r="AU1274" s="6">
        <v>227491</v>
      </c>
    </row>
    <row r="1275" spans="1:47" x14ac:dyDescent="0.3">
      <c r="A1275" s="28" t="s">
        <v>42</v>
      </c>
      <c r="B1275" s="6" t="s">
        <v>2186</v>
      </c>
      <c r="C1275" s="6" t="s">
        <v>1976</v>
      </c>
      <c r="D1275" s="6" t="s">
        <v>2104</v>
      </c>
      <c r="E1275" s="6">
        <v>1</v>
      </c>
      <c r="F1275" s="6" t="s">
        <v>2004</v>
      </c>
      <c r="G1275" s="6" t="s">
        <v>2005</v>
      </c>
      <c r="H1275" s="6" t="s">
        <v>2005</v>
      </c>
      <c r="I1275" s="6" t="str">
        <f t="shared" si="38"/>
        <v>Skeleton Bucket</v>
      </c>
      <c r="J1275" s="6" t="s">
        <v>62</v>
      </c>
      <c r="K1275" s="6">
        <v>1</v>
      </c>
      <c r="P1275" s="6">
        <f t="shared" si="39"/>
        <v>900000</v>
      </c>
      <c r="R1275" s="6" t="s">
        <v>2003</v>
      </c>
      <c r="T1275" s="6" t="s">
        <v>813</v>
      </c>
      <c r="U1275" s="6">
        <v>2013</v>
      </c>
      <c r="V1275" s="6">
        <v>1</v>
      </c>
      <c r="AD1275" s="6" t="s">
        <v>45</v>
      </c>
      <c r="AJ1275" s="31" t="s">
        <v>2113</v>
      </c>
      <c r="AK1275" s="6">
        <v>1</v>
      </c>
      <c r="AL1275" s="26">
        <v>800000</v>
      </c>
      <c r="AM1275" s="26">
        <v>800000</v>
      </c>
      <c r="AN1275" s="26">
        <v>800000</v>
      </c>
      <c r="AO1275" s="6" t="s">
        <v>2003</v>
      </c>
      <c r="AQ1275" s="6" t="s">
        <v>79</v>
      </c>
      <c r="AU1275" s="6">
        <v>227492</v>
      </c>
    </row>
    <row r="1276" spans="1:47" x14ac:dyDescent="0.3">
      <c r="A1276" s="28" t="s">
        <v>42</v>
      </c>
      <c r="B1276" s="6" t="s">
        <v>2191</v>
      </c>
      <c r="C1276" s="6" t="s">
        <v>1975</v>
      </c>
      <c r="D1276" s="6" t="s">
        <v>2104</v>
      </c>
      <c r="E1276" s="6">
        <v>1</v>
      </c>
      <c r="F1276" s="6" t="s">
        <v>2004</v>
      </c>
      <c r="G1276" s="6" t="s">
        <v>2005</v>
      </c>
      <c r="H1276" s="6" t="s">
        <v>2005</v>
      </c>
      <c r="I1276" s="6" t="str">
        <f t="shared" si="38"/>
        <v>Side Breaker</v>
      </c>
      <c r="J1276" s="6" t="s">
        <v>146</v>
      </c>
      <c r="K1276" s="6">
        <v>1</v>
      </c>
      <c r="P1276" s="6">
        <f t="shared" si="39"/>
        <v>3500000</v>
      </c>
      <c r="R1276" s="6" t="s">
        <v>2003</v>
      </c>
      <c r="T1276" s="6" t="s">
        <v>816</v>
      </c>
      <c r="U1276" s="6">
        <v>2010</v>
      </c>
      <c r="V1276" s="6">
        <v>1</v>
      </c>
      <c r="AD1276" s="6" t="s">
        <v>45</v>
      </c>
      <c r="AJ1276" s="31" t="s">
        <v>2118</v>
      </c>
      <c r="AK1276" s="6">
        <v>1</v>
      </c>
      <c r="AL1276" s="26">
        <v>3300000</v>
      </c>
      <c r="AM1276" s="26">
        <v>3300000</v>
      </c>
      <c r="AN1276" s="26">
        <v>3300000</v>
      </c>
      <c r="AO1276" s="6" t="s">
        <v>2003</v>
      </c>
      <c r="AQ1276" s="6" t="s">
        <v>67</v>
      </c>
      <c r="AU1276" s="6">
        <v>227495</v>
      </c>
    </row>
    <row r="1277" spans="1:47" x14ac:dyDescent="0.3">
      <c r="A1277" s="28" t="s">
        <v>42</v>
      </c>
      <c r="B1277" s="6" t="s">
        <v>2186</v>
      </c>
      <c r="C1277" s="6" t="s">
        <v>1976</v>
      </c>
      <c r="D1277" s="6" t="s">
        <v>2105</v>
      </c>
      <c r="E1277" s="6">
        <v>1</v>
      </c>
      <c r="F1277" s="6" t="s">
        <v>2004</v>
      </c>
      <c r="G1277" s="6" t="s">
        <v>2005</v>
      </c>
      <c r="H1277" s="6" t="s">
        <v>2005</v>
      </c>
      <c r="I1277" s="6" t="str">
        <f t="shared" si="38"/>
        <v>Skeleton Bucket</v>
      </c>
      <c r="J1277" s="6" t="s">
        <v>336</v>
      </c>
      <c r="K1277" s="6">
        <v>1</v>
      </c>
      <c r="P1277" s="6">
        <f t="shared" si="39"/>
        <v>2200000</v>
      </c>
      <c r="R1277" s="6" t="s">
        <v>2003</v>
      </c>
      <c r="T1277" s="6" t="s">
        <v>2011</v>
      </c>
      <c r="U1277" s="6">
        <v>2010</v>
      </c>
      <c r="V1277" s="6">
        <v>6</v>
      </c>
      <c r="AD1277" s="6" t="s">
        <v>45</v>
      </c>
      <c r="AJ1277" s="31" t="s">
        <v>2123</v>
      </c>
      <c r="AK1277" s="6">
        <v>1</v>
      </c>
      <c r="AL1277" s="26">
        <v>2000000</v>
      </c>
      <c r="AM1277" s="26">
        <v>2000000</v>
      </c>
      <c r="AN1277" s="26">
        <v>2000000</v>
      </c>
      <c r="AO1277" s="6" t="s">
        <v>2003</v>
      </c>
      <c r="AQ1277" s="6" t="s">
        <v>1200</v>
      </c>
      <c r="AU1277" s="6">
        <v>227496</v>
      </c>
    </row>
    <row r="1278" spans="1:47" x14ac:dyDescent="0.3">
      <c r="A1278" s="28" t="s">
        <v>42</v>
      </c>
      <c r="B1278" s="6" t="s">
        <v>2191</v>
      </c>
      <c r="C1278" s="6" t="s">
        <v>1975</v>
      </c>
      <c r="D1278" s="6" t="s">
        <v>2104</v>
      </c>
      <c r="E1278" s="6">
        <v>1</v>
      </c>
      <c r="F1278" s="6" t="s">
        <v>2004</v>
      </c>
      <c r="G1278" s="6" t="s">
        <v>2005</v>
      </c>
      <c r="H1278" s="6" t="s">
        <v>2005</v>
      </c>
      <c r="I1278" s="6" t="str">
        <f t="shared" si="38"/>
        <v>Side Breaker</v>
      </c>
      <c r="J1278" s="6" t="s">
        <v>119</v>
      </c>
      <c r="K1278" s="6">
        <v>1</v>
      </c>
      <c r="P1278" s="6">
        <f t="shared" si="39"/>
        <v>3000000</v>
      </c>
      <c r="R1278" s="6" t="s">
        <v>2003</v>
      </c>
      <c r="T1278" s="6" t="s">
        <v>1915</v>
      </c>
      <c r="U1278" s="6">
        <v>2015</v>
      </c>
      <c r="V1278" s="6">
        <v>5</v>
      </c>
      <c r="AD1278" s="6" t="s">
        <v>45</v>
      </c>
      <c r="AJ1278" s="31" t="s">
        <v>2119</v>
      </c>
      <c r="AK1278" s="6">
        <v>1</v>
      </c>
      <c r="AL1278" s="26">
        <v>2800000</v>
      </c>
      <c r="AM1278" s="26">
        <v>2800000</v>
      </c>
      <c r="AN1278" s="26">
        <v>2800000</v>
      </c>
      <c r="AO1278" s="6" t="s">
        <v>2003</v>
      </c>
      <c r="AQ1278" s="6" t="s">
        <v>1165</v>
      </c>
      <c r="AU1278" s="6">
        <v>227504</v>
      </c>
    </row>
    <row r="1279" spans="1:47" x14ac:dyDescent="0.3">
      <c r="A1279" s="28" t="s">
        <v>42</v>
      </c>
      <c r="B1279" s="6" t="s">
        <v>2203</v>
      </c>
      <c r="D1279" s="6" t="s">
        <v>2105</v>
      </c>
      <c r="E1279" s="6">
        <v>1</v>
      </c>
      <c r="F1279" s="6" t="s">
        <v>2004</v>
      </c>
      <c r="G1279" s="6" t="s">
        <v>2005</v>
      </c>
      <c r="H1279" s="6" t="s">
        <v>2005</v>
      </c>
      <c r="I1279" s="6" t="str">
        <f t="shared" si="38"/>
        <v>Shear&amp;Cutter</v>
      </c>
      <c r="J1279" s="6" t="s">
        <v>1965</v>
      </c>
      <c r="K1279" s="6">
        <v>1</v>
      </c>
      <c r="P1279" s="6">
        <f t="shared" si="39"/>
        <v>15500000</v>
      </c>
      <c r="R1279" s="6" t="s">
        <v>2003</v>
      </c>
      <c r="T1279" s="6" t="s">
        <v>1916</v>
      </c>
      <c r="U1279" s="6">
        <v>2009</v>
      </c>
      <c r="V1279" s="6">
        <v>1</v>
      </c>
      <c r="AD1279" s="6" t="s">
        <v>45</v>
      </c>
      <c r="AJ1279" s="31" t="s">
        <v>2116</v>
      </c>
      <c r="AK1279" s="6">
        <v>1</v>
      </c>
      <c r="AL1279" s="26">
        <v>15000000</v>
      </c>
      <c r="AM1279" s="26">
        <v>15000000</v>
      </c>
      <c r="AN1279" s="26">
        <v>15000000</v>
      </c>
      <c r="AO1279" s="6" t="s">
        <v>2003</v>
      </c>
      <c r="AQ1279" s="6" t="s">
        <v>1207</v>
      </c>
      <c r="AU1279" s="6">
        <v>227505</v>
      </c>
    </row>
    <row r="1280" spans="1:47" x14ac:dyDescent="0.3">
      <c r="A1280" s="28" t="s">
        <v>42</v>
      </c>
      <c r="B1280" s="6" t="s">
        <v>2185</v>
      </c>
      <c r="D1280" s="6" t="s">
        <v>2104</v>
      </c>
      <c r="E1280" s="6">
        <v>1</v>
      </c>
      <c r="F1280" s="6" t="s">
        <v>2004</v>
      </c>
      <c r="G1280" s="6" t="s">
        <v>2005</v>
      </c>
      <c r="H1280" s="6" t="s">
        <v>2005</v>
      </c>
      <c r="I1280" s="6" t="str">
        <f t="shared" si="38"/>
        <v>ETC</v>
      </c>
      <c r="J1280" s="6" t="s">
        <v>405</v>
      </c>
      <c r="K1280" s="6">
        <v>1</v>
      </c>
      <c r="P1280" s="6">
        <f t="shared" si="39"/>
        <v>12500000</v>
      </c>
      <c r="R1280" s="6" t="s">
        <v>2003</v>
      </c>
      <c r="T1280" s="6" t="s">
        <v>813</v>
      </c>
      <c r="U1280" s="6">
        <v>2014</v>
      </c>
      <c r="V1280" s="6">
        <v>1</v>
      </c>
      <c r="AD1280" s="6" t="s">
        <v>45</v>
      </c>
      <c r="AJ1280" s="31" t="s">
        <v>2113</v>
      </c>
      <c r="AK1280" s="6">
        <v>1</v>
      </c>
      <c r="AL1280" s="26">
        <v>12000000</v>
      </c>
      <c r="AM1280" s="26">
        <v>12000000</v>
      </c>
      <c r="AN1280" s="26">
        <v>12000000</v>
      </c>
      <c r="AO1280" s="6" t="s">
        <v>2003</v>
      </c>
      <c r="AQ1280" s="6" t="s">
        <v>80</v>
      </c>
      <c r="AU1280" s="6">
        <v>227509</v>
      </c>
    </row>
    <row r="1281" spans="1:47" x14ac:dyDescent="0.3">
      <c r="A1281" s="28" t="s">
        <v>42</v>
      </c>
      <c r="B1281" s="6" t="s">
        <v>2186</v>
      </c>
      <c r="C1281" s="6" t="s">
        <v>1977</v>
      </c>
      <c r="D1281" s="6" t="s">
        <v>2100</v>
      </c>
      <c r="E1281" s="6">
        <v>1</v>
      </c>
      <c r="F1281" s="6" t="s">
        <v>2004</v>
      </c>
      <c r="G1281" s="6" t="s">
        <v>2005</v>
      </c>
      <c r="H1281" s="6" t="s">
        <v>2005</v>
      </c>
      <c r="I1281" s="6" t="str">
        <f t="shared" si="38"/>
        <v>Wide Bucket</v>
      </c>
      <c r="J1281" s="6" t="s">
        <v>361</v>
      </c>
      <c r="K1281" s="6">
        <v>1</v>
      </c>
      <c r="P1281" s="6">
        <f t="shared" si="39"/>
        <v>500000</v>
      </c>
      <c r="R1281" s="6" t="s">
        <v>2003</v>
      </c>
      <c r="T1281" s="6" t="s">
        <v>2099</v>
      </c>
      <c r="U1281" s="6">
        <v>2017</v>
      </c>
      <c r="V1281" s="6">
        <v>2</v>
      </c>
      <c r="AD1281" s="6" t="s">
        <v>45</v>
      </c>
      <c r="AJ1281" s="31" t="s">
        <v>2124</v>
      </c>
      <c r="AK1281" s="6">
        <v>1</v>
      </c>
      <c r="AL1281" s="26">
        <v>450000</v>
      </c>
      <c r="AM1281" s="26">
        <v>450000</v>
      </c>
      <c r="AN1281" s="26">
        <v>450000</v>
      </c>
      <c r="AO1281" s="6" t="s">
        <v>2003</v>
      </c>
      <c r="AQ1281" s="6" t="s">
        <v>1144</v>
      </c>
      <c r="AU1281" s="6">
        <v>227512</v>
      </c>
    </row>
    <row r="1282" spans="1:47" x14ac:dyDescent="0.3">
      <c r="A1282" s="28" t="s">
        <v>42</v>
      </c>
      <c r="B1282" s="6" t="s">
        <v>2187</v>
      </c>
      <c r="C1282" s="6" t="s">
        <v>1972</v>
      </c>
      <c r="D1282" s="6" t="s">
        <v>2100</v>
      </c>
      <c r="E1282" s="6">
        <v>1</v>
      </c>
      <c r="F1282" s="6" t="s">
        <v>2004</v>
      </c>
      <c r="G1282" s="6" t="s">
        <v>2005</v>
      </c>
      <c r="H1282" s="6" t="s">
        <v>2005</v>
      </c>
      <c r="I1282" s="6" t="str">
        <f t="shared" ref="I1282:I1301" si="40">IF(ISBLANK(C1282),B1282,C1282)</f>
        <v>Stone Grapple</v>
      </c>
      <c r="J1282" s="6" t="s">
        <v>470</v>
      </c>
      <c r="K1282" s="6">
        <v>1</v>
      </c>
      <c r="P1282" s="6">
        <f t="shared" si="39"/>
        <v>1700000</v>
      </c>
      <c r="R1282" s="6" t="s">
        <v>2003</v>
      </c>
      <c r="T1282" s="6" t="s">
        <v>2033</v>
      </c>
      <c r="U1282" s="6">
        <v>2010</v>
      </c>
      <c r="V1282" s="6">
        <v>5</v>
      </c>
      <c r="AD1282" s="6" t="s">
        <v>45</v>
      </c>
      <c r="AJ1282" s="31" t="s">
        <v>2122</v>
      </c>
      <c r="AK1282" s="6">
        <v>1</v>
      </c>
      <c r="AL1282" s="26">
        <v>1600000</v>
      </c>
      <c r="AM1282" s="26">
        <v>1600000</v>
      </c>
      <c r="AN1282" s="26">
        <v>1600000</v>
      </c>
      <c r="AO1282" s="6" t="s">
        <v>2003</v>
      </c>
      <c r="AQ1282" s="6" t="s">
        <v>1218</v>
      </c>
      <c r="AU1282" s="6">
        <v>227514</v>
      </c>
    </row>
    <row r="1283" spans="1:47" x14ac:dyDescent="0.3">
      <c r="A1283" s="28" t="s">
        <v>42</v>
      </c>
      <c r="B1283" s="6" t="s">
        <v>2191</v>
      </c>
      <c r="C1283" s="6" t="s">
        <v>1975</v>
      </c>
      <c r="D1283" s="6" t="s">
        <v>2100</v>
      </c>
      <c r="E1283" s="6">
        <v>1</v>
      </c>
      <c r="F1283" s="6" t="s">
        <v>2004</v>
      </c>
      <c r="G1283" s="6" t="s">
        <v>2005</v>
      </c>
      <c r="H1283" s="6" t="s">
        <v>2005</v>
      </c>
      <c r="I1283" s="6" t="str">
        <f t="shared" si="40"/>
        <v>Side Breaker</v>
      </c>
      <c r="J1283" s="6" t="s">
        <v>160</v>
      </c>
      <c r="K1283" s="6">
        <v>1</v>
      </c>
      <c r="P1283" s="6">
        <f t="shared" ref="P1283:P1301" si="41">IF(AM1283&lt;500000,AM1283+50000,IF(AND(AM1283&gt;=500000,AM1283&lt;2000000),AM1283+100000,IF(AND(AM1283&gt;=2000000,AM1283&lt;5000000),AM1283+200000,IF(AM1283&gt;=5000000,AM1283+500000,AM1283))))</f>
        <v>1500000</v>
      </c>
      <c r="R1283" s="6" t="s">
        <v>2003</v>
      </c>
      <c r="T1283" s="6" t="s">
        <v>816</v>
      </c>
      <c r="U1283" s="6">
        <v>2015</v>
      </c>
      <c r="V1283" s="6">
        <v>1</v>
      </c>
      <c r="AD1283" s="6" t="s">
        <v>45</v>
      </c>
      <c r="AJ1283" s="31" t="s">
        <v>2119</v>
      </c>
      <c r="AK1283" s="6">
        <v>1</v>
      </c>
      <c r="AL1283" s="26">
        <v>1400000</v>
      </c>
      <c r="AM1283" s="26">
        <v>1400000</v>
      </c>
      <c r="AN1283" s="26">
        <v>1400000</v>
      </c>
      <c r="AO1283" s="6" t="s">
        <v>2003</v>
      </c>
      <c r="AQ1283" s="6" t="s">
        <v>1165</v>
      </c>
      <c r="AU1283" s="6">
        <v>227515</v>
      </c>
    </row>
    <row r="1284" spans="1:47" x14ac:dyDescent="0.3">
      <c r="A1284" s="28" t="s">
        <v>42</v>
      </c>
      <c r="B1284" s="6" t="s">
        <v>2187</v>
      </c>
      <c r="C1284" s="6" t="s">
        <v>1972</v>
      </c>
      <c r="D1284" s="6" t="s">
        <v>2104</v>
      </c>
      <c r="E1284" s="6">
        <v>1</v>
      </c>
      <c r="F1284" s="6" t="s">
        <v>2004</v>
      </c>
      <c r="G1284" s="6" t="s">
        <v>2005</v>
      </c>
      <c r="H1284" s="6" t="s">
        <v>2005</v>
      </c>
      <c r="I1284" s="6" t="str">
        <f t="shared" si="40"/>
        <v>Stone Grapple</v>
      </c>
      <c r="J1284" s="6" t="s">
        <v>44</v>
      </c>
      <c r="K1284" s="6">
        <v>1</v>
      </c>
      <c r="P1284" s="6">
        <f t="shared" si="41"/>
        <v>2300000</v>
      </c>
      <c r="R1284" s="6" t="s">
        <v>2003</v>
      </c>
      <c r="T1284" s="6" t="s">
        <v>808</v>
      </c>
      <c r="U1284" s="6">
        <v>2014</v>
      </c>
      <c r="V1284" s="6">
        <v>1</v>
      </c>
      <c r="AD1284" s="6" t="s">
        <v>45</v>
      </c>
      <c r="AJ1284" s="31" t="s">
        <v>2114</v>
      </c>
      <c r="AK1284" s="6">
        <v>1</v>
      </c>
      <c r="AL1284" s="26">
        <v>2100000</v>
      </c>
      <c r="AM1284" s="26">
        <v>2100000</v>
      </c>
      <c r="AN1284" s="26">
        <v>2100000</v>
      </c>
      <c r="AO1284" s="6" t="s">
        <v>2003</v>
      </c>
      <c r="AQ1284" s="6" t="s">
        <v>57</v>
      </c>
      <c r="AU1284" s="6">
        <v>227517</v>
      </c>
    </row>
    <row r="1285" spans="1:47" x14ac:dyDescent="0.3">
      <c r="A1285" s="28" t="s">
        <v>42</v>
      </c>
      <c r="B1285" s="6" t="s">
        <v>2187</v>
      </c>
      <c r="C1285" s="19" t="s">
        <v>2206</v>
      </c>
      <c r="D1285" s="6" t="s">
        <v>2105</v>
      </c>
      <c r="E1285" s="6">
        <v>1</v>
      </c>
      <c r="F1285" s="6" t="s">
        <v>2004</v>
      </c>
      <c r="G1285" s="6" t="s">
        <v>2005</v>
      </c>
      <c r="H1285" s="6" t="s">
        <v>2005</v>
      </c>
      <c r="I1285" s="6" t="str">
        <f t="shared" si="40"/>
        <v>Etc Grapple</v>
      </c>
      <c r="J1285" s="6" t="s">
        <v>1966</v>
      </c>
      <c r="K1285" s="6">
        <v>1</v>
      </c>
      <c r="P1285" s="6">
        <f t="shared" si="41"/>
        <v>12500000</v>
      </c>
      <c r="R1285" s="6" t="s">
        <v>2003</v>
      </c>
      <c r="T1285" s="6" t="s">
        <v>1917</v>
      </c>
      <c r="U1285" s="6">
        <v>2014</v>
      </c>
      <c r="V1285" s="6">
        <v>1</v>
      </c>
      <c r="AD1285" s="6" t="s">
        <v>45</v>
      </c>
      <c r="AJ1285" s="31" t="s">
        <v>2116</v>
      </c>
      <c r="AK1285" s="6">
        <v>1</v>
      </c>
      <c r="AL1285" s="26">
        <v>12000000</v>
      </c>
      <c r="AM1285" s="26">
        <v>12000000</v>
      </c>
      <c r="AN1285" s="26">
        <v>12000000</v>
      </c>
      <c r="AO1285" s="6" t="s">
        <v>2003</v>
      </c>
      <c r="AQ1285" s="6" t="s">
        <v>1207</v>
      </c>
      <c r="AU1285" s="6">
        <v>227519</v>
      </c>
    </row>
    <row r="1286" spans="1:47" x14ac:dyDescent="0.3">
      <c r="A1286" s="28" t="s">
        <v>42</v>
      </c>
      <c r="B1286" s="6" t="s">
        <v>2185</v>
      </c>
      <c r="D1286" s="6" t="s">
        <v>2100</v>
      </c>
      <c r="E1286" s="6">
        <v>1</v>
      </c>
      <c r="F1286" s="6" t="s">
        <v>2004</v>
      </c>
      <c r="G1286" s="6" t="s">
        <v>2005</v>
      </c>
      <c r="H1286" s="6" t="s">
        <v>2005</v>
      </c>
      <c r="I1286" s="6" t="str">
        <f t="shared" si="40"/>
        <v>ETC</v>
      </c>
      <c r="J1286" s="6" t="s">
        <v>617</v>
      </c>
      <c r="K1286" s="6">
        <v>1</v>
      </c>
      <c r="P1286" s="6">
        <f t="shared" si="41"/>
        <v>900000</v>
      </c>
      <c r="R1286" s="6" t="s">
        <v>2003</v>
      </c>
      <c r="T1286" s="6" t="s">
        <v>2011</v>
      </c>
      <c r="U1286" s="6">
        <v>2017</v>
      </c>
      <c r="V1286" s="6">
        <v>2</v>
      </c>
      <c r="AD1286" s="6" t="s">
        <v>45</v>
      </c>
      <c r="AJ1286" s="31" t="s">
        <v>2123</v>
      </c>
      <c r="AK1286" s="6">
        <v>1</v>
      </c>
      <c r="AL1286" s="26">
        <v>800000</v>
      </c>
      <c r="AM1286" s="26">
        <v>800000</v>
      </c>
      <c r="AN1286" s="26">
        <v>800000</v>
      </c>
      <c r="AO1286" s="6" t="s">
        <v>2003</v>
      </c>
      <c r="AQ1286" s="6" t="s">
        <v>1200</v>
      </c>
      <c r="AU1286" s="6">
        <v>227524</v>
      </c>
    </row>
    <row r="1287" spans="1:47" x14ac:dyDescent="0.3">
      <c r="A1287" s="28" t="s">
        <v>42</v>
      </c>
      <c r="B1287" s="6" t="s">
        <v>2187</v>
      </c>
      <c r="C1287" s="6" t="s">
        <v>1974</v>
      </c>
      <c r="D1287" s="6" t="s">
        <v>2100</v>
      </c>
      <c r="E1287" s="6">
        <v>1</v>
      </c>
      <c r="F1287" s="6" t="s">
        <v>2004</v>
      </c>
      <c r="G1287" s="6" t="s">
        <v>2005</v>
      </c>
      <c r="H1287" s="6" t="s">
        <v>2005</v>
      </c>
      <c r="I1287" s="6" t="str">
        <f t="shared" si="40"/>
        <v>Etc Grapple</v>
      </c>
      <c r="J1287" s="6" t="s">
        <v>136</v>
      </c>
      <c r="K1287" s="6">
        <v>1</v>
      </c>
      <c r="P1287" s="6">
        <f t="shared" si="41"/>
        <v>1900000</v>
      </c>
      <c r="R1287" s="6" t="s">
        <v>2003</v>
      </c>
      <c r="T1287" s="6" t="s">
        <v>2011</v>
      </c>
      <c r="U1287" s="6">
        <v>2010</v>
      </c>
      <c r="V1287" s="6">
        <v>6</v>
      </c>
      <c r="AD1287" s="6" t="s">
        <v>45</v>
      </c>
      <c r="AJ1287" s="31" t="s">
        <v>2123</v>
      </c>
      <c r="AK1287" s="6">
        <v>1</v>
      </c>
      <c r="AL1287" s="26">
        <v>1800000</v>
      </c>
      <c r="AM1287" s="26">
        <v>1800000</v>
      </c>
      <c r="AN1287" s="26">
        <v>1800000</v>
      </c>
      <c r="AO1287" s="6" t="s">
        <v>2003</v>
      </c>
      <c r="AQ1287" s="6" t="s">
        <v>1200</v>
      </c>
      <c r="AU1287" s="6">
        <v>227531</v>
      </c>
    </row>
    <row r="1288" spans="1:47" x14ac:dyDescent="0.3">
      <c r="A1288" s="28" t="s">
        <v>42</v>
      </c>
      <c r="B1288" s="6" t="s">
        <v>2191</v>
      </c>
      <c r="C1288" s="6" t="s">
        <v>1975</v>
      </c>
      <c r="D1288" s="6" t="s">
        <v>2100</v>
      </c>
      <c r="E1288" s="6">
        <v>1</v>
      </c>
      <c r="F1288" s="6" t="s">
        <v>2004</v>
      </c>
      <c r="G1288" s="6" t="s">
        <v>2005</v>
      </c>
      <c r="H1288" s="6" t="s">
        <v>2005</v>
      </c>
      <c r="I1288" s="6" t="str">
        <f t="shared" si="40"/>
        <v>Side Breaker</v>
      </c>
      <c r="J1288" s="6" t="s">
        <v>1967</v>
      </c>
      <c r="K1288" s="6">
        <v>1</v>
      </c>
      <c r="P1288" s="6">
        <f t="shared" si="41"/>
        <v>1650000</v>
      </c>
      <c r="R1288" s="6" t="s">
        <v>2003</v>
      </c>
      <c r="T1288" s="6" t="s">
        <v>2012</v>
      </c>
      <c r="U1288" s="6">
        <v>2013</v>
      </c>
      <c r="V1288" s="6">
        <v>1</v>
      </c>
      <c r="AD1288" s="6" t="s">
        <v>45</v>
      </c>
      <c r="AJ1288" s="31" t="s">
        <v>2113</v>
      </c>
      <c r="AK1288" s="6">
        <v>1</v>
      </c>
      <c r="AL1288" s="26">
        <v>1550000</v>
      </c>
      <c r="AM1288" s="26">
        <v>1550000</v>
      </c>
      <c r="AN1288" s="26">
        <v>1550000</v>
      </c>
      <c r="AO1288" s="6" t="s">
        <v>2003</v>
      </c>
      <c r="AQ1288" s="6" t="s">
        <v>49</v>
      </c>
      <c r="AU1288" s="6">
        <v>227532</v>
      </c>
    </row>
    <row r="1289" spans="1:47" x14ac:dyDescent="0.3">
      <c r="A1289" s="28" t="s">
        <v>42</v>
      </c>
      <c r="B1289" s="6" t="s">
        <v>2191</v>
      </c>
      <c r="C1289" s="6" t="s">
        <v>1975</v>
      </c>
      <c r="D1289" s="6" t="s">
        <v>2107</v>
      </c>
      <c r="E1289" s="6">
        <v>1</v>
      </c>
      <c r="F1289" s="6" t="s">
        <v>2004</v>
      </c>
      <c r="G1289" s="6" t="s">
        <v>2005</v>
      </c>
      <c r="H1289" s="6" t="s">
        <v>2005</v>
      </c>
      <c r="I1289" s="6" t="str">
        <f t="shared" si="40"/>
        <v>Side Breaker</v>
      </c>
      <c r="J1289" s="6" t="s">
        <v>256</v>
      </c>
      <c r="K1289" s="6">
        <v>1</v>
      </c>
      <c r="P1289" s="6">
        <f t="shared" si="41"/>
        <v>2500000</v>
      </c>
      <c r="R1289" s="6" t="s">
        <v>2003</v>
      </c>
      <c r="T1289" s="6" t="s">
        <v>2012</v>
      </c>
      <c r="U1289" s="6">
        <v>2014</v>
      </c>
      <c r="V1289" s="6">
        <v>1</v>
      </c>
      <c r="AD1289" s="6" t="s">
        <v>45</v>
      </c>
      <c r="AJ1289" s="31" t="s">
        <v>2113</v>
      </c>
      <c r="AK1289" s="6">
        <v>1</v>
      </c>
      <c r="AL1289" s="26">
        <v>2300000</v>
      </c>
      <c r="AM1289" s="26">
        <v>2300000</v>
      </c>
      <c r="AN1289" s="26">
        <v>2300000</v>
      </c>
      <c r="AO1289" s="6" t="s">
        <v>2003</v>
      </c>
      <c r="AQ1289" s="6" t="s">
        <v>49</v>
      </c>
      <c r="AU1289" s="6">
        <v>227534</v>
      </c>
    </row>
    <row r="1290" spans="1:47" x14ac:dyDescent="0.3">
      <c r="A1290" s="28" t="s">
        <v>42</v>
      </c>
      <c r="B1290" s="6" t="s">
        <v>2185</v>
      </c>
      <c r="C1290" s="6" t="s">
        <v>1979</v>
      </c>
      <c r="D1290" s="6" t="s">
        <v>2104</v>
      </c>
      <c r="E1290" s="6">
        <v>1</v>
      </c>
      <c r="F1290" s="6" t="s">
        <v>2004</v>
      </c>
      <c r="G1290" s="6" t="s">
        <v>2005</v>
      </c>
      <c r="H1290" s="6" t="s">
        <v>2005</v>
      </c>
      <c r="I1290" s="6" t="str">
        <f t="shared" si="40"/>
        <v>Thumb Grapple</v>
      </c>
      <c r="J1290" s="6" t="s">
        <v>195</v>
      </c>
      <c r="K1290" s="6">
        <v>1</v>
      </c>
      <c r="P1290" s="6">
        <f t="shared" si="41"/>
        <v>1300000</v>
      </c>
      <c r="R1290" s="6" t="s">
        <v>2003</v>
      </c>
      <c r="T1290" s="6" t="s">
        <v>54</v>
      </c>
      <c r="U1290" s="6">
        <v>2010</v>
      </c>
      <c r="V1290" s="6">
        <v>1</v>
      </c>
      <c r="AD1290" s="6" t="s">
        <v>45</v>
      </c>
      <c r="AJ1290" s="31" t="s">
        <v>2116</v>
      </c>
      <c r="AK1290" s="6">
        <v>1</v>
      </c>
      <c r="AL1290" s="26">
        <v>1200000</v>
      </c>
      <c r="AM1290" s="26">
        <v>1200000</v>
      </c>
      <c r="AN1290" s="26">
        <v>1200000</v>
      </c>
      <c r="AO1290" s="6" t="s">
        <v>2003</v>
      </c>
      <c r="AQ1290" s="6" t="s">
        <v>54</v>
      </c>
      <c r="AU1290" s="6">
        <v>227535</v>
      </c>
    </row>
    <row r="1291" spans="1:47" x14ac:dyDescent="0.3">
      <c r="A1291" s="28" t="s">
        <v>42</v>
      </c>
      <c r="B1291" s="6" t="s">
        <v>2189</v>
      </c>
      <c r="D1291" s="6" t="s">
        <v>2104</v>
      </c>
      <c r="E1291" s="6">
        <v>1</v>
      </c>
      <c r="F1291" s="6" t="s">
        <v>2004</v>
      </c>
      <c r="G1291" s="6" t="s">
        <v>2005</v>
      </c>
      <c r="H1291" s="6" t="s">
        <v>2005</v>
      </c>
      <c r="I1291" s="6" t="str">
        <f t="shared" si="40"/>
        <v>Quick Coupler</v>
      </c>
      <c r="J1291" s="6" t="s">
        <v>1968</v>
      </c>
      <c r="K1291" s="6">
        <v>1</v>
      </c>
      <c r="P1291" s="6">
        <f t="shared" si="41"/>
        <v>900000</v>
      </c>
      <c r="R1291" s="6" t="s">
        <v>2003</v>
      </c>
      <c r="T1291" s="6" t="s">
        <v>2007</v>
      </c>
      <c r="U1291" s="6">
        <v>2015</v>
      </c>
      <c r="V1291" s="6">
        <v>1</v>
      </c>
      <c r="AD1291" s="6" t="s">
        <v>45</v>
      </c>
      <c r="AJ1291" s="31" t="s">
        <v>2113</v>
      </c>
      <c r="AK1291" s="6">
        <v>1</v>
      </c>
      <c r="AL1291" s="26">
        <v>800000</v>
      </c>
      <c r="AM1291" s="26">
        <v>800000</v>
      </c>
      <c r="AN1291" s="26">
        <v>800000</v>
      </c>
      <c r="AO1291" s="6" t="s">
        <v>2003</v>
      </c>
      <c r="AQ1291" s="6" t="s">
        <v>49</v>
      </c>
      <c r="AU1291" s="6">
        <v>227537</v>
      </c>
    </row>
    <row r="1292" spans="1:47" x14ac:dyDescent="0.3">
      <c r="A1292" s="28" t="s">
        <v>42</v>
      </c>
      <c r="B1292" s="6" t="s">
        <v>2185</v>
      </c>
      <c r="D1292" s="6" t="s">
        <v>2100</v>
      </c>
      <c r="E1292" s="6">
        <v>1</v>
      </c>
      <c r="F1292" s="6" t="s">
        <v>2004</v>
      </c>
      <c r="G1292" s="6" t="s">
        <v>2005</v>
      </c>
      <c r="H1292" s="6" t="s">
        <v>2005</v>
      </c>
      <c r="I1292" s="6" t="str">
        <f t="shared" si="40"/>
        <v>ETC</v>
      </c>
      <c r="J1292" s="6" t="s">
        <v>138</v>
      </c>
      <c r="K1292" s="6">
        <v>1</v>
      </c>
      <c r="P1292" s="6">
        <f t="shared" si="41"/>
        <v>2700000</v>
      </c>
      <c r="R1292" s="6" t="s">
        <v>2003</v>
      </c>
      <c r="T1292" s="6" t="s">
        <v>2015</v>
      </c>
      <c r="U1292" s="6">
        <v>2012</v>
      </c>
      <c r="V1292" s="6">
        <v>6</v>
      </c>
      <c r="AD1292" s="6" t="s">
        <v>45</v>
      </c>
      <c r="AJ1292" s="31" t="s">
        <v>2113</v>
      </c>
      <c r="AK1292" s="6">
        <v>1</v>
      </c>
      <c r="AL1292" s="26">
        <v>2500000</v>
      </c>
      <c r="AM1292" s="26">
        <v>2500000</v>
      </c>
      <c r="AN1292" s="26">
        <v>2500000</v>
      </c>
      <c r="AO1292" s="6" t="s">
        <v>2003</v>
      </c>
      <c r="AQ1292" s="6" t="s">
        <v>47</v>
      </c>
      <c r="AU1292" s="6">
        <v>227540</v>
      </c>
    </row>
    <row r="1293" spans="1:47" x14ac:dyDescent="0.3">
      <c r="A1293" s="28" t="s">
        <v>42</v>
      </c>
      <c r="B1293" s="6" t="s">
        <v>2187</v>
      </c>
      <c r="C1293" s="6" t="s">
        <v>1972</v>
      </c>
      <c r="D1293" s="6" t="s">
        <v>2104</v>
      </c>
      <c r="E1293" s="6">
        <v>1</v>
      </c>
      <c r="F1293" s="6" t="s">
        <v>2004</v>
      </c>
      <c r="G1293" s="6" t="s">
        <v>2005</v>
      </c>
      <c r="H1293" s="6" t="s">
        <v>2005</v>
      </c>
      <c r="I1293" s="6" t="str">
        <f t="shared" si="40"/>
        <v>Stone Grapple</v>
      </c>
      <c r="J1293" s="6" t="s">
        <v>197</v>
      </c>
      <c r="K1293" s="6">
        <v>1</v>
      </c>
      <c r="P1293" s="6">
        <f t="shared" si="41"/>
        <v>2600000</v>
      </c>
      <c r="R1293" s="6" t="s">
        <v>2003</v>
      </c>
      <c r="T1293" s="6" t="s">
        <v>2007</v>
      </c>
      <c r="U1293" s="6">
        <v>2014</v>
      </c>
      <c r="V1293" s="6">
        <v>1</v>
      </c>
      <c r="AD1293" s="6" t="s">
        <v>45</v>
      </c>
      <c r="AJ1293" s="31" t="s">
        <v>2113</v>
      </c>
      <c r="AK1293" s="6">
        <v>1</v>
      </c>
      <c r="AL1293" s="26">
        <v>2400000</v>
      </c>
      <c r="AM1293" s="26">
        <v>2400000</v>
      </c>
      <c r="AN1293" s="26">
        <v>2400000</v>
      </c>
      <c r="AO1293" s="6" t="s">
        <v>2003</v>
      </c>
      <c r="AQ1293" s="6" t="s">
        <v>49</v>
      </c>
      <c r="AU1293" s="6">
        <v>227541</v>
      </c>
    </row>
    <row r="1294" spans="1:47" x14ac:dyDescent="0.3">
      <c r="A1294" s="28" t="s">
        <v>42</v>
      </c>
      <c r="B1294" s="6" t="s">
        <v>2185</v>
      </c>
      <c r="C1294" s="6" t="s">
        <v>1979</v>
      </c>
      <c r="D1294" s="6" t="s">
        <v>2104</v>
      </c>
      <c r="E1294" s="6">
        <v>1</v>
      </c>
      <c r="F1294" s="6" t="s">
        <v>2004</v>
      </c>
      <c r="G1294" s="6" t="s">
        <v>2005</v>
      </c>
      <c r="H1294" s="6" t="s">
        <v>2005</v>
      </c>
      <c r="I1294" s="6" t="str">
        <f t="shared" si="40"/>
        <v>Thumb Grapple</v>
      </c>
      <c r="J1294" s="6" t="s">
        <v>117</v>
      </c>
      <c r="K1294" s="6">
        <v>1</v>
      </c>
      <c r="P1294" s="6">
        <f t="shared" si="41"/>
        <v>900000</v>
      </c>
      <c r="R1294" s="6" t="s">
        <v>2003</v>
      </c>
      <c r="T1294" s="6" t="s">
        <v>54</v>
      </c>
      <c r="U1294" s="6">
        <v>2012</v>
      </c>
      <c r="V1294" s="6">
        <v>1</v>
      </c>
      <c r="AD1294" s="6" t="s">
        <v>45</v>
      </c>
      <c r="AJ1294" s="31" t="s">
        <v>2114</v>
      </c>
      <c r="AK1294" s="6">
        <v>1</v>
      </c>
      <c r="AL1294" s="26">
        <v>800000</v>
      </c>
      <c r="AM1294" s="26">
        <v>800000</v>
      </c>
      <c r="AN1294" s="26">
        <v>800000</v>
      </c>
      <c r="AO1294" s="6" t="s">
        <v>2003</v>
      </c>
      <c r="AQ1294" s="6" t="s">
        <v>54</v>
      </c>
      <c r="AU1294" s="6">
        <v>227542</v>
      </c>
    </row>
    <row r="1295" spans="1:47" x14ac:dyDescent="0.3">
      <c r="A1295" s="28" t="s">
        <v>42</v>
      </c>
      <c r="B1295" s="6" t="s">
        <v>2187</v>
      </c>
      <c r="C1295" s="6" t="s">
        <v>1985</v>
      </c>
      <c r="D1295" s="6" t="s">
        <v>2104</v>
      </c>
      <c r="E1295" s="6">
        <v>1</v>
      </c>
      <c r="F1295" s="6" t="s">
        <v>2004</v>
      </c>
      <c r="G1295" s="6" t="s">
        <v>2005</v>
      </c>
      <c r="H1295" s="6" t="s">
        <v>2005</v>
      </c>
      <c r="I1295" s="6" t="str">
        <f t="shared" si="40"/>
        <v>Multi Grapple</v>
      </c>
      <c r="J1295" s="6" t="s">
        <v>296</v>
      </c>
      <c r="K1295" s="6">
        <v>1</v>
      </c>
      <c r="P1295" s="6">
        <f t="shared" si="41"/>
        <v>3000000</v>
      </c>
      <c r="R1295" s="6" t="s">
        <v>2003</v>
      </c>
      <c r="T1295" s="6" t="s">
        <v>51</v>
      </c>
      <c r="U1295" s="6">
        <v>2013</v>
      </c>
      <c r="V1295" s="6">
        <v>1</v>
      </c>
      <c r="AD1295" s="6" t="s">
        <v>45</v>
      </c>
      <c r="AJ1295" s="31" t="s">
        <v>2113</v>
      </c>
      <c r="AK1295" s="6">
        <v>1</v>
      </c>
      <c r="AL1295" s="26">
        <v>2800000</v>
      </c>
      <c r="AM1295" s="26">
        <v>2800000</v>
      </c>
      <c r="AN1295" s="26">
        <v>2800000</v>
      </c>
      <c r="AO1295" s="6" t="s">
        <v>2003</v>
      </c>
      <c r="AQ1295" s="6" t="s">
        <v>49</v>
      </c>
      <c r="AU1295" s="6">
        <v>227544</v>
      </c>
    </row>
    <row r="1296" spans="1:47" hidden="1" x14ac:dyDescent="0.3">
      <c r="A1296" s="28" t="s">
        <v>42</v>
      </c>
      <c r="B1296" s="6" t="s">
        <v>2189</v>
      </c>
      <c r="E1296" s="6">
        <v>1</v>
      </c>
      <c r="F1296" s="6" t="s">
        <v>2004</v>
      </c>
      <c r="G1296" s="6" t="s">
        <v>2005</v>
      </c>
      <c r="H1296" s="6" t="s">
        <v>2005</v>
      </c>
      <c r="I1296" s="6" t="str">
        <f t="shared" si="40"/>
        <v>Quick Coupler</v>
      </c>
      <c r="J1296" s="6" t="s">
        <v>1969</v>
      </c>
      <c r="K1296" s="6">
        <v>1</v>
      </c>
      <c r="P1296" s="6">
        <f t="shared" si="41"/>
        <v>950000</v>
      </c>
      <c r="R1296" s="6" t="s">
        <v>2003</v>
      </c>
      <c r="T1296" s="6" t="s">
        <v>51</v>
      </c>
      <c r="U1296" s="6">
        <v>2017</v>
      </c>
      <c r="V1296" s="6">
        <v>1</v>
      </c>
      <c r="AD1296" s="6" t="s">
        <v>45</v>
      </c>
      <c r="AJ1296" s="31" t="s">
        <v>2113</v>
      </c>
      <c r="AK1296" s="6">
        <v>1</v>
      </c>
      <c r="AL1296" s="26">
        <v>850000</v>
      </c>
      <c r="AM1296" s="26">
        <v>850000</v>
      </c>
      <c r="AN1296" s="26">
        <v>850000</v>
      </c>
      <c r="AO1296" s="6" t="s">
        <v>2003</v>
      </c>
      <c r="AQ1296" s="6" t="s">
        <v>49</v>
      </c>
      <c r="AU1296" s="6">
        <v>227550</v>
      </c>
    </row>
    <row r="1297" spans="1:47" x14ac:dyDescent="0.3">
      <c r="A1297" s="28" t="s">
        <v>42</v>
      </c>
      <c r="B1297" s="6" t="s">
        <v>2187</v>
      </c>
      <c r="C1297" s="6" t="s">
        <v>1972</v>
      </c>
      <c r="D1297" s="6" t="s">
        <v>2100</v>
      </c>
      <c r="E1297" s="6">
        <v>1</v>
      </c>
      <c r="F1297" s="6" t="s">
        <v>2004</v>
      </c>
      <c r="G1297" s="6" t="s">
        <v>2005</v>
      </c>
      <c r="H1297" s="6" t="s">
        <v>2005</v>
      </c>
      <c r="I1297" s="6" t="str">
        <f t="shared" si="40"/>
        <v>Stone Grapple</v>
      </c>
      <c r="J1297" s="6" t="s">
        <v>201</v>
      </c>
      <c r="K1297" s="6">
        <v>1</v>
      </c>
      <c r="P1297" s="6">
        <f t="shared" si="41"/>
        <v>1700000</v>
      </c>
      <c r="R1297" s="6" t="s">
        <v>2003</v>
      </c>
      <c r="T1297" s="6" t="s">
        <v>1140</v>
      </c>
      <c r="U1297" s="6">
        <v>2016</v>
      </c>
      <c r="V1297" s="6">
        <v>1</v>
      </c>
      <c r="AD1297" s="6" t="s">
        <v>45</v>
      </c>
      <c r="AJ1297" s="31" t="s">
        <v>2110</v>
      </c>
      <c r="AK1297" s="6">
        <v>1</v>
      </c>
      <c r="AL1297" s="26">
        <v>1600000</v>
      </c>
      <c r="AM1297" s="26">
        <v>1600000</v>
      </c>
      <c r="AN1297" s="26">
        <v>1600000</v>
      </c>
      <c r="AO1297" s="6" t="s">
        <v>2003</v>
      </c>
      <c r="AQ1297" s="6" t="s">
        <v>1228</v>
      </c>
      <c r="AU1297" s="6">
        <v>227552</v>
      </c>
    </row>
    <row r="1298" spans="1:47" hidden="1" x14ac:dyDescent="0.3">
      <c r="A1298" s="28" t="s">
        <v>42</v>
      </c>
      <c r="B1298" s="6" t="s">
        <v>2186</v>
      </c>
      <c r="E1298" s="6">
        <v>1</v>
      </c>
      <c r="F1298" s="6" t="s">
        <v>2004</v>
      </c>
      <c r="G1298" s="6" t="s">
        <v>2005</v>
      </c>
      <c r="H1298" s="6" t="s">
        <v>2005</v>
      </c>
      <c r="I1298" s="6" t="str">
        <f t="shared" si="40"/>
        <v>Bucket</v>
      </c>
      <c r="J1298" s="6" t="s">
        <v>226</v>
      </c>
      <c r="K1298" s="6">
        <v>1</v>
      </c>
      <c r="P1298" s="6">
        <f t="shared" si="41"/>
        <v>850000</v>
      </c>
      <c r="R1298" s="6" t="s">
        <v>2003</v>
      </c>
      <c r="T1298" s="6" t="s">
        <v>1918</v>
      </c>
      <c r="U1298" s="6">
        <v>2016</v>
      </c>
      <c r="V1298" s="6">
        <v>3</v>
      </c>
      <c r="AD1298" s="6" t="s">
        <v>45</v>
      </c>
      <c r="AJ1298" s="31" t="s">
        <v>2118</v>
      </c>
      <c r="AK1298" s="6">
        <v>1</v>
      </c>
      <c r="AL1298" s="26">
        <v>750000</v>
      </c>
      <c r="AM1298" s="26">
        <v>750000</v>
      </c>
      <c r="AN1298" s="26">
        <v>750000</v>
      </c>
      <c r="AO1298" s="6" t="s">
        <v>2003</v>
      </c>
      <c r="AQ1298" s="6" t="s">
        <v>1927</v>
      </c>
      <c r="AU1298" s="6">
        <v>227560</v>
      </c>
    </row>
    <row r="1299" spans="1:47" hidden="1" x14ac:dyDescent="0.3">
      <c r="A1299" s="28" t="s">
        <v>42</v>
      </c>
      <c r="B1299" s="6" t="s">
        <v>2199</v>
      </c>
      <c r="E1299" s="6">
        <v>1</v>
      </c>
      <c r="F1299" s="6" t="s">
        <v>2004</v>
      </c>
      <c r="G1299" s="6" t="s">
        <v>2005</v>
      </c>
      <c r="H1299" s="6" t="s">
        <v>2005</v>
      </c>
      <c r="I1299" s="6" t="str">
        <f t="shared" si="40"/>
        <v>Quick Coupler</v>
      </c>
      <c r="J1299" s="6" t="s">
        <v>1970</v>
      </c>
      <c r="K1299" s="6">
        <v>1</v>
      </c>
      <c r="P1299" s="6">
        <f t="shared" si="41"/>
        <v>950000</v>
      </c>
      <c r="R1299" s="6" t="s">
        <v>2003</v>
      </c>
      <c r="T1299" s="6" t="s">
        <v>51</v>
      </c>
      <c r="U1299" s="6">
        <v>2017</v>
      </c>
      <c r="V1299" s="6">
        <v>1</v>
      </c>
      <c r="AD1299" s="6" t="s">
        <v>45</v>
      </c>
      <c r="AJ1299" s="31" t="s">
        <v>2113</v>
      </c>
      <c r="AK1299" s="6">
        <v>1</v>
      </c>
      <c r="AL1299" s="26">
        <v>850000</v>
      </c>
      <c r="AM1299" s="26">
        <v>850000</v>
      </c>
      <c r="AN1299" s="26">
        <v>850000</v>
      </c>
      <c r="AO1299" s="6" t="s">
        <v>2003</v>
      </c>
      <c r="AQ1299" s="6" t="s">
        <v>49</v>
      </c>
      <c r="AU1299" s="6">
        <v>227564</v>
      </c>
    </row>
    <row r="1300" spans="1:47" x14ac:dyDescent="0.3">
      <c r="A1300" s="28" t="s">
        <v>42</v>
      </c>
      <c r="B1300" s="6" t="s">
        <v>2184</v>
      </c>
      <c r="C1300" s="6" t="s">
        <v>1972</v>
      </c>
      <c r="D1300" s="6" t="s">
        <v>2104</v>
      </c>
      <c r="E1300" s="6">
        <v>1</v>
      </c>
      <c r="F1300" s="6" t="s">
        <v>2004</v>
      </c>
      <c r="G1300" s="6" t="s">
        <v>2005</v>
      </c>
      <c r="H1300" s="6" t="s">
        <v>2005</v>
      </c>
      <c r="I1300" s="6" t="str">
        <f t="shared" si="40"/>
        <v>Stone Grapple</v>
      </c>
      <c r="J1300" s="6" t="s">
        <v>194</v>
      </c>
      <c r="K1300" s="6">
        <v>1</v>
      </c>
      <c r="P1300" s="6">
        <f t="shared" si="41"/>
        <v>2200000</v>
      </c>
      <c r="R1300" s="6" t="s">
        <v>2003</v>
      </c>
      <c r="T1300" s="6" t="s">
        <v>818</v>
      </c>
      <c r="U1300" s="6">
        <v>2010</v>
      </c>
      <c r="V1300" s="6">
        <v>1</v>
      </c>
      <c r="AD1300" s="6" t="s">
        <v>45</v>
      </c>
      <c r="AJ1300" s="31" t="s">
        <v>2112</v>
      </c>
      <c r="AK1300" s="6">
        <v>1</v>
      </c>
      <c r="AL1300" s="26">
        <v>2000000</v>
      </c>
      <c r="AM1300" s="26">
        <v>2000000</v>
      </c>
      <c r="AN1300" s="26">
        <v>2000000</v>
      </c>
      <c r="AO1300" s="6" t="s">
        <v>2003</v>
      </c>
      <c r="AQ1300" s="6" t="s">
        <v>1243</v>
      </c>
      <c r="AU1300" s="6">
        <v>227566</v>
      </c>
    </row>
    <row r="1301" spans="1:47" x14ac:dyDescent="0.3">
      <c r="A1301" s="28" t="s">
        <v>42</v>
      </c>
      <c r="B1301" s="6" t="s">
        <v>2182</v>
      </c>
      <c r="C1301" s="6" t="s">
        <v>1977</v>
      </c>
      <c r="D1301" s="6" t="s">
        <v>2100</v>
      </c>
      <c r="E1301" s="6">
        <v>1</v>
      </c>
      <c r="F1301" s="6" t="s">
        <v>2004</v>
      </c>
      <c r="G1301" s="6" t="s">
        <v>2005</v>
      </c>
      <c r="H1301" s="6" t="s">
        <v>2005</v>
      </c>
      <c r="I1301" s="6" t="str">
        <f t="shared" si="40"/>
        <v>Wide Bucket</v>
      </c>
      <c r="J1301" s="6" t="s">
        <v>64</v>
      </c>
      <c r="K1301" s="6">
        <v>1</v>
      </c>
      <c r="P1301" s="6">
        <f t="shared" si="41"/>
        <v>460000</v>
      </c>
      <c r="R1301" s="6" t="s">
        <v>2003</v>
      </c>
      <c r="T1301" s="6" t="s">
        <v>789</v>
      </c>
      <c r="U1301" s="6">
        <v>2015</v>
      </c>
      <c r="V1301" s="6">
        <v>1</v>
      </c>
      <c r="AD1301" s="6" t="s">
        <v>45</v>
      </c>
      <c r="AJ1301" s="31" t="s">
        <v>2122</v>
      </c>
      <c r="AK1301" s="6">
        <v>1</v>
      </c>
      <c r="AL1301" s="26">
        <v>410000</v>
      </c>
      <c r="AM1301" s="26">
        <v>410000</v>
      </c>
      <c r="AN1301" s="26">
        <v>410000</v>
      </c>
      <c r="AO1301" s="6" t="s">
        <v>2003</v>
      </c>
      <c r="AQ1301" s="6" t="s">
        <v>65</v>
      </c>
      <c r="AU1301" s="6">
        <v>227568</v>
      </c>
    </row>
  </sheetData>
  <autoFilter ref="D1:D1301">
    <filterColumn colId="0">
      <customFilters>
        <customFilter operator="notEqual" val=" "/>
      </customFilters>
    </filterColumn>
  </autoFilter>
  <mergeCells count="1">
    <mergeCell ref="AW12:AZ14"/>
  </mergeCells>
  <phoneticPr fontId="18" type="noConversion"/>
  <dataValidations count="2">
    <dataValidation type="list" allowBlank="1" showInputMessage="1" showErrorMessage="1" sqref="B2:B1301">
      <formula1>category2</formula1>
    </dataValidation>
    <dataValidation type="list" allowBlank="1" showInputMessage="1" showErrorMessage="1" sqref="D2:D1301">
      <formula1>excavator1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FillInCategory2">
                <anchor moveWithCells="1" sizeWithCells="1">
                  <from>
                    <xdr:col>48</xdr:col>
                    <xdr:colOff>114300</xdr:colOff>
                    <xdr:row>1</xdr:row>
                    <xdr:rowOff>0</xdr:rowOff>
                  </from>
                  <to>
                    <xdr:col>49</xdr:col>
                    <xdr:colOff>371475</xdr:colOff>
                    <xdr:row>3</xdr:row>
                    <xdr:rowOff>171450</xdr:rowOff>
                  </to>
                </anchor>
              </controlPr>
            </control>
          </mc:Choice>
        </mc:AlternateContent>
        <mc:AlternateContent xmlns:mc="http://schemas.openxmlformats.org/markup-compatibility/2006">
          <mc:Choice Requires="x14">
            <control shapeId="1027" r:id="rId5" name="Button 3">
              <controlPr defaultSize="0" print="0" autoFill="0" autoPict="0">
                <anchor moveWithCells="1" sizeWithCells="1">
                  <from>
                    <xdr:col>48</xdr:col>
                    <xdr:colOff>104775</xdr:colOff>
                    <xdr:row>4</xdr:row>
                    <xdr:rowOff>133350</xdr:rowOff>
                  </from>
                  <to>
                    <xdr:col>49</xdr:col>
                    <xdr:colOff>390525</xdr:colOff>
                    <xdr:row>6</xdr:row>
                    <xdr:rowOff>161925</xdr:rowOff>
                  </to>
                </anchor>
              </controlPr>
            </control>
          </mc:Choice>
        </mc:AlternateContent>
        <mc:AlternateContent xmlns:mc="http://schemas.openxmlformats.org/markup-compatibility/2006">
          <mc:Choice Requires="x14">
            <control shapeId="1028" r:id="rId6" name="Button 4">
              <controlPr defaultSize="0" print="0" autoFill="0" autoPict="0" macro="[0]!FillModelTon">
                <anchor moveWithCells="1" sizeWithCells="1">
                  <from>
                    <xdr:col>48</xdr:col>
                    <xdr:colOff>104775</xdr:colOff>
                    <xdr:row>7</xdr:row>
                    <xdr:rowOff>161925</xdr:rowOff>
                  </from>
                  <to>
                    <xdr:col>49</xdr:col>
                    <xdr:colOff>381000</xdr:colOff>
                    <xdr:row>9</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Z1118"/>
  <sheetViews>
    <sheetView tabSelected="1" topLeftCell="A296" workbookViewId="0">
      <selection activeCell="J331" sqref="J331"/>
    </sheetView>
  </sheetViews>
  <sheetFormatPr defaultRowHeight="16.5" x14ac:dyDescent="0.3"/>
  <cols>
    <col min="1" max="1" width="19.25" bestFit="1" customWidth="1"/>
    <col min="2" max="2" width="17.25" bestFit="1" customWidth="1"/>
    <col min="3" max="3" width="17.25" customWidth="1"/>
    <col min="4" max="4" width="26.125" customWidth="1"/>
    <col min="9" max="9" width="17.375" customWidth="1"/>
    <col min="10" max="10" width="17.25" bestFit="1" customWidth="1"/>
    <col min="12" max="12" width="9.5" bestFit="1" customWidth="1"/>
    <col min="15" max="15" width="23.5" customWidth="1"/>
    <col min="16" max="16" width="9.25" customWidth="1"/>
    <col min="18" max="18" width="19" bestFit="1" customWidth="1"/>
    <col min="19" max="19" width="8.375" bestFit="1" customWidth="1"/>
    <col min="25" max="25" width="16.125" bestFit="1" customWidth="1"/>
  </cols>
  <sheetData>
    <row r="1" spans="1:26" x14ac:dyDescent="0.3">
      <c r="A1" s="32" t="s">
        <v>2251</v>
      </c>
      <c r="B1" s="32" t="s">
        <v>2252</v>
      </c>
      <c r="C1" s="32" t="s">
        <v>2253</v>
      </c>
      <c r="D1" s="32" t="s">
        <v>17</v>
      </c>
      <c r="E1" s="32" t="s">
        <v>3</v>
      </c>
      <c r="F1" s="32" t="s">
        <v>2254</v>
      </c>
      <c r="G1" s="32" t="s">
        <v>5</v>
      </c>
      <c r="H1" s="32" t="s">
        <v>6</v>
      </c>
      <c r="I1" s="32" t="s">
        <v>7</v>
      </c>
      <c r="J1" s="32" t="s">
        <v>1830</v>
      </c>
      <c r="K1" s="32" t="s">
        <v>2285</v>
      </c>
      <c r="L1" s="32" t="s">
        <v>12</v>
      </c>
      <c r="M1" s="32" t="s">
        <v>13</v>
      </c>
      <c r="N1" s="32" t="s">
        <v>14</v>
      </c>
      <c r="O1" s="32" t="s">
        <v>16</v>
      </c>
      <c r="P1" s="32" t="s">
        <v>18</v>
      </c>
      <c r="Q1" s="32" t="s">
        <v>19</v>
      </c>
      <c r="R1" s="32" t="s">
        <v>2286</v>
      </c>
      <c r="S1" s="32" t="s">
        <v>32</v>
      </c>
      <c r="T1" s="32" t="s">
        <v>33</v>
      </c>
      <c r="U1" s="32" t="s">
        <v>34</v>
      </c>
      <c r="V1" s="32" t="s">
        <v>2287</v>
      </c>
      <c r="W1" s="32" t="s">
        <v>2288</v>
      </c>
      <c r="X1" s="32" t="s">
        <v>35</v>
      </c>
      <c r="Y1" s="32" t="s">
        <v>37</v>
      </c>
      <c r="Z1" s="32" t="s">
        <v>41</v>
      </c>
    </row>
    <row r="2" spans="1:26" x14ac:dyDescent="0.3">
      <c r="A2" s="28" t="s">
        <v>42</v>
      </c>
      <c r="B2" s="6" t="s">
        <v>2238</v>
      </c>
      <c r="C2" s="6" t="s">
        <v>1974</v>
      </c>
      <c r="D2" s="6" t="s">
        <v>2291</v>
      </c>
      <c r="E2" s="6">
        <v>1</v>
      </c>
      <c r="F2" s="6" t="s">
        <v>2004</v>
      </c>
      <c r="G2" s="32" t="s">
        <v>2299</v>
      </c>
      <c r="H2" s="32" t="s">
        <v>2300</v>
      </c>
      <c r="I2" s="6" t="str">
        <f t="shared" ref="I2:I33" si="0">IF(ISBLANK(C2),B2,C2)</f>
        <v>Etc Grapple</v>
      </c>
      <c r="J2" s="6" t="s">
        <v>2357</v>
      </c>
      <c r="K2" s="6">
        <v>1</v>
      </c>
      <c r="L2" s="6">
        <f t="shared" ref="L2:L33" si="1">FLOOR(((M2*100)/85)/10000, 1)*10000</f>
        <v>4110000</v>
      </c>
      <c r="M2" s="6">
        <v>3500000</v>
      </c>
      <c r="N2" s="6" t="s">
        <v>2003</v>
      </c>
      <c r="O2" s="6" t="s">
        <v>851</v>
      </c>
      <c r="P2" s="6">
        <v>2015</v>
      </c>
      <c r="Q2" s="6">
        <v>8</v>
      </c>
      <c r="R2" s="6" t="s">
        <v>45</v>
      </c>
      <c r="S2" s="31" t="s">
        <v>2111</v>
      </c>
      <c r="T2" s="6">
        <v>1</v>
      </c>
      <c r="U2" s="26">
        <v>3300000</v>
      </c>
      <c r="V2" s="26">
        <v>3300000</v>
      </c>
      <c r="W2" s="26">
        <v>3300000</v>
      </c>
      <c r="X2" s="6" t="s">
        <v>2003</v>
      </c>
      <c r="Y2" s="6" t="s">
        <v>1235</v>
      </c>
      <c r="Z2" s="6">
        <v>223301</v>
      </c>
    </row>
    <row r="3" spans="1:26" x14ac:dyDescent="0.3">
      <c r="A3" s="28" t="s">
        <v>42</v>
      </c>
      <c r="B3" s="6" t="s">
        <v>1326</v>
      </c>
      <c r="C3" s="6" t="s">
        <v>1974</v>
      </c>
      <c r="D3" s="6" t="s">
        <v>2291</v>
      </c>
      <c r="E3" s="6">
        <v>1</v>
      </c>
      <c r="F3" s="6" t="s">
        <v>2004</v>
      </c>
      <c r="G3" s="32" t="s">
        <v>2299</v>
      </c>
      <c r="H3" s="32" t="s">
        <v>2300</v>
      </c>
      <c r="I3" s="6" t="str">
        <f t="shared" si="0"/>
        <v>Etc Grapple</v>
      </c>
      <c r="J3" s="6" t="s">
        <v>2357</v>
      </c>
      <c r="K3" s="6">
        <v>1</v>
      </c>
      <c r="L3" s="6">
        <f t="shared" si="1"/>
        <v>4000000</v>
      </c>
      <c r="M3" s="6">
        <v>3400000</v>
      </c>
      <c r="N3" s="6" t="s">
        <v>2003</v>
      </c>
      <c r="O3" s="6" t="s">
        <v>851</v>
      </c>
      <c r="P3" s="6">
        <v>2015</v>
      </c>
      <c r="Q3" s="6">
        <v>6</v>
      </c>
      <c r="R3" s="6" t="s">
        <v>45</v>
      </c>
      <c r="S3" s="31" t="s">
        <v>2111</v>
      </c>
      <c r="T3" s="6">
        <v>1</v>
      </c>
      <c r="U3" s="26">
        <v>3200000</v>
      </c>
      <c r="V3" s="26">
        <v>3200000</v>
      </c>
      <c r="W3" s="26">
        <v>3200000</v>
      </c>
      <c r="X3" s="6" t="s">
        <v>2003</v>
      </c>
      <c r="Y3" s="6" t="s">
        <v>1235</v>
      </c>
      <c r="Z3" s="6">
        <v>223303</v>
      </c>
    </row>
    <row r="4" spans="1:26" x14ac:dyDescent="0.3">
      <c r="A4" s="28" t="s">
        <v>42</v>
      </c>
      <c r="B4" s="6" t="s">
        <v>1327</v>
      </c>
      <c r="C4" s="6" t="s">
        <v>1971</v>
      </c>
      <c r="D4" s="6" t="s">
        <v>2289</v>
      </c>
      <c r="E4" s="6">
        <v>1</v>
      </c>
      <c r="F4" s="6" t="s">
        <v>2004</v>
      </c>
      <c r="G4" s="32" t="s">
        <v>2299</v>
      </c>
      <c r="H4" s="32" t="s">
        <v>2300</v>
      </c>
      <c r="I4" s="6" t="str">
        <f t="shared" si="0"/>
        <v>Special Bucket</v>
      </c>
      <c r="J4" s="6" t="s">
        <v>433</v>
      </c>
      <c r="K4" s="6">
        <v>1</v>
      </c>
      <c r="L4" s="6">
        <f t="shared" si="1"/>
        <v>1880000</v>
      </c>
      <c r="M4" s="6">
        <v>1600000</v>
      </c>
      <c r="N4" s="6" t="s">
        <v>2003</v>
      </c>
      <c r="O4" s="6" t="s">
        <v>239</v>
      </c>
      <c r="P4" s="6">
        <v>2015</v>
      </c>
      <c r="Q4" s="6">
        <v>1</v>
      </c>
      <c r="R4" s="6" t="s">
        <v>45</v>
      </c>
      <c r="S4" s="31" t="s">
        <v>2112</v>
      </c>
      <c r="T4" s="6">
        <v>1</v>
      </c>
      <c r="U4" s="26">
        <v>1500000</v>
      </c>
      <c r="V4" s="26">
        <v>1500000</v>
      </c>
      <c r="W4" s="26">
        <v>1500000</v>
      </c>
      <c r="X4" s="6" t="s">
        <v>2003</v>
      </c>
      <c r="Y4" s="6" t="s">
        <v>1251</v>
      </c>
      <c r="Z4" s="6">
        <v>223304</v>
      </c>
    </row>
    <row r="5" spans="1:26" x14ac:dyDescent="0.3">
      <c r="A5" s="28" t="s">
        <v>42</v>
      </c>
      <c r="B5" s="6" t="s">
        <v>2239</v>
      </c>
      <c r="C5" s="19" t="s">
        <v>2240</v>
      </c>
      <c r="D5" s="6" t="s">
        <v>2295</v>
      </c>
      <c r="E5" s="6">
        <v>1</v>
      </c>
      <c r="F5" s="6" t="s">
        <v>2004</v>
      </c>
      <c r="G5" s="32" t="s">
        <v>2299</v>
      </c>
      <c r="H5" s="32" t="s">
        <v>2300</v>
      </c>
      <c r="I5" s="6" t="str">
        <f t="shared" si="0"/>
        <v>Etc Grapple</v>
      </c>
      <c r="J5" s="6" t="s">
        <v>165</v>
      </c>
      <c r="K5" s="6">
        <v>1</v>
      </c>
      <c r="L5" s="6">
        <f t="shared" si="1"/>
        <v>2940000</v>
      </c>
      <c r="M5" s="6">
        <v>2500000</v>
      </c>
      <c r="N5" s="6" t="s">
        <v>2003</v>
      </c>
      <c r="O5" s="6" t="s">
        <v>70</v>
      </c>
      <c r="P5" s="6">
        <v>2016</v>
      </c>
      <c r="Q5" s="6">
        <v>7</v>
      </c>
      <c r="R5" s="6" t="s">
        <v>45</v>
      </c>
      <c r="S5" s="31" t="s">
        <v>2113</v>
      </c>
      <c r="T5" s="6">
        <v>1</v>
      </c>
      <c r="U5" s="26">
        <v>2300000</v>
      </c>
      <c r="V5" s="26">
        <v>2300000</v>
      </c>
      <c r="W5" s="26">
        <v>2300000</v>
      </c>
      <c r="X5" s="6" t="s">
        <v>2003</v>
      </c>
      <c r="Y5" s="6" t="s">
        <v>71</v>
      </c>
      <c r="Z5" s="6">
        <v>223306</v>
      </c>
    </row>
    <row r="6" spans="1:26" x14ac:dyDescent="0.3">
      <c r="A6" s="28" t="s">
        <v>42</v>
      </c>
      <c r="B6" s="6" t="s">
        <v>1326</v>
      </c>
      <c r="C6" s="6" t="s">
        <v>1972</v>
      </c>
      <c r="D6" s="6" t="s">
        <v>2291</v>
      </c>
      <c r="E6" s="6">
        <v>1</v>
      </c>
      <c r="F6" s="6" t="s">
        <v>2004</v>
      </c>
      <c r="G6" s="32" t="s">
        <v>2299</v>
      </c>
      <c r="H6" s="32" t="s">
        <v>2300</v>
      </c>
      <c r="I6" s="6" t="str">
        <f t="shared" si="0"/>
        <v>Stone Grapple</v>
      </c>
      <c r="J6" s="6" t="s">
        <v>326</v>
      </c>
      <c r="K6" s="6">
        <v>1</v>
      </c>
      <c r="L6" s="6">
        <f t="shared" si="1"/>
        <v>4820000</v>
      </c>
      <c r="M6" s="6">
        <v>4100000</v>
      </c>
      <c r="N6" s="6" t="s">
        <v>2003</v>
      </c>
      <c r="O6" s="6" t="s">
        <v>849</v>
      </c>
      <c r="P6" s="6">
        <v>2016</v>
      </c>
      <c r="Q6" s="6">
        <v>12</v>
      </c>
      <c r="R6" s="6" t="s">
        <v>45</v>
      </c>
      <c r="S6" s="31" t="s">
        <v>2112</v>
      </c>
      <c r="T6" s="6">
        <v>1</v>
      </c>
      <c r="U6" s="26">
        <v>3900000</v>
      </c>
      <c r="V6" s="26">
        <v>3900000</v>
      </c>
      <c r="W6" s="26">
        <v>3900000</v>
      </c>
      <c r="X6" s="6" t="s">
        <v>2003</v>
      </c>
      <c r="Y6" s="6" t="s">
        <v>1142</v>
      </c>
      <c r="Z6" s="6">
        <v>223308</v>
      </c>
    </row>
    <row r="7" spans="1:26" x14ac:dyDescent="0.3">
      <c r="A7" s="28" t="s">
        <v>42</v>
      </c>
      <c r="B7" s="6" t="s">
        <v>1326</v>
      </c>
      <c r="C7" s="6" t="s">
        <v>1972</v>
      </c>
      <c r="D7" s="6" t="s">
        <v>2291</v>
      </c>
      <c r="E7" s="6">
        <v>1</v>
      </c>
      <c r="F7" s="6" t="s">
        <v>2004</v>
      </c>
      <c r="G7" s="32" t="s">
        <v>2299</v>
      </c>
      <c r="H7" s="32" t="s">
        <v>2300</v>
      </c>
      <c r="I7" s="6" t="str">
        <f t="shared" si="0"/>
        <v>Stone Grapple</v>
      </c>
      <c r="J7" s="6" t="s">
        <v>185</v>
      </c>
      <c r="K7" s="6">
        <v>1</v>
      </c>
      <c r="L7" s="6">
        <f t="shared" si="1"/>
        <v>2000000</v>
      </c>
      <c r="M7" s="6">
        <v>1700000</v>
      </c>
      <c r="N7" s="6" t="s">
        <v>2003</v>
      </c>
      <c r="O7" s="6" t="s">
        <v>51</v>
      </c>
      <c r="P7" s="6">
        <v>2016</v>
      </c>
      <c r="Q7" s="6">
        <v>1</v>
      </c>
      <c r="R7" s="6" t="s">
        <v>45</v>
      </c>
      <c r="S7" s="31" t="s">
        <v>2113</v>
      </c>
      <c r="T7" s="6">
        <v>1</v>
      </c>
      <c r="U7" s="26">
        <v>1600000</v>
      </c>
      <c r="V7" s="26">
        <v>1600000</v>
      </c>
      <c r="W7" s="26">
        <v>1600000</v>
      </c>
      <c r="X7" s="6" t="s">
        <v>2003</v>
      </c>
      <c r="Y7" s="6" t="s">
        <v>49</v>
      </c>
      <c r="Z7" s="6">
        <v>223310</v>
      </c>
    </row>
    <row r="8" spans="1:26" x14ac:dyDescent="0.3">
      <c r="A8" s="28" t="s">
        <v>42</v>
      </c>
      <c r="B8" s="6" t="s">
        <v>1326</v>
      </c>
      <c r="C8" s="6" t="s">
        <v>1973</v>
      </c>
      <c r="D8" s="6" t="s">
        <v>2291</v>
      </c>
      <c r="E8" s="6">
        <v>1</v>
      </c>
      <c r="F8" s="6" t="s">
        <v>2004</v>
      </c>
      <c r="G8" s="32" t="s">
        <v>2299</v>
      </c>
      <c r="H8" s="32" t="s">
        <v>2300</v>
      </c>
      <c r="I8" s="6" t="str">
        <f t="shared" si="0"/>
        <v>Wood Grapple</v>
      </c>
      <c r="J8" s="6" t="s">
        <v>127</v>
      </c>
      <c r="K8" s="6">
        <v>1</v>
      </c>
      <c r="L8" s="6">
        <f t="shared" si="1"/>
        <v>3170000</v>
      </c>
      <c r="M8" s="6">
        <v>2700000</v>
      </c>
      <c r="N8" s="6" t="s">
        <v>2003</v>
      </c>
      <c r="O8" s="6" t="s">
        <v>846</v>
      </c>
      <c r="P8" s="6">
        <v>2014</v>
      </c>
      <c r="Q8" s="6">
        <v>1</v>
      </c>
      <c r="R8" s="6" t="s">
        <v>45</v>
      </c>
      <c r="S8" s="31" t="s">
        <v>2113</v>
      </c>
      <c r="T8" s="6">
        <v>1</v>
      </c>
      <c r="U8" s="26">
        <v>2500000</v>
      </c>
      <c r="V8" s="26">
        <v>2500000</v>
      </c>
      <c r="W8" s="26">
        <v>2500000</v>
      </c>
      <c r="X8" s="6" t="s">
        <v>2003</v>
      </c>
      <c r="Y8" s="6" t="s">
        <v>49</v>
      </c>
      <c r="Z8" s="6">
        <v>223311</v>
      </c>
    </row>
    <row r="9" spans="1:26" x14ac:dyDescent="0.3">
      <c r="A9" s="28" t="s">
        <v>42</v>
      </c>
      <c r="B9" s="6" t="s">
        <v>1325</v>
      </c>
      <c r="C9" s="6" t="s">
        <v>2156</v>
      </c>
      <c r="D9" s="6" t="s">
        <v>2290</v>
      </c>
      <c r="E9" s="6">
        <v>1</v>
      </c>
      <c r="F9" s="6" t="s">
        <v>2004</v>
      </c>
      <c r="G9" s="32" t="s">
        <v>2299</v>
      </c>
      <c r="H9" s="32" t="s">
        <v>2300</v>
      </c>
      <c r="I9" s="6" t="str">
        <f t="shared" si="0"/>
        <v>Hydraulic Crusher</v>
      </c>
      <c r="J9" s="6" t="s">
        <v>2141</v>
      </c>
      <c r="K9" s="6">
        <v>1</v>
      </c>
      <c r="L9" s="6">
        <f t="shared" si="1"/>
        <v>27640000</v>
      </c>
      <c r="M9" s="6">
        <v>23500000</v>
      </c>
      <c r="N9" s="6" t="s">
        <v>2003</v>
      </c>
      <c r="O9" s="6" t="s">
        <v>852</v>
      </c>
      <c r="P9" s="6">
        <v>2016</v>
      </c>
      <c r="Q9" s="6">
        <v>11</v>
      </c>
      <c r="R9" s="6" t="s">
        <v>45</v>
      </c>
      <c r="S9" s="31" t="s">
        <v>2114</v>
      </c>
      <c r="T9" s="6">
        <v>1</v>
      </c>
      <c r="U9" s="26">
        <v>23000000</v>
      </c>
      <c r="V9" s="26">
        <v>23000000</v>
      </c>
      <c r="W9" s="26">
        <v>23000000</v>
      </c>
      <c r="X9" s="6" t="s">
        <v>2003</v>
      </c>
      <c r="Y9" s="6" t="s">
        <v>1252</v>
      </c>
      <c r="Z9" s="6">
        <v>223312</v>
      </c>
    </row>
    <row r="10" spans="1:26" x14ac:dyDescent="0.3">
      <c r="A10" s="28" t="s">
        <v>42</v>
      </c>
      <c r="B10" s="6" t="s">
        <v>1326</v>
      </c>
      <c r="C10" s="6" t="s">
        <v>1974</v>
      </c>
      <c r="D10" s="6" t="s">
        <v>2292</v>
      </c>
      <c r="E10" s="6">
        <v>1</v>
      </c>
      <c r="F10" s="6" t="s">
        <v>2004</v>
      </c>
      <c r="G10" s="32" t="s">
        <v>2299</v>
      </c>
      <c r="H10" s="32" t="s">
        <v>2300</v>
      </c>
      <c r="I10" s="6" t="str">
        <f t="shared" si="0"/>
        <v>Etc Grapple</v>
      </c>
      <c r="J10" s="6" t="s">
        <v>125</v>
      </c>
      <c r="K10" s="6">
        <v>1</v>
      </c>
      <c r="L10" s="6">
        <f t="shared" si="1"/>
        <v>6470000</v>
      </c>
      <c r="M10" s="6">
        <v>5500000</v>
      </c>
      <c r="N10" s="6" t="s">
        <v>2003</v>
      </c>
      <c r="O10" s="6" t="s">
        <v>853</v>
      </c>
      <c r="P10" s="6">
        <v>2015</v>
      </c>
      <c r="Q10" s="6">
        <v>1</v>
      </c>
      <c r="R10" s="6" t="s">
        <v>45</v>
      </c>
      <c r="S10" s="31" t="s">
        <v>2115</v>
      </c>
      <c r="T10" s="6">
        <v>1</v>
      </c>
      <c r="U10" s="26">
        <v>5000000</v>
      </c>
      <c r="V10" s="26">
        <v>5000000</v>
      </c>
      <c r="W10" s="26">
        <v>5000000</v>
      </c>
      <c r="X10" s="6" t="s">
        <v>2003</v>
      </c>
      <c r="Y10" s="6" t="s">
        <v>1253</v>
      </c>
      <c r="Z10" s="6">
        <v>223320</v>
      </c>
    </row>
    <row r="11" spans="1:26" x14ac:dyDescent="0.3">
      <c r="A11" s="28" t="s">
        <v>42</v>
      </c>
      <c r="B11" s="6" t="s">
        <v>2163</v>
      </c>
      <c r="C11" s="6"/>
      <c r="D11" s="6" t="s">
        <v>2292</v>
      </c>
      <c r="E11" s="6">
        <v>1</v>
      </c>
      <c r="F11" s="6" t="s">
        <v>2004</v>
      </c>
      <c r="G11" s="32" t="s">
        <v>2299</v>
      </c>
      <c r="H11" s="32" t="s">
        <v>2300</v>
      </c>
      <c r="I11" s="6" t="str">
        <f t="shared" si="0"/>
        <v>Lift Fork</v>
      </c>
      <c r="J11" s="6" t="s">
        <v>320</v>
      </c>
      <c r="K11" s="6">
        <v>1</v>
      </c>
      <c r="L11" s="6">
        <f t="shared" si="1"/>
        <v>470000</v>
      </c>
      <c r="M11" s="6">
        <v>400000</v>
      </c>
      <c r="N11" s="6" t="s">
        <v>2003</v>
      </c>
      <c r="O11" s="6" t="s">
        <v>2007</v>
      </c>
      <c r="P11" s="6">
        <v>2014</v>
      </c>
      <c r="Q11" s="6">
        <v>1</v>
      </c>
      <c r="R11" s="6" t="s">
        <v>45</v>
      </c>
      <c r="S11" s="31" t="s">
        <v>2113</v>
      </c>
      <c r="T11" s="6">
        <v>1</v>
      </c>
      <c r="U11" s="26">
        <v>350000</v>
      </c>
      <c r="V11" s="26">
        <v>350000</v>
      </c>
      <c r="W11" s="26">
        <v>350000</v>
      </c>
      <c r="X11" s="6" t="s">
        <v>2003</v>
      </c>
      <c r="Y11" s="6" t="s">
        <v>49</v>
      </c>
      <c r="Z11" s="6">
        <v>223321</v>
      </c>
    </row>
    <row r="12" spans="1:26" x14ac:dyDescent="0.3">
      <c r="A12" s="28" t="s">
        <v>42</v>
      </c>
      <c r="B12" s="6" t="s">
        <v>1328</v>
      </c>
      <c r="C12" s="6" t="s">
        <v>1975</v>
      </c>
      <c r="D12" s="6" t="s">
        <v>2001</v>
      </c>
      <c r="E12" s="6">
        <v>1</v>
      </c>
      <c r="F12" s="6" t="s">
        <v>2004</v>
      </c>
      <c r="G12" s="32" t="s">
        <v>2299</v>
      </c>
      <c r="H12" s="32" t="s">
        <v>2300</v>
      </c>
      <c r="I12" s="6" t="str">
        <f t="shared" si="0"/>
        <v>Side Breaker</v>
      </c>
      <c r="J12" s="6" t="s">
        <v>164</v>
      </c>
      <c r="K12" s="6">
        <v>1</v>
      </c>
      <c r="L12" s="6">
        <f t="shared" si="1"/>
        <v>6470000</v>
      </c>
      <c r="M12" s="6">
        <v>5500000</v>
      </c>
      <c r="N12" s="6" t="s">
        <v>2003</v>
      </c>
      <c r="O12" s="6" t="s">
        <v>54</v>
      </c>
      <c r="P12" s="6">
        <v>2009</v>
      </c>
      <c r="Q12" s="6">
        <v>1</v>
      </c>
      <c r="R12" s="6" t="s">
        <v>45</v>
      </c>
      <c r="S12" s="31" t="s">
        <v>2111</v>
      </c>
      <c r="T12" s="6">
        <v>1</v>
      </c>
      <c r="U12" s="26">
        <v>5000000</v>
      </c>
      <c r="V12" s="26">
        <v>5000000</v>
      </c>
      <c r="W12" s="26">
        <v>5000000</v>
      </c>
      <c r="X12" s="6" t="s">
        <v>2003</v>
      </c>
      <c r="Y12" s="6" t="s">
        <v>54</v>
      </c>
      <c r="Z12" s="6">
        <v>223322</v>
      </c>
    </row>
    <row r="13" spans="1:26" x14ac:dyDescent="0.3">
      <c r="A13" s="28" t="s">
        <v>42</v>
      </c>
      <c r="B13" s="6" t="s">
        <v>1327</v>
      </c>
      <c r="C13" s="6" t="s">
        <v>1982</v>
      </c>
      <c r="D13" s="6" t="s">
        <v>2001</v>
      </c>
      <c r="E13" s="6">
        <v>1</v>
      </c>
      <c r="F13" s="6" t="s">
        <v>2004</v>
      </c>
      <c r="G13" s="32" t="s">
        <v>2299</v>
      </c>
      <c r="H13" s="32" t="s">
        <v>2300</v>
      </c>
      <c r="I13" s="6" t="str">
        <f t="shared" si="0"/>
        <v>Standard Bucket</v>
      </c>
      <c r="J13" s="6" t="s">
        <v>434</v>
      </c>
      <c r="K13" s="6">
        <v>1</v>
      </c>
      <c r="L13" s="6">
        <f t="shared" si="1"/>
        <v>2580000</v>
      </c>
      <c r="M13" s="6">
        <v>2200000</v>
      </c>
      <c r="N13" s="6" t="s">
        <v>2003</v>
      </c>
      <c r="O13" s="6" t="s">
        <v>854</v>
      </c>
      <c r="P13" s="6">
        <v>2013</v>
      </c>
      <c r="Q13" s="6">
        <v>1</v>
      </c>
      <c r="R13" s="6" t="s">
        <v>45</v>
      </c>
      <c r="S13" s="31" t="s">
        <v>2117</v>
      </c>
      <c r="T13" s="6">
        <v>1</v>
      </c>
      <c r="U13" s="26">
        <v>2000000</v>
      </c>
      <c r="V13" s="26">
        <v>2000000</v>
      </c>
      <c r="W13" s="26">
        <v>2000000</v>
      </c>
      <c r="X13" s="6" t="s">
        <v>2003</v>
      </c>
      <c r="Y13" s="6" t="s">
        <v>1248</v>
      </c>
      <c r="Z13" s="6">
        <v>223339</v>
      </c>
    </row>
    <row r="14" spans="1:26" x14ac:dyDescent="0.3">
      <c r="A14" s="28" t="s">
        <v>42</v>
      </c>
      <c r="B14" s="6" t="s">
        <v>1326</v>
      </c>
      <c r="C14" s="6" t="s">
        <v>1972</v>
      </c>
      <c r="D14" s="6" t="s">
        <v>2289</v>
      </c>
      <c r="E14" s="6">
        <v>1</v>
      </c>
      <c r="F14" s="6" t="s">
        <v>2004</v>
      </c>
      <c r="G14" s="32" t="s">
        <v>2299</v>
      </c>
      <c r="H14" s="32" t="s">
        <v>2300</v>
      </c>
      <c r="I14" s="6" t="str">
        <f t="shared" si="0"/>
        <v>Stone Grapple</v>
      </c>
      <c r="J14" s="6" t="s">
        <v>180</v>
      </c>
      <c r="K14" s="6">
        <v>1</v>
      </c>
      <c r="L14" s="6">
        <f t="shared" si="1"/>
        <v>4350000</v>
      </c>
      <c r="M14" s="6">
        <v>3700000</v>
      </c>
      <c r="N14" s="6" t="s">
        <v>2003</v>
      </c>
      <c r="O14" s="6" t="s">
        <v>823</v>
      </c>
      <c r="P14" s="6">
        <v>2014</v>
      </c>
      <c r="Q14" s="6">
        <v>1</v>
      </c>
      <c r="R14" s="6" t="s">
        <v>45</v>
      </c>
      <c r="S14" s="31" t="s">
        <v>2113</v>
      </c>
      <c r="T14" s="6">
        <v>1</v>
      </c>
      <c r="U14" s="26">
        <v>3500000</v>
      </c>
      <c r="V14" s="26">
        <v>3500000</v>
      </c>
      <c r="W14" s="26">
        <v>3500000</v>
      </c>
      <c r="X14" s="6" t="s">
        <v>2003</v>
      </c>
      <c r="Y14" s="6" t="s">
        <v>80</v>
      </c>
      <c r="Z14" s="6">
        <v>223342</v>
      </c>
    </row>
    <row r="15" spans="1:26" x14ac:dyDescent="0.3">
      <c r="A15" s="28" t="s">
        <v>42</v>
      </c>
      <c r="B15" s="6" t="s">
        <v>1328</v>
      </c>
      <c r="C15" s="6" t="s">
        <v>1975</v>
      </c>
      <c r="D15" s="6" t="s">
        <v>2001</v>
      </c>
      <c r="E15" s="6">
        <v>1</v>
      </c>
      <c r="F15" s="6" t="s">
        <v>2004</v>
      </c>
      <c r="G15" s="32" t="s">
        <v>2299</v>
      </c>
      <c r="H15" s="32" t="s">
        <v>2300</v>
      </c>
      <c r="I15" s="6" t="str">
        <f t="shared" si="0"/>
        <v>Side Breaker</v>
      </c>
      <c r="J15" s="6" t="s">
        <v>233</v>
      </c>
      <c r="K15" s="6">
        <v>1</v>
      </c>
      <c r="L15" s="6">
        <f t="shared" si="1"/>
        <v>4940000</v>
      </c>
      <c r="M15" s="6">
        <v>4200000</v>
      </c>
      <c r="N15" s="6" t="s">
        <v>2003</v>
      </c>
      <c r="O15" s="6" t="s">
        <v>855</v>
      </c>
      <c r="P15" s="6">
        <v>2008</v>
      </c>
      <c r="Q15" s="6">
        <v>1</v>
      </c>
      <c r="R15" s="6" t="s">
        <v>45</v>
      </c>
      <c r="S15" s="31" t="s">
        <v>2118</v>
      </c>
      <c r="T15" s="6">
        <v>1</v>
      </c>
      <c r="U15" s="26">
        <v>4000000</v>
      </c>
      <c r="V15" s="26">
        <v>4000000</v>
      </c>
      <c r="W15" s="26">
        <v>4000000</v>
      </c>
      <c r="X15" s="6" t="s">
        <v>2003</v>
      </c>
      <c r="Y15" s="6" t="s">
        <v>67</v>
      </c>
      <c r="Z15" s="6">
        <v>223343</v>
      </c>
    </row>
    <row r="16" spans="1:26" x14ac:dyDescent="0.3">
      <c r="A16" s="28" t="s">
        <v>42</v>
      </c>
      <c r="B16" s="6" t="s">
        <v>1327</v>
      </c>
      <c r="C16" s="6" t="s">
        <v>1976</v>
      </c>
      <c r="D16" s="6" t="s">
        <v>2001</v>
      </c>
      <c r="E16" s="6">
        <v>1</v>
      </c>
      <c r="F16" s="6" t="s">
        <v>2004</v>
      </c>
      <c r="G16" s="32" t="s">
        <v>2299</v>
      </c>
      <c r="H16" s="32" t="s">
        <v>2300</v>
      </c>
      <c r="I16" s="6" t="str">
        <f t="shared" si="0"/>
        <v>Skeleton Bucket</v>
      </c>
      <c r="J16" s="6" t="s">
        <v>124</v>
      </c>
      <c r="K16" s="6">
        <v>1</v>
      </c>
      <c r="L16" s="6">
        <f t="shared" si="1"/>
        <v>1880000</v>
      </c>
      <c r="M16" s="6">
        <v>1600000</v>
      </c>
      <c r="N16" s="6" t="s">
        <v>2003</v>
      </c>
      <c r="O16" s="6" t="s">
        <v>813</v>
      </c>
      <c r="P16" s="6">
        <v>2013</v>
      </c>
      <c r="Q16" s="6">
        <v>1</v>
      </c>
      <c r="R16" s="6" t="s">
        <v>45</v>
      </c>
      <c r="S16" s="31" t="s">
        <v>2113</v>
      </c>
      <c r="T16" s="6">
        <v>1</v>
      </c>
      <c r="U16" s="26">
        <v>1500000</v>
      </c>
      <c r="V16" s="26">
        <v>1500000</v>
      </c>
      <c r="W16" s="26">
        <v>1500000</v>
      </c>
      <c r="X16" s="6" t="s">
        <v>2003</v>
      </c>
      <c r="Y16" s="6" t="s">
        <v>80</v>
      </c>
      <c r="Z16" s="6">
        <v>223353</v>
      </c>
    </row>
    <row r="17" spans="1:26" x14ac:dyDescent="0.3">
      <c r="A17" s="28" t="s">
        <v>42</v>
      </c>
      <c r="B17" s="6" t="s">
        <v>1325</v>
      </c>
      <c r="C17" s="6" t="s">
        <v>2156</v>
      </c>
      <c r="D17" s="6" t="s">
        <v>2293</v>
      </c>
      <c r="E17" s="6">
        <v>1</v>
      </c>
      <c r="F17" s="6" t="s">
        <v>2004</v>
      </c>
      <c r="G17" s="32" t="s">
        <v>2299</v>
      </c>
      <c r="H17" s="32" t="s">
        <v>2300</v>
      </c>
      <c r="I17" s="6" t="str">
        <f t="shared" si="0"/>
        <v>Hydraulic Crusher</v>
      </c>
      <c r="J17" s="6" t="s">
        <v>76</v>
      </c>
      <c r="K17" s="6">
        <v>1</v>
      </c>
      <c r="L17" s="6">
        <f t="shared" si="1"/>
        <v>6820000</v>
      </c>
      <c r="M17" s="6">
        <v>5800000</v>
      </c>
      <c r="N17" s="6" t="s">
        <v>2003</v>
      </c>
      <c r="O17" s="6" t="s">
        <v>70</v>
      </c>
      <c r="P17" s="6">
        <v>2016</v>
      </c>
      <c r="Q17" s="6">
        <v>1</v>
      </c>
      <c r="R17" s="6" t="s">
        <v>45</v>
      </c>
      <c r="S17" s="31" t="s">
        <v>2113</v>
      </c>
      <c r="T17" s="6">
        <v>1</v>
      </c>
      <c r="U17" s="26">
        <v>5300000</v>
      </c>
      <c r="V17" s="26">
        <v>5300000</v>
      </c>
      <c r="W17" s="26">
        <v>5300000</v>
      </c>
      <c r="X17" s="6" t="s">
        <v>2003</v>
      </c>
      <c r="Y17" s="6" t="s">
        <v>71</v>
      </c>
      <c r="Z17" s="6">
        <v>223362</v>
      </c>
    </row>
    <row r="18" spans="1:26" x14ac:dyDescent="0.3">
      <c r="A18" s="28" t="s">
        <v>42</v>
      </c>
      <c r="B18" s="6" t="s">
        <v>1327</v>
      </c>
      <c r="C18" s="6" t="s">
        <v>1977</v>
      </c>
      <c r="D18" s="6" t="s">
        <v>2290</v>
      </c>
      <c r="E18" s="6">
        <v>1</v>
      </c>
      <c r="F18" s="6" t="s">
        <v>2004</v>
      </c>
      <c r="G18" s="32" t="s">
        <v>2299</v>
      </c>
      <c r="H18" s="32" t="s">
        <v>2300</v>
      </c>
      <c r="I18" s="6" t="str">
        <f t="shared" si="0"/>
        <v>Wide Bucket</v>
      </c>
      <c r="J18" s="6" t="s">
        <v>293</v>
      </c>
      <c r="K18" s="6">
        <v>1</v>
      </c>
      <c r="L18" s="6">
        <f t="shared" si="1"/>
        <v>1410000</v>
      </c>
      <c r="M18" s="6">
        <v>1200000</v>
      </c>
      <c r="N18" s="6" t="s">
        <v>2003</v>
      </c>
      <c r="O18" s="6" t="s">
        <v>813</v>
      </c>
      <c r="P18" s="6">
        <v>2013</v>
      </c>
      <c r="Q18" s="6">
        <v>1</v>
      </c>
      <c r="R18" s="6" t="s">
        <v>45</v>
      </c>
      <c r="S18" s="31" t="s">
        <v>2113</v>
      </c>
      <c r="T18" s="6">
        <v>1</v>
      </c>
      <c r="U18" s="26">
        <v>1100000</v>
      </c>
      <c r="V18" s="26">
        <v>1100000</v>
      </c>
      <c r="W18" s="26">
        <v>1100000</v>
      </c>
      <c r="X18" s="6" t="s">
        <v>2003</v>
      </c>
      <c r="Y18" s="6" t="s">
        <v>79</v>
      </c>
      <c r="Z18" s="6">
        <v>223369</v>
      </c>
    </row>
    <row r="19" spans="1:26" x14ac:dyDescent="0.3">
      <c r="A19" s="28" t="s">
        <v>42</v>
      </c>
      <c r="B19" s="6" t="s">
        <v>1328</v>
      </c>
      <c r="C19" s="6" t="s">
        <v>1975</v>
      </c>
      <c r="D19" s="6" t="s">
        <v>2002</v>
      </c>
      <c r="E19" s="6">
        <v>1</v>
      </c>
      <c r="F19" s="6" t="s">
        <v>2004</v>
      </c>
      <c r="G19" s="32" t="s">
        <v>2299</v>
      </c>
      <c r="H19" s="32" t="s">
        <v>2300</v>
      </c>
      <c r="I19" s="6" t="str">
        <f t="shared" si="0"/>
        <v>Side Breaker</v>
      </c>
      <c r="J19" s="6" t="s">
        <v>135</v>
      </c>
      <c r="K19" s="6">
        <v>1</v>
      </c>
      <c r="L19" s="6">
        <f t="shared" si="1"/>
        <v>1520000</v>
      </c>
      <c r="M19" s="6">
        <v>1300000</v>
      </c>
      <c r="N19" s="6" t="s">
        <v>2003</v>
      </c>
      <c r="O19" s="6" t="s">
        <v>2007</v>
      </c>
      <c r="P19" s="6">
        <v>2013</v>
      </c>
      <c r="Q19" s="6">
        <v>1</v>
      </c>
      <c r="R19" s="6" t="s">
        <v>45</v>
      </c>
      <c r="S19" s="31" t="s">
        <v>2113</v>
      </c>
      <c r="T19" s="6">
        <v>1</v>
      </c>
      <c r="U19" s="26">
        <v>1200000</v>
      </c>
      <c r="V19" s="26">
        <v>1200000</v>
      </c>
      <c r="W19" s="26">
        <v>1200000</v>
      </c>
      <c r="X19" s="6" t="s">
        <v>2003</v>
      </c>
      <c r="Y19" s="6" t="s">
        <v>49</v>
      </c>
      <c r="Z19" s="6">
        <v>223371</v>
      </c>
    </row>
    <row r="20" spans="1:26" x14ac:dyDescent="0.3">
      <c r="A20" s="28" t="s">
        <v>42</v>
      </c>
      <c r="B20" s="6" t="s">
        <v>1327</v>
      </c>
      <c r="C20" s="6" t="s">
        <v>1977</v>
      </c>
      <c r="D20" s="6" t="s">
        <v>2291</v>
      </c>
      <c r="E20" s="6">
        <v>1</v>
      </c>
      <c r="F20" s="6" t="s">
        <v>2004</v>
      </c>
      <c r="G20" s="32" t="s">
        <v>2299</v>
      </c>
      <c r="H20" s="32" t="s">
        <v>2300</v>
      </c>
      <c r="I20" s="6" t="str">
        <f t="shared" si="0"/>
        <v>Wide Bucket</v>
      </c>
      <c r="J20" s="6" t="s">
        <v>2358</v>
      </c>
      <c r="K20" s="6">
        <v>1</v>
      </c>
      <c r="L20" s="6">
        <f t="shared" si="1"/>
        <v>410000</v>
      </c>
      <c r="M20" s="6">
        <v>350000</v>
      </c>
      <c r="N20" s="6" t="s">
        <v>2003</v>
      </c>
      <c r="O20" s="6" t="s">
        <v>2007</v>
      </c>
      <c r="P20" s="6">
        <v>2013</v>
      </c>
      <c r="Q20" s="6">
        <v>1</v>
      </c>
      <c r="R20" s="6" t="s">
        <v>45</v>
      </c>
      <c r="S20" s="31" t="s">
        <v>2113</v>
      </c>
      <c r="T20" s="6">
        <v>1</v>
      </c>
      <c r="U20" s="26">
        <v>300000</v>
      </c>
      <c r="V20" s="26">
        <v>300000</v>
      </c>
      <c r="W20" s="26">
        <v>300000</v>
      </c>
      <c r="X20" s="6" t="s">
        <v>2003</v>
      </c>
      <c r="Y20" s="6" t="s">
        <v>49</v>
      </c>
      <c r="Z20" s="6">
        <v>223372</v>
      </c>
    </row>
    <row r="21" spans="1:26" x14ac:dyDescent="0.3">
      <c r="A21" s="28" t="s">
        <v>42</v>
      </c>
      <c r="B21" s="6" t="s">
        <v>1328</v>
      </c>
      <c r="C21" s="6" t="s">
        <v>1975</v>
      </c>
      <c r="D21" s="6" t="s">
        <v>2292</v>
      </c>
      <c r="E21" s="6">
        <v>1</v>
      </c>
      <c r="F21" s="6" t="s">
        <v>2004</v>
      </c>
      <c r="G21" s="32" t="s">
        <v>2299</v>
      </c>
      <c r="H21" s="32" t="s">
        <v>2300</v>
      </c>
      <c r="I21" s="6" t="str">
        <f t="shared" si="0"/>
        <v>Side Breaker</v>
      </c>
      <c r="J21" s="6" t="s">
        <v>435</v>
      </c>
      <c r="K21" s="6">
        <v>1</v>
      </c>
      <c r="L21" s="6">
        <f t="shared" si="1"/>
        <v>4580000</v>
      </c>
      <c r="M21" s="6">
        <v>3900000</v>
      </c>
      <c r="N21" s="6" t="s">
        <v>2003</v>
      </c>
      <c r="O21" s="6" t="s">
        <v>815</v>
      </c>
      <c r="P21" s="6">
        <v>2015</v>
      </c>
      <c r="Q21" s="6">
        <v>7</v>
      </c>
      <c r="R21" s="6" t="s">
        <v>45</v>
      </c>
      <c r="S21" s="31" t="s">
        <v>2118</v>
      </c>
      <c r="T21" s="6">
        <v>1</v>
      </c>
      <c r="U21" s="26">
        <v>3700000</v>
      </c>
      <c r="V21" s="26">
        <v>3700000</v>
      </c>
      <c r="W21" s="26">
        <v>3700000</v>
      </c>
      <c r="X21" s="6" t="s">
        <v>2003</v>
      </c>
      <c r="Y21" s="6" t="s">
        <v>1197</v>
      </c>
      <c r="Z21" s="6">
        <v>223373</v>
      </c>
    </row>
    <row r="22" spans="1:26" x14ac:dyDescent="0.3">
      <c r="A22" s="28" t="s">
        <v>42</v>
      </c>
      <c r="B22" s="6" t="s">
        <v>2242</v>
      </c>
      <c r="C22" s="6"/>
      <c r="D22" s="6" t="s">
        <v>2289</v>
      </c>
      <c r="E22" s="6">
        <v>1</v>
      </c>
      <c r="F22" s="6" t="s">
        <v>2004</v>
      </c>
      <c r="G22" s="32" t="s">
        <v>2299</v>
      </c>
      <c r="H22" s="32" t="s">
        <v>2300</v>
      </c>
      <c r="I22" s="6" t="str">
        <f t="shared" si="0"/>
        <v>Quick Coupler</v>
      </c>
      <c r="J22" s="6" t="s">
        <v>436</v>
      </c>
      <c r="K22" s="6">
        <v>1</v>
      </c>
      <c r="L22" s="6">
        <f t="shared" si="1"/>
        <v>2580000</v>
      </c>
      <c r="M22" s="6">
        <v>2200000</v>
      </c>
      <c r="N22" s="6" t="s">
        <v>2003</v>
      </c>
      <c r="O22" s="6" t="s">
        <v>856</v>
      </c>
      <c r="P22" s="6">
        <v>2014</v>
      </c>
      <c r="Q22" s="6">
        <v>1</v>
      </c>
      <c r="R22" s="6" t="s">
        <v>45</v>
      </c>
      <c r="S22" s="31" t="s">
        <v>2119</v>
      </c>
      <c r="T22" s="6">
        <v>1</v>
      </c>
      <c r="U22" s="26">
        <v>2000000</v>
      </c>
      <c r="V22" s="26">
        <v>2000000</v>
      </c>
      <c r="W22" s="26">
        <v>2000000</v>
      </c>
      <c r="X22" s="6" t="s">
        <v>2003</v>
      </c>
      <c r="Y22" s="6" t="s">
        <v>60</v>
      </c>
      <c r="Z22" s="6">
        <v>223375</v>
      </c>
    </row>
    <row r="23" spans="1:26" x14ac:dyDescent="0.3">
      <c r="A23" s="28" t="s">
        <v>42</v>
      </c>
      <c r="B23" s="6" t="s">
        <v>1326</v>
      </c>
      <c r="C23" s="6" t="s">
        <v>1974</v>
      </c>
      <c r="D23" s="6" t="s">
        <v>2293</v>
      </c>
      <c r="E23" s="6">
        <v>1</v>
      </c>
      <c r="F23" s="6" t="s">
        <v>2004</v>
      </c>
      <c r="G23" s="32" t="s">
        <v>2299</v>
      </c>
      <c r="H23" s="32" t="s">
        <v>2300</v>
      </c>
      <c r="I23" s="6" t="str">
        <f t="shared" si="0"/>
        <v>Etc Grapple</v>
      </c>
      <c r="J23" s="6" t="s">
        <v>339</v>
      </c>
      <c r="K23" s="6">
        <v>1</v>
      </c>
      <c r="L23" s="6">
        <f t="shared" si="1"/>
        <v>2640000</v>
      </c>
      <c r="M23" s="6">
        <v>2250000</v>
      </c>
      <c r="N23" s="6" t="s">
        <v>2003</v>
      </c>
      <c r="O23" s="6" t="s">
        <v>2007</v>
      </c>
      <c r="P23" s="6">
        <v>2016</v>
      </c>
      <c r="Q23" s="6">
        <v>1</v>
      </c>
      <c r="R23" s="6" t="s">
        <v>45</v>
      </c>
      <c r="S23" s="31" t="s">
        <v>2113</v>
      </c>
      <c r="T23" s="6">
        <v>1</v>
      </c>
      <c r="U23" s="26">
        <v>2050000</v>
      </c>
      <c r="V23" s="26">
        <v>2050000</v>
      </c>
      <c r="W23" s="26">
        <v>2050000</v>
      </c>
      <c r="X23" s="6" t="s">
        <v>2003</v>
      </c>
      <c r="Y23" s="6" t="s">
        <v>49</v>
      </c>
      <c r="Z23" s="6">
        <v>223378</v>
      </c>
    </row>
    <row r="24" spans="1:26" x14ac:dyDescent="0.3">
      <c r="A24" s="28" t="s">
        <v>42</v>
      </c>
      <c r="B24" s="6" t="s">
        <v>1337</v>
      </c>
      <c r="C24" s="6"/>
      <c r="D24" s="6" t="s">
        <v>2291</v>
      </c>
      <c r="E24" s="6">
        <v>1</v>
      </c>
      <c r="F24" s="6" t="s">
        <v>2004</v>
      </c>
      <c r="G24" s="32" t="s">
        <v>2299</v>
      </c>
      <c r="H24" s="32" t="s">
        <v>2300</v>
      </c>
      <c r="I24" s="6" t="str">
        <f t="shared" si="0"/>
        <v>ETC</v>
      </c>
      <c r="J24" s="6" t="s">
        <v>373</v>
      </c>
      <c r="K24" s="6">
        <v>1</v>
      </c>
      <c r="L24" s="6">
        <f t="shared" si="1"/>
        <v>2110000</v>
      </c>
      <c r="M24" s="6">
        <v>1800000</v>
      </c>
      <c r="N24" s="6" t="s">
        <v>2003</v>
      </c>
      <c r="O24" s="6" t="s">
        <v>841</v>
      </c>
      <c r="P24" s="6">
        <v>2016</v>
      </c>
      <c r="Q24" s="6">
        <v>8</v>
      </c>
      <c r="R24" s="6" t="s">
        <v>45</v>
      </c>
      <c r="S24" s="31" t="s">
        <v>2118</v>
      </c>
      <c r="T24" s="6">
        <v>1</v>
      </c>
      <c r="U24" s="26">
        <v>1700000</v>
      </c>
      <c r="V24" s="26">
        <v>1700000</v>
      </c>
      <c r="W24" s="26">
        <v>1700000</v>
      </c>
      <c r="X24" s="6" t="s">
        <v>2003</v>
      </c>
      <c r="Y24" s="6" t="s">
        <v>1170</v>
      </c>
      <c r="Z24" s="6">
        <v>223380</v>
      </c>
    </row>
    <row r="25" spans="1:26" x14ac:dyDescent="0.3">
      <c r="A25" s="28" t="s">
        <v>42</v>
      </c>
      <c r="B25" s="6" t="s">
        <v>1328</v>
      </c>
      <c r="C25" s="6" t="s">
        <v>1975</v>
      </c>
      <c r="D25" s="6" t="s">
        <v>2292</v>
      </c>
      <c r="E25" s="6">
        <v>1</v>
      </c>
      <c r="F25" s="6" t="s">
        <v>2004</v>
      </c>
      <c r="G25" s="32" t="s">
        <v>2299</v>
      </c>
      <c r="H25" s="32" t="s">
        <v>2300</v>
      </c>
      <c r="I25" s="6" t="str">
        <f t="shared" si="0"/>
        <v>Side Breaker</v>
      </c>
      <c r="J25" s="6" t="s">
        <v>423</v>
      </c>
      <c r="K25" s="6">
        <v>1</v>
      </c>
      <c r="L25" s="6">
        <f t="shared" si="1"/>
        <v>4700000</v>
      </c>
      <c r="M25" s="6">
        <v>4000000</v>
      </c>
      <c r="N25" s="6" t="s">
        <v>2003</v>
      </c>
      <c r="O25" s="6" t="s">
        <v>797</v>
      </c>
      <c r="P25" s="6">
        <v>2015</v>
      </c>
      <c r="Q25" s="6">
        <v>7</v>
      </c>
      <c r="R25" s="6" t="s">
        <v>45</v>
      </c>
      <c r="S25" s="31" t="s">
        <v>2120</v>
      </c>
      <c r="T25" s="6">
        <v>1</v>
      </c>
      <c r="U25" s="26">
        <v>3800000</v>
      </c>
      <c r="V25" s="26">
        <v>3800000</v>
      </c>
      <c r="W25" s="26">
        <v>3800000</v>
      </c>
      <c r="X25" s="6" t="s">
        <v>2003</v>
      </c>
      <c r="Y25" s="6" t="s">
        <v>1162</v>
      </c>
      <c r="Z25" s="6">
        <v>223383</v>
      </c>
    </row>
    <row r="26" spans="1:26" x14ac:dyDescent="0.3">
      <c r="A26" s="28" t="s">
        <v>42</v>
      </c>
      <c r="B26" s="6" t="s">
        <v>1325</v>
      </c>
      <c r="C26" s="6" t="s">
        <v>1978</v>
      </c>
      <c r="D26" s="6" t="s">
        <v>2290</v>
      </c>
      <c r="E26" s="6">
        <v>1</v>
      </c>
      <c r="F26" s="6" t="s">
        <v>2004</v>
      </c>
      <c r="G26" s="32" t="s">
        <v>2299</v>
      </c>
      <c r="H26" s="32" t="s">
        <v>2300</v>
      </c>
      <c r="I26" s="6" t="str">
        <f t="shared" si="0"/>
        <v>Hydraulic Pulverizer</v>
      </c>
      <c r="J26" s="6" t="s">
        <v>437</v>
      </c>
      <c r="K26" s="6">
        <v>1</v>
      </c>
      <c r="L26" s="6">
        <f t="shared" si="1"/>
        <v>7640000</v>
      </c>
      <c r="M26" s="6">
        <v>6500000</v>
      </c>
      <c r="N26" s="6" t="s">
        <v>2003</v>
      </c>
      <c r="O26" s="6" t="s">
        <v>813</v>
      </c>
      <c r="P26" s="6">
        <v>2013</v>
      </c>
      <c r="Q26" s="6">
        <v>1</v>
      </c>
      <c r="R26" s="6" t="s">
        <v>45</v>
      </c>
      <c r="S26" s="31" t="s">
        <v>2113</v>
      </c>
      <c r="T26" s="6">
        <v>1</v>
      </c>
      <c r="U26" s="26">
        <v>6000000</v>
      </c>
      <c r="V26" s="26">
        <v>6000000</v>
      </c>
      <c r="W26" s="26">
        <v>6000000</v>
      </c>
      <c r="X26" s="6" t="s">
        <v>2003</v>
      </c>
      <c r="Y26" s="6" t="s">
        <v>80</v>
      </c>
      <c r="Z26" s="6">
        <v>223392</v>
      </c>
    </row>
    <row r="27" spans="1:26" x14ac:dyDescent="0.3">
      <c r="A27" s="28" t="s">
        <v>42</v>
      </c>
      <c r="B27" s="6" t="s">
        <v>1328</v>
      </c>
      <c r="C27" s="6" t="s">
        <v>1975</v>
      </c>
      <c r="D27" s="6" t="s">
        <v>2293</v>
      </c>
      <c r="E27" s="6">
        <v>1</v>
      </c>
      <c r="F27" s="6" t="s">
        <v>2004</v>
      </c>
      <c r="G27" s="32" t="s">
        <v>2299</v>
      </c>
      <c r="H27" s="32" t="s">
        <v>2300</v>
      </c>
      <c r="I27" s="6" t="str">
        <f t="shared" si="0"/>
        <v>Side Breaker</v>
      </c>
      <c r="J27" s="6" t="s">
        <v>438</v>
      </c>
      <c r="K27" s="6">
        <v>1</v>
      </c>
      <c r="L27" s="6">
        <f t="shared" si="1"/>
        <v>2230000</v>
      </c>
      <c r="M27" s="6">
        <v>1900000</v>
      </c>
      <c r="N27" s="6" t="s">
        <v>2003</v>
      </c>
      <c r="O27" s="6" t="s">
        <v>858</v>
      </c>
      <c r="P27" s="6">
        <v>2017</v>
      </c>
      <c r="Q27" s="6">
        <v>1</v>
      </c>
      <c r="R27" s="6" t="s">
        <v>45</v>
      </c>
      <c r="S27" s="31" t="s">
        <v>2113</v>
      </c>
      <c r="T27" s="6">
        <v>1</v>
      </c>
      <c r="U27" s="26">
        <v>1800000</v>
      </c>
      <c r="V27" s="26">
        <v>1800000</v>
      </c>
      <c r="W27" s="26">
        <v>1800000</v>
      </c>
      <c r="X27" s="6" t="s">
        <v>2003</v>
      </c>
      <c r="Y27" s="6" t="s">
        <v>49</v>
      </c>
      <c r="Z27" s="6">
        <v>223393</v>
      </c>
    </row>
    <row r="28" spans="1:26" x14ac:dyDescent="0.3">
      <c r="A28" s="28" t="s">
        <v>42</v>
      </c>
      <c r="B28" s="6" t="s">
        <v>1326</v>
      </c>
      <c r="C28" s="6" t="s">
        <v>1973</v>
      </c>
      <c r="D28" s="6" t="s">
        <v>2291</v>
      </c>
      <c r="E28" s="6">
        <v>1</v>
      </c>
      <c r="F28" s="6" t="s">
        <v>2004</v>
      </c>
      <c r="G28" s="32" t="s">
        <v>2299</v>
      </c>
      <c r="H28" s="32" t="s">
        <v>2300</v>
      </c>
      <c r="I28" s="6" t="str">
        <f t="shared" si="0"/>
        <v>Wood Grapple</v>
      </c>
      <c r="J28" s="6" t="s">
        <v>439</v>
      </c>
      <c r="K28" s="6">
        <v>1</v>
      </c>
      <c r="L28" s="6">
        <f t="shared" si="1"/>
        <v>3170000</v>
      </c>
      <c r="M28" s="6">
        <v>2700000</v>
      </c>
      <c r="N28" s="6" t="s">
        <v>2003</v>
      </c>
      <c r="O28" s="6" t="s">
        <v>859</v>
      </c>
      <c r="P28" s="6">
        <v>2015</v>
      </c>
      <c r="Q28" s="6">
        <v>10</v>
      </c>
      <c r="R28" s="6" t="s">
        <v>45</v>
      </c>
      <c r="S28" s="31" t="s">
        <v>2121</v>
      </c>
      <c r="T28" s="6">
        <v>1</v>
      </c>
      <c r="U28" s="26">
        <v>2500000</v>
      </c>
      <c r="V28" s="26">
        <v>2500000</v>
      </c>
      <c r="W28" s="26">
        <v>2500000</v>
      </c>
      <c r="X28" s="6" t="s">
        <v>2003</v>
      </c>
      <c r="Y28" s="6" t="s">
        <v>1254</v>
      </c>
      <c r="Z28" s="6">
        <v>223398</v>
      </c>
    </row>
    <row r="29" spans="1:26" x14ac:dyDescent="0.3">
      <c r="A29" s="28" t="s">
        <v>42</v>
      </c>
      <c r="B29" s="6" t="s">
        <v>1328</v>
      </c>
      <c r="C29" s="6" t="s">
        <v>1975</v>
      </c>
      <c r="D29" s="6" t="s">
        <v>2293</v>
      </c>
      <c r="E29" s="6">
        <v>1</v>
      </c>
      <c r="F29" s="6" t="s">
        <v>2004</v>
      </c>
      <c r="G29" s="32" t="s">
        <v>2299</v>
      </c>
      <c r="H29" s="32" t="s">
        <v>2300</v>
      </c>
      <c r="I29" s="6" t="str">
        <f t="shared" si="0"/>
        <v>Side Breaker</v>
      </c>
      <c r="J29" s="6" t="s">
        <v>172</v>
      </c>
      <c r="K29" s="6">
        <v>1</v>
      </c>
      <c r="L29" s="6">
        <f t="shared" si="1"/>
        <v>1880000</v>
      </c>
      <c r="M29" s="6">
        <v>1600000</v>
      </c>
      <c r="N29" s="6" t="s">
        <v>2003</v>
      </c>
      <c r="O29" s="6" t="s">
        <v>860</v>
      </c>
      <c r="P29" s="6">
        <v>2013</v>
      </c>
      <c r="Q29" s="6">
        <v>1</v>
      </c>
      <c r="R29" s="6" t="s">
        <v>45</v>
      </c>
      <c r="S29" s="31" t="s">
        <v>2119</v>
      </c>
      <c r="T29" s="6">
        <v>1</v>
      </c>
      <c r="U29" s="26">
        <v>1500000</v>
      </c>
      <c r="V29" s="26">
        <v>1500000</v>
      </c>
      <c r="W29" s="26">
        <v>1500000</v>
      </c>
      <c r="X29" s="6" t="s">
        <v>2003</v>
      </c>
      <c r="Y29" s="6" t="s">
        <v>60</v>
      </c>
      <c r="Z29" s="6">
        <v>223399</v>
      </c>
    </row>
    <row r="30" spans="1:26" x14ac:dyDescent="0.3">
      <c r="A30" s="28" t="s">
        <v>42</v>
      </c>
      <c r="B30" s="6" t="s">
        <v>1337</v>
      </c>
      <c r="C30" s="6"/>
      <c r="D30" s="6" t="s">
        <v>2290</v>
      </c>
      <c r="E30" s="6">
        <v>1</v>
      </c>
      <c r="F30" s="6" t="s">
        <v>2004</v>
      </c>
      <c r="G30" s="32" t="s">
        <v>2299</v>
      </c>
      <c r="H30" s="32" t="s">
        <v>2300</v>
      </c>
      <c r="I30" s="6" t="str">
        <f t="shared" si="0"/>
        <v>ETC</v>
      </c>
      <c r="J30" s="6" t="s">
        <v>545</v>
      </c>
      <c r="K30" s="6">
        <v>1</v>
      </c>
      <c r="L30" s="6">
        <f t="shared" si="1"/>
        <v>18230000</v>
      </c>
      <c r="M30" s="6">
        <v>15500000</v>
      </c>
      <c r="N30" s="6" t="s">
        <v>2003</v>
      </c>
      <c r="O30" s="6" t="s">
        <v>813</v>
      </c>
      <c r="P30" s="6">
        <v>2014</v>
      </c>
      <c r="Q30" s="6">
        <v>1</v>
      </c>
      <c r="R30" s="6" t="s">
        <v>45</v>
      </c>
      <c r="S30" s="31" t="s">
        <v>2113</v>
      </c>
      <c r="T30" s="6">
        <v>1</v>
      </c>
      <c r="U30" s="26">
        <v>15000000</v>
      </c>
      <c r="V30" s="26">
        <v>15000000</v>
      </c>
      <c r="W30" s="26">
        <v>15000000</v>
      </c>
      <c r="X30" s="6" t="s">
        <v>2003</v>
      </c>
      <c r="Y30" s="6" t="s">
        <v>80</v>
      </c>
      <c r="Z30" s="6">
        <v>223404</v>
      </c>
    </row>
    <row r="31" spans="1:26" x14ac:dyDescent="0.3">
      <c r="A31" s="28" t="s">
        <v>42</v>
      </c>
      <c r="B31" s="6" t="s">
        <v>2169</v>
      </c>
      <c r="C31" s="6"/>
      <c r="D31" s="6" t="s">
        <v>2290</v>
      </c>
      <c r="E31" s="6">
        <v>1</v>
      </c>
      <c r="F31" s="6" t="s">
        <v>2004</v>
      </c>
      <c r="G31" s="32" t="s">
        <v>2299</v>
      </c>
      <c r="H31" s="32" t="s">
        <v>2300</v>
      </c>
      <c r="I31" s="6" t="str">
        <f t="shared" si="0"/>
        <v>Ripper</v>
      </c>
      <c r="J31" s="6" t="s">
        <v>346</v>
      </c>
      <c r="K31" s="6">
        <v>1</v>
      </c>
      <c r="L31" s="6">
        <f t="shared" si="1"/>
        <v>1520000</v>
      </c>
      <c r="M31" s="6">
        <v>1300000</v>
      </c>
      <c r="N31" s="6" t="s">
        <v>2003</v>
      </c>
      <c r="O31" s="6" t="s">
        <v>2008</v>
      </c>
      <c r="P31" s="6">
        <v>2017</v>
      </c>
      <c r="Q31" s="6">
        <v>1</v>
      </c>
      <c r="R31" s="6" t="s">
        <v>45</v>
      </c>
      <c r="S31" s="31" t="s">
        <v>2110</v>
      </c>
      <c r="T31" s="6">
        <v>1</v>
      </c>
      <c r="U31" s="26">
        <v>1200000</v>
      </c>
      <c r="V31" s="26">
        <v>1200000</v>
      </c>
      <c r="W31" s="26">
        <v>1200000</v>
      </c>
      <c r="X31" s="6" t="s">
        <v>2003</v>
      </c>
      <c r="Y31" s="6" t="s">
        <v>1155</v>
      </c>
      <c r="Z31" s="6">
        <v>223407</v>
      </c>
    </row>
    <row r="32" spans="1:26" x14ac:dyDescent="0.3">
      <c r="A32" s="28" t="s">
        <v>42</v>
      </c>
      <c r="B32" s="6" t="s">
        <v>1328</v>
      </c>
      <c r="C32" s="6" t="s">
        <v>1975</v>
      </c>
      <c r="D32" s="6" t="s">
        <v>2290</v>
      </c>
      <c r="E32" s="6">
        <v>1</v>
      </c>
      <c r="F32" s="6" t="s">
        <v>2004</v>
      </c>
      <c r="G32" s="32" t="s">
        <v>2299</v>
      </c>
      <c r="H32" s="32" t="s">
        <v>2300</v>
      </c>
      <c r="I32" s="6" t="str">
        <f t="shared" si="0"/>
        <v>Side Breaker</v>
      </c>
      <c r="J32" s="6" t="s">
        <v>235</v>
      </c>
      <c r="K32" s="6">
        <v>1</v>
      </c>
      <c r="L32" s="6">
        <f t="shared" si="1"/>
        <v>10000000</v>
      </c>
      <c r="M32" s="6">
        <v>8500000</v>
      </c>
      <c r="N32" s="6" t="s">
        <v>2003</v>
      </c>
      <c r="O32" s="6" t="s">
        <v>1835</v>
      </c>
      <c r="P32" s="6">
        <v>2014</v>
      </c>
      <c r="Q32" s="6">
        <v>1</v>
      </c>
      <c r="R32" s="6" t="s">
        <v>45</v>
      </c>
      <c r="S32" s="31" t="s">
        <v>2114</v>
      </c>
      <c r="T32" s="6">
        <v>1</v>
      </c>
      <c r="U32" s="26">
        <v>8000000</v>
      </c>
      <c r="V32" s="26">
        <v>8000000</v>
      </c>
      <c r="W32" s="26">
        <v>8000000</v>
      </c>
      <c r="X32" s="6" t="s">
        <v>2003</v>
      </c>
      <c r="Y32" s="6" t="s">
        <v>1230</v>
      </c>
      <c r="Z32" s="6">
        <v>223409</v>
      </c>
    </row>
    <row r="33" spans="1:26" x14ac:dyDescent="0.3">
      <c r="A33" s="28" t="s">
        <v>42</v>
      </c>
      <c r="B33" s="6" t="s">
        <v>1328</v>
      </c>
      <c r="C33" s="6" t="s">
        <v>1975</v>
      </c>
      <c r="D33" s="6" t="s">
        <v>2292</v>
      </c>
      <c r="E33" s="6">
        <v>1</v>
      </c>
      <c r="F33" s="6" t="s">
        <v>2004</v>
      </c>
      <c r="G33" s="32" t="s">
        <v>2299</v>
      </c>
      <c r="H33" s="32" t="s">
        <v>2300</v>
      </c>
      <c r="I33" s="6" t="str">
        <f t="shared" si="0"/>
        <v>Side Breaker</v>
      </c>
      <c r="J33" s="6" t="s">
        <v>153</v>
      </c>
      <c r="K33" s="6">
        <v>1</v>
      </c>
      <c r="L33" s="6">
        <f t="shared" si="1"/>
        <v>3520000</v>
      </c>
      <c r="M33" s="6">
        <v>3000000</v>
      </c>
      <c r="N33" s="6" t="s">
        <v>2003</v>
      </c>
      <c r="O33" s="6" t="s">
        <v>2007</v>
      </c>
      <c r="P33" s="6">
        <v>2012</v>
      </c>
      <c r="Q33" s="6">
        <v>1</v>
      </c>
      <c r="R33" s="6" t="s">
        <v>45</v>
      </c>
      <c r="S33" s="31" t="s">
        <v>2113</v>
      </c>
      <c r="T33" s="6">
        <v>1</v>
      </c>
      <c r="U33" s="26">
        <v>2800000</v>
      </c>
      <c r="V33" s="26">
        <v>2800000</v>
      </c>
      <c r="W33" s="26">
        <v>2800000</v>
      </c>
      <c r="X33" s="6" t="s">
        <v>2003</v>
      </c>
      <c r="Y33" s="6" t="s">
        <v>49</v>
      </c>
      <c r="Z33" s="6">
        <v>223410</v>
      </c>
    </row>
    <row r="34" spans="1:26" x14ac:dyDescent="0.3">
      <c r="A34" s="28" t="s">
        <v>42</v>
      </c>
      <c r="B34" s="6" t="s">
        <v>1326</v>
      </c>
      <c r="C34" s="6" t="s">
        <v>1972</v>
      </c>
      <c r="D34" s="6" t="s">
        <v>2290</v>
      </c>
      <c r="E34" s="6">
        <v>1</v>
      </c>
      <c r="F34" s="6" t="s">
        <v>2004</v>
      </c>
      <c r="G34" s="32" t="s">
        <v>2299</v>
      </c>
      <c r="H34" s="32" t="s">
        <v>2300</v>
      </c>
      <c r="I34" s="6" t="str">
        <f t="shared" ref="I34:I65" si="2">IF(ISBLANK(C34),B34,C34)</f>
        <v>Stone Grapple</v>
      </c>
      <c r="J34" s="6" t="s">
        <v>403</v>
      </c>
      <c r="K34" s="6">
        <v>1</v>
      </c>
      <c r="L34" s="6">
        <f t="shared" ref="L34:L65" si="3">FLOOR(((M34*100)/85)/10000, 1)*10000</f>
        <v>8820000</v>
      </c>
      <c r="M34" s="6">
        <v>7500000</v>
      </c>
      <c r="N34" s="6" t="s">
        <v>2003</v>
      </c>
      <c r="O34" s="6" t="s">
        <v>813</v>
      </c>
      <c r="P34" s="6">
        <v>2014</v>
      </c>
      <c r="Q34" s="6">
        <v>1</v>
      </c>
      <c r="R34" s="6" t="s">
        <v>45</v>
      </c>
      <c r="S34" s="31" t="s">
        <v>2113</v>
      </c>
      <c r="T34" s="6">
        <v>1</v>
      </c>
      <c r="U34" s="26">
        <v>7000000</v>
      </c>
      <c r="V34" s="26">
        <v>7000000</v>
      </c>
      <c r="W34" s="26">
        <v>7000000</v>
      </c>
      <c r="X34" s="6" t="s">
        <v>2003</v>
      </c>
      <c r="Y34" s="6" t="s">
        <v>80</v>
      </c>
      <c r="Z34" s="6">
        <v>223411</v>
      </c>
    </row>
    <row r="35" spans="1:26" x14ac:dyDescent="0.3">
      <c r="A35" s="28" t="s">
        <v>42</v>
      </c>
      <c r="B35" s="6" t="s">
        <v>1326</v>
      </c>
      <c r="C35" s="6" t="s">
        <v>1972</v>
      </c>
      <c r="D35" s="6" t="s">
        <v>2292</v>
      </c>
      <c r="E35" s="6">
        <v>1</v>
      </c>
      <c r="F35" s="6" t="s">
        <v>2004</v>
      </c>
      <c r="G35" s="32" t="s">
        <v>2299</v>
      </c>
      <c r="H35" s="32" t="s">
        <v>2300</v>
      </c>
      <c r="I35" s="6" t="str">
        <f t="shared" si="2"/>
        <v>Stone Grapple</v>
      </c>
      <c r="J35" s="6" t="s">
        <v>207</v>
      </c>
      <c r="K35" s="6">
        <v>1</v>
      </c>
      <c r="L35" s="6">
        <f t="shared" si="3"/>
        <v>2700000</v>
      </c>
      <c r="M35" s="6">
        <v>2300000</v>
      </c>
      <c r="N35" s="6" t="s">
        <v>2003</v>
      </c>
      <c r="O35" s="6" t="s">
        <v>813</v>
      </c>
      <c r="P35" s="6">
        <v>2013</v>
      </c>
      <c r="Q35" s="6">
        <v>1</v>
      </c>
      <c r="R35" s="6" t="s">
        <v>45</v>
      </c>
      <c r="S35" s="31" t="s">
        <v>2113</v>
      </c>
      <c r="T35" s="6">
        <v>1</v>
      </c>
      <c r="U35" s="26">
        <v>2100000</v>
      </c>
      <c r="V35" s="26">
        <v>2100000</v>
      </c>
      <c r="W35" s="26">
        <v>2100000</v>
      </c>
      <c r="X35" s="6" t="s">
        <v>2003</v>
      </c>
      <c r="Y35" s="6" t="s">
        <v>80</v>
      </c>
      <c r="Z35" s="6">
        <v>223417</v>
      </c>
    </row>
    <row r="36" spans="1:26" x14ac:dyDescent="0.3">
      <c r="A36" s="28" t="s">
        <v>42</v>
      </c>
      <c r="B36" s="6" t="s">
        <v>1326</v>
      </c>
      <c r="C36" s="6" t="s">
        <v>1972</v>
      </c>
      <c r="D36" s="6" t="s">
        <v>2291</v>
      </c>
      <c r="E36" s="6">
        <v>1</v>
      </c>
      <c r="F36" s="6" t="s">
        <v>2004</v>
      </c>
      <c r="G36" s="32" t="s">
        <v>2299</v>
      </c>
      <c r="H36" s="32" t="s">
        <v>2300</v>
      </c>
      <c r="I36" s="6" t="str">
        <f t="shared" si="2"/>
        <v>Stone Grapple</v>
      </c>
      <c r="J36" s="6" t="s">
        <v>168</v>
      </c>
      <c r="K36" s="6">
        <v>1</v>
      </c>
      <c r="L36" s="6">
        <f t="shared" si="3"/>
        <v>2000000</v>
      </c>
      <c r="M36" s="6">
        <v>1700000</v>
      </c>
      <c r="N36" s="6" t="s">
        <v>2003</v>
      </c>
      <c r="O36" s="6" t="s">
        <v>861</v>
      </c>
      <c r="P36" s="6">
        <v>2015</v>
      </c>
      <c r="Q36" s="6">
        <v>1</v>
      </c>
      <c r="R36" s="6" t="s">
        <v>45</v>
      </c>
      <c r="S36" s="31" t="s">
        <v>2113</v>
      </c>
      <c r="T36" s="6">
        <v>1</v>
      </c>
      <c r="U36" s="26">
        <v>1600000</v>
      </c>
      <c r="V36" s="26">
        <v>1600000</v>
      </c>
      <c r="W36" s="26">
        <v>1600000</v>
      </c>
      <c r="X36" s="6" t="s">
        <v>2003</v>
      </c>
      <c r="Y36" s="6" t="s">
        <v>49</v>
      </c>
      <c r="Z36" s="6">
        <v>223430</v>
      </c>
    </row>
    <row r="37" spans="1:26" x14ac:dyDescent="0.3">
      <c r="A37" s="28" t="s">
        <v>42</v>
      </c>
      <c r="B37" s="6" t="s">
        <v>2172</v>
      </c>
      <c r="C37" s="6"/>
      <c r="D37" s="6" t="s">
        <v>2292</v>
      </c>
      <c r="E37" s="6">
        <v>1</v>
      </c>
      <c r="F37" s="6" t="s">
        <v>2004</v>
      </c>
      <c r="G37" s="32" t="s">
        <v>2299</v>
      </c>
      <c r="H37" s="32" t="s">
        <v>2300</v>
      </c>
      <c r="I37" s="6" t="str">
        <f t="shared" si="2"/>
        <v>Quick Coupler</v>
      </c>
      <c r="J37" s="6" t="s">
        <v>249</v>
      </c>
      <c r="K37" s="6">
        <v>1</v>
      </c>
      <c r="L37" s="6">
        <f t="shared" si="3"/>
        <v>1050000</v>
      </c>
      <c r="M37" s="6">
        <v>900000</v>
      </c>
      <c r="N37" s="6" t="s">
        <v>2003</v>
      </c>
      <c r="O37" s="6" t="s">
        <v>813</v>
      </c>
      <c r="P37" s="6">
        <v>2014</v>
      </c>
      <c r="Q37" s="6">
        <v>1</v>
      </c>
      <c r="R37" s="6" t="s">
        <v>45</v>
      </c>
      <c r="S37" s="31" t="s">
        <v>2113</v>
      </c>
      <c r="T37" s="6">
        <v>1</v>
      </c>
      <c r="U37" s="26">
        <v>800000</v>
      </c>
      <c r="V37" s="26">
        <v>800000</v>
      </c>
      <c r="W37" s="26">
        <v>800000</v>
      </c>
      <c r="X37" s="6" t="s">
        <v>2003</v>
      </c>
      <c r="Y37" s="6" t="s">
        <v>79</v>
      </c>
      <c r="Z37" s="6">
        <v>223431</v>
      </c>
    </row>
    <row r="38" spans="1:26" x14ac:dyDescent="0.3">
      <c r="A38" s="28" t="s">
        <v>42</v>
      </c>
      <c r="B38" s="6" t="s">
        <v>1328</v>
      </c>
      <c r="C38" s="6" t="s">
        <v>1975</v>
      </c>
      <c r="D38" s="6" t="s">
        <v>2001</v>
      </c>
      <c r="E38" s="6">
        <v>1</v>
      </c>
      <c r="F38" s="6" t="s">
        <v>2004</v>
      </c>
      <c r="G38" s="32" t="s">
        <v>2299</v>
      </c>
      <c r="H38" s="32" t="s">
        <v>2300</v>
      </c>
      <c r="I38" s="6" t="str">
        <f t="shared" si="2"/>
        <v>Side Breaker</v>
      </c>
      <c r="J38" s="6" t="s">
        <v>150</v>
      </c>
      <c r="K38" s="6">
        <v>1</v>
      </c>
      <c r="L38" s="6">
        <f t="shared" si="3"/>
        <v>7050000</v>
      </c>
      <c r="M38" s="6">
        <v>6000000</v>
      </c>
      <c r="N38" s="6" t="s">
        <v>2003</v>
      </c>
      <c r="O38" s="6" t="s">
        <v>1836</v>
      </c>
      <c r="P38" s="6">
        <v>2005</v>
      </c>
      <c r="Q38" s="6">
        <v>1</v>
      </c>
      <c r="R38" s="6" t="s">
        <v>45</v>
      </c>
      <c r="S38" s="31" t="s">
        <v>2114</v>
      </c>
      <c r="T38" s="6">
        <v>1</v>
      </c>
      <c r="U38" s="26">
        <v>5500000</v>
      </c>
      <c r="V38" s="26">
        <v>5500000</v>
      </c>
      <c r="W38" s="26">
        <v>5500000</v>
      </c>
      <c r="X38" s="6" t="s">
        <v>2003</v>
      </c>
      <c r="Y38" s="6" t="s">
        <v>830</v>
      </c>
      <c r="Z38" s="6">
        <v>223434</v>
      </c>
    </row>
    <row r="39" spans="1:26" x14ac:dyDescent="0.3">
      <c r="A39" s="28" t="s">
        <v>42</v>
      </c>
      <c r="B39" s="6" t="s">
        <v>1328</v>
      </c>
      <c r="C39" s="6" t="s">
        <v>1975</v>
      </c>
      <c r="D39" s="6" t="s">
        <v>2292</v>
      </c>
      <c r="E39" s="6">
        <v>1</v>
      </c>
      <c r="F39" s="6" t="s">
        <v>2004</v>
      </c>
      <c r="G39" s="32" t="s">
        <v>2299</v>
      </c>
      <c r="H39" s="32" t="s">
        <v>2300</v>
      </c>
      <c r="I39" s="6" t="str">
        <f t="shared" si="2"/>
        <v>Side Breaker</v>
      </c>
      <c r="J39" s="6" t="s">
        <v>325</v>
      </c>
      <c r="K39" s="6">
        <v>1</v>
      </c>
      <c r="L39" s="6">
        <f t="shared" si="3"/>
        <v>3760000</v>
      </c>
      <c r="M39" s="6">
        <v>3200000</v>
      </c>
      <c r="N39" s="6" t="s">
        <v>2003</v>
      </c>
      <c r="O39" s="6" t="s">
        <v>2009</v>
      </c>
      <c r="P39" s="6">
        <v>2009</v>
      </c>
      <c r="Q39" s="6">
        <v>1</v>
      </c>
      <c r="R39" s="6" t="s">
        <v>45</v>
      </c>
      <c r="S39" s="31" t="s">
        <v>2110</v>
      </c>
      <c r="T39" s="6">
        <v>1</v>
      </c>
      <c r="U39" s="26">
        <v>3000000</v>
      </c>
      <c r="V39" s="26">
        <v>3000000</v>
      </c>
      <c r="W39" s="26">
        <v>3000000</v>
      </c>
      <c r="X39" s="6" t="s">
        <v>2003</v>
      </c>
      <c r="Y39" s="6" t="s">
        <v>1152</v>
      </c>
      <c r="Z39" s="6">
        <v>223437</v>
      </c>
    </row>
    <row r="40" spans="1:26" x14ac:dyDescent="0.3">
      <c r="A40" s="28" t="s">
        <v>42</v>
      </c>
      <c r="B40" s="6" t="s">
        <v>1326</v>
      </c>
      <c r="C40" s="6" t="s">
        <v>1979</v>
      </c>
      <c r="D40" s="6" t="s">
        <v>2292</v>
      </c>
      <c r="E40" s="6">
        <v>1</v>
      </c>
      <c r="F40" s="6" t="s">
        <v>2004</v>
      </c>
      <c r="G40" s="32" t="s">
        <v>2299</v>
      </c>
      <c r="H40" s="32" t="s">
        <v>2300</v>
      </c>
      <c r="I40" s="6" t="str">
        <f t="shared" si="2"/>
        <v>Thumb Grapple</v>
      </c>
      <c r="J40" s="6" t="s">
        <v>96</v>
      </c>
      <c r="K40" s="6">
        <v>1</v>
      </c>
      <c r="L40" s="6">
        <f t="shared" si="3"/>
        <v>1640000</v>
      </c>
      <c r="M40" s="6">
        <v>1400000</v>
      </c>
      <c r="N40" s="6" t="s">
        <v>2003</v>
      </c>
      <c r="O40" s="6" t="s">
        <v>2007</v>
      </c>
      <c r="P40" s="6">
        <v>2014</v>
      </c>
      <c r="Q40" s="6">
        <v>1</v>
      </c>
      <c r="R40" s="6" t="s">
        <v>45</v>
      </c>
      <c r="S40" s="31" t="s">
        <v>2116</v>
      </c>
      <c r="T40" s="6">
        <v>1</v>
      </c>
      <c r="U40" s="26">
        <v>1300000</v>
      </c>
      <c r="V40" s="26">
        <v>1300000</v>
      </c>
      <c r="W40" s="26">
        <v>1300000</v>
      </c>
      <c r="X40" s="6" t="s">
        <v>2003</v>
      </c>
      <c r="Y40" s="6" t="s">
        <v>49</v>
      </c>
      <c r="Z40" s="6">
        <v>223438</v>
      </c>
    </row>
    <row r="41" spans="1:26" x14ac:dyDescent="0.3">
      <c r="A41" s="28" t="s">
        <v>42</v>
      </c>
      <c r="B41" s="6" t="s">
        <v>1327</v>
      </c>
      <c r="C41" s="6" t="s">
        <v>1980</v>
      </c>
      <c r="D41" s="6" t="s">
        <v>2292</v>
      </c>
      <c r="E41" s="6">
        <v>1</v>
      </c>
      <c r="F41" s="6" t="s">
        <v>2004</v>
      </c>
      <c r="G41" s="32" t="s">
        <v>2299</v>
      </c>
      <c r="H41" s="32" t="s">
        <v>2300</v>
      </c>
      <c r="I41" s="6" t="str">
        <f t="shared" si="2"/>
        <v>Small Bucket</v>
      </c>
      <c r="J41" s="6" t="s">
        <v>97</v>
      </c>
      <c r="K41" s="6">
        <v>1</v>
      </c>
      <c r="L41" s="6">
        <f t="shared" si="3"/>
        <v>580000</v>
      </c>
      <c r="M41" s="6">
        <v>500000</v>
      </c>
      <c r="N41" s="6" t="s">
        <v>2003</v>
      </c>
      <c r="O41" s="6" t="s">
        <v>795</v>
      </c>
      <c r="P41" s="6">
        <v>2013</v>
      </c>
      <c r="Q41" s="6">
        <v>1</v>
      </c>
      <c r="R41" s="6" t="s">
        <v>45</v>
      </c>
      <c r="S41" s="31" t="s">
        <v>2114</v>
      </c>
      <c r="T41" s="6">
        <v>1</v>
      </c>
      <c r="U41" s="26">
        <v>450000</v>
      </c>
      <c r="V41" s="26">
        <v>450000</v>
      </c>
      <c r="W41" s="26">
        <v>450000</v>
      </c>
      <c r="X41" s="6" t="s">
        <v>2003</v>
      </c>
      <c r="Y41" s="6" t="s">
        <v>57</v>
      </c>
      <c r="Z41" s="6">
        <v>223442</v>
      </c>
    </row>
    <row r="42" spans="1:26" x14ac:dyDescent="0.3">
      <c r="A42" s="28" t="s">
        <v>42</v>
      </c>
      <c r="B42" s="6" t="s">
        <v>1327</v>
      </c>
      <c r="C42" s="6" t="s">
        <v>1982</v>
      </c>
      <c r="D42" s="6" t="s">
        <v>2289</v>
      </c>
      <c r="E42" s="6">
        <v>1</v>
      </c>
      <c r="F42" s="6" t="s">
        <v>2004</v>
      </c>
      <c r="G42" s="32" t="s">
        <v>2299</v>
      </c>
      <c r="H42" s="32" t="s">
        <v>2300</v>
      </c>
      <c r="I42" s="6" t="str">
        <f t="shared" si="2"/>
        <v>Standard Bucket</v>
      </c>
      <c r="J42" s="6" t="s">
        <v>427</v>
      </c>
      <c r="K42" s="6">
        <v>1</v>
      </c>
      <c r="L42" s="6">
        <f t="shared" si="3"/>
        <v>1050000</v>
      </c>
      <c r="M42" s="6">
        <v>900000</v>
      </c>
      <c r="N42" s="6" t="s">
        <v>2003</v>
      </c>
      <c r="O42" s="6" t="s">
        <v>70</v>
      </c>
      <c r="P42" s="6">
        <v>2014</v>
      </c>
      <c r="Q42" s="6">
        <v>9</v>
      </c>
      <c r="R42" s="6" t="s">
        <v>45</v>
      </c>
      <c r="S42" s="31" t="s">
        <v>2122</v>
      </c>
      <c r="T42" s="6">
        <v>1</v>
      </c>
      <c r="U42" s="26">
        <v>800000</v>
      </c>
      <c r="V42" s="26">
        <v>800000</v>
      </c>
      <c r="W42" s="26">
        <v>800000</v>
      </c>
      <c r="X42" s="6" t="s">
        <v>2003</v>
      </c>
      <c r="Y42" s="6" t="s">
        <v>1238</v>
      </c>
      <c r="Z42" s="6">
        <v>223443</v>
      </c>
    </row>
    <row r="43" spans="1:26" x14ac:dyDescent="0.3">
      <c r="A43" s="28" t="s">
        <v>42</v>
      </c>
      <c r="B43" s="6" t="s">
        <v>1326</v>
      </c>
      <c r="C43" s="6" t="s">
        <v>1972</v>
      </c>
      <c r="D43" s="6" t="s">
        <v>2292</v>
      </c>
      <c r="E43" s="6">
        <v>1</v>
      </c>
      <c r="F43" s="6" t="s">
        <v>2004</v>
      </c>
      <c r="G43" s="32" t="s">
        <v>2299</v>
      </c>
      <c r="H43" s="32" t="s">
        <v>2300</v>
      </c>
      <c r="I43" s="6" t="str">
        <f t="shared" si="2"/>
        <v>Stone Grapple</v>
      </c>
      <c r="J43" s="6" t="s">
        <v>421</v>
      </c>
      <c r="K43" s="6">
        <v>1</v>
      </c>
      <c r="L43" s="6">
        <f t="shared" si="3"/>
        <v>3290000</v>
      </c>
      <c r="M43" s="6">
        <v>2800000</v>
      </c>
      <c r="N43" s="6" t="s">
        <v>2003</v>
      </c>
      <c r="O43" s="6" t="s">
        <v>2007</v>
      </c>
      <c r="P43" s="6">
        <v>2015</v>
      </c>
      <c r="Q43" s="6">
        <v>1</v>
      </c>
      <c r="R43" s="6" t="s">
        <v>45</v>
      </c>
      <c r="S43" s="31" t="s">
        <v>2113</v>
      </c>
      <c r="T43" s="6">
        <v>1</v>
      </c>
      <c r="U43" s="26">
        <v>2600000</v>
      </c>
      <c r="V43" s="26">
        <v>2600000</v>
      </c>
      <c r="W43" s="26">
        <v>2600000</v>
      </c>
      <c r="X43" s="6" t="s">
        <v>2003</v>
      </c>
      <c r="Y43" s="6" t="s">
        <v>49</v>
      </c>
      <c r="Z43" s="6">
        <v>223444</v>
      </c>
    </row>
    <row r="44" spans="1:26" x14ac:dyDescent="0.3">
      <c r="A44" s="28" t="s">
        <v>42</v>
      </c>
      <c r="B44" s="6" t="s">
        <v>1327</v>
      </c>
      <c r="C44" s="6" t="s">
        <v>1982</v>
      </c>
      <c r="D44" s="6" t="s">
        <v>2291</v>
      </c>
      <c r="E44" s="6">
        <v>1</v>
      </c>
      <c r="F44" s="6" t="s">
        <v>2004</v>
      </c>
      <c r="G44" s="32" t="s">
        <v>2299</v>
      </c>
      <c r="H44" s="32" t="s">
        <v>2300</v>
      </c>
      <c r="I44" s="6" t="str">
        <f t="shared" si="2"/>
        <v>Standard Bucket</v>
      </c>
      <c r="J44" s="6" t="s">
        <v>430</v>
      </c>
      <c r="K44" s="6">
        <v>1</v>
      </c>
      <c r="L44" s="6">
        <f t="shared" si="3"/>
        <v>350000</v>
      </c>
      <c r="M44" s="6">
        <v>300000</v>
      </c>
      <c r="N44" s="6" t="s">
        <v>2003</v>
      </c>
      <c r="O44" s="6" t="s">
        <v>2010</v>
      </c>
      <c r="P44" s="6">
        <v>2015</v>
      </c>
      <c r="Q44" s="6">
        <v>1</v>
      </c>
      <c r="R44" s="6" t="s">
        <v>45</v>
      </c>
      <c r="S44" s="31" t="s">
        <v>2116</v>
      </c>
      <c r="T44" s="6">
        <v>1</v>
      </c>
      <c r="U44" s="26">
        <v>250000</v>
      </c>
      <c r="V44" s="26">
        <v>250000</v>
      </c>
      <c r="W44" s="26">
        <v>250000</v>
      </c>
      <c r="X44" s="6" t="s">
        <v>2003</v>
      </c>
      <c r="Y44" s="6" t="s">
        <v>90</v>
      </c>
      <c r="Z44" s="6">
        <v>223446</v>
      </c>
    </row>
    <row r="45" spans="1:26" x14ac:dyDescent="0.3">
      <c r="A45" s="28" t="s">
        <v>42</v>
      </c>
      <c r="B45" s="6" t="s">
        <v>1328</v>
      </c>
      <c r="C45" s="6" t="s">
        <v>1975</v>
      </c>
      <c r="D45" s="6" t="s">
        <v>2292</v>
      </c>
      <c r="E45" s="6">
        <v>1</v>
      </c>
      <c r="F45" s="6" t="s">
        <v>2004</v>
      </c>
      <c r="G45" s="32" t="s">
        <v>2299</v>
      </c>
      <c r="H45" s="32" t="s">
        <v>2300</v>
      </c>
      <c r="I45" s="6" t="str">
        <f t="shared" si="2"/>
        <v>Side Breaker</v>
      </c>
      <c r="J45" s="6" t="s">
        <v>154</v>
      </c>
      <c r="K45" s="6">
        <v>1</v>
      </c>
      <c r="L45" s="6">
        <f t="shared" si="3"/>
        <v>4940000</v>
      </c>
      <c r="M45" s="6">
        <v>4200000</v>
      </c>
      <c r="N45" s="6" t="s">
        <v>2003</v>
      </c>
      <c r="O45" s="6" t="s">
        <v>862</v>
      </c>
      <c r="P45" s="6">
        <v>2015</v>
      </c>
      <c r="Q45" s="6">
        <v>8</v>
      </c>
      <c r="R45" s="6" t="s">
        <v>45</v>
      </c>
      <c r="S45" s="31" t="s">
        <v>2118</v>
      </c>
      <c r="T45" s="6">
        <v>1</v>
      </c>
      <c r="U45" s="26">
        <v>4000000</v>
      </c>
      <c r="V45" s="26">
        <v>4000000</v>
      </c>
      <c r="W45" s="26">
        <v>4000000</v>
      </c>
      <c r="X45" s="6" t="s">
        <v>2003</v>
      </c>
      <c r="Y45" s="6" t="s">
        <v>67</v>
      </c>
      <c r="Z45" s="6">
        <v>223450</v>
      </c>
    </row>
    <row r="46" spans="1:26" x14ac:dyDescent="0.3">
      <c r="A46" s="28" t="s">
        <v>42</v>
      </c>
      <c r="B46" s="6" t="s">
        <v>1326</v>
      </c>
      <c r="C46" s="6" t="s">
        <v>1974</v>
      </c>
      <c r="D46" s="6" t="s">
        <v>2291</v>
      </c>
      <c r="E46" s="6">
        <v>1</v>
      </c>
      <c r="F46" s="6" t="s">
        <v>2004</v>
      </c>
      <c r="G46" s="32" t="s">
        <v>2299</v>
      </c>
      <c r="H46" s="32" t="s">
        <v>2300</v>
      </c>
      <c r="I46" s="6" t="str">
        <f t="shared" si="2"/>
        <v>Etc Grapple</v>
      </c>
      <c r="J46" s="6" t="s">
        <v>136</v>
      </c>
      <c r="K46" s="6">
        <v>1</v>
      </c>
      <c r="L46" s="6">
        <f t="shared" si="3"/>
        <v>21760000</v>
      </c>
      <c r="M46" s="6">
        <v>18500000</v>
      </c>
      <c r="N46" s="6" t="s">
        <v>2003</v>
      </c>
      <c r="O46" s="6" t="s">
        <v>2011</v>
      </c>
      <c r="P46" s="6">
        <v>2010</v>
      </c>
      <c r="Q46" s="6">
        <v>6</v>
      </c>
      <c r="R46" s="6" t="s">
        <v>45</v>
      </c>
      <c r="S46" s="31" t="s">
        <v>2123</v>
      </c>
      <c r="T46" s="6">
        <v>1</v>
      </c>
      <c r="U46" s="26">
        <v>18000000</v>
      </c>
      <c r="V46" s="26">
        <v>18000000</v>
      </c>
      <c r="W46" s="26">
        <v>18000000</v>
      </c>
      <c r="X46" s="6" t="s">
        <v>2003</v>
      </c>
      <c r="Y46" s="6" t="s">
        <v>1200</v>
      </c>
      <c r="Z46" s="6">
        <v>223452</v>
      </c>
    </row>
    <row r="47" spans="1:26" x14ac:dyDescent="0.3">
      <c r="A47" s="28" t="s">
        <v>42</v>
      </c>
      <c r="B47" s="6" t="s">
        <v>1328</v>
      </c>
      <c r="C47" s="6" t="s">
        <v>1975</v>
      </c>
      <c r="D47" s="6" t="s">
        <v>2292</v>
      </c>
      <c r="E47" s="6">
        <v>1</v>
      </c>
      <c r="F47" s="6" t="s">
        <v>2004</v>
      </c>
      <c r="G47" s="32" t="s">
        <v>2299</v>
      </c>
      <c r="H47" s="32" t="s">
        <v>2300</v>
      </c>
      <c r="I47" s="6" t="str">
        <f t="shared" si="2"/>
        <v>Side Breaker</v>
      </c>
      <c r="J47" s="6" t="s">
        <v>119</v>
      </c>
      <c r="K47" s="6">
        <v>1</v>
      </c>
      <c r="L47" s="6">
        <f t="shared" si="3"/>
        <v>3520000</v>
      </c>
      <c r="M47" s="6">
        <v>3000000</v>
      </c>
      <c r="N47" s="6" t="s">
        <v>2003</v>
      </c>
      <c r="O47" s="6" t="s">
        <v>813</v>
      </c>
      <c r="P47" s="6">
        <v>2013</v>
      </c>
      <c r="Q47" s="6">
        <v>1</v>
      </c>
      <c r="R47" s="6" t="s">
        <v>45</v>
      </c>
      <c r="S47" s="31" t="s">
        <v>2113</v>
      </c>
      <c r="T47" s="6">
        <v>1</v>
      </c>
      <c r="U47" s="26">
        <v>2800000</v>
      </c>
      <c r="V47" s="26">
        <v>2800000</v>
      </c>
      <c r="W47" s="26">
        <v>2800000</v>
      </c>
      <c r="X47" s="6" t="s">
        <v>2003</v>
      </c>
      <c r="Y47" s="6" t="s">
        <v>79</v>
      </c>
      <c r="Z47" s="6">
        <v>223453</v>
      </c>
    </row>
    <row r="48" spans="1:26" x14ac:dyDescent="0.3">
      <c r="A48" s="28" t="s">
        <v>42</v>
      </c>
      <c r="B48" s="6" t="s">
        <v>1328</v>
      </c>
      <c r="C48" s="6" t="s">
        <v>1975</v>
      </c>
      <c r="D48" s="6" t="s">
        <v>2292</v>
      </c>
      <c r="E48" s="6">
        <v>1</v>
      </c>
      <c r="F48" s="6" t="s">
        <v>2004</v>
      </c>
      <c r="G48" s="32" t="s">
        <v>2299</v>
      </c>
      <c r="H48" s="32" t="s">
        <v>2300</v>
      </c>
      <c r="I48" s="6" t="str">
        <f t="shared" si="2"/>
        <v>Side Breaker</v>
      </c>
      <c r="J48" s="6" t="s">
        <v>177</v>
      </c>
      <c r="K48" s="6">
        <v>1</v>
      </c>
      <c r="L48" s="6">
        <f t="shared" si="3"/>
        <v>2580000</v>
      </c>
      <c r="M48" s="6">
        <v>2200000</v>
      </c>
      <c r="N48" s="6" t="s">
        <v>2003</v>
      </c>
      <c r="O48" s="6" t="s">
        <v>865</v>
      </c>
      <c r="P48" s="6">
        <v>2014</v>
      </c>
      <c r="Q48" s="6">
        <v>5</v>
      </c>
      <c r="R48" s="6" t="s">
        <v>45</v>
      </c>
      <c r="S48" s="31" t="s">
        <v>2123</v>
      </c>
      <c r="T48" s="6">
        <v>1</v>
      </c>
      <c r="U48" s="26">
        <v>2000000</v>
      </c>
      <c r="V48" s="26">
        <v>2000000</v>
      </c>
      <c r="W48" s="26">
        <v>2000000</v>
      </c>
      <c r="X48" s="6" t="s">
        <v>2003</v>
      </c>
      <c r="Y48" s="6" t="s">
        <v>1187</v>
      </c>
      <c r="Z48" s="6">
        <v>223457</v>
      </c>
    </row>
    <row r="49" spans="1:26" x14ac:dyDescent="0.3">
      <c r="A49" s="28" t="s">
        <v>42</v>
      </c>
      <c r="B49" s="6" t="s">
        <v>1325</v>
      </c>
      <c r="C49" s="6" t="s">
        <v>2156</v>
      </c>
      <c r="D49" s="6" t="s">
        <v>2292</v>
      </c>
      <c r="E49" s="6">
        <v>1</v>
      </c>
      <c r="F49" s="6" t="s">
        <v>2004</v>
      </c>
      <c r="G49" s="32" t="s">
        <v>2299</v>
      </c>
      <c r="H49" s="32" t="s">
        <v>2300</v>
      </c>
      <c r="I49" s="6" t="str">
        <f t="shared" si="2"/>
        <v>Hydraulic Crusher</v>
      </c>
      <c r="J49" s="6" t="s">
        <v>192</v>
      </c>
      <c r="K49" s="6">
        <v>1</v>
      </c>
      <c r="L49" s="6">
        <f t="shared" si="3"/>
        <v>8820000</v>
      </c>
      <c r="M49" s="6">
        <v>7500000</v>
      </c>
      <c r="N49" s="6" t="s">
        <v>2003</v>
      </c>
      <c r="O49" s="6" t="s">
        <v>813</v>
      </c>
      <c r="P49" s="6">
        <v>2014</v>
      </c>
      <c r="Q49" s="6">
        <v>1</v>
      </c>
      <c r="R49" s="6" t="s">
        <v>45</v>
      </c>
      <c r="S49" s="31" t="s">
        <v>2113</v>
      </c>
      <c r="T49" s="6">
        <v>1</v>
      </c>
      <c r="U49" s="26">
        <v>7000000</v>
      </c>
      <c r="V49" s="26">
        <v>7000000</v>
      </c>
      <c r="W49" s="26">
        <v>7000000</v>
      </c>
      <c r="X49" s="6" t="s">
        <v>2003</v>
      </c>
      <c r="Y49" s="6" t="s">
        <v>79</v>
      </c>
      <c r="Z49" s="6">
        <v>223459</v>
      </c>
    </row>
    <row r="50" spans="1:26" x14ac:dyDescent="0.3">
      <c r="A50" s="28" t="s">
        <v>42</v>
      </c>
      <c r="B50" s="6" t="s">
        <v>1378</v>
      </c>
      <c r="C50" s="6"/>
      <c r="D50" s="6" t="s">
        <v>2001</v>
      </c>
      <c r="E50" s="6">
        <v>1</v>
      </c>
      <c r="F50" s="6" t="s">
        <v>2004</v>
      </c>
      <c r="G50" s="32" t="s">
        <v>2299</v>
      </c>
      <c r="H50" s="32" t="s">
        <v>2300</v>
      </c>
      <c r="I50" s="6" t="str">
        <f t="shared" si="2"/>
        <v>Shear&amp;Cutter</v>
      </c>
      <c r="J50" s="6" t="s">
        <v>441</v>
      </c>
      <c r="K50" s="6">
        <v>1</v>
      </c>
      <c r="L50" s="6">
        <f t="shared" si="3"/>
        <v>12350000</v>
      </c>
      <c r="M50" s="6">
        <v>10500000</v>
      </c>
      <c r="N50" s="6" t="s">
        <v>2003</v>
      </c>
      <c r="O50" s="6" t="s">
        <v>863</v>
      </c>
      <c r="P50" s="6">
        <v>2011</v>
      </c>
      <c r="Q50" s="6">
        <v>7</v>
      </c>
      <c r="R50" s="6" t="s">
        <v>45</v>
      </c>
      <c r="S50" s="31" t="s">
        <v>2118</v>
      </c>
      <c r="T50" s="6">
        <v>1</v>
      </c>
      <c r="U50" s="26">
        <v>10000000</v>
      </c>
      <c r="V50" s="26">
        <v>10000000</v>
      </c>
      <c r="W50" s="26">
        <v>10000000</v>
      </c>
      <c r="X50" s="6" t="s">
        <v>2003</v>
      </c>
      <c r="Y50" s="6" t="s">
        <v>1221</v>
      </c>
      <c r="Z50" s="6">
        <v>223461</v>
      </c>
    </row>
    <row r="51" spans="1:26" x14ac:dyDescent="0.3">
      <c r="A51" s="28" t="s">
        <v>42</v>
      </c>
      <c r="B51" s="6" t="s">
        <v>1326</v>
      </c>
      <c r="C51" s="6" t="s">
        <v>1981</v>
      </c>
      <c r="D51" s="6" t="s">
        <v>2001</v>
      </c>
      <c r="E51" s="6">
        <v>1</v>
      </c>
      <c r="F51" s="6" t="s">
        <v>2004</v>
      </c>
      <c r="G51" s="32" t="s">
        <v>2299</v>
      </c>
      <c r="H51" s="32" t="s">
        <v>2300</v>
      </c>
      <c r="I51" s="6" t="str">
        <f t="shared" si="2"/>
        <v>Orange Grapple</v>
      </c>
      <c r="J51" s="6" t="s">
        <v>380</v>
      </c>
      <c r="K51" s="6">
        <v>1</v>
      </c>
      <c r="L51" s="6">
        <f t="shared" si="3"/>
        <v>3760000</v>
      </c>
      <c r="M51" s="6">
        <v>3200000</v>
      </c>
      <c r="N51" s="6" t="s">
        <v>2003</v>
      </c>
      <c r="O51" s="6" t="s">
        <v>865</v>
      </c>
      <c r="P51" s="6">
        <v>2014</v>
      </c>
      <c r="Q51" s="6">
        <v>5</v>
      </c>
      <c r="R51" s="6" t="s">
        <v>45</v>
      </c>
      <c r="S51" s="31" t="s">
        <v>2123</v>
      </c>
      <c r="T51" s="6">
        <v>1</v>
      </c>
      <c r="U51" s="26">
        <v>3000000</v>
      </c>
      <c r="V51" s="26">
        <v>3000000</v>
      </c>
      <c r="W51" s="26">
        <v>3000000</v>
      </c>
      <c r="X51" s="6" t="s">
        <v>2003</v>
      </c>
      <c r="Y51" s="6" t="s">
        <v>1187</v>
      </c>
      <c r="Z51" s="6">
        <v>223464</v>
      </c>
    </row>
    <row r="52" spans="1:26" x14ac:dyDescent="0.3">
      <c r="A52" s="28" t="s">
        <v>42</v>
      </c>
      <c r="B52" s="6" t="s">
        <v>1326</v>
      </c>
      <c r="C52" s="6" t="s">
        <v>1972</v>
      </c>
      <c r="D52" s="6" t="s">
        <v>2292</v>
      </c>
      <c r="E52" s="6">
        <v>1</v>
      </c>
      <c r="F52" s="6" t="s">
        <v>2004</v>
      </c>
      <c r="G52" s="32" t="s">
        <v>2299</v>
      </c>
      <c r="H52" s="32" t="s">
        <v>2300</v>
      </c>
      <c r="I52" s="6" t="str">
        <f t="shared" si="2"/>
        <v>Stone Grapple</v>
      </c>
      <c r="J52" s="6" t="s">
        <v>120</v>
      </c>
      <c r="K52" s="6">
        <v>1</v>
      </c>
      <c r="L52" s="6">
        <f t="shared" si="3"/>
        <v>5880000</v>
      </c>
      <c r="M52" s="6">
        <v>5000000</v>
      </c>
      <c r="N52" s="6" t="s">
        <v>2003</v>
      </c>
      <c r="O52" s="6" t="s">
        <v>813</v>
      </c>
      <c r="P52" s="6">
        <v>2014</v>
      </c>
      <c r="Q52" s="6">
        <v>1</v>
      </c>
      <c r="R52" s="6" t="s">
        <v>45</v>
      </c>
      <c r="S52" s="31" t="s">
        <v>2113</v>
      </c>
      <c r="T52" s="6">
        <v>1</v>
      </c>
      <c r="U52" s="26">
        <v>4800000</v>
      </c>
      <c r="V52" s="26">
        <v>4800000</v>
      </c>
      <c r="W52" s="26">
        <v>4800000</v>
      </c>
      <c r="X52" s="6" t="s">
        <v>2003</v>
      </c>
      <c r="Y52" s="6" t="s">
        <v>80</v>
      </c>
      <c r="Z52" s="6">
        <v>223465</v>
      </c>
    </row>
    <row r="53" spans="1:26" x14ac:dyDescent="0.3">
      <c r="A53" s="28" t="s">
        <v>42</v>
      </c>
      <c r="B53" s="6" t="s">
        <v>1328</v>
      </c>
      <c r="C53" s="6" t="s">
        <v>1975</v>
      </c>
      <c r="D53" s="6" t="s">
        <v>2292</v>
      </c>
      <c r="E53" s="6">
        <v>1</v>
      </c>
      <c r="F53" s="6" t="s">
        <v>2004</v>
      </c>
      <c r="G53" s="32" t="s">
        <v>2299</v>
      </c>
      <c r="H53" s="32" t="s">
        <v>2300</v>
      </c>
      <c r="I53" s="6" t="str">
        <f t="shared" si="2"/>
        <v>Side Breaker</v>
      </c>
      <c r="J53" s="6" t="s">
        <v>119</v>
      </c>
      <c r="K53" s="6">
        <v>1</v>
      </c>
      <c r="L53" s="6">
        <f t="shared" si="3"/>
        <v>2700000</v>
      </c>
      <c r="M53" s="6">
        <v>2300000</v>
      </c>
      <c r="N53" s="6" t="s">
        <v>2003</v>
      </c>
      <c r="O53" s="6" t="s">
        <v>864</v>
      </c>
      <c r="P53" s="6">
        <v>2007</v>
      </c>
      <c r="Q53" s="6">
        <v>1</v>
      </c>
      <c r="R53" s="6" t="s">
        <v>45</v>
      </c>
      <c r="S53" s="31" t="s">
        <v>2114</v>
      </c>
      <c r="T53" s="6">
        <v>1</v>
      </c>
      <c r="U53" s="26">
        <v>2100000</v>
      </c>
      <c r="V53" s="26">
        <v>2100000</v>
      </c>
      <c r="W53" s="26">
        <v>2100000</v>
      </c>
      <c r="X53" s="6" t="s">
        <v>2003</v>
      </c>
      <c r="Y53" s="6" t="s">
        <v>830</v>
      </c>
      <c r="Z53" s="6">
        <v>223467</v>
      </c>
    </row>
    <row r="54" spans="1:26" x14ac:dyDescent="0.3">
      <c r="A54" s="28" t="s">
        <v>42</v>
      </c>
      <c r="B54" s="6" t="s">
        <v>1327</v>
      </c>
      <c r="C54" s="6" t="s">
        <v>1982</v>
      </c>
      <c r="D54" s="6" t="s">
        <v>2001</v>
      </c>
      <c r="E54" s="6">
        <v>1</v>
      </c>
      <c r="F54" s="6" t="s">
        <v>2004</v>
      </c>
      <c r="G54" s="32" t="s">
        <v>2299</v>
      </c>
      <c r="H54" s="32" t="s">
        <v>2300</v>
      </c>
      <c r="I54" s="6" t="str">
        <f t="shared" si="2"/>
        <v>Standard Bucket</v>
      </c>
      <c r="J54" s="6" t="s">
        <v>442</v>
      </c>
      <c r="K54" s="6">
        <v>1</v>
      </c>
      <c r="L54" s="6">
        <f t="shared" si="3"/>
        <v>3290000</v>
      </c>
      <c r="M54" s="6">
        <v>2800000</v>
      </c>
      <c r="N54" s="6" t="s">
        <v>2003</v>
      </c>
      <c r="O54" s="6" t="s">
        <v>865</v>
      </c>
      <c r="P54" s="6">
        <v>2015</v>
      </c>
      <c r="Q54" s="6">
        <v>5</v>
      </c>
      <c r="R54" s="6" t="s">
        <v>45</v>
      </c>
      <c r="S54" s="31" t="s">
        <v>2123</v>
      </c>
      <c r="T54" s="6">
        <v>1</v>
      </c>
      <c r="U54" s="26">
        <v>2600000</v>
      </c>
      <c r="V54" s="26">
        <v>2600000</v>
      </c>
      <c r="W54" s="26">
        <v>2600000</v>
      </c>
      <c r="X54" s="6" t="s">
        <v>2003</v>
      </c>
      <c r="Y54" s="6" t="s">
        <v>1187</v>
      </c>
      <c r="Z54" s="6">
        <v>223469</v>
      </c>
    </row>
    <row r="55" spans="1:26" x14ac:dyDescent="0.3">
      <c r="A55" s="28" t="s">
        <v>42</v>
      </c>
      <c r="B55" s="6" t="s">
        <v>1328</v>
      </c>
      <c r="C55" s="6" t="s">
        <v>1975</v>
      </c>
      <c r="D55" s="6" t="s">
        <v>2290</v>
      </c>
      <c r="E55" s="6">
        <v>1</v>
      </c>
      <c r="F55" s="6" t="s">
        <v>2004</v>
      </c>
      <c r="G55" s="32" t="s">
        <v>2299</v>
      </c>
      <c r="H55" s="32" t="s">
        <v>2300</v>
      </c>
      <c r="I55" s="6" t="str">
        <f t="shared" si="2"/>
        <v>Side Breaker</v>
      </c>
      <c r="J55" s="6" t="s">
        <v>443</v>
      </c>
      <c r="K55" s="6">
        <v>1</v>
      </c>
      <c r="L55" s="6">
        <f t="shared" si="3"/>
        <v>5290000</v>
      </c>
      <c r="M55" s="6">
        <v>4500000</v>
      </c>
      <c r="N55" s="6" t="s">
        <v>2003</v>
      </c>
      <c r="O55" s="6" t="s">
        <v>866</v>
      </c>
      <c r="P55" s="6">
        <v>2004</v>
      </c>
      <c r="Q55" s="6">
        <v>1</v>
      </c>
      <c r="R55" s="6" t="s">
        <v>45</v>
      </c>
      <c r="S55" s="31" t="s">
        <v>2123</v>
      </c>
      <c r="T55" s="6">
        <v>1</v>
      </c>
      <c r="U55" s="26">
        <v>4300000</v>
      </c>
      <c r="V55" s="26">
        <v>4300000</v>
      </c>
      <c r="W55" s="26">
        <v>4300000</v>
      </c>
      <c r="X55" s="6" t="s">
        <v>2003</v>
      </c>
      <c r="Y55" s="6" t="s">
        <v>1181</v>
      </c>
      <c r="Z55" s="6">
        <v>223470</v>
      </c>
    </row>
    <row r="56" spans="1:26" x14ac:dyDescent="0.3">
      <c r="A56" s="28" t="s">
        <v>42</v>
      </c>
      <c r="B56" s="6" t="s">
        <v>1327</v>
      </c>
      <c r="C56" s="6" t="s">
        <v>1976</v>
      </c>
      <c r="D56" s="6" t="s">
        <v>2292</v>
      </c>
      <c r="E56" s="6">
        <v>1</v>
      </c>
      <c r="F56" s="6" t="s">
        <v>2004</v>
      </c>
      <c r="G56" s="32" t="s">
        <v>2299</v>
      </c>
      <c r="H56" s="32" t="s">
        <v>2300</v>
      </c>
      <c r="I56" s="6" t="str">
        <f t="shared" si="2"/>
        <v>Skeleton Bucket</v>
      </c>
      <c r="J56" s="6" t="s">
        <v>444</v>
      </c>
      <c r="K56" s="6">
        <v>1</v>
      </c>
      <c r="L56" s="6">
        <f t="shared" si="3"/>
        <v>1050000</v>
      </c>
      <c r="M56" s="6">
        <v>900000</v>
      </c>
      <c r="N56" s="6" t="s">
        <v>2003</v>
      </c>
      <c r="O56" s="6" t="s">
        <v>823</v>
      </c>
      <c r="P56" s="6">
        <v>2013</v>
      </c>
      <c r="Q56" s="6">
        <v>1</v>
      </c>
      <c r="R56" s="6" t="s">
        <v>45</v>
      </c>
      <c r="S56" s="31" t="s">
        <v>2113</v>
      </c>
      <c r="T56" s="6">
        <v>1</v>
      </c>
      <c r="U56" s="26">
        <v>800000</v>
      </c>
      <c r="V56" s="26">
        <v>800000</v>
      </c>
      <c r="W56" s="26">
        <v>800000</v>
      </c>
      <c r="X56" s="6" t="s">
        <v>2003</v>
      </c>
      <c r="Y56" s="6" t="s">
        <v>49</v>
      </c>
      <c r="Z56" s="6">
        <v>223477</v>
      </c>
    </row>
    <row r="57" spans="1:26" x14ac:dyDescent="0.3">
      <c r="A57" s="28" t="s">
        <v>42</v>
      </c>
      <c r="B57" s="6" t="s">
        <v>1327</v>
      </c>
      <c r="C57" s="6" t="s">
        <v>1980</v>
      </c>
      <c r="D57" s="6" t="s">
        <v>2291</v>
      </c>
      <c r="E57" s="6">
        <v>1</v>
      </c>
      <c r="F57" s="6" t="s">
        <v>2004</v>
      </c>
      <c r="G57" s="32" t="s">
        <v>2299</v>
      </c>
      <c r="H57" s="32" t="s">
        <v>2300</v>
      </c>
      <c r="I57" s="6" t="str">
        <f t="shared" si="2"/>
        <v>Small Bucket</v>
      </c>
      <c r="J57" s="6" t="s">
        <v>85</v>
      </c>
      <c r="K57" s="6">
        <v>1</v>
      </c>
      <c r="L57" s="6">
        <f t="shared" si="3"/>
        <v>350000</v>
      </c>
      <c r="M57" s="6">
        <v>300000</v>
      </c>
      <c r="N57" s="6" t="s">
        <v>2003</v>
      </c>
      <c r="O57" s="6" t="s">
        <v>809</v>
      </c>
      <c r="P57" s="6">
        <v>2010</v>
      </c>
      <c r="Q57" s="6">
        <v>1</v>
      </c>
      <c r="R57" s="6" t="s">
        <v>45</v>
      </c>
      <c r="S57" s="31" t="s">
        <v>2114</v>
      </c>
      <c r="T57" s="6">
        <v>1</v>
      </c>
      <c r="U57" s="26">
        <v>250000</v>
      </c>
      <c r="V57" s="26">
        <v>250000</v>
      </c>
      <c r="W57" s="26">
        <v>250000</v>
      </c>
      <c r="X57" s="6" t="s">
        <v>2003</v>
      </c>
      <c r="Y57" s="6" t="s">
        <v>830</v>
      </c>
      <c r="Z57" s="6">
        <v>223480</v>
      </c>
    </row>
    <row r="58" spans="1:26" x14ac:dyDescent="0.3">
      <c r="A58" s="28" t="s">
        <v>42</v>
      </c>
      <c r="B58" s="6" t="s">
        <v>1327</v>
      </c>
      <c r="C58" s="6" t="s">
        <v>1976</v>
      </c>
      <c r="D58" s="6" t="s">
        <v>2001</v>
      </c>
      <c r="E58" s="6">
        <v>1</v>
      </c>
      <c r="F58" s="6" t="s">
        <v>2004</v>
      </c>
      <c r="G58" s="32" t="s">
        <v>2299</v>
      </c>
      <c r="H58" s="32" t="s">
        <v>2300</v>
      </c>
      <c r="I58" s="6" t="str">
        <f t="shared" si="2"/>
        <v>Skeleton Bucket</v>
      </c>
      <c r="J58" s="6" t="s">
        <v>336</v>
      </c>
      <c r="K58" s="6">
        <v>1</v>
      </c>
      <c r="L58" s="6">
        <f t="shared" si="3"/>
        <v>2580000</v>
      </c>
      <c r="M58" s="6">
        <v>2200000</v>
      </c>
      <c r="N58" s="6" t="s">
        <v>2003</v>
      </c>
      <c r="O58" s="6" t="s">
        <v>2011</v>
      </c>
      <c r="P58" s="6">
        <v>2010</v>
      </c>
      <c r="Q58" s="6">
        <v>6</v>
      </c>
      <c r="R58" s="6" t="s">
        <v>45</v>
      </c>
      <c r="S58" s="31" t="s">
        <v>2123</v>
      </c>
      <c r="T58" s="6">
        <v>1</v>
      </c>
      <c r="U58" s="26">
        <v>2000000</v>
      </c>
      <c r="V58" s="26">
        <v>2000000</v>
      </c>
      <c r="W58" s="26">
        <v>2000000</v>
      </c>
      <c r="X58" s="6" t="s">
        <v>2003</v>
      </c>
      <c r="Y58" s="6" t="s">
        <v>1200</v>
      </c>
      <c r="Z58" s="6">
        <v>223484</v>
      </c>
    </row>
    <row r="59" spans="1:26" x14ac:dyDescent="0.3">
      <c r="A59" s="28" t="s">
        <v>42</v>
      </c>
      <c r="B59" s="6" t="s">
        <v>2172</v>
      </c>
      <c r="C59" s="6"/>
      <c r="D59" s="6" t="s">
        <v>2292</v>
      </c>
      <c r="E59" s="6">
        <v>1</v>
      </c>
      <c r="F59" s="6" t="s">
        <v>2004</v>
      </c>
      <c r="G59" s="32" t="s">
        <v>2299</v>
      </c>
      <c r="H59" s="32" t="s">
        <v>2300</v>
      </c>
      <c r="I59" s="6" t="str">
        <f t="shared" si="2"/>
        <v>Quick Coupler</v>
      </c>
      <c r="J59" s="6" t="s">
        <v>445</v>
      </c>
      <c r="K59" s="6">
        <v>1</v>
      </c>
      <c r="L59" s="6">
        <f t="shared" si="3"/>
        <v>1050000</v>
      </c>
      <c r="M59" s="6">
        <v>900000</v>
      </c>
      <c r="N59" s="6" t="s">
        <v>2003</v>
      </c>
      <c r="O59" s="6" t="s">
        <v>2012</v>
      </c>
      <c r="P59" s="6">
        <v>2014</v>
      </c>
      <c r="Q59" s="6">
        <v>1</v>
      </c>
      <c r="R59" s="6" t="s">
        <v>45</v>
      </c>
      <c r="S59" s="31" t="s">
        <v>2113</v>
      </c>
      <c r="T59" s="6">
        <v>1</v>
      </c>
      <c r="U59" s="26">
        <v>800000</v>
      </c>
      <c r="V59" s="26">
        <v>800000</v>
      </c>
      <c r="W59" s="26">
        <v>800000</v>
      </c>
      <c r="X59" s="6" t="s">
        <v>2003</v>
      </c>
      <c r="Y59" s="6" t="s">
        <v>49</v>
      </c>
      <c r="Z59" s="6">
        <v>223485</v>
      </c>
    </row>
    <row r="60" spans="1:26" x14ac:dyDescent="0.3">
      <c r="A60" s="28" t="s">
        <v>42</v>
      </c>
      <c r="B60" s="6" t="s">
        <v>1337</v>
      </c>
      <c r="C60" s="6"/>
      <c r="D60" s="6" t="s">
        <v>2290</v>
      </c>
      <c r="E60" s="6">
        <v>1</v>
      </c>
      <c r="F60" s="6" t="s">
        <v>2004</v>
      </c>
      <c r="G60" s="32" t="s">
        <v>2299</v>
      </c>
      <c r="H60" s="32" t="s">
        <v>2300</v>
      </c>
      <c r="I60" s="6" t="str">
        <f t="shared" si="2"/>
        <v>ETC</v>
      </c>
      <c r="J60" s="6" t="s">
        <v>446</v>
      </c>
      <c r="K60" s="6">
        <v>1</v>
      </c>
      <c r="L60" s="6">
        <f t="shared" si="3"/>
        <v>1110000</v>
      </c>
      <c r="M60" s="6">
        <v>950000</v>
      </c>
      <c r="N60" s="6" t="s">
        <v>2003</v>
      </c>
      <c r="O60" s="6" t="s">
        <v>2013</v>
      </c>
      <c r="P60" s="6">
        <v>2016</v>
      </c>
      <c r="Q60" s="6">
        <v>1</v>
      </c>
      <c r="R60" s="6" t="s">
        <v>45</v>
      </c>
      <c r="S60" s="31" t="s">
        <v>2116</v>
      </c>
      <c r="T60" s="6">
        <v>1</v>
      </c>
      <c r="U60" s="26">
        <v>850000</v>
      </c>
      <c r="V60" s="26">
        <v>850000</v>
      </c>
      <c r="W60" s="26">
        <v>850000</v>
      </c>
      <c r="X60" s="6" t="s">
        <v>2003</v>
      </c>
      <c r="Y60" s="6" t="s">
        <v>90</v>
      </c>
      <c r="Z60" s="6">
        <v>223486</v>
      </c>
    </row>
    <row r="61" spans="1:26" x14ac:dyDescent="0.3">
      <c r="A61" s="28" t="s">
        <v>42</v>
      </c>
      <c r="B61" s="6" t="s">
        <v>1326</v>
      </c>
      <c r="C61" s="6" t="s">
        <v>1974</v>
      </c>
      <c r="D61" s="6" t="s">
        <v>2292</v>
      </c>
      <c r="E61" s="6">
        <v>1</v>
      </c>
      <c r="F61" s="6" t="s">
        <v>2004</v>
      </c>
      <c r="G61" s="32" t="s">
        <v>2299</v>
      </c>
      <c r="H61" s="32" t="s">
        <v>2300</v>
      </c>
      <c r="I61" s="6" t="str">
        <f t="shared" si="2"/>
        <v>Etc Grapple</v>
      </c>
      <c r="J61" s="6" t="s">
        <v>125</v>
      </c>
      <c r="K61" s="6">
        <v>1</v>
      </c>
      <c r="L61" s="6">
        <f t="shared" si="3"/>
        <v>4940000</v>
      </c>
      <c r="M61" s="6">
        <v>4200000</v>
      </c>
      <c r="N61" s="6" t="s">
        <v>2003</v>
      </c>
      <c r="O61" s="6" t="s">
        <v>2014</v>
      </c>
      <c r="P61" s="6">
        <v>2010</v>
      </c>
      <c r="Q61" s="6">
        <v>4</v>
      </c>
      <c r="R61" s="6" t="s">
        <v>45</v>
      </c>
      <c r="S61" s="31" t="s">
        <v>2122</v>
      </c>
      <c r="T61" s="6">
        <v>1</v>
      </c>
      <c r="U61" s="26">
        <v>4000000</v>
      </c>
      <c r="V61" s="26">
        <v>4000000</v>
      </c>
      <c r="W61" s="26">
        <v>4000000</v>
      </c>
      <c r="X61" s="6" t="s">
        <v>2003</v>
      </c>
      <c r="Y61" s="6" t="s">
        <v>1166</v>
      </c>
      <c r="Z61" s="6">
        <v>223487</v>
      </c>
    </row>
    <row r="62" spans="1:26" x14ac:dyDescent="0.3">
      <c r="A62" s="28" t="s">
        <v>42</v>
      </c>
      <c r="B62" s="6" t="s">
        <v>1327</v>
      </c>
      <c r="C62" s="6" t="s">
        <v>1976</v>
      </c>
      <c r="D62" s="6" t="s">
        <v>2292</v>
      </c>
      <c r="E62" s="6">
        <v>1</v>
      </c>
      <c r="F62" s="6" t="s">
        <v>2004</v>
      </c>
      <c r="G62" s="32" t="s">
        <v>2299</v>
      </c>
      <c r="H62" s="32" t="s">
        <v>2300</v>
      </c>
      <c r="I62" s="6" t="str">
        <f t="shared" si="2"/>
        <v>Skeleton Bucket</v>
      </c>
      <c r="J62" s="6" t="s">
        <v>110</v>
      </c>
      <c r="K62" s="6">
        <v>1</v>
      </c>
      <c r="L62" s="6">
        <f t="shared" si="3"/>
        <v>1110000</v>
      </c>
      <c r="M62" s="6">
        <v>950000</v>
      </c>
      <c r="N62" s="6" t="s">
        <v>2003</v>
      </c>
      <c r="O62" s="6" t="s">
        <v>823</v>
      </c>
      <c r="P62" s="6">
        <v>2013</v>
      </c>
      <c r="Q62" s="6">
        <v>1</v>
      </c>
      <c r="R62" s="6" t="s">
        <v>45</v>
      </c>
      <c r="S62" s="31" t="s">
        <v>2113</v>
      </c>
      <c r="T62" s="6">
        <v>1</v>
      </c>
      <c r="U62" s="26">
        <v>850000</v>
      </c>
      <c r="V62" s="26">
        <v>850000</v>
      </c>
      <c r="W62" s="26">
        <v>850000</v>
      </c>
      <c r="X62" s="6" t="s">
        <v>2003</v>
      </c>
      <c r="Y62" s="6" t="s">
        <v>49</v>
      </c>
      <c r="Z62" s="6">
        <v>223488</v>
      </c>
    </row>
    <row r="63" spans="1:26" x14ac:dyDescent="0.3">
      <c r="A63" s="28" t="s">
        <v>42</v>
      </c>
      <c r="B63" s="6" t="s">
        <v>2172</v>
      </c>
      <c r="C63" s="6"/>
      <c r="D63" s="6" t="s">
        <v>2292</v>
      </c>
      <c r="E63" s="6">
        <v>1</v>
      </c>
      <c r="F63" s="6" t="s">
        <v>2004</v>
      </c>
      <c r="G63" s="32" t="s">
        <v>2299</v>
      </c>
      <c r="H63" s="32" t="s">
        <v>2300</v>
      </c>
      <c r="I63" s="6" t="str">
        <f t="shared" si="2"/>
        <v>Quick Coupler</v>
      </c>
      <c r="J63" s="6" t="s">
        <v>447</v>
      </c>
      <c r="K63" s="6">
        <v>1</v>
      </c>
      <c r="L63" s="6">
        <f t="shared" si="3"/>
        <v>1000000</v>
      </c>
      <c r="M63" s="6">
        <v>850000</v>
      </c>
      <c r="N63" s="6" t="s">
        <v>2003</v>
      </c>
      <c r="O63" s="6" t="s">
        <v>2012</v>
      </c>
      <c r="P63" s="6">
        <v>2014</v>
      </c>
      <c r="Q63" s="6">
        <v>1</v>
      </c>
      <c r="R63" s="6" t="s">
        <v>45</v>
      </c>
      <c r="S63" s="31" t="s">
        <v>2113</v>
      </c>
      <c r="T63" s="6">
        <v>1</v>
      </c>
      <c r="U63" s="26">
        <v>750000</v>
      </c>
      <c r="V63" s="26">
        <v>750000</v>
      </c>
      <c r="W63" s="26">
        <v>750000</v>
      </c>
      <c r="X63" s="6" t="s">
        <v>2003</v>
      </c>
      <c r="Y63" s="6" t="s">
        <v>49</v>
      </c>
      <c r="Z63" s="6">
        <v>223489</v>
      </c>
    </row>
    <row r="64" spans="1:26" x14ac:dyDescent="0.3">
      <c r="A64" s="28" t="s">
        <v>42</v>
      </c>
      <c r="B64" s="6" t="s">
        <v>1337</v>
      </c>
      <c r="C64" s="6"/>
      <c r="D64" s="6" t="s">
        <v>2289</v>
      </c>
      <c r="E64" s="6">
        <v>1</v>
      </c>
      <c r="F64" s="6" t="s">
        <v>2004</v>
      </c>
      <c r="G64" s="32" t="s">
        <v>2299</v>
      </c>
      <c r="H64" s="32" t="s">
        <v>2300</v>
      </c>
      <c r="I64" s="6" t="str">
        <f t="shared" si="2"/>
        <v>ETC</v>
      </c>
      <c r="J64" s="6" t="s">
        <v>156</v>
      </c>
      <c r="K64" s="6">
        <v>1</v>
      </c>
      <c r="L64" s="6">
        <f t="shared" si="3"/>
        <v>12350000</v>
      </c>
      <c r="M64" s="6">
        <v>10500000</v>
      </c>
      <c r="N64" s="6" t="s">
        <v>2003</v>
      </c>
      <c r="O64" s="6" t="s">
        <v>2014</v>
      </c>
      <c r="P64" s="6">
        <v>2011</v>
      </c>
      <c r="Q64" s="6">
        <v>10</v>
      </c>
      <c r="R64" s="6" t="s">
        <v>45</v>
      </c>
      <c r="S64" s="31" t="s">
        <v>2122</v>
      </c>
      <c r="T64" s="6">
        <v>1</v>
      </c>
      <c r="U64" s="26">
        <v>10000000</v>
      </c>
      <c r="V64" s="26">
        <v>10000000</v>
      </c>
      <c r="W64" s="26">
        <v>10000000</v>
      </c>
      <c r="X64" s="6" t="s">
        <v>2003</v>
      </c>
      <c r="Y64" s="6" t="s">
        <v>1166</v>
      </c>
      <c r="Z64" s="6">
        <v>223495</v>
      </c>
    </row>
    <row r="65" spans="1:26" x14ac:dyDescent="0.3">
      <c r="A65" s="28" t="s">
        <v>42</v>
      </c>
      <c r="B65" s="6" t="s">
        <v>1326</v>
      </c>
      <c r="C65" s="6" t="s">
        <v>1972</v>
      </c>
      <c r="D65" s="6" t="s">
        <v>2292</v>
      </c>
      <c r="E65" s="6">
        <v>1</v>
      </c>
      <c r="F65" s="6" t="s">
        <v>2004</v>
      </c>
      <c r="G65" s="32" t="s">
        <v>2299</v>
      </c>
      <c r="H65" s="32" t="s">
        <v>2300</v>
      </c>
      <c r="I65" s="6" t="str">
        <f t="shared" si="2"/>
        <v>Stone Grapple</v>
      </c>
      <c r="J65" s="6" t="s">
        <v>448</v>
      </c>
      <c r="K65" s="6">
        <v>1</v>
      </c>
      <c r="L65" s="6">
        <f t="shared" si="3"/>
        <v>2700000</v>
      </c>
      <c r="M65" s="6">
        <v>2300000</v>
      </c>
      <c r="N65" s="6" t="s">
        <v>2003</v>
      </c>
      <c r="O65" s="6" t="s">
        <v>68</v>
      </c>
      <c r="P65" s="6">
        <v>2013</v>
      </c>
      <c r="Q65" s="6">
        <v>7</v>
      </c>
      <c r="R65" s="6" t="s">
        <v>45</v>
      </c>
      <c r="S65" s="31" t="s">
        <v>2116</v>
      </c>
      <c r="T65" s="6">
        <v>1</v>
      </c>
      <c r="U65" s="26">
        <v>2100000</v>
      </c>
      <c r="V65" s="26">
        <v>2100000</v>
      </c>
      <c r="W65" s="26">
        <v>2100000</v>
      </c>
      <c r="X65" s="6" t="s">
        <v>2003</v>
      </c>
      <c r="Y65" s="6" t="s">
        <v>1153</v>
      </c>
      <c r="Z65" s="6">
        <v>223496</v>
      </c>
    </row>
    <row r="66" spans="1:26" x14ac:dyDescent="0.3">
      <c r="A66" s="28" t="s">
        <v>42</v>
      </c>
      <c r="B66" s="6" t="s">
        <v>1326</v>
      </c>
      <c r="C66" s="6" t="s">
        <v>1972</v>
      </c>
      <c r="D66" s="6" t="s">
        <v>2291</v>
      </c>
      <c r="E66" s="6">
        <v>1</v>
      </c>
      <c r="F66" s="6" t="s">
        <v>2004</v>
      </c>
      <c r="G66" s="32" t="s">
        <v>2299</v>
      </c>
      <c r="H66" s="32" t="s">
        <v>2300</v>
      </c>
      <c r="I66" s="6" t="str">
        <f t="shared" ref="I66:I73" si="4">IF(ISBLANK(C66),B66,C66)</f>
        <v>Stone Grapple</v>
      </c>
      <c r="J66" s="6" t="s">
        <v>109</v>
      </c>
      <c r="K66" s="6">
        <v>1</v>
      </c>
      <c r="L66" s="6">
        <f t="shared" ref="L66:L73" si="5">FLOOR(((M66*100)/85)/10000, 1)*10000</f>
        <v>3880000</v>
      </c>
      <c r="M66" s="6">
        <v>3300000</v>
      </c>
      <c r="N66" s="6" t="s">
        <v>2003</v>
      </c>
      <c r="O66" s="6" t="s">
        <v>107</v>
      </c>
      <c r="P66" s="6">
        <v>2010</v>
      </c>
      <c r="Q66" s="6">
        <v>1</v>
      </c>
      <c r="R66" s="6" t="s">
        <v>45</v>
      </c>
      <c r="S66" s="31" t="s">
        <v>2114</v>
      </c>
      <c r="T66" s="6">
        <v>1</v>
      </c>
      <c r="U66" s="26">
        <v>3100000</v>
      </c>
      <c r="V66" s="26">
        <v>3100000</v>
      </c>
      <c r="W66" s="26">
        <v>3100000</v>
      </c>
      <c r="X66" s="6" t="s">
        <v>2003</v>
      </c>
      <c r="Y66" s="6" t="s">
        <v>830</v>
      </c>
      <c r="Z66" s="6">
        <v>223500</v>
      </c>
    </row>
    <row r="67" spans="1:26" x14ac:dyDescent="0.3">
      <c r="A67" s="28" t="s">
        <v>42</v>
      </c>
      <c r="B67" s="6" t="s">
        <v>1328</v>
      </c>
      <c r="C67" s="6" t="s">
        <v>1975</v>
      </c>
      <c r="D67" s="6" t="s">
        <v>2292</v>
      </c>
      <c r="E67" s="6">
        <v>1</v>
      </c>
      <c r="F67" s="6" t="s">
        <v>2004</v>
      </c>
      <c r="G67" s="32" t="s">
        <v>2299</v>
      </c>
      <c r="H67" s="32" t="s">
        <v>2300</v>
      </c>
      <c r="I67" s="6" t="str">
        <f t="shared" si="4"/>
        <v>Side Breaker</v>
      </c>
      <c r="J67" s="6" t="s">
        <v>144</v>
      </c>
      <c r="K67" s="6">
        <v>1</v>
      </c>
      <c r="L67" s="6">
        <f t="shared" si="5"/>
        <v>3520000</v>
      </c>
      <c r="M67" s="6">
        <v>3000000</v>
      </c>
      <c r="N67" s="6" t="s">
        <v>2003</v>
      </c>
      <c r="O67" s="6" t="s">
        <v>2012</v>
      </c>
      <c r="P67" s="6">
        <v>2013</v>
      </c>
      <c r="Q67" s="6">
        <v>1</v>
      </c>
      <c r="R67" s="6" t="s">
        <v>45</v>
      </c>
      <c r="S67" s="31" t="s">
        <v>2113</v>
      </c>
      <c r="T67" s="6">
        <v>1</v>
      </c>
      <c r="U67" s="26">
        <v>2800000</v>
      </c>
      <c r="V67" s="26">
        <v>2800000</v>
      </c>
      <c r="W67" s="26">
        <v>2800000</v>
      </c>
      <c r="X67" s="6" t="s">
        <v>2003</v>
      </c>
      <c r="Y67" s="6" t="s">
        <v>49</v>
      </c>
      <c r="Z67" s="6">
        <v>223503</v>
      </c>
    </row>
    <row r="68" spans="1:26" x14ac:dyDescent="0.3">
      <c r="A68" s="28" t="s">
        <v>42</v>
      </c>
      <c r="B68" s="6" t="s">
        <v>1326</v>
      </c>
      <c r="C68" s="6" t="s">
        <v>1972</v>
      </c>
      <c r="D68" s="6" t="s">
        <v>2291</v>
      </c>
      <c r="E68" s="6">
        <v>1</v>
      </c>
      <c r="F68" s="6" t="s">
        <v>2004</v>
      </c>
      <c r="G68" s="32" t="s">
        <v>2299</v>
      </c>
      <c r="H68" s="32" t="s">
        <v>2300</v>
      </c>
      <c r="I68" s="6" t="str">
        <f t="shared" si="4"/>
        <v>Stone Grapple</v>
      </c>
      <c r="J68" s="6" t="s">
        <v>109</v>
      </c>
      <c r="K68" s="6">
        <v>1</v>
      </c>
      <c r="L68" s="6">
        <f t="shared" si="5"/>
        <v>3640000</v>
      </c>
      <c r="M68" s="6">
        <v>3100000</v>
      </c>
      <c r="N68" s="6" t="s">
        <v>2003</v>
      </c>
      <c r="O68" s="6" t="s">
        <v>54</v>
      </c>
      <c r="P68" s="6">
        <v>2010</v>
      </c>
      <c r="Q68" s="6">
        <v>1</v>
      </c>
      <c r="R68" s="6" t="s">
        <v>45</v>
      </c>
      <c r="S68" s="31" t="s">
        <v>2114</v>
      </c>
      <c r="T68" s="6">
        <v>1</v>
      </c>
      <c r="U68" s="26">
        <v>2900000</v>
      </c>
      <c r="V68" s="26">
        <v>2900000</v>
      </c>
      <c r="W68" s="26">
        <v>2900000</v>
      </c>
      <c r="X68" s="6" t="s">
        <v>2003</v>
      </c>
      <c r="Y68" s="6" t="s">
        <v>54</v>
      </c>
      <c r="Z68" s="6">
        <v>223505</v>
      </c>
    </row>
    <row r="69" spans="1:26" x14ac:dyDescent="0.3">
      <c r="A69" s="28" t="s">
        <v>42</v>
      </c>
      <c r="B69" s="6" t="s">
        <v>1327</v>
      </c>
      <c r="C69" s="6" t="s">
        <v>1976</v>
      </c>
      <c r="D69" s="6" t="s">
        <v>2291</v>
      </c>
      <c r="E69" s="6">
        <v>1</v>
      </c>
      <c r="F69" s="6" t="s">
        <v>2004</v>
      </c>
      <c r="G69" s="32" t="s">
        <v>2299</v>
      </c>
      <c r="H69" s="32" t="s">
        <v>2300</v>
      </c>
      <c r="I69" s="6" t="str">
        <f t="shared" si="4"/>
        <v>Skeleton Bucket</v>
      </c>
      <c r="J69" s="6" t="s">
        <v>234</v>
      </c>
      <c r="K69" s="6">
        <v>1</v>
      </c>
      <c r="L69" s="6">
        <f t="shared" si="5"/>
        <v>700000</v>
      </c>
      <c r="M69" s="6">
        <v>600000</v>
      </c>
      <c r="N69" s="6" t="s">
        <v>2003</v>
      </c>
      <c r="O69" s="6" t="s">
        <v>54</v>
      </c>
      <c r="P69" s="6">
        <v>2014</v>
      </c>
      <c r="Q69" s="6">
        <v>1</v>
      </c>
      <c r="R69" s="6" t="s">
        <v>45</v>
      </c>
      <c r="S69" s="31" t="s">
        <v>2114</v>
      </c>
      <c r="T69" s="6">
        <v>1</v>
      </c>
      <c r="U69" s="26">
        <v>500000</v>
      </c>
      <c r="V69" s="26">
        <v>500000</v>
      </c>
      <c r="W69" s="26">
        <v>500000</v>
      </c>
      <c r="X69" s="6" t="s">
        <v>2003</v>
      </c>
      <c r="Y69" s="6" t="s">
        <v>54</v>
      </c>
      <c r="Z69" s="6">
        <v>223507</v>
      </c>
    </row>
    <row r="70" spans="1:26" x14ac:dyDescent="0.3">
      <c r="A70" s="28" t="s">
        <v>42</v>
      </c>
      <c r="B70" s="6" t="s">
        <v>1327</v>
      </c>
      <c r="C70" s="19" t="s">
        <v>1982</v>
      </c>
      <c r="D70" s="6" t="s">
        <v>2289</v>
      </c>
      <c r="E70" s="6">
        <v>1</v>
      </c>
      <c r="F70" s="6" t="s">
        <v>2004</v>
      </c>
      <c r="G70" s="32" t="s">
        <v>2299</v>
      </c>
      <c r="H70" s="32" t="s">
        <v>2300</v>
      </c>
      <c r="I70" s="6" t="str">
        <f t="shared" si="4"/>
        <v>Standard Bucket</v>
      </c>
      <c r="J70" s="6" t="s">
        <v>75</v>
      </c>
      <c r="K70" s="6">
        <v>1</v>
      </c>
      <c r="L70" s="6">
        <f t="shared" si="5"/>
        <v>4000000</v>
      </c>
      <c r="M70" s="6">
        <v>3400000</v>
      </c>
      <c r="N70" s="6" t="s">
        <v>2003</v>
      </c>
      <c r="O70" s="6" t="s">
        <v>839</v>
      </c>
      <c r="P70" s="6">
        <v>2011</v>
      </c>
      <c r="Q70" s="6">
        <v>4</v>
      </c>
      <c r="R70" s="6" t="s">
        <v>45</v>
      </c>
      <c r="S70" s="31" t="s">
        <v>2110</v>
      </c>
      <c r="T70" s="6">
        <v>1</v>
      </c>
      <c r="U70" s="26">
        <v>3200000</v>
      </c>
      <c r="V70" s="26">
        <v>3200000</v>
      </c>
      <c r="W70" s="26">
        <v>3200000</v>
      </c>
      <c r="X70" s="6" t="s">
        <v>2003</v>
      </c>
      <c r="Y70" s="6" t="s">
        <v>1234</v>
      </c>
      <c r="Z70" s="6">
        <v>223509</v>
      </c>
    </row>
    <row r="71" spans="1:26" x14ac:dyDescent="0.3">
      <c r="A71" s="28" t="s">
        <v>42</v>
      </c>
      <c r="B71" s="6" t="s">
        <v>1327</v>
      </c>
      <c r="C71" s="19" t="s">
        <v>1982</v>
      </c>
      <c r="D71" s="6" t="s">
        <v>2289</v>
      </c>
      <c r="E71" s="6">
        <v>1</v>
      </c>
      <c r="F71" s="6" t="s">
        <v>2004</v>
      </c>
      <c r="G71" s="32" t="s">
        <v>2299</v>
      </c>
      <c r="H71" s="32" t="s">
        <v>2300</v>
      </c>
      <c r="I71" s="6" t="str">
        <f t="shared" si="4"/>
        <v>Standard Bucket</v>
      </c>
      <c r="J71" s="6" t="s">
        <v>236</v>
      </c>
      <c r="K71" s="6">
        <v>1</v>
      </c>
      <c r="L71" s="6">
        <f t="shared" si="5"/>
        <v>3760000</v>
      </c>
      <c r="M71" s="6">
        <v>3200000</v>
      </c>
      <c r="N71" s="6" t="s">
        <v>2003</v>
      </c>
      <c r="O71" s="6" t="s">
        <v>54</v>
      </c>
      <c r="P71" s="6">
        <v>2010</v>
      </c>
      <c r="Q71" s="6">
        <v>1</v>
      </c>
      <c r="R71" s="6" t="s">
        <v>45</v>
      </c>
      <c r="S71" s="31" t="s">
        <v>2114</v>
      </c>
      <c r="T71" s="6">
        <v>1</v>
      </c>
      <c r="U71" s="26">
        <v>3000000</v>
      </c>
      <c r="V71" s="26">
        <v>3000000</v>
      </c>
      <c r="W71" s="26">
        <v>3000000</v>
      </c>
      <c r="X71" s="6" t="s">
        <v>2003</v>
      </c>
      <c r="Y71" s="6" t="s">
        <v>54</v>
      </c>
      <c r="Z71" s="6">
        <v>223511</v>
      </c>
    </row>
    <row r="72" spans="1:26" x14ac:dyDescent="0.3">
      <c r="A72" s="28" t="s">
        <v>42</v>
      </c>
      <c r="B72" s="6" t="s">
        <v>1327</v>
      </c>
      <c r="C72" s="6" t="s">
        <v>1976</v>
      </c>
      <c r="D72" s="6" t="s">
        <v>2001</v>
      </c>
      <c r="E72" s="6">
        <v>1</v>
      </c>
      <c r="F72" s="6" t="s">
        <v>2004</v>
      </c>
      <c r="G72" s="32" t="s">
        <v>2299</v>
      </c>
      <c r="H72" s="32" t="s">
        <v>2300</v>
      </c>
      <c r="I72" s="6" t="str">
        <f t="shared" si="4"/>
        <v>Skeleton Bucket</v>
      </c>
      <c r="J72" s="6" t="s">
        <v>210</v>
      </c>
      <c r="K72" s="6">
        <v>1</v>
      </c>
      <c r="L72" s="6">
        <f t="shared" si="5"/>
        <v>1640000</v>
      </c>
      <c r="M72" s="6">
        <v>1400000</v>
      </c>
      <c r="N72" s="6" t="s">
        <v>2003</v>
      </c>
      <c r="O72" s="6" t="s">
        <v>867</v>
      </c>
      <c r="P72" s="6">
        <v>2013</v>
      </c>
      <c r="Q72" s="6">
        <v>1</v>
      </c>
      <c r="R72" s="6" t="s">
        <v>45</v>
      </c>
      <c r="S72" s="31" t="s">
        <v>2116</v>
      </c>
      <c r="T72" s="6">
        <v>1</v>
      </c>
      <c r="U72" s="26">
        <v>1300000</v>
      </c>
      <c r="V72" s="26">
        <v>1300000</v>
      </c>
      <c r="W72" s="26">
        <v>1300000</v>
      </c>
      <c r="X72" s="6" t="s">
        <v>2003</v>
      </c>
      <c r="Y72" s="6" t="s">
        <v>90</v>
      </c>
      <c r="Z72" s="6">
        <v>223513</v>
      </c>
    </row>
    <row r="73" spans="1:26" x14ac:dyDescent="0.3">
      <c r="A73" s="28" t="s">
        <v>42</v>
      </c>
      <c r="B73" s="6" t="s">
        <v>1337</v>
      </c>
      <c r="C73" s="6"/>
      <c r="D73" s="6" t="s">
        <v>2002</v>
      </c>
      <c r="E73" s="6">
        <v>1</v>
      </c>
      <c r="F73" s="6" t="s">
        <v>2004</v>
      </c>
      <c r="G73" s="32" t="s">
        <v>2299</v>
      </c>
      <c r="H73" s="32" t="s">
        <v>2300</v>
      </c>
      <c r="I73" s="6" t="str">
        <f t="shared" si="4"/>
        <v>ETC</v>
      </c>
      <c r="J73" s="6" t="s">
        <v>450</v>
      </c>
      <c r="K73" s="6">
        <v>1</v>
      </c>
      <c r="L73" s="6">
        <f t="shared" si="5"/>
        <v>3170000</v>
      </c>
      <c r="M73" s="6">
        <v>2700000</v>
      </c>
      <c r="N73" s="6" t="s">
        <v>2003</v>
      </c>
      <c r="O73" s="6" t="s">
        <v>868</v>
      </c>
      <c r="P73" s="6">
        <v>2012</v>
      </c>
      <c r="Q73" s="6">
        <v>1</v>
      </c>
      <c r="R73" s="6" t="s">
        <v>45</v>
      </c>
      <c r="S73" s="31" t="s">
        <v>2124</v>
      </c>
      <c r="T73" s="6">
        <v>1</v>
      </c>
      <c r="U73" s="26">
        <v>2500000</v>
      </c>
      <c r="V73" s="26">
        <v>2500000</v>
      </c>
      <c r="W73" s="26">
        <v>2500000</v>
      </c>
      <c r="X73" s="6" t="s">
        <v>2003</v>
      </c>
      <c r="Y73" s="6" t="s">
        <v>1255</v>
      </c>
      <c r="Z73" s="6">
        <v>223515</v>
      </c>
    </row>
    <row r="74" spans="1:26" s="32" customFormat="1" x14ac:dyDescent="0.3">
      <c r="A74" s="32" t="s">
        <v>42</v>
      </c>
      <c r="B74" s="32" t="s">
        <v>43</v>
      </c>
      <c r="C74" s="32" t="s">
        <v>1974</v>
      </c>
      <c r="D74" s="32" t="s">
        <v>2298</v>
      </c>
      <c r="E74" s="32">
        <v>1</v>
      </c>
      <c r="F74" s="32" t="s">
        <v>2004</v>
      </c>
      <c r="G74" s="32" t="s">
        <v>2299</v>
      </c>
      <c r="H74" s="32" t="s">
        <v>2300</v>
      </c>
      <c r="I74" s="32" t="s">
        <v>1974</v>
      </c>
      <c r="J74" s="32" t="s">
        <v>451</v>
      </c>
      <c r="K74" s="32">
        <v>1</v>
      </c>
      <c r="L74" s="32">
        <v>4350000</v>
      </c>
      <c r="M74" s="32">
        <v>3700000</v>
      </c>
      <c r="N74" s="32" t="s">
        <v>2003</v>
      </c>
      <c r="O74" s="32" t="s">
        <v>869</v>
      </c>
      <c r="P74" s="32">
        <v>2017</v>
      </c>
      <c r="Q74" s="32">
        <v>12</v>
      </c>
      <c r="R74" s="32" t="s">
        <v>45</v>
      </c>
      <c r="S74" s="32" t="s">
        <v>2122</v>
      </c>
      <c r="T74" s="32">
        <v>1</v>
      </c>
      <c r="U74" s="32">
        <v>3500000</v>
      </c>
      <c r="V74" s="32">
        <v>3500000</v>
      </c>
      <c r="W74" s="32">
        <v>3500000</v>
      </c>
      <c r="X74" s="32" t="s">
        <v>2003</v>
      </c>
      <c r="Y74" s="32" t="s">
        <v>1256</v>
      </c>
      <c r="Z74" s="32">
        <v>223516</v>
      </c>
    </row>
    <row r="75" spans="1:26" x14ac:dyDescent="0.3">
      <c r="A75" s="28" t="s">
        <v>42</v>
      </c>
      <c r="B75" s="6" t="s">
        <v>2242</v>
      </c>
      <c r="C75" s="6"/>
      <c r="D75" s="6" t="s">
        <v>2289</v>
      </c>
      <c r="E75" s="6">
        <v>1</v>
      </c>
      <c r="F75" s="6" t="s">
        <v>2004</v>
      </c>
      <c r="G75" s="32" t="s">
        <v>2299</v>
      </c>
      <c r="H75" s="32" t="s">
        <v>2300</v>
      </c>
      <c r="I75" s="6" t="str">
        <f t="shared" ref="I75:I138" si="6">IF(ISBLANK(C75),B75,C75)</f>
        <v>Quick Coupler</v>
      </c>
      <c r="J75" s="6" t="s">
        <v>536</v>
      </c>
      <c r="K75" s="6">
        <v>1</v>
      </c>
      <c r="L75" s="6">
        <f t="shared" ref="L75:L138" si="7">FLOOR(((M75*100)/85)/10000, 1)*10000</f>
        <v>3170000</v>
      </c>
      <c r="M75" s="6">
        <v>2700000</v>
      </c>
      <c r="N75" s="6" t="s">
        <v>2003</v>
      </c>
      <c r="O75" s="6" t="s">
        <v>1837</v>
      </c>
      <c r="P75" s="6">
        <v>2015</v>
      </c>
      <c r="Q75" s="6">
        <v>11</v>
      </c>
      <c r="R75" s="6" t="s">
        <v>45</v>
      </c>
      <c r="S75" s="31" t="s">
        <v>2118</v>
      </c>
      <c r="T75" s="6">
        <v>1</v>
      </c>
      <c r="U75" s="26">
        <v>2500000</v>
      </c>
      <c r="V75" s="26">
        <v>2500000</v>
      </c>
      <c r="W75" s="26">
        <v>2500000</v>
      </c>
      <c r="X75" s="6" t="s">
        <v>2003</v>
      </c>
      <c r="Y75" s="6" t="s">
        <v>1273</v>
      </c>
      <c r="Z75" s="6">
        <v>223525</v>
      </c>
    </row>
    <row r="76" spans="1:26" x14ac:dyDescent="0.3">
      <c r="A76" s="28" t="s">
        <v>42</v>
      </c>
      <c r="B76" s="6" t="s">
        <v>1327</v>
      </c>
      <c r="C76" s="19" t="s">
        <v>1982</v>
      </c>
      <c r="D76" s="6" t="s">
        <v>2001</v>
      </c>
      <c r="E76" s="6">
        <v>1</v>
      </c>
      <c r="F76" s="6" t="s">
        <v>2004</v>
      </c>
      <c r="G76" s="32" t="s">
        <v>2299</v>
      </c>
      <c r="H76" s="32" t="s">
        <v>2300</v>
      </c>
      <c r="I76" s="6" t="str">
        <f t="shared" si="6"/>
        <v>Standard Bucket</v>
      </c>
      <c r="J76" s="6" t="s">
        <v>114</v>
      </c>
      <c r="K76" s="6">
        <v>1</v>
      </c>
      <c r="L76" s="6">
        <f t="shared" si="7"/>
        <v>2940000</v>
      </c>
      <c r="M76" s="6">
        <v>2500000</v>
      </c>
      <c r="N76" s="6" t="s">
        <v>2003</v>
      </c>
      <c r="O76" s="6" t="s">
        <v>870</v>
      </c>
      <c r="P76" s="6">
        <v>2014</v>
      </c>
      <c r="Q76" s="6">
        <v>1</v>
      </c>
      <c r="R76" s="6" t="s">
        <v>45</v>
      </c>
      <c r="S76" s="31" t="s">
        <v>2116</v>
      </c>
      <c r="T76" s="6">
        <v>1</v>
      </c>
      <c r="U76" s="26">
        <v>2300000</v>
      </c>
      <c r="V76" s="26">
        <v>2300000</v>
      </c>
      <c r="W76" s="26">
        <v>2300000</v>
      </c>
      <c r="X76" s="6" t="s">
        <v>2003</v>
      </c>
      <c r="Y76" s="6" t="s">
        <v>1174</v>
      </c>
      <c r="Z76" s="6">
        <v>223541</v>
      </c>
    </row>
    <row r="77" spans="1:26" x14ac:dyDescent="0.3">
      <c r="A77" s="28" t="s">
        <v>42</v>
      </c>
      <c r="B77" s="6" t="s">
        <v>1325</v>
      </c>
      <c r="C77" s="6" t="s">
        <v>1983</v>
      </c>
      <c r="D77" s="6" t="s">
        <v>2001</v>
      </c>
      <c r="E77" s="6">
        <v>1</v>
      </c>
      <c r="F77" s="6" t="s">
        <v>2004</v>
      </c>
      <c r="G77" s="32" t="s">
        <v>2299</v>
      </c>
      <c r="H77" s="32" t="s">
        <v>2300</v>
      </c>
      <c r="I77" s="6" t="str">
        <f t="shared" si="6"/>
        <v>Hydraulic Multi Processor</v>
      </c>
      <c r="J77" s="6" t="s">
        <v>452</v>
      </c>
      <c r="K77" s="6">
        <v>1</v>
      </c>
      <c r="L77" s="6">
        <f t="shared" si="7"/>
        <v>15880000</v>
      </c>
      <c r="M77" s="6">
        <v>13500000</v>
      </c>
      <c r="N77" s="6" t="s">
        <v>2003</v>
      </c>
      <c r="O77" s="6" t="s">
        <v>871</v>
      </c>
      <c r="P77" s="6">
        <v>2015</v>
      </c>
      <c r="Q77" s="6">
        <v>1</v>
      </c>
      <c r="R77" s="6" t="s">
        <v>45</v>
      </c>
      <c r="S77" s="31" t="s">
        <v>2116</v>
      </c>
      <c r="T77" s="6">
        <v>1</v>
      </c>
      <c r="U77" s="26">
        <v>13000000</v>
      </c>
      <c r="V77" s="26">
        <v>13000000</v>
      </c>
      <c r="W77" s="26">
        <v>13000000</v>
      </c>
      <c r="X77" s="6" t="s">
        <v>2003</v>
      </c>
      <c r="Y77" s="6" t="s">
        <v>1199</v>
      </c>
      <c r="Z77" s="6">
        <v>223543</v>
      </c>
    </row>
    <row r="78" spans="1:26" x14ac:dyDescent="0.3">
      <c r="A78" s="28" t="s">
        <v>42</v>
      </c>
      <c r="B78" s="6" t="s">
        <v>1337</v>
      </c>
      <c r="C78" s="6"/>
      <c r="D78" s="6" t="s">
        <v>2291</v>
      </c>
      <c r="E78" s="6">
        <v>1</v>
      </c>
      <c r="F78" s="6" t="s">
        <v>2004</v>
      </c>
      <c r="G78" s="32" t="s">
        <v>2299</v>
      </c>
      <c r="H78" s="32" t="s">
        <v>2300</v>
      </c>
      <c r="I78" s="6" t="str">
        <f t="shared" si="6"/>
        <v>ETC</v>
      </c>
      <c r="J78" s="6" t="s">
        <v>382</v>
      </c>
      <c r="K78" s="6">
        <v>1</v>
      </c>
      <c r="L78" s="6">
        <f t="shared" si="7"/>
        <v>4350000</v>
      </c>
      <c r="M78" s="6">
        <v>3700000</v>
      </c>
      <c r="N78" s="6" t="s">
        <v>2003</v>
      </c>
      <c r="O78" s="6" t="s">
        <v>2015</v>
      </c>
      <c r="P78" s="6">
        <v>2012</v>
      </c>
      <c r="Q78" s="6">
        <v>6</v>
      </c>
      <c r="R78" s="6" t="s">
        <v>45</v>
      </c>
      <c r="S78" s="31" t="s">
        <v>2113</v>
      </c>
      <c r="T78" s="6">
        <v>1</v>
      </c>
      <c r="U78" s="26">
        <v>3500000</v>
      </c>
      <c r="V78" s="26">
        <v>3500000</v>
      </c>
      <c r="W78" s="26">
        <v>3500000</v>
      </c>
      <c r="X78" s="6" t="s">
        <v>2003</v>
      </c>
      <c r="Y78" s="6" t="s">
        <v>47</v>
      </c>
      <c r="Z78" s="6">
        <v>223548</v>
      </c>
    </row>
    <row r="79" spans="1:26" x14ac:dyDescent="0.3">
      <c r="A79" s="28" t="s">
        <v>42</v>
      </c>
      <c r="B79" s="6" t="s">
        <v>1326</v>
      </c>
      <c r="C79" s="6" t="s">
        <v>1973</v>
      </c>
      <c r="D79" s="6" t="s">
        <v>2291</v>
      </c>
      <c r="E79" s="6">
        <v>1</v>
      </c>
      <c r="F79" s="6" t="s">
        <v>2004</v>
      </c>
      <c r="G79" s="32" t="s">
        <v>2299</v>
      </c>
      <c r="H79" s="32" t="s">
        <v>2300</v>
      </c>
      <c r="I79" s="6" t="str">
        <f t="shared" si="6"/>
        <v>Wood Grapple</v>
      </c>
      <c r="J79" s="6" t="s">
        <v>127</v>
      </c>
      <c r="K79" s="6">
        <v>1</v>
      </c>
      <c r="L79" s="6">
        <f t="shared" si="7"/>
        <v>3050000</v>
      </c>
      <c r="M79" s="6">
        <v>2600000</v>
      </c>
      <c r="N79" s="6" t="s">
        <v>2003</v>
      </c>
      <c r="O79" s="6" t="s">
        <v>2007</v>
      </c>
      <c r="P79" s="6">
        <v>2014</v>
      </c>
      <c r="Q79" s="6">
        <v>1</v>
      </c>
      <c r="R79" s="6" t="s">
        <v>45</v>
      </c>
      <c r="S79" s="31" t="s">
        <v>2113</v>
      </c>
      <c r="T79" s="6">
        <v>1</v>
      </c>
      <c r="U79" s="26">
        <v>2400000</v>
      </c>
      <c r="V79" s="26">
        <v>2400000</v>
      </c>
      <c r="W79" s="26">
        <v>2400000</v>
      </c>
      <c r="X79" s="6" t="s">
        <v>2003</v>
      </c>
      <c r="Y79" s="6" t="s">
        <v>49</v>
      </c>
      <c r="Z79" s="6">
        <v>223549</v>
      </c>
    </row>
    <row r="80" spans="1:26" x14ac:dyDescent="0.3">
      <c r="A80" s="28" t="s">
        <v>42</v>
      </c>
      <c r="B80" s="6" t="s">
        <v>1328</v>
      </c>
      <c r="C80" s="6" t="s">
        <v>1975</v>
      </c>
      <c r="D80" s="6" t="s">
        <v>2293</v>
      </c>
      <c r="E80" s="6">
        <v>1</v>
      </c>
      <c r="F80" s="6" t="s">
        <v>2004</v>
      </c>
      <c r="G80" s="32" t="s">
        <v>2299</v>
      </c>
      <c r="H80" s="32" t="s">
        <v>2300</v>
      </c>
      <c r="I80" s="6" t="str">
        <f t="shared" si="6"/>
        <v>Side Breaker</v>
      </c>
      <c r="J80" s="6" t="s">
        <v>205</v>
      </c>
      <c r="K80" s="6">
        <v>1</v>
      </c>
      <c r="L80" s="6">
        <f t="shared" si="7"/>
        <v>1640000</v>
      </c>
      <c r="M80" s="6">
        <v>1400000</v>
      </c>
      <c r="N80" s="6" t="s">
        <v>2003</v>
      </c>
      <c r="O80" s="6" t="s">
        <v>2007</v>
      </c>
      <c r="P80" s="6">
        <v>2014</v>
      </c>
      <c r="Q80" s="6">
        <v>1</v>
      </c>
      <c r="R80" s="6" t="s">
        <v>45</v>
      </c>
      <c r="S80" s="31" t="s">
        <v>2113</v>
      </c>
      <c r="T80" s="6">
        <v>1</v>
      </c>
      <c r="U80" s="26">
        <v>1300000</v>
      </c>
      <c r="V80" s="26">
        <v>1300000</v>
      </c>
      <c r="W80" s="26">
        <v>1300000</v>
      </c>
      <c r="X80" s="6" t="s">
        <v>2003</v>
      </c>
      <c r="Y80" s="6" t="s">
        <v>49</v>
      </c>
      <c r="Z80" s="6">
        <v>223552</v>
      </c>
    </row>
    <row r="81" spans="1:26" x14ac:dyDescent="0.3">
      <c r="A81" s="28" t="s">
        <v>42</v>
      </c>
      <c r="B81" s="6" t="s">
        <v>1326</v>
      </c>
      <c r="C81" s="19" t="s">
        <v>1974</v>
      </c>
      <c r="D81" s="6" t="s">
        <v>2293</v>
      </c>
      <c r="E81" s="6">
        <v>1</v>
      </c>
      <c r="F81" s="6" t="s">
        <v>2004</v>
      </c>
      <c r="G81" s="32" t="s">
        <v>2299</v>
      </c>
      <c r="H81" s="32" t="s">
        <v>2300</v>
      </c>
      <c r="I81" s="6" t="str">
        <f t="shared" si="6"/>
        <v>Etc Grapple</v>
      </c>
      <c r="J81" s="6" t="s">
        <v>300</v>
      </c>
      <c r="K81" s="6">
        <v>1</v>
      </c>
      <c r="L81" s="6">
        <f t="shared" si="7"/>
        <v>2640000</v>
      </c>
      <c r="M81" s="6">
        <v>2250000</v>
      </c>
      <c r="N81" s="6" t="s">
        <v>2003</v>
      </c>
      <c r="O81" s="6" t="s">
        <v>2007</v>
      </c>
      <c r="P81" s="6">
        <v>2016</v>
      </c>
      <c r="Q81" s="6">
        <v>1</v>
      </c>
      <c r="R81" s="6" t="s">
        <v>45</v>
      </c>
      <c r="S81" s="31" t="s">
        <v>2113</v>
      </c>
      <c r="T81" s="6">
        <v>1</v>
      </c>
      <c r="U81" s="26">
        <v>2050000</v>
      </c>
      <c r="V81" s="26">
        <v>2050000</v>
      </c>
      <c r="W81" s="26">
        <v>2050000</v>
      </c>
      <c r="X81" s="6" t="s">
        <v>2003</v>
      </c>
      <c r="Y81" s="6" t="s">
        <v>49</v>
      </c>
      <c r="Z81" s="6">
        <v>223558</v>
      </c>
    </row>
    <row r="82" spans="1:26" x14ac:dyDescent="0.3">
      <c r="A82" s="28" t="s">
        <v>42</v>
      </c>
      <c r="B82" s="6" t="s">
        <v>1326</v>
      </c>
      <c r="C82" s="6" t="s">
        <v>1972</v>
      </c>
      <c r="D82" s="6" t="s">
        <v>2292</v>
      </c>
      <c r="E82" s="6">
        <v>1</v>
      </c>
      <c r="F82" s="6" t="s">
        <v>2004</v>
      </c>
      <c r="G82" s="32" t="s">
        <v>2299</v>
      </c>
      <c r="H82" s="32" t="s">
        <v>2300</v>
      </c>
      <c r="I82" s="6" t="str">
        <f t="shared" si="6"/>
        <v>Stone Grapple</v>
      </c>
      <c r="J82" s="6" t="s">
        <v>44</v>
      </c>
      <c r="K82" s="6">
        <v>1</v>
      </c>
      <c r="L82" s="6">
        <f t="shared" si="7"/>
        <v>2820000</v>
      </c>
      <c r="M82" s="6">
        <v>2400000</v>
      </c>
      <c r="N82" s="6" t="s">
        <v>2003</v>
      </c>
      <c r="O82" s="6" t="s">
        <v>801</v>
      </c>
      <c r="P82" s="6">
        <v>2010</v>
      </c>
      <c r="Q82" s="6">
        <v>6</v>
      </c>
      <c r="R82" s="6" t="s">
        <v>45</v>
      </c>
      <c r="S82" s="31" t="s">
        <v>2110</v>
      </c>
      <c r="T82" s="6">
        <v>1</v>
      </c>
      <c r="U82" s="26">
        <v>2200000</v>
      </c>
      <c r="V82" s="26">
        <v>2200000</v>
      </c>
      <c r="W82" s="26">
        <v>2200000</v>
      </c>
      <c r="X82" s="6" t="s">
        <v>2003</v>
      </c>
      <c r="Y82" s="6" t="s">
        <v>1225</v>
      </c>
      <c r="Z82" s="6">
        <v>223563</v>
      </c>
    </row>
    <row r="83" spans="1:26" x14ac:dyDescent="0.3">
      <c r="A83" s="28" t="s">
        <v>42</v>
      </c>
      <c r="B83" s="6" t="s">
        <v>1326</v>
      </c>
      <c r="C83" s="6" t="s">
        <v>1973</v>
      </c>
      <c r="D83" s="6" t="s">
        <v>2293</v>
      </c>
      <c r="E83" s="6">
        <v>1</v>
      </c>
      <c r="F83" s="6" t="s">
        <v>2004</v>
      </c>
      <c r="G83" s="32" t="s">
        <v>2299</v>
      </c>
      <c r="H83" s="32" t="s">
        <v>2300</v>
      </c>
      <c r="I83" s="6" t="str">
        <f t="shared" si="6"/>
        <v>Wood Grapple</v>
      </c>
      <c r="J83" s="6" t="s">
        <v>417</v>
      </c>
      <c r="K83" s="6">
        <v>1</v>
      </c>
      <c r="L83" s="6">
        <f t="shared" si="7"/>
        <v>2290000</v>
      </c>
      <c r="M83" s="6">
        <v>1950000</v>
      </c>
      <c r="N83" s="6" t="s">
        <v>2003</v>
      </c>
      <c r="O83" s="6" t="s">
        <v>2007</v>
      </c>
      <c r="P83" s="6">
        <v>2014</v>
      </c>
      <c r="Q83" s="6">
        <v>1</v>
      </c>
      <c r="R83" s="6" t="s">
        <v>45</v>
      </c>
      <c r="S83" s="31" t="s">
        <v>2113</v>
      </c>
      <c r="T83" s="6">
        <v>1</v>
      </c>
      <c r="U83" s="26">
        <v>1850000</v>
      </c>
      <c r="V83" s="26">
        <v>1850000</v>
      </c>
      <c r="W83" s="26">
        <v>1850000</v>
      </c>
      <c r="X83" s="6" t="s">
        <v>2003</v>
      </c>
      <c r="Y83" s="6" t="s">
        <v>49</v>
      </c>
      <c r="Z83" s="6">
        <v>223565</v>
      </c>
    </row>
    <row r="84" spans="1:26" x14ac:dyDescent="0.3">
      <c r="A84" s="28" t="s">
        <v>42</v>
      </c>
      <c r="B84" s="6" t="s">
        <v>1329</v>
      </c>
      <c r="C84" s="6"/>
      <c r="D84" s="6" t="s">
        <v>2291</v>
      </c>
      <c r="E84" s="6">
        <v>1</v>
      </c>
      <c r="F84" s="6" t="s">
        <v>2004</v>
      </c>
      <c r="G84" s="32" t="s">
        <v>2299</v>
      </c>
      <c r="H84" s="32" t="s">
        <v>2300</v>
      </c>
      <c r="I84" s="6" t="str">
        <f t="shared" si="6"/>
        <v>Compactor</v>
      </c>
      <c r="J84" s="6" t="s">
        <v>416</v>
      </c>
      <c r="K84" s="6">
        <v>1</v>
      </c>
      <c r="L84" s="6">
        <f t="shared" si="7"/>
        <v>1880000</v>
      </c>
      <c r="M84" s="6">
        <v>1600000</v>
      </c>
      <c r="N84" s="6" t="s">
        <v>2003</v>
      </c>
      <c r="O84" s="6" t="s">
        <v>1838</v>
      </c>
      <c r="P84" s="6">
        <v>2015</v>
      </c>
      <c r="Q84" s="6">
        <v>1</v>
      </c>
      <c r="R84" s="6" t="s">
        <v>45</v>
      </c>
      <c r="S84" s="31" t="s">
        <v>2113</v>
      </c>
      <c r="T84" s="6">
        <v>1</v>
      </c>
      <c r="U84" s="26">
        <v>1500000</v>
      </c>
      <c r="V84" s="26">
        <v>1500000</v>
      </c>
      <c r="W84" s="26">
        <v>1500000</v>
      </c>
      <c r="X84" s="6" t="s">
        <v>2003</v>
      </c>
      <c r="Y84" s="6" t="s">
        <v>1246</v>
      </c>
      <c r="Z84" s="6">
        <v>223572</v>
      </c>
    </row>
    <row r="85" spans="1:26" x14ac:dyDescent="0.3">
      <c r="A85" s="28" t="s">
        <v>42</v>
      </c>
      <c r="B85" s="6" t="s">
        <v>2172</v>
      </c>
      <c r="C85" s="6"/>
      <c r="D85" s="6" t="s">
        <v>2289</v>
      </c>
      <c r="E85" s="6">
        <v>1</v>
      </c>
      <c r="F85" s="6" t="s">
        <v>2004</v>
      </c>
      <c r="G85" s="32" t="s">
        <v>2299</v>
      </c>
      <c r="H85" s="32" t="s">
        <v>2300</v>
      </c>
      <c r="I85" s="6" t="str">
        <f t="shared" si="6"/>
        <v>Quick Coupler</v>
      </c>
      <c r="J85" s="6" t="s">
        <v>244</v>
      </c>
      <c r="K85" s="6">
        <v>1</v>
      </c>
      <c r="L85" s="6">
        <f t="shared" si="7"/>
        <v>4350000</v>
      </c>
      <c r="M85" s="6">
        <v>3700000</v>
      </c>
      <c r="N85" s="6" t="s">
        <v>2003</v>
      </c>
      <c r="O85" s="6" t="s">
        <v>813</v>
      </c>
      <c r="P85" s="6">
        <v>2013</v>
      </c>
      <c r="Q85" s="6">
        <v>1</v>
      </c>
      <c r="R85" s="6" t="s">
        <v>45</v>
      </c>
      <c r="S85" s="31" t="s">
        <v>2113</v>
      </c>
      <c r="T85" s="6">
        <v>1</v>
      </c>
      <c r="U85" s="26">
        <v>3500000</v>
      </c>
      <c r="V85" s="26">
        <v>3500000</v>
      </c>
      <c r="W85" s="26">
        <v>3500000</v>
      </c>
      <c r="X85" s="6" t="s">
        <v>2003</v>
      </c>
      <c r="Y85" s="6" t="s">
        <v>79</v>
      </c>
      <c r="Z85" s="6">
        <v>223573</v>
      </c>
    </row>
    <row r="86" spans="1:26" x14ac:dyDescent="0.3">
      <c r="A86" s="28" t="s">
        <v>42</v>
      </c>
      <c r="B86" s="6" t="s">
        <v>1327</v>
      </c>
      <c r="C86" s="6" t="s">
        <v>1982</v>
      </c>
      <c r="D86" s="6" t="s">
        <v>2289</v>
      </c>
      <c r="E86" s="6">
        <v>1</v>
      </c>
      <c r="F86" s="6" t="s">
        <v>2004</v>
      </c>
      <c r="G86" s="32" t="s">
        <v>2299</v>
      </c>
      <c r="H86" s="32" t="s">
        <v>2300</v>
      </c>
      <c r="I86" s="6" t="str">
        <f t="shared" si="6"/>
        <v>Standard Bucket</v>
      </c>
      <c r="J86" s="6" t="s">
        <v>187</v>
      </c>
      <c r="K86" s="6">
        <v>1</v>
      </c>
      <c r="L86" s="6">
        <f t="shared" si="7"/>
        <v>1880000</v>
      </c>
      <c r="M86" s="6">
        <v>1600000</v>
      </c>
      <c r="N86" s="6" t="s">
        <v>2003</v>
      </c>
      <c r="O86" s="6" t="s">
        <v>813</v>
      </c>
      <c r="P86" s="6">
        <v>2013</v>
      </c>
      <c r="Q86" s="6">
        <v>1</v>
      </c>
      <c r="R86" s="6" t="s">
        <v>45</v>
      </c>
      <c r="S86" s="31" t="s">
        <v>2113</v>
      </c>
      <c r="T86" s="6">
        <v>1</v>
      </c>
      <c r="U86" s="26">
        <v>1500000</v>
      </c>
      <c r="V86" s="26">
        <v>1500000</v>
      </c>
      <c r="W86" s="26">
        <v>1500000</v>
      </c>
      <c r="X86" s="6" t="s">
        <v>2003</v>
      </c>
      <c r="Y86" s="6" t="s">
        <v>80</v>
      </c>
      <c r="Z86" s="6">
        <v>223574</v>
      </c>
    </row>
    <row r="87" spans="1:26" x14ac:dyDescent="0.3">
      <c r="A87" s="28" t="s">
        <v>42</v>
      </c>
      <c r="B87" s="6" t="s">
        <v>1326</v>
      </c>
      <c r="C87" s="6" t="s">
        <v>1972</v>
      </c>
      <c r="D87" s="6" t="s">
        <v>2292</v>
      </c>
      <c r="E87" s="6">
        <v>1</v>
      </c>
      <c r="F87" s="6" t="s">
        <v>2004</v>
      </c>
      <c r="G87" s="32" t="s">
        <v>2299</v>
      </c>
      <c r="H87" s="32" t="s">
        <v>2300</v>
      </c>
      <c r="I87" s="6" t="str">
        <f t="shared" si="6"/>
        <v>Stone Grapple</v>
      </c>
      <c r="J87" s="6" t="s">
        <v>2361</v>
      </c>
      <c r="K87" s="6">
        <v>1</v>
      </c>
      <c r="L87" s="6">
        <f t="shared" si="7"/>
        <v>8230000</v>
      </c>
      <c r="M87" s="6">
        <v>7000000</v>
      </c>
      <c r="N87" s="6" t="s">
        <v>2003</v>
      </c>
      <c r="O87" s="6" t="s">
        <v>822</v>
      </c>
      <c r="P87" s="6">
        <v>2016</v>
      </c>
      <c r="Q87" s="6">
        <v>7</v>
      </c>
      <c r="R87" s="6" t="s">
        <v>45</v>
      </c>
      <c r="S87" s="31" t="s">
        <v>2123</v>
      </c>
      <c r="T87" s="6">
        <v>1</v>
      </c>
      <c r="U87" s="26">
        <v>6500000</v>
      </c>
      <c r="V87" s="26">
        <v>6500000</v>
      </c>
      <c r="W87" s="26">
        <v>6500000</v>
      </c>
      <c r="X87" s="6" t="s">
        <v>2003</v>
      </c>
      <c r="Y87" s="6" t="s">
        <v>92</v>
      </c>
      <c r="Z87" s="6">
        <v>223576</v>
      </c>
    </row>
    <row r="88" spans="1:26" x14ac:dyDescent="0.3">
      <c r="A88" s="28" t="s">
        <v>42</v>
      </c>
      <c r="B88" s="6" t="s">
        <v>1328</v>
      </c>
      <c r="C88" s="6" t="s">
        <v>1975</v>
      </c>
      <c r="D88" s="6" t="s">
        <v>2291</v>
      </c>
      <c r="E88" s="6">
        <v>1</v>
      </c>
      <c r="F88" s="6" t="s">
        <v>2004</v>
      </c>
      <c r="G88" s="32" t="s">
        <v>2299</v>
      </c>
      <c r="H88" s="32" t="s">
        <v>2300</v>
      </c>
      <c r="I88" s="6" t="str">
        <f t="shared" si="6"/>
        <v>Side Breaker</v>
      </c>
      <c r="J88" s="6" t="s">
        <v>204</v>
      </c>
      <c r="K88" s="6">
        <v>1</v>
      </c>
      <c r="L88" s="6">
        <f t="shared" si="7"/>
        <v>1580000</v>
      </c>
      <c r="M88" s="6">
        <v>1350000</v>
      </c>
      <c r="N88" s="6" t="s">
        <v>2003</v>
      </c>
      <c r="O88" s="6" t="s">
        <v>51</v>
      </c>
      <c r="P88" s="6">
        <v>2013</v>
      </c>
      <c r="Q88" s="6">
        <v>1</v>
      </c>
      <c r="R88" s="6" t="s">
        <v>45</v>
      </c>
      <c r="S88" s="31" t="s">
        <v>2113</v>
      </c>
      <c r="T88" s="6">
        <v>1</v>
      </c>
      <c r="U88" s="26">
        <v>1250000</v>
      </c>
      <c r="V88" s="26">
        <v>1250000</v>
      </c>
      <c r="W88" s="26">
        <v>1250000</v>
      </c>
      <c r="X88" s="6" t="s">
        <v>2003</v>
      </c>
      <c r="Y88" s="6" t="s">
        <v>49</v>
      </c>
      <c r="Z88" s="6">
        <v>223586</v>
      </c>
    </row>
    <row r="89" spans="1:26" x14ac:dyDescent="0.3">
      <c r="A89" s="28" t="s">
        <v>42</v>
      </c>
      <c r="B89" s="6" t="s">
        <v>1325</v>
      </c>
      <c r="C89" s="19" t="s">
        <v>2156</v>
      </c>
      <c r="D89" s="6" t="s">
        <v>2290</v>
      </c>
      <c r="E89" s="6">
        <v>1</v>
      </c>
      <c r="F89" s="6" t="s">
        <v>2004</v>
      </c>
      <c r="G89" s="32" t="s">
        <v>2299</v>
      </c>
      <c r="H89" s="32" t="s">
        <v>2300</v>
      </c>
      <c r="I89" s="6" t="str">
        <f t="shared" si="6"/>
        <v>Hydraulic Crusher</v>
      </c>
      <c r="J89" s="6" t="s">
        <v>184</v>
      </c>
      <c r="K89" s="6">
        <v>1</v>
      </c>
      <c r="L89" s="6">
        <f t="shared" si="7"/>
        <v>7640000</v>
      </c>
      <c r="M89" s="6">
        <v>6500000</v>
      </c>
      <c r="N89" s="6" t="s">
        <v>2003</v>
      </c>
      <c r="O89" s="6" t="s">
        <v>66</v>
      </c>
      <c r="P89" s="6">
        <v>2012</v>
      </c>
      <c r="Q89" s="6">
        <v>1</v>
      </c>
      <c r="R89" s="6" t="s">
        <v>45</v>
      </c>
      <c r="S89" s="31" t="s">
        <v>2110</v>
      </c>
      <c r="T89" s="6">
        <v>1</v>
      </c>
      <c r="U89" s="26">
        <v>6000000</v>
      </c>
      <c r="V89" s="26">
        <v>6000000</v>
      </c>
      <c r="W89" s="26">
        <v>6000000</v>
      </c>
      <c r="X89" s="6" t="s">
        <v>2003</v>
      </c>
      <c r="Y89" s="6" t="s">
        <v>1150</v>
      </c>
      <c r="Z89" s="6">
        <v>223587</v>
      </c>
    </row>
    <row r="90" spans="1:26" x14ac:dyDescent="0.3">
      <c r="A90" s="28" t="s">
        <v>42</v>
      </c>
      <c r="B90" s="6" t="s">
        <v>1327</v>
      </c>
      <c r="C90" s="6" t="s">
        <v>1980</v>
      </c>
      <c r="D90" s="6" t="s">
        <v>2290</v>
      </c>
      <c r="E90" s="6">
        <v>1</v>
      </c>
      <c r="F90" s="6" t="s">
        <v>2004</v>
      </c>
      <c r="G90" s="32" t="s">
        <v>2299</v>
      </c>
      <c r="H90" s="32" t="s">
        <v>2300</v>
      </c>
      <c r="I90" s="6" t="str">
        <f t="shared" si="6"/>
        <v>Small Bucket</v>
      </c>
      <c r="J90" s="6" t="s">
        <v>139</v>
      </c>
      <c r="K90" s="6">
        <v>1</v>
      </c>
      <c r="L90" s="6">
        <f t="shared" si="7"/>
        <v>1170000</v>
      </c>
      <c r="M90" s="6">
        <v>1000000</v>
      </c>
      <c r="N90" s="6" t="s">
        <v>2003</v>
      </c>
      <c r="O90" s="6" t="s">
        <v>2016</v>
      </c>
      <c r="P90" s="6">
        <v>2015</v>
      </c>
      <c r="Q90" s="6">
        <v>1</v>
      </c>
      <c r="R90" s="6" t="s">
        <v>45</v>
      </c>
      <c r="S90" s="31" t="s">
        <v>2116</v>
      </c>
      <c r="T90" s="6">
        <v>1</v>
      </c>
      <c r="U90" s="26">
        <v>900000</v>
      </c>
      <c r="V90" s="26">
        <v>900000</v>
      </c>
      <c r="W90" s="26">
        <v>900000</v>
      </c>
      <c r="X90" s="6" t="s">
        <v>2003</v>
      </c>
      <c r="Y90" s="6" t="s">
        <v>90</v>
      </c>
      <c r="Z90" s="6">
        <v>223592</v>
      </c>
    </row>
    <row r="91" spans="1:26" x14ac:dyDescent="0.3">
      <c r="A91" s="28" t="s">
        <v>42</v>
      </c>
      <c r="B91" s="6" t="s">
        <v>2163</v>
      </c>
      <c r="C91" s="6"/>
      <c r="D91" s="6" t="s">
        <v>2001</v>
      </c>
      <c r="E91" s="6">
        <v>1</v>
      </c>
      <c r="F91" s="6" t="s">
        <v>2004</v>
      </c>
      <c r="G91" s="32" t="s">
        <v>2299</v>
      </c>
      <c r="H91" s="32" t="s">
        <v>2300</v>
      </c>
      <c r="I91" s="6" t="str">
        <f t="shared" si="6"/>
        <v>Lift Fork</v>
      </c>
      <c r="J91" s="6" t="s">
        <v>277</v>
      </c>
      <c r="K91" s="6">
        <v>1</v>
      </c>
      <c r="L91" s="6">
        <f t="shared" si="7"/>
        <v>700000</v>
      </c>
      <c r="M91" s="6">
        <v>600000</v>
      </c>
      <c r="N91" s="6" t="s">
        <v>2003</v>
      </c>
      <c r="O91" s="6" t="s">
        <v>873</v>
      </c>
      <c r="P91" s="6">
        <v>2010</v>
      </c>
      <c r="Q91" s="6">
        <v>1</v>
      </c>
      <c r="R91" s="6" t="s">
        <v>45</v>
      </c>
      <c r="S91" s="31" t="s">
        <v>2113</v>
      </c>
      <c r="T91" s="6">
        <v>1</v>
      </c>
      <c r="U91" s="26">
        <v>500000</v>
      </c>
      <c r="V91" s="26">
        <v>500000</v>
      </c>
      <c r="W91" s="26">
        <v>500000</v>
      </c>
      <c r="X91" s="6" t="s">
        <v>2003</v>
      </c>
      <c r="Y91" s="6" t="s">
        <v>1257</v>
      </c>
      <c r="Z91" s="6">
        <v>223596</v>
      </c>
    </row>
    <row r="92" spans="1:26" x14ac:dyDescent="0.3">
      <c r="A92" s="28" t="s">
        <v>42</v>
      </c>
      <c r="B92" s="6" t="s">
        <v>1328</v>
      </c>
      <c r="C92" s="6" t="s">
        <v>1975</v>
      </c>
      <c r="D92" s="6" t="s">
        <v>2292</v>
      </c>
      <c r="E92" s="6">
        <v>1</v>
      </c>
      <c r="F92" s="6" t="s">
        <v>2004</v>
      </c>
      <c r="G92" s="32" t="s">
        <v>2299</v>
      </c>
      <c r="H92" s="32" t="s">
        <v>2300</v>
      </c>
      <c r="I92" s="6" t="str">
        <f t="shared" si="6"/>
        <v>Side Breaker</v>
      </c>
      <c r="J92" s="6" t="s">
        <v>119</v>
      </c>
      <c r="K92" s="6">
        <v>1</v>
      </c>
      <c r="L92" s="6">
        <f t="shared" si="7"/>
        <v>4580000</v>
      </c>
      <c r="M92" s="6">
        <v>3900000</v>
      </c>
      <c r="N92" s="6" t="s">
        <v>2003</v>
      </c>
      <c r="O92" s="6" t="s">
        <v>1839</v>
      </c>
      <c r="P92" s="6">
        <v>2014</v>
      </c>
      <c r="Q92" s="6">
        <v>1</v>
      </c>
      <c r="R92" s="6" t="s">
        <v>45</v>
      </c>
      <c r="S92" s="31" t="s">
        <v>2110</v>
      </c>
      <c r="T92" s="6">
        <v>1</v>
      </c>
      <c r="U92" s="26">
        <v>3700000</v>
      </c>
      <c r="V92" s="26">
        <v>3700000</v>
      </c>
      <c r="W92" s="26">
        <v>3700000</v>
      </c>
      <c r="X92" s="6" t="s">
        <v>2003</v>
      </c>
      <c r="Y92" s="6" t="s">
        <v>1150</v>
      </c>
      <c r="Z92" s="6">
        <v>223597</v>
      </c>
    </row>
    <row r="93" spans="1:26" x14ac:dyDescent="0.3">
      <c r="A93" s="28" t="s">
        <v>42</v>
      </c>
      <c r="B93" s="6" t="s">
        <v>2172</v>
      </c>
      <c r="C93" s="6"/>
      <c r="D93" s="6" t="s">
        <v>2292</v>
      </c>
      <c r="E93" s="6">
        <v>1</v>
      </c>
      <c r="F93" s="6" t="s">
        <v>2004</v>
      </c>
      <c r="G93" s="32" t="s">
        <v>2299</v>
      </c>
      <c r="H93" s="32" t="s">
        <v>2300</v>
      </c>
      <c r="I93" s="6" t="str">
        <f t="shared" si="6"/>
        <v>Quick Coupler</v>
      </c>
      <c r="J93" s="6" t="s">
        <v>2362</v>
      </c>
      <c r="K93" s="6">
        <v>1</v>
      </c>
      <c r="L93" s="6">
        <f t="shared" si="7"/>
        <v>3520000</v>
      </c>
      <c r="M93" s="6">
        <v>3000000</v>
      </c>
      <c r="N93" s="6" t="s">
        <v>2003</v>
      </c>
      <c r="O93" s="6" t="s">
        <v>796</v>
      </c>
      <c r="P93" s="6">
        <v>2016</v>
      </c>
      <c r="Q93" s="6">
        <v>1</v>
      </c>
      <c r="R93" s="6" t="s">
        <v>45</v>
      </c>
      <c r="S93" s="31" t="s">
        <v>2116</v>
      </c>
      <c r="T93" s="6">
        <v>1</v>
      </c>
      <c r="U93" s="26">
        <v>2800000</v>
      </c>
      <c r="V93" s="26">
        <v>2800000</v>
      </c>
      <c r="W93" s="26">
        <v>2800000</v>
      </c>
      <c r="X93" s="6" t="s">
        <v>2003</v>
      </c>
      <c r="Y93" s="6" t="s">
        <v>1159</v>
      </c>
      <c r="Z93" s="6">
        <v>223599</v>
      </c>
    </row>
    <row r="94" spans="1:26" x14ac:dyDescent="0.3">
      <c r="A94" s="28" t="s">
        <v>42</v>
      </c>
      <c r="B94" s="6" t="s">
        <v>1328</v>
      </c>
      <c r="C94" s="6" t="s">
        <v>1975</v>
      </c>
      <c r="D94" s="6" t="s">
        <v>2294</v>
      </c>
      <c r="E94" s="6">
        <v>1</v>
      </c>
      <c r="F94" s="6" t="s">
        <v>2004</v>
      </c>
      <c r="G94" s="32" t="s">
        <v>2299</v>
      </c>
      <c r="H94" s="32" t="s">
        <v>2300</v>
      </c>
      <c r="I94" s="6" t="str">
        <f t="shared" si="6"/>
        <v>Side Breaker</v>
      </c>
      <c r="J94" s="6" t="s">
        <v>122</v>
      </c>
      <c r="K94" s="6">
        <v>1</v>
      </c>
      <c r="L94" s="6">
        <f t="shared" si="7"/>
        <v>2110000</v>
      </c>
      <c r="M94" s="6">
        <v>1800000</v>
      </c>
      <c r="N94" s="6" t="s">
        <v>2003</v>
      </c>
      <c r="O94" s="6" t="s">
        <v>2007</v>
      </c>
      <c r="P94" s="6">
        <v>2012</v>
      </c>
      <c r="Q94" s="6">
        <v>1</v>
      </c>
      <c r="R94" s="6" t="s">
        <v>45</v>
      </c>
      <c r="S94" s="31" t="s">
        <v>2113</v>
      </c>
      <c r="T94" s="6">
        <v>1</v>
      </c>
      <c r="U94" s="26">
        <v>1700000</v>
      </c>
      <c r="V94" s="26">
        <v>1700000</v>
      </c>
      <c r="W94" s="26">
        <v>1700000</v>
      </c>
      <c r="X94" s="6" t="s">
        <v>2003</v>
      </c>
      <c r="Y94" s="6" t="s">
        <v>49</v>
      </c>
      <c r="Z94" s="6">
        <v>223600</v>
      </c>
    </row>
    <row r="95" spans="1:26" x14ac:dyDescent="0.3">
      <c r="A95" s="28" t="s">
        <v>42</v>
      </c>
      <c r="B95" s="6" t="s">
        <v>2245</v>
      </c>
      <c r="C95" s="19" t="s">
        <v>2246</v>
      </c>
      <c r="D95" s="6" t="s">
        <v>2289</v>
      </c>
      <c r="E95" s="6">
        <v>1</v>
      </c>
      <c r="F95" s="6" t="s">
        <v>2004</v>
      </c>
      <c r="G95" s="32" t="s">
        <v>2299</v>
      </c>
      <c r="H95" s="32" t="s">
        <v>2300</v>
      </c>
      <c r="I95" s="6" t="str">
        <f t="shared" si="6"/>
        <v>Side Breaker</v>
      </c>
      <c r="J95" s="6" t="s">
        <v>126</v>
      </c>
      <c r="K95" s="6">
        <v>1</v>
      </c>
      <c r="L95" s="6">
        <f t="shared" si="7"/>
        <v>10580000</v>
      </c>
      <c r="M95" s="6">
        <v>9000000</v>
      </c>
      <c r="N95" s="6" t="s">
        <v>2003</v>
      </c>
      <c r="O95" s="6" t="s">
        <v>2360</v>
      </c>
      <c r="P95" s="6">
        <v>2011</v>
      </c>
      <c r="Q95" s="6">
        <v>1</v>
      </c>
      <c r="R95" s="6" t="s">
        <v>45</v>
      </c>
      <c r="S95" s="31" t="s">
        <v>2118</v>
      </c>
      <c r="T95" s="6">
        <v>1</v>
      </c>
      <c r="U95" s="26">
        <v>8500000</v>
      </c>
      <c r="V95" s="26">
        <v>8500000</v>
      </c>
      <c r="W95" s="26">
        <v>8500000</v>
      </c>
      <c r="X95" s="6" t="s">
        <v>2003</v>
      </c>
      <c r="Y95" s="6" t="s">
        <v>63</v>
      </c>
      <c r="Z95" s="6">
        <v>223608</v>
      </c>
    </row>
    <row r="96" spans="1:26" x14ac:dyDescent="0.3">
      <c r="A96" s="28" t="s">
        <v>42</v>
      </c>
      <c r="B96" s="6" t="s">
        <v>1326</v>
      </c>
      <c r="C96" s="6" t="s">
        <v>1972</v>
      </c>
      <c r="D96" s="6" t="s">
        <v>2291</v>
      </c>
      <c r="E96" s="6">
        <v>1</v>
      </c>
      <c r="F96" s="6" t="s">
        <v>2004</v>
      </c>
      <c r="G96" s="32" t="s">
        <v>2299</v>
      </c>
      <c r="H96" s="32" t="s">
        <v>2300</v>
      </c>
      <c r="I96" s="6" t="str">
        <f t="shared" si="6"/>
        <v>Stone Grapple</v>
      </c>
      <c r="J96" s="6" t="s">
        <v>149</v>
      </c>
      <c r="K96" s="6">
        <v>1</v>
      </c>
      <c r="L96" s="6">
        <f t="shared" si="7"/>
        <v>2000000</v>
      </c>
      <c r="M96" s="6">
        <v>1700000</v>
      </c>
      <c r="N96" s="6" t="s">
        <v>2003</v>
      </c>
      <c r="O96" s="6" t="s">
        <v>51</v>
      </c>
      <c r="P96" s="6">
        <v>2016</v>
      </c>
      <c r="Q96" s="6">
        <v>1</v>
      </c>
      <c r="R96" s="6" t="s">
        <v>45</v>
      </c>
      <c r="S96" s="31" t="s">
        <v>2113</v>
      </c>
      <c r="T96" s="6">
        <v>1</v>
      </c>
      <c r="U96" s="26">
        <v>1600000</v>
      </c>
      <c r="V96" s="26">
        <v>1600000</v>
      </c>
      <c r="W96" s="26">
        <v>1600000</v>
      </c>
      <c r="X96" s="6" t="s">
        <v>2003</v>
      </c>
      <c r="Y96" s="6" t="s">
        <v>49</v>
      </c>
      <c r="Z96" s="6">
        <v>223615</v>
      </c>
    </row>
    <row r="97" spans="1:26" x14ac:dyDescent="0.3">
      <c r="A97" s="28" t="s">
        <v>42</v>
      </c>
      <c r="B97" s="6" t="s">
        <v>1328</v>
      </c>
      <c r="C97" s="6" t="s">
        <v>1975</v>
      </c>
      <c r="D97" s="6" t="s">
        <v>2291</v>
      </c>
      <c r="E97" s="6">
        <v>1</v>
      </c>
      <c r="F97" s="6" t="s">
        <v>2004</v>
      </c>
      <c r="G97" s="32" t="s">
        <v>2299</v>
      </c>
      <c r="H97" s="32" t="s">
        <v>2300</v>
      </c>
      <c r="I97" s="6" t="str">
        <f t="shared" si="6"/>
        <v>Side Breaker</v>
      </c>
      <c r="J97" s="6" t="s">
        <v>160</v>
      </c>
      <c r="K97" s="6">
        <v>1</v>
      </c>
      <c r="L97" s="6">
        <f t="shared" si="7"/>
        <v>1520000</v>
      </c>
      <c r="M97" s="6">
        <v>1300000</v>
      </c>
      <c r="N97" s="6" t="s">
        <v>2003</v>
      </c>
      <c r="O97" s="6" t="s">
        <v>876</v>
      </c>
      <c r="P97" s="6">
        <v>2007</v>
      </c>
      <c r="Q97" s="6">
        <v>1</v>
      </c>
      <c r="R97" s="6" t="s">
        <v>45</v>
      </c>
      <c r="S97" s="31" t="s">
        <v>2120</v>
      </c>
      <c r="T97" s="6">
        <v>1</v>
      </c>
      <c r="U97" s="26">
        <v>1200000</v>
      </c>
      <c r="V97" s="26">
        <v>1200000</v>
      </c>
      <c r="W97" s="26">
        <v>1200000</v>
      </c>
      <c r="X97" s="6" t="s">
        <v>2003</v>
      </c>
      <c r="Y97" s="6" t="s">
        <v>1249</v>
      </c>
      <c r="Z97" s="6">
        <v>223617</v>
      </c>
    </row>
    <row r="98" spans="1:26" x14ac:dyDescent="0.3">
      <c r="A98" s="28" t="s">
        <v>42</v>
      </c>
      <c r="B98" s="6" t="s">
        <v>1326</v>
      </c>
      <c r="C98" s="6" t="s">
        <v>1972</v>
      </c>
      <c r="D98" s="6" t="s">
        <v>2290</v>
      </c>
      <c r="E98" s="6">
        <v>1</v>
      </c>
      <c r="F98" s="6" t="s">
        <v>2004</v>
      </c>
      <c r="G98" s="32" t="s">
        <v>2299</v>
      </c>
      <c r="H98" s="32" t="s">
        <v>2300</v>
      </c>
      <c r="I98" s="6" t="str">
        <f t="shared" si="6"/>
        <v>Stone Grapple</v>
      </c>
      <c r="J98" s="6" t="s">
        <v>217</v>
      </c>
      <c r="K98" s="6">
        <v>1</v>
      </c>
      <c r="L98" s="6">
        <f t="shared" si="7"/>
        <v>8820000</v>
      </c>
      <c r="M98" s="6">
        <v>7500000</v>
      </c>
      <c r="N98" s="6" t="s">
        <v>2003</v>
      </c>
      <c r="O98" s="6" t="s">
        <v>813</v>
      </c>
      <c r="P98" s="6">
        <v>2014</v>
      </c>
      <c r="Q98" s="6">
        <v>1</v>
      </c>
      <c r="R98" s="6" t="s">
        <v>45</v>
      </c>
      <c r="S98" s="31" t="s">
        <v>2113</v>
      </c>
      <c r="T98" s="6">
        <v>1</v>
      </c>
      <c r="U98" s="26">
        <v>7000000</v>
      </c>
      <c r="V98" s="26">
        <v>7000000</v>
      </c>
      <c r="W98" s="26">
        <v>7000000</v>
      </c>
      <c r="X98" s="6" t="s">
        <v>2003</v>
      </c>
      <c r="Y98" s="6" t="s">
        <v>79</v>
      </c>
      <c r="Z98" s="6">
        <v>223620</v>
      </c>
    </row>
    <row r="99" spans="1:26" x14ac:dyDescent="0.3">
      <c r="A99" s="28" t="s">
        <v>42</v>
      </c>
      <c r="B99" s="6" t="s">
        <v>1326</v>
      </c>
      <c r="C99" s="6" t="s">
        <v>1972</v>
      </c>
      <c r="D99" s="6" t="s">
        <v>2290</v>
      </c>
      <c r="E99" s="6">
        <v>1</v>
      </c>
      <c r="F99" s="6" t="s">
        <v>2004</v>
      </c>
      <c r="G99" s="32" t="s">
        <v>2299</v>
      </c>
      <c r="H99" s="32" t="s">
        <v>2300</v>
      </c>
      <c r="I99" s="6" t="str">
        <f t="shared" si="6"/>
        <v>Stone Grapple</v>
      </c>
      <c r="J99" s="6" t="s">
        <v>403</v>
      </c>
      <c r="K99" s="6">
        <v>1</v>
      </c>
      <c r="L99" s="6">
        <f t="shared" si="7"/>
        <v>7640000</v>
      </c>
      <c r="M99" s="6">
        <v>6500000</v>
      </c>
      <c r="N99" s="6" t="s">
        <v>2003</v>
      </c>
      <c r="O99" s="6" t="s">
        <v>813</v>
      </c>
      <c r="P99" s="6">
        <v>2014</v>
      </c>
      <c r="Q99" s="6">
        <v>1</v>
      </c>
      <c r="R99" s="6" t="s">
        <v>45</v>
      </c>
      <c r="S99" s="31" t="s">
        <v>2113</v>
      </c>
      <c r="T99" s="6">
        <v>1</v>
      </c>
      <c r="U99" s="26">
        <v>6000000</v>
      </c>
      <c r="V99" s="26">
        <v>6000000</v>
      </c>
      <c r="W99" s="26">
        <v>6000000</v>
      </c>
      <c r="X99" s="6" t="s">
        <v>2003</v>
      </c>
      <c r="Y99" s="6" t="s">
        <v>80</v>
      </c>
      <c r="Z99" s="6">
        <v>223621</v>
      </c>
    </row>
    <row r="100" spans="1:26" x14ac:dyDescent="0.3">
      <c r="A100" s="28" t="s">
        <v>42</v>
      </c>
      <c r="B100" s="6" t="s">
        <v>1327</v>
      </c>
      <c r="C100" s="19" t="s">
        <v>1982</v>
      </c>
      <c r="D100" s="6" t="s">
        <v>2291</v>
      </c>
      <c r="E100" s="6">
        <v>1</v>
      </c>
      <c r="F100" s="6" t="s">
        <v>2004</v>
      </c>
      <c r="G100" s="32" t="s">
        <v>2299</v>
      </c>
      <c r="H100" s="32" t="s">
        <v>2300</v>
      </c>
      <c r="I100" s="6" t="str">
        <f t="shared" si="6"/>
        <v>Standard Bucket</v>
      </c>
      <c r="J100" s="6" t="s">
        <v>457</v>
      </c>
      <c r="K100" s="6">
        <v>1</v>
      </c>
      <c r="L100" s="6">
        <f t="shared" si="7"/>
        <v>440000</v>
      </c>
      <c r="M100" s="6">
        <v>380000</v>
      </c>
      <c r="N100" s="6" t="s">
        <v>2003</v>
      </c>
      <c r="O100" s="6" t="s">
        <v>877</v>
      </c>
      <c r="P100" s="6">
        <v>2017</v>
      </c>
      <c r="Q100" s="6">
        <v>1</v>
      </c>
      <c r="R100" s="6" t="s">
        <v>45</v>
      </c>
      <c r="S100" s="31" t="s">
        <v>2113</v>
      </c>
      <c r="T100" s="6">
        <v>1</v>
      </c>
      <c r="U100" s="26">
        <v>330000</v>
      </c>
      <c r="V100" s="26">
        <v>330000</v>
      </c>
      <c r="W100" s="26">
        <v>330000</v>
      </c>
      <c r="X100" s="6" t="s">
        <v>2003</v>
      </c>
      <c r="Y100" s="6" t="s">
        <v>49</v>
      </c>
      <c r="Z100" s="6">
        <v>223626</v>
      </c>
    </row>
    <row r="101" spans="1:26" x14ac:dyDescent="0.3">
      <c r="A101" s="28" t="s">
        <v>42</v>
      </c>
      <c r="B101" s="6" t="s">
        <v>2245</v>
      </c>
      <c r="C101" s="19" t="s">
        <v>2246</v>
      </c>
      <c r="D101" s="6" t="s">
        <v>2289</v>
      </c>
      <c r="E101" s="6">
        <v>1</v>
      </c>
      <c r="F101" s="6" t="s">
        <v>2004</v>
      </c>
      <c r="G101" s="32" t="s">
        <v>2299</v>
      </c>
      <c r="H101" s="32" t="s">
        <v>2300</v>
      </c>
      <c r="I101" s="6" t="str">
        <f t="shared" si="6"/>
        <v>Side Breaker</v>
      </c>
      <c r="J101" s="6" t="s">
        <v>357</v>
      </c>
      <c r="K101" s="6">
        <v>1</v>
      </c>
      <c r="L101" s="6">
        <f t="shared" si="7"/>
        <v>8820000</v>
      </c>
      <c r="M101" s="6">
        <v>7500000</v>
      </c>
      <c r="N101" s="6" t="s">
        <v>2003</v>
      </c>
      <c r="O101" s="6" t="s">
        <v>2359</v>
      </c>
      <c r="P101" s="6">
        <v>2011</v>
      </c>
      <c r="Q101" s="6">
        <v>1</v>
      </c>
      <c r="R101" s="6" t="s">
        <v>45</v>
      </c>
      <c r="S101" s="31" t="s">
        <v>2118</v>
      </c>
      <c r="T101" s="6">
        <v>1</v>
      </c>
      <c r="U101" s="26">
        <v>7000000</v>
      </c>
      <c r="V101" s="26">
        <v>7000000</v>
      </c>
      <c r="W101" s="26">
        <v>7000000</v>
      </c>
      <c r="X101" s="6" t="s">
        <v>2003</v>
      </c>
      <c r="Y101" s="6" t="s">
        <v>63</v>
      </c>
      <c r="Z101" s="6">
        <v>223627</v>
      </c>
    </row>
    <row r="102" spans="1:26" x14ac:dyDescent="0.3">
      <c r="A102" s="28" t="s">
        <v>42</v>
      </c>
      <c r="B102" s="6" t="s">
        <v>1326</v>
      </c>
      <c r="C102" s="6" t="s">
        <v>1972</v>
      </c>
      <c r="D102" s="6" t="s">
        <v>2001</v>
      </c>
      <c r="E102" s="6">
        <v>1</v>
      </c>
      <c r="F102" s="6" t="s">
        <v>2004</v>
      </c>
      <c r="G102" s="32" t="s">
        <v>2299</v>
      </c>
      <c r="H102" s="32" t="s">
        <v>2300</v>
      </c>
      <c r="I102" s="6" t="str">
        <f t="shared" si="6"/>
        <v>Stone Grapple</v>
      </c>
      <c r="J102" s="6" t="s">
        <v>191</v>
      </c>
      <c r="K102" s="6">
        <v>1</v>
      </c>
      <c r="L102" s="6">
        <f t="shared" si="7"/>
        <v>8470000</v>
      </c>
      <c r="M102" s="6">
        <v>7200000</v>
      </c>
      <c r="N102" s="6" t="s">
        <v>2003</v>
      </c>
      <c r="O102" s="6" t="s">
        <v>2017</v>
      </c>
      <c r="P102" s="6">
        <v>2017</v>
      </c>
      <c r="Q102" s="6">
        <v>1</v>
      </c>
      <c r="R102" s="6" t="s">
        <v>45</v>
      </c>
      <c r="S102" s="31" t="s">
        <v>2110</v>
      </c>
      <c r="T102" s="6">
        <v>1</v>
      </c>
      <c r="U102" s="26">
        <v>6700000</v>
      </c>
      <c r="V102" s="26">
        <v>6700000</v>
      </c>
      <c r="W102" s="26">
        <v>6700000</v>
      </c>
      <c r="X102" s="6" t="s">
        <v>2003</v>
      </c>
      <c r="Y102" s="6" t="s">
        <v>1155</v>
      </c>
      <c r="Z102" s="6">
        <v>223630</v>
      </c>
    </row>
    <row r="103" spans="1:26" x14ac:dyDescent="0.3">
      <c r="A103" s="28" t="s">
        <v>42</v>
      </c>
      <c r="B103" s="6" t="s">
        <v>1327</v>
      </c>
      <c r="C103" s="6" t="s">
        <v>1980</v>
      </c>
      <c r="D103" s="6" t="s">
        <v>2292</v>
      </c>
      <c r="E103" s="6">
        <v>1</v>
      </c>
      <c r="F103" s="6" t="s">
        <v>2004</v>
      </c>
      <c r="G103" s="32" t="s">
        <v>2299</v>
      </c>
      <c r="H103" s="32" t="s">
        <v>2300</v>
      </c>
      <c r="I103" s="6" t="str">
        <f t="shared" si="6"/>
        <v>Small Bucket</v>
      </c>
      <c r="J103" s="6" t="s">
        <v>97</v>
      </c>
      <c r="K103" s="6">
        <v>1</v>
      </c>
      <c r="L103" s="6">
        <f t="shared" si="7"/>
        <v>700000</v>
      </c>
      <c r="M103" s="6">
        <v>600000</v>
      </c>
      <c r="N103" s="6" t="s">
        <v>2003</v>
      </c>
      <c r="O103" s="6" t="s">
        <v>2018</v>
      </c>
      <c r="P103" s="6">
        <v>2015</v>
      </c>
      <c r="Q103" s="6">
        <v>1</v>
      </c>
      <c r="R103" s="6" t="s">
        <v>45</v>
      </c>
      <c r="S103" s="31" t="s">
        <v>2116</v>
      </c>
      <c r="T103" s="6">
        <v>1</v>
      </c>
      <c r="U103" s="26">
        <v>500000</v>
      </c>
      <c r="V103" s="26">
        <v>500000</v>
      </c>
      <c r="W103" s="26">
        <v>500000</v>
      </c>
      <c r="X103" s="6" t="s">
        <v>2003</v>
      </c>
      <c r="Y103" s="6" t="s">
        <v>90</v>
      </c>
      <c r="Z103" s="6">
        <v>223631</v>
      </c>
    </row>
    <row r="104" spans="1:26" x14ac:dyDescent="0.3">
      <c r="A104" s="28" t="s">
        <v>42</v>
      </c>
      <c r="B104" s="6" t="s">
        <v>1328</v>
      </c>
      <c r="C104" s="6" t="s">
        <v>1975</v>
      </c>
      <c r="D104" s="6" t="s">
        <v>2293</v>
      </c>
      <c r="E104" s="6">
        <v>1</v>
      </c>
      <c r="F104" s="6" t="s">
        <v>2004</v>
      </c>
      <c r="G104" s="32" t="s">
        <v>2299</v>
      </c>
      <c r="H104" s="32" t="s">
        <v>2300</v>
      </c>
      <c r="I104" s="6" t="str">
        <f t="shared" si="6"/>
        <v>Side Breaker</v>
      </c>
      <c r="J104" s="6" t="s">
        <v>458</v>
      </c>
      <c r="K104" s="6">
        <v>1</v>
      </c>
      <c r="L104" s="6">
        <f t="shared" si="7"/>
        <v>1880000</v>
      </c>
      <c r="M104" s="6">
        <v>1600000</v>
      </c>
      <c r="N104" s="6" t="s">
        <v>2003</v>
      </c>
      <c r="O104" s="6" t="s">
        <v>879</v>
      </c>
      <c r="P104" s="6">
        <v>2016</v>
      </c>
      <c r="Q104" s="6">
        <v>1</v>
      </c>
      <c r="R104" s="6" t="s">
        <v>45</v>
      </c>
      <c r="S104" s="31" t="s">
        <v>2123</v>
      </c>
      <c r="T104" s="6">
        <v>1</v>
      </c>
      <c r="U104" s="26">
        <v>1500000</v>
      </c>
      <c r="V104" s="26">
        <v>1500000</v>
      </c>
      <c r="W104" s="26">
        <v>1500000</v>
      </c>
      <c r="X104" s="6" t="s">
        <v>2003</v>
      </c>
      <c r="Y104" s="6" t="s">
        <v>1247</v>
      </c>
      <c r="Z104" s="6">
        <v>223634</v>
      </c>
    </row>
    <row r="105" spans="1:26" x14ac:dyDescent="0.3">
      <c r="A105" s="28" t="s">
        <v>42</v>
      </c>
      <c r="B105" s="6" t="s">
        <v>1327</v>
      </c>
      <c r="C105" s="6" t="s">
        <v>1976</v>
      </c>
      <c r="D105" s="6" t="s">
        <v>2292</v>
      </c>
      <c r="E105" s="6">
        <v>1</v>
      </c>
      <c r="F105" s="6" t="s">
        <v>2004</v>
      </c>
      <c r="G105" s="32" t="s">
        <v>2299</v>
      </c>
      <c r="H105" s="32" t="s">
        <v>2300</v>
      </c>
      <c r="I105" s="6" t="str">
        <f t="shared" si="6"/>
        <v>Skeleton Bucket</v>
      </c>
      <c r="J105" s="6" t="s">
        <v>118</v>
      </c>
      <c r="K105" s="6">
        <v>1</v>
      </c>
      <c r="L105" s="6">
        <f t="shared" si="7"/>
        <v>1050000</v>
      </c>
      <c r="M105" s="6">
        <v>900000</v>
      </c>
      <c r="N105" s="6" t="s">
        <v>2003</v>
      </c>
      <c r="O105" s="6" t="s">
        <v>813</v>
      </c>
      <c r="P105" s="6">
        <v>2013</v>
      </c>
      <c r="Q105" s="6">
        <v>1</v>
      </c>
      <c r="R105" s="6" t="s">
        <v>45</v>
      </c>
      <c r="S105" s="31" t="s">
        <v>2113</v>
      </c>
      <c r="T105" s="6">
        <v>1</v>
      </c>
      <c r="U105" s="26">
        <v>800000</v>
      </c>
      <c r="V105" s="26">
        <v>800000</v>
      </c>
      <c r="W105" s="26">
        <v>800000</v>
      </c>
      <c r="X105" s="6" t="s">
        <v>2003</v>
      </c>
      <c r="Y105" s="6" t="s">
        <v>79</v>
      </c>
      <c r="Z105" s="6">
        <v>223638</v>
      </c>
    </row>
    <row r="106" spans="1:26" x14ac:dyDescent="0.3">
      <c r="A106" s="28" t="s">
        <v>42</v>
      </c>
      <c r="B106" s="6" t="s">
        <v>2163</v>
      </c>
      <c r="C106" s="6"/>
      <c r="D106" s="6" t="s">
        <v>2293</v>
      </c>
      <c r="E106" s="6">
        <v>1</v>
      </c>
      <c r="F106" s="6" t="s">
        <v>2004</v>
      </c>
      <c r="G106" s="32" t="s">
        <v>2299</v>
      </c>
      <c r="H106" s="32" t="s">
        <v>2300</v>
      </c>
      <c r="I106" s="6" t="str">
        <f t="shared" si="6"/>
        <v>Lift Fork</v>
      </c>
      <c r="J106" s="6" t="s">
        <v>370</v>
      </c>
      <c r="K106" s="6">
        <v>1</v>
      </c>
      <c r="L106" s="6">
        <f t="shared" si="7"/>
        <v>1150000</v>
      </c>
      <c r="M106" s="6">
        <v>980000</v>
      </c>
      <c r="N106" s="6" t="s">
        <v>2003</v>
      </c>
      <c r="O106" s="6" t="s">
        <v>2020</v>
      </c>
      <c r="P106" s="6">
        <v>2017</v>
      </c>
      <c r="Q106" s="6">
        <v>1</v>
      </c>
      <c r="R106" s="6" t="s">
        <v>45</v>
      </c>
      <c r="S106" s="31" t="s">
        <v>2110</v>
      </c>
      <c r="T106" s="6">
        <v>1</v>
      </c>
      <c r="U106" s="26">
        <v>880000</v>
      </c>
      <c r="V106" s="26">
        <v>880000</v>
      </c>
      <c r="W106" s="26">
        <v>880000</v>
      </c>
      <c r="X106" s="6" t="s">
        <v>2003</v>
      </c>
      <c r="Y106" s="6" t="s">
        <v>1155</v>
      </c>
      <c r="Z106" s="6">
        <v>223643</v>
      </c>
    </row>
    <row r="107" spans="1:26" x14ac:dyDescent="0.3">
      <c r="A107" s="28" t="s">
        <v>42</v>
      </c>
      <c r="B107" s="6" t="s">
        <v>2169</v>
      </c>
      <c r="C107" s="6"/>
      <c r="D107" s="6" t="s">
        <v>2290</v>
      </c>
      <c r="E107" s="6">
        <v>1</v>
      </c>
      <c r="F107" s="6" t="s">
        <v>2004</v>
      </c>
      <c r="G107" s="32" t="s">
        <v>2299</v>
      </c>
      <c r="H107" s="32" t="s">
        <v>2300</v>
      </c>
      <c r="I107" s="6" t="str">
        <f t="shared" si="6"/>
        <v>Ripper</v>
      </c>
      <c r="J107" s="6" t="s">
        <v>473</v>
      </c>
      <c r="K107" s="6">
        <v>1</v>
      </c>
      <c r="L107" s="6">
        <f t="shared" si="7"/>
        <v>1520000</v>
      </c>
      <c r="M107" s="6">
        <v>1300000</v>
      </c>
      <c r="N107" s="6" t="s">
        <v>2003</v>
      </c>
      <c r="O107" s="6" t="s">
        <v>2021</v>
      </c>
      <c r="P107" s="6">
        <v>2012</v>
      </c>
      <c r="Q107" s="6">
        <v>6</v>
      </c>
      <c r="R107" s="6" t="s">
        <v>45</v>
      </c>
      <c r="S107" s="31" t="s">
        <v>2123</v>
      </c>
      <c r="T107" s="6">
        <v>1</v>
      </c>
      <c r="U107" s="26">
        <v>1200000</v>
      </c>
      <c r="V107" s="26">
        <v>1200000</v>
      </c>
      <c r="W107" s="26">
        <v>1200000</v>
      </c>
      <c r="X107" s="6" t="s">
        <v>2003</v>
      </c>
      <c r="Y107" s="6" t="s">
        <v>1151</v>
      </c>
      <c r="Z107" s="6">
        <v>223647</v>
      </c>
    </row>
    <row r="108" spans="1:26" x14ac:dyDescent="0.3">
      <c r="A108" s="28" t="s">
        <v>42</v>
      </c>
      <c r="B108" s="6" t="s">
        <v>2163</v>
      </c>
      <c r="C108" s="6"/>
      <c r="D108" s="6" t="s">
        <v>2001</v>
      </c>
      <c r="E108" s="6">
        <v>1</v>
      </c>
      <c r="F108" s="6" t="s">
        <v>2004</v>
      </c>
      <c r="G108" s="32" t="s">
        <v>2299</v>
      </c>
      <c r="H108" s="32" t="s">
        <v>2300</v>
      </c>
      <c r="I108" s="6" t="str">
        <f t="shared" si="6"/>
        <v>Lift Fork</v>
      </c>
      <c r="J108" s="6" t="s">
        <v>277</v>
      </c>
      <c r="K108" s="6">
        <v>1</v>
      </c>
      <c r="L108" s="6">
        <f t="shared" si="7"/>
        <v>2820000</v>
      </c>
      <c r="M108" s="6">
        <v>2400000</v>
      </c>
      <c r="N108" s="6" t="s">
        <v>2003</v>
      </c>
      <c r="O108" s="6" t="s">
        <v>2022</v>
      </c>
      <c r="P108" s="6">
        <v>2017</v>
      </c>
      <c r="Q108" s="6">
        <v>1</v>
      </c>
      <c r="R108" s="6" t="s">
        <v>45</v>
      </c>
      <c r="S108" s="31" t="s">
        <v>2110</v>
      </c>
      <c r="T108" s="6">
        <v>1</v>
      </c>
      <c r="U108" s="26">
        <v>2200000</v>
      </c>
      <c r="V108" s="26">
        <v>2200000</v>
      </c>
      <c r="W108" s="26">
        <v>2200000</v>
      </c>
      <c r="X108" s="6" t="s">
        <v>2003</v>
      </c>
      <c r="Y108" s="6" t="s">
        <v>1155</v>
      </c>
      <c r="Z108" s="6">
        <v>223652</v>
      </c>
    </row>
    <row r="109" spans="1:26" x14ac:dyDescent="0.3">
      <c r="A109" s="28" t="s">
        <v>42</v>
      </c>
      <c r="B109" s="6" t="s">
        <v>1328</v>
      </c>
      <c r="C109" s="6" t="s">
        <v>1975</v>
      </c>
      <c r="D109" s="6" t="s">
        <v>2292</v>
      </c>
      <c r="E109" s="6">
        <v>1</v>
      </c>
      <c r="F109" s="6" t="s">
        <v>2004</v>
      </c>
      <c r="G109" s="32" t="s">
        <v>2299</v>
      </c>
      <c r="H109" s="32" t="s">
        <v>2300</v>
      </c>
      <c r="I109" s="6" t="str">
        <f t="shared" si="6"/>
        <v>Side Breaker</v>
      </c>
      <c r="J109" s="6" t="s">
        <v>321</v>
      </c>
      <c r="K109" s="6">
        <v>1</v>
      </c>
      <c r="L109" s="6">
        <f t="shared" si="7"/>
        <v>3760000</v>
      </c>
      <c r="M109" s="6">
        <v>3200000</v>
      </c>
      <c r="N109" s="6" t="s">
        <v>2003</v>
      </c>
      <c r="O109" s="6" t="s">
        <v>2009</v>
      </c>
      <c r="P109" s="6">
        <v>2009</v>
      </c>
      <c r="Q109" s="6">
        <v>1</v>
      </c>
      <c r="R109" s="6" t="s">
        <v>45</v>
      </c>
      <c r="S109" s="31" t="s">
        <v>2110</v>
      </c>
      <c r="T109" s="6">
        <v>1</v>
      </c>
      <c r="U109" s="26">
        <v>3000000</v>
      </c>
      <c r="V109" s="26">
        <v>3000000</v>
      </c>
      <c r="W109" s="26">
        <v>3000000</v>
      </c>
      <c r="X109" s="6" t="s">
        <v>2003</v>
      </c>
      <c r="Y109" s="6" t="s">
        <v>1152</v>
      </c>
      <c r="Z109" s="6">
        <v>223653</v>
      </c>
    </row>
    <row r="110" spans="1:26" x14ac:dyDescent="0.3">
      <c r="A110" s="28" t="s">
        <v>42</v>
      </c>
      <c r="B110" s="6" t="s">
        <v>2163</v>
      </c>
      <c r="C110" s="6"/>
      <c r="D110" s="6" t="s">
        <v>2290</v>
      </c>
      <c r="E110" s="6">
        <v>1</v>
      </c>
      <c r="F110" s="6" t="s">
        <v>2004</v>
      </c>
      <c r="G110" s="32" t="s">
        <v>2299</v>
      </c>
      <c r="H110" s="32" t="s">
        <v>2300</v>
      </c>
      <c r="I110" s="6" t="str">
        <f t="shared" si="6"/>
        <v>Lift Fork</v>
      </c>
      <c r="J110" s="6" t="s">
        <v>460</v>
      </c>
      <c r="K110" s="6">
        <v>1</v>
      </c>
      <c r="L110" s="6">
        <f t="shared" si="7"/>
        <v>2000000</v>
      </c>
      <c r="M110" s="6">
        <v>1700000</v>
      </c>
      <c r="N110" s="6" t="s">
        <v>2003</v>
      </c>
      <c r="O110" s="6" t="s">
        <v>2023</v>
      </c>
      <c r="P110" s="6">
        <v>2017</v>
      </c>
      <c r="Q110" s="6">
        <v>1</v>
      </c>
      <c r="R110" s="6" t="s">
        <v>45</v>
      </c>
      <c r="S110" s="31" t="s">
        <v>2110</v>
      </c>
      <c r="T110" s="6">
        <v>1</v>
      </c>
      <c r="U110" s="26">
        <v>1600000</v>
      </c>
      <c r="V110" s="26">
        <v>1600000</v>
      </c>
      <c r="W110" s="26">
        <v>1600000</v>
      </c>
      <c r="X110" s="6" t="s">
        <v>2003</v>
      </c>
      <c r="Y110" s="6" t="s">
        <v>1155</v>
      </c>
      <c r="Z110" s="6">
        <v>223655</v>
      </c>
    </row>
    <row r="111" spans="1:26" x14ac:dyDescent="0.3">
      <c r="A111" s="28" t="s">
        <v>42</v>
      </c>
      <c r="B111" s="6" t="s">
        <v>1326</v>
      </c>
      <c r="C111" s="6" t="s">
        <v>1972</v>
      </c>
      <c r="D111" s="6" t="s">
        <v>2292</v>
      </c>
      <c r="E111" s="6">
        <v>1</v>
      </c>
      <c r="F111" s="6" t="s">
        <v>2004</v>
      </c>
      <c r="G111" s="32" t="s">
        <v>2299</v>
      </c>
      <c r="H111" s="32" t="s">
        <v>2300</v>
      </c>
      <c r="I111" s="6" t="str">
        <f t="shared" si="6"/>
        <v>Stone Grapple</v>
      </c>
      <c r="J111" s="6" t="s">
        <v>261</v>
      </c>
      <c r="K111" s="6">
        <v>1</v>
      </c>
      <c r="L111" s="6">
        <f t="shared" si="7"/>
        <v>2230000</v>
      </c>
      <c r="M111" s="6">
        <v>1900000</v>
      </c>
      <c r="N111" s="6" t="s">
        <v>2003</v>
      </c>
      <c r="O111" s="6" t="s">
        <v>2007</v>
      </c>
      <c r="P111" s="6">
        <v>2013</v>
      </c>
      <c r="Q111" s="6">
        <v>1</v>
      </c>
      <c r="R111" s="6" t="s">
        <v>45</v>
      </c>
      <c r="S111" s="31" t="s">
        <v>2113</v>
      </c>
      <c r="T111" s="6">
        <v>1</v>
      </c>
      <c r="U111" s="26">
        <v>1800000</v>
      </c>
      <c r="V111" s="26">
        <v>1800000</v>
      </c>
      <c r="W111" s="26">
        <v>1800000</v>
      </c>
      <c r="X111" s="6" t="s">
        <v>2003</v>
      </c>
      <c r="Y111" s="6" t="s">
        <v>49</v>
      </c>
      <c r="Z111" s="6">
        <v>223662</v>
      </c>
    </row>
    <row r="112" spans="1:26" x14ac:dyDescent="0.3">
      <c r="A112" s="28" t="s">
        <v>42</v>
      </c>
      <c r="B112" s="6" t="s">
        <v>1327</v>
      </c>
      <c r="C112" s="6" t="s">
        <v>1982</v>
      </c>
      <c r="D112" s="6" t="s">
        <v>2292</v>
      </c>
      <c r="E112" s="6">
        <v>1</v>
      </c>
      <c r="F112" s="6" t="s">
        <v>2004</v>
      </c>
      <c r="G112" s="32" t="s">
        <v>2299</v>
      </c>
      <c r="H112" s="32" t="s">
        <v>2300</v>
      </c>
      <c r="I112" s="6" t="str">
        <f t="shared" si="6"/>
        <v>Standard Bucket</v>
      </c>
      <c r="J112" s="6" t="s">
        <v>480</v>
      </c>
      <c r="K112" s="6">
        <v>1</v>
      </c>
      <c r="L112" s="6">
        <f t="shared" si="7"/>
        <v>1820000</v>
      </c>
      <c r="M112" s="6">
        <v>1550000</v>
      </c>
      <c r="N112" s="6" t="s">
        <v>2003</v>
      </c>
      <c r="O112" s="6" t="s">
        <v>2024</v>
      </c>
      <c r="P112" s="6">
        <v>2016</v>
      </c>
      <c r="Q112" s="6">
        <v>11</v>
      </c>
      <c r="R112" s="6" t="s">
        <v>45</v>
      </c>
      <c r="S112" s="31" t="s">
        <v>2122</v>
      </c>
      <c r="T112" s="6">
        <v>1</v>
      </c>
      <c r="U112" s="26">
        <v>1450000</v>
      </c>
      <c r="V112" s="26">
        <v>1450000</v>
      </c>
      <c r="W112" s="26">
        <v>1450000</v>
      </c>
      <c r="X112" s="6" t="s">
        <v>2003</v>
      </c>
      <c r="Y112" s="6" t="s">
        <v>1919</v>
      </c>
      <c r="Z112" s="6">
        <v>223664</v>
      </c>
    </row>
    <row r="113" spans="1:26" x14ac:dyDescent="0.3">
      <c r="A113" s="28" t="s">
        <v>42</v>
      </c>
      <c r="B113" s="6" t="s">
        <v>1328</v>
      </c>
      <c r="C113" s="6" t="s">
        <v>1975</v>
      </c>
      <c r="D113" s="6" t="s">
        <v>2291</v>
      </c>
      <c r="E113" s="6">
        <v>1</v>
      </c>
      <c r="F113" s="6" t="s">
        <v>2004</v>
      </c>
      <c r="G113" s="32" t="s">
        <v>2299</v>
      </c>
      <c r="H113" s="32" t="s">
        <v>2300</v>
      </c>
      <c r="I113" s="6" t="str">
        <f t="shared" si="6"/>
        <v>Side Breaker</v>
      </c>
      <c r="J113" s="6" t="s">
        <v>461</v>
      </c>
      <c r="K113" s="6">
        <v>1</v>
      </c>
      <c r="L113" s="6">
        <f t="shared" si="7"/>
        <v>1520000</v>
      </c>
      <c r="M113" s="6">
        <v>1300000</v>
      </c>
      <c r="N113" s="6" t="s">
        <v>2003</v>
      </c>
      <c r="O113" s="6" t="s">
        <v>880</v>
      </c>
      <c r="P113" s="6">
        <v>2010</v>
      </c>
      <c r="Q113" s="6">
        <v>1</v>
      </c>
      <c r="R113" s="6" t="s">
        <v>45</v>
      </c>
      <c r="S113" s="31" t="s">
        <v>2119</v>
      </c>
      <c r="T113" s="6">
        <v>1</v>
      </c>
      <c r="U113" s="26">
        <v>1200000</v>
      </c>
      <c r="V113" s="26">
        <v>1200000</v>
      </c>
      <c r="W113" s="26">
        <v>1200000</v>
      </c>
      <c r="X113" s="6" t="s">
        <v>2003</v>
      </c>
      <c r="Y113" s="6" t="s">
        <v>1165</v>
      </c>
      <c r="Z113" s="6">
        <v>223670</v>
      </c>
    </row>
    <row r="114" spans="1:26" x14ac:dyDescent="0.3">
      <c r="A114" s="28" t="s">
        <v>42</v>
      </c>
      <c r="B114" s="6" t="s">
        <v>1328</v>
      </c>
      <c r="C114" s="6" t="s">
        <v>1975</v>
      </c>
      <c r="D114" s="6" t="s">
        <v>2293</v>
      </c>
      <c r="E114" s="6">
        <v>1</v>
      </c>
      <c r="F114" s="6" t="s">
        <v>2004</v>
      </c>
      <c r="G114" s="32" t="s">
        <v>2299</v>
      </c>
      <c r="H114" s="32" t="s">
        <v>2300</v>
      </c>
      <c r="I114" s="6" t="str">
        <f t="shared" si="6"/>
        <v>Side Breaker</v>
      </c>
      <c r="J114" s="6" t="s">
        <v>462</v>
      </c>
      <c r="K114" s="6">
        <v>1</v>
      </c>
      <c r="L114" s="6">
        <f t="shared" si="7"/>
        <v>1700000</v>
      </c>
      <c r="M114" s="6">
        <v>1450000</v>
      </c>
      <c r="N114" s="6" t="s">
        <v>2003</v>
      </c>
      <c r="O114" s="6" t="s">
        <v>881</v>
      </c>
      <c r="P114" s="6">
        <v>2014</v>
      </c>
      <c r="Q114" s="6">
        <v>8</v>
      </c>
      <c r="R114" s="6" t="s">
        <v>45</v>
      </c>
      <c r="S114" s="31" t="s">
        <v>2123</v>
      </c>
      <c r="T114" s="6">
        <v>1</v>
      </c>
      <c r="U114" s="26">
        <v>1350000</v>
      </c>
      <c r="V114" s="26">
        <v>1350000</v>
      </c>
      <c r="W114" s="26">
        <v>1350000</v>
      </c>
      <c r="X114" s="6" t="s">
        <v>2003</v>
      </c>
      <c r="Y114" s="6" t="s">
        <v>1165</v>
      </c>
      <c r="Z114" s="6">
        <v>223673</v>
      </c>
    </row>
    <row r="115" spans="1:26" x14ac:dyDescent="0.3">
      <c r="A115" s="28" t="s">
        <v>42</v>
      </c>
      <c r="B115" s="6" t="s">
        <v>1328</v>
      </c>
      <c r="C115" s="6" t="s">
        <v>1975</v>
      </c>
      <c r="D115" s="6" t="s">
        <v>2292</v>
      </c>
      <c r="E115" s="6">
        <v>1</v>
      </c>
      <c r="F115" s="6" t="s">
        <v>2004</v>
      </c>
      <c r="G115" s="32" t="s">
        <v>2299</v>
      </c>
      <c r="H115" s="32" t="s">
        <v>2300</v>
      </c>
      <c r="I115" s="6" t="str">
        <f t="shared" si="6"/>
        <v>Side Breaker</v>
      </c>
      <c r="J115" s="6" t="s">
        <v>119</v>
      </c>
      <c r="K115" s="6">
        <v>1</v>
      </c>
      <c r="L115" s="6">
        <f t="shared" si="7"/>
        <v>2580000</v>
      </c>
      <c r="M115" s="6">
        <v>2200000</v>
      </c>
      <c r="N115" s="6" t="s">
        <v>2003</v>
      </c>
      <c r="O115" s="6" t="s">
        <v>54</v>
      </c>
      <c r="P115" s="6">
        <v>2010</v>
      </c>
      <c r="Q115" s="6">
        <v>1</v>
      </c>
      <c r="R115" s="6" t="s">
        <v>45</v>
      </c>
      <c r="S115" s="31" t="s">
        <v>2114</v>
      </c>
      <c r="T115" s="6">
        <v>1</v>
      </c>
      <c r="U115" s="26">
        <v>2000000</v>
      </c>
      <c r="V115" s="26">
        <v>2000000</v>
      </c>
      <c r="W115" s="26">
        <v>2000000</v>
      </c>
      <c r="X115" s="6" t="s">
        <v>2003</v>
      </c>
      <c r="Y115" s="6" t="s">
        <v>54</v>
      </c>
      <c r="Z115" s="6">
        <v>223675</v>
      </c>
    </row>
    <row r="116" spans="1:26" x14ac:dyDescent="0.3">
      <c r="A116" s="28" t="s">
        <v>42</v>
      </c>
      <c r="B116" s="6" t="s">
        <v>1325</v>
      </c>
      <c r="C116" s="19" t="s">
        <v>2156</v>
      </c>
      <c r="D116" s="6" t="s">
        <v>2292</v>
      </c>
      <c r="E116" s="6">
        <v>1</v>
      </c>
      <c r="F116" s="6" t="s">
        <v>2004</v>
      </c>
      <c r="G116" s="32" t="s">
        <v>2299</v>
      </c>
      <c r="H116" s="32" t="s">
        <v>2300</v>
      </c>
      <c r="I116" s="6" t="str">
        <f t="shared" si="6"/>
        <v>Hydraulic Crusher</v>
      </c>
      <c r="J116" s="6" t="s">
        <v>103</v>
      </c>
      <c r="K116" s="6">
        <v>1</v>
      </c>
      <c r="L116" s="6">
        <f t="shared" si="7"/>
        <v>13520000</v>
      </c>
      <c r="M116" s="6">
        <v>11500000</v>
      </c>
      <c r="N116" s="6" t="s">
        <v>2003</v>
      </c>
      <c r="O116" s="6" t="s">
        <v>813</v>
      </c>
      <c r="P116" s="6">
        <v>2015</v>
      </c>
      <c r="Q116" s="6">
        <v>1</v>
      </c>
      <c r="R116" s="6" t="s">
        <v>45</v>
      </c>
      <c r="S116" s="31" t="s">
        <v>2113</v>
      </c>
      <c r="T116" s="6">
        <v>1</v>
      </c>
      <c r="U116" s="26">
        <v>11000000</v>
      </c>
      <c r="V116" s="26">
        <v>11000000</v>
      </c>
      <c r="W116" s="26">
        <v>11000000</v>
      </c>
      <c r="X116" s="6" t="s">
        <v>2003</v>
      </c>
      <c r="Y116" s="6" t="s">
        <v>79</v>
      </c>
      <c r="Z116" s="6">
        <v>223677</v>
      </c>
    </row>
    <row r="117" spans="1:26" x14ac:dyDescent="0.3">
      <c r="A117" s="28" t="s">
        <v>42</v>
      </c>
      <c r="B117" s="6" t="s">
        <v>1326</v>
      </c>
      <c r="C117" s="6" t="s">
        <v>1973</v>
      </c>
      <c r="D117" s="6" t="s">
        <v>2292</v>
      </c>
      <c r="E117" s="6">
        <v>1</v>
      </c>
      <c r="F117" s="6" t="s">
        <v>2004</v>
      </c>
      <c r="G117" s="32" t="s">
        <v>2299</v>
      </c>
      <c r="H117" s="32" t="s">
        <v>2300</v>
      </c>
      <c r="I117" s="6" t="str">
        <f t="shared" si="6"/>
        <v>Wood Grapple</v>
      </c>
      <c r="J117" s="6" t="s">
        <v>101</v>
      </c>
      <c r="K117" s="6">
        <v>1</v>
      </c>
      <c r="L117" s="6">
        <f t="shared" si="7"/>
        <v>5640000</v>
      </c>
      <c r="M117" s="6">
        <v>4800000</v>
      </c>
      <c r="N117" s="6" t="s">
        <v>2003</v>
      </c>
      <c r="O117" s="6" t="s">
        <v>813</v>
      </c>
      <c r="P117" s="6">
        <v>2014</v>
      </c>
      <c r="Q117" s="6">
        <v>1</v>
      </c>
      <c r="R117" s="6" t="s">
        <v>45</v>
      </c>
      <c r="S117" s="31" t="s">
        <v>2113</v>
      </c>
      <c r="T117" s="6">
        <v>1</v>
      </c>
      <c r="U117" s="26">
        <v>4600000</v>
      </c>
      <c r="V117" s="26">
        <v>4600000</v>
      </c>
      <c r="W117" s="26">
        <v>4600000</v>
      </c>
      <c r="X117" s="6" t="s">
        <v>2003</v>
      </c>
      <c r="Y117" s="6" t="s">
        <v>80</v>
      </c>
      <c r="Z117" s="6">
        <v>223678</v>
      </c>
    </row>
    <row r="118" spans="1:26" x14ac:dyDescent="0.3">
      <c r="A118" s="28" t="s">
        <v>42</v>
      </c>
      <c r="B118" s="6" t="s">
        <v>1326</v>
      </c>
      <c r="C118" s="6" t="s">
        <v>1972</v>
      </c>
      <c r="D118" s="6" t="s">
        <v>2292</v>
      </c>
      <c r="E118" s="6">
        <v>1</v>
      </c>
      <c r="F118" s="6" t="s">
        <v>2004</v>
      </c>
      <c r="G118" s="32" t="s">
        <v>2299</v>
      </c>
      <c r="H118" s="32" t="s">
        <v>2300</v>
      </c>
      <c r="I118" s="6" t="str">
        <f t="shared" si="6"/>
        <v>Stone Grapple</v>
      </c>
      <c r="J118" s="6" t="s">
        <v>121</v>
      </c>
      <c r="K118" s="6">
        <v>1</v>
      </c>
      <c r="L118" s="6">
        <f t="shared" si="7"/>
        <v>3410000</v>
      </c>
      <c r="M118" s="6">
        <v>2900000</v>
      </c>
      <c r="N118" s="6" t="s">
        <v>2003</v>
      </c>
      <c r="O118" s="6" t="s">
        <v>1840</v>
      </c>
      <c r="P118" s="6">
        <v>2015</v>
      </c>
      <c r="Q118" s="6">
        <v>5</v>
      </c>
      <c r="R118" s="6" t="s">
        <v>45</v>
      </c>
      <c r="S118" s="31" t="s">
        <v>2112</v>
      </c>
      <c r="T118" s="6">
        <v>1</v>
      </c>
      <c r="U118" s="26">
        <v>2700000</v>
      </c>
      <c r="V118" s="26">
        <v>2700000</v>
      </c>
      <c r="W118" s="26">
        <v>2700000</v>
      </c>
      <c r="X118" s="6" t="s">
        <v>2003</v>
      </c>
      <c r="Y118" s="6" t="s">
        <v>1184</v>
      </c>
      <c r="Z118" s="6">
        <v>223680</v>
      </c>
    </row>
    <row r="119" spans="1:26" x14ac:dyDescent="0.3">
      <c r="A119" s="28" t="s">
        <v>42</v>
      </c>
      <c r="B119" s="6" t="s">
        <v>1327</v>
      </c>
      <c r="C119" s="6" t="s">
        <v>1976</v>
      </c>
      <c r="D119" s="6" t="s">
        <v>2291</v>
      </c>
      <c r="E119" s="6">
        <v>1</v>
      </c>
      <c r="F119" s="6" t="s">
        <v>2004</v>
      </c>
      <c r="G119" s="32" t="s">
        <v>2299</v>
      </c>
      <c r="H119" s="32" t="s">
        <v>2300</v>
      </c>
      <c r="I119" s="6" t="str">
        <f t="shared" si="6"/>
        <v>Skeleton Bucket</v>
      </c>
      <c r="J119" s="6" t="s">
        <v>234</v>
      </c>
      <c r="K119" s="6">
        <v>1</v>
      </c>
      <c r="L119" s="6">
        <f t="shared" si="7"/>
        <v>700000</v>
      </c>
      <c r="M119" s="6">
        <v>600000</v>
      </c>
      <c r="N119" s="6" t="s">
        <v>2003</v>
      </c>
      <c r="O119" s="6" t="s">
        <v>794</v>
      </c>
      <c r="P119" s="6">
        <v>2015</v>
      </c>
      <c r="Q119" s="6">
        <v>1</v>
      </c>
      <c r="R119" s="6" t="s">
        <v>45</v>
      </c>
      <c r="S119" s="31" t="s">
        <v>2122</v>
      </c>
      <c r="T119" s="6">
        <v>1</v>
      </c>
      <c r="U119" s="26">
        <v>500000</v>
      </c>
      <c r="V119" s="26">
        <v>500000</v>
      </c>
      <c r="W119" s="26">
        <v>500000</v>
      </c>
      <c r="X119" s="6" t="s">
        <v>2003</v>
      </c>
      <c r="Y119" s="6" t="s">
        <v>1154</v>
      </c>
      <c r="Z119" s="6">
        <v>223692</v>
      </c>
    </row>
    <row r="120" spans="1:26" x14ac:dyDescent="0.3">
      <c r="A120" s="28" t="s">
        <v>42</v>
      </c>
      <c r="B120" s="6" t="s">
        <v>1326</v>
      </c>
      <c r="C120" s="6" t="s">
        <v>1974</v>
      </c>
      <c r="D120" s="6" t="s">
        <v>2291</v>
      </c>
      <c r="E120" s="6">
        <v>1</v>
      </c>
      <c r="F120" s="6" t="s">
        <v>2004</v>
      </c>
      <c r="G120" s="32" t="s">
        <v>2299</v>
      </c>
      <c r="H120" s="32" t="s">
        <v>2300</v>
      </c>
      <c r="I120" s="6" t="str">
        <f t="shared" si="6"/>
        <v>Etc Grapple</v>
      </c>
      <c r="J120" s="6" t="s">
        <v>136</v>
      </c>
      <c r="K120" s="6">
        <v>1</v>
      </c>
      <c r="L120" s="6">
        <f t="shared" si="7"/>
        <v>2940000</v>
      </c>
      <c r="M120" s="6">
        <v>2500000</v>
      </c>
      <c r="N120" s="6" t="s">
        <v>2003</v>
      </c>
      <c r="O120" s="6" t="s">
        <v>794</v>
      </c>
      <c r="P120" s="6">
        <v>2015</v>
      </c>
      <c r="Q120" s="6">
        <v>1</v>
      </c>
      <c r="R120" s="6" t="s">
        <v>45</v>
      </c>
      <c r="S120" s="31" t="s">
        <v>2122</v>
      </c>
      <c r="T120" s="6">
        <v>1</v>
      </c>
      <c r="U120" s="26">
        <v>2300000</v>
      </c>
      <c r="V120" s="26">
        <v>2300000</v>
      </c>
      <c r="W120" s="26">
        <v>2300000</v>
      </c>
      <c r="X120" s="6" t="s">
        <v>2003</v>
      </c>
      <c r="Y120" s="6" t="s">
        <v>1183</v>
      </c>
      <c r="Z120" s="6">
        <v>223696</v>
      </c>
    </row>
    <row r="121" spans="1:26" x14ac:dyDescent="0.3">
      <c r="A121" s="28" t="s">
        <v>42</v>
      </c>
      <c r="B121" s="6" t="s">
        <v>1326</v>
      </c>
      <c r="C121" s="6" t="s">
        <v>1972</v>
      </c>
      <c r="D121" s="6" t="s">
        <v>2292</v>
      </c>
      <c r="E121" s="6">
        <v>1</v>
      </c>
      <c r="F121" s="6" t="s">
        <v>2004</v>
      </c>
      <c r="G121" s="32" t="s">
        <v>2299</v>
      </c>
      <c r="H121" s="32" t="s">
        <v>2300</v>
      </c>
      <c r="I121" s="6" t="str">
        <f t="shared" si="6"/>
        <v>Stone Grapple</v>
      </c>
      <c r="J121" s="6" t="s">
        <v>130</v>
      </c>
      <c r="K121" s="6">
        <v>1</v>
      </c>
      <c r="L121" s="6">
        <f t="shared" si="7"/>
        <v>3050000</v>
      </c>
      <c r="M121" s="6">
        <v>2600000</v>
      </c>
      <c r="N121" s="6" t="s">
        <v>2003</v>
      </c>
      <c r="O121" s="6" t="s">
        <v>2007</v>
      </c>
      <c r="P121" s="6">
        <v>2014</v>
      </c>
      <c r="Q121" s="6">
        <v>1</v>
      </c>
      <c r="R121" s="6" t="s">
        <v>45</v>
      </c>
      <c r="S121" s="31" t="s">
        <v>2113</v>
      </c>
      <c r="T121" s="6">
        <v>1</v>
      </c>
      <c r="U121" s="26">
        <v>2400000</v>
      </c>
      <c r="V121" s="26">
        <v>2400000</v>
      </c>
      <c r="W121" s="26">
        <v>2400000</v>
      </c>
      <c r="X121" s="6" t="s">
        <v>2003</v>
      </c>
      <c r="Y121" s="6" t="s">
        <v>49</v>
      </c>
      <c r="Z121" s="6">
        <v>223699</v>
      </c>
    </row>
    <row r="122" spans="1:26" x14ac:dyDescent="0.3">
      <c r="A122" s="28" t="s">
        <v>42</v>
      </c>
      <c r="B122" s="6" t="s">
        <v>1327</v>
      </c>
      <c r="C122" s="19" t="s">
        <v>1982</v>
      </c>
      <c r="D122" s="6" t="s">
        <v>2001</v>
      </c>
      <c r="E122" s="6">
        <v>1</v>
      </c>
      <c r="F122" s="6" t="s">
        <v>2004</v>
      </c>
      <c r="G122" s="32" t="s">
        <v>2299</v>
      </c>
      <c r="H122" s="32" t="s">
        <v>2300</v>
      </c>
      <c r="I122" s="6" t="str">
        <f t="shared" si="6"/>
        <v>Standard Bucket</v>
      </c>
      <c r="J122" s="6" t="s">
        <v>406</v>
      </c>
      <c r="K122" s="6">
        <v>1</v>
      </c>
      <c r="L122" s="6">
        <f t="shared" si="7"/>
        <v>4110000</v>
      </c>
      <c r="M122" s="6">
        <v>3500000</v>
      </c>
      <c r="N122" s="6" t="s">
        <v>2003</v>
      </c>
      <c r="O122" s="6" t="s">
        <v>2025</v>
      </c>
      <c r="P122" s="6">
        <v>2017</v>
      </c>
      <c r="Q122" s="6">
        <v>1</v>
      </c>
      <c r="R122" s="6" t="s">
        <v>45</v>
      </c>
      <c r="S122" s="31" t="s">
        <v>2110</v>
      </c>
      <c r="T122" s="6">
        <v>1</v>
      </c>
      <c r="U122" s="26">
        <v>3300000</v>
      </c>
      <c r="V122" s="26">
        <v>3300000</v>
      </c>
      <c r="W122" s="26">
        <v>3300000</v>
      </c>
      <c r="X122" s="6" t="s">
        <v>2003</v>
      </c>
      <c r="Y122" s="6" t="s">
        <v>1155</v>
      </c>
      <c r="Z122" s="6">
        <v>223705</v>
      </c>
    </row>
    <row r="123" spans="1:26" x14ac:dyDescent="0.3">
      <c r="A123" s="28" t="s">
        <v>42</v>
      </c>
      <c r="B123" s="6" t="s">
        <v>1327</v>
      </c>
      <c r="C123" s="6" t="s">
        <v>1976</v>
      </c>
      <c r="D123" s="6" t="s">
        <v>2291</v>
      </c>
      <c r="E123" s="6">
        <v>1</v>
      </c>
      <c r="F123" s="6" t="s">
        <v>2004</v>
      </c>
      <c r="G123" s="32" t="s">
        <v>2299</v>
      </c>
      <c r="H123" s="32" t="s">
        <v>2300</v>
      </c>
      <c r="I123" s="6" t="str">
        <f t="shared" si="6"/>
        <v>Skeleton Bucket</v>
      </c>
      <c r="J123" s="6" t="s">
        <v>269</v>
      </c>
      <c r="K123" s="6">
        <v>1</v>
      </c>
      <c r="L123" s="6">
        <f t="shared" si="7"/>
        <v>470000</v>
      </c>
      <c r="M123" s="6">
        <v>400000</v>
      </c>
      <c r="N123" s="6" t="s">
        <v>2003</v>
      </c>
      <c r="O123" s="6" t="s">
        <v>2026</v>
      </c>
      <c r="P123" s="6">
        <v>2015</v>
      </c>
      <c r="Q123" s="6">
        <v>1</v>
      </c>
      <c r="R123" s="6" t="s">
        <v>45</v>
      </c>
      <c r="S123" s="31" t="s">
        <v>2118</v>
      </c>
      <c r="T123" s="6">
        <v>1</v>
      </c>
      <c r="U123" s="26">
        <v>350000</v>
      </c>
      <c r="V123" s="26">
        <v>350000</v>
      </c>
      <c r="W123" s="26">
        <v>350000</v>
      </c>
      <c r="X123" s="6" t="s">
        <v>2003</v>
      </c>
      <c r="Y123" s="6" t="s">
        <v>1259</v>
      </c>
      <c r="Z123" s="6">
        <v>223709</v>
      </c>
    </row>
    <row r="124" spans="1:26" x14ac:dyDescent="0.3">
      <c r="A124" s="28" t="s">
        <v>42</v>
      </c>
      <c r="B124" s="6" t="s">
        <v>1328</v>
      </c>
      <c r="C124" s="6" t="s">
        <v>1975</v>
      </c>
      <c r="D124" s="6" t="s">
        <v>2001</v>
      </c>
      <c r="E124" s="6">
        <v>1</v>
      </c>
      <c r="F124" s="6" t="s">
        <v>2004</v>
      </c>
      <c r="G124" s="32" t="s">
        <v>2299</v>
      </c>
      <c r="H124" s="32" t="s">
        <v>2300</v>
      </c>
      <c r="I124" s="6" t="str">
        <f t="shared" si="6"/>
        <v>Side Breaker</v>
      </c>
      <c r="J124" s="6" t="s">
        <v>352</v>
      </c>
      <c r="K124" s="6">
        <v>1</v>
      </c>
      <c r="L124" s="6">
        <f t="shared" si="7"/>
        <v>10580000</v>
      </c>
      <c r="M124" s="6">
        <v>9000000</v>
      </c>
      <c r="N124" s="6" t="s">
        <v>2003</v>
      </c>
      <c r="O124" s="6" t="s">
        <v>834</v>
      </c>
      <c r="P124" s="6">
        <v>2010</v>
      </c>
      <c r="Q124" s="6">
        <v>1</v>
      </c>
      <c r="R124" s="6" t="s">
        <v>45</v>
      </c>
      <c r="S124" s="31" t="s">
        <v>2123</v>
      </c>
      <c r="T124" s="6">
        <v>1</v>
      </c>
      <c r="U124" s="26">
        <v>8500000</v>
      </c>
      <c r="V124" s="26">
        <v>8500000</v>
      </c>
      <c r="W124" s="26">
        <v>8500000</v>
      </c>
      <c r="X124" s="6" t="s">
        <v>2003</v>
      </c>
      <c r="Y124" s="6" t="s">
        <v>1167</v>
      </c>
      <c r="Z124" s="6">
        <v>223710</v>
      </c>
    </row>
    <row r="125" spans="1:26" x14ac:dyDescent="0.3">
      <c r="A125" s="28" t="s">
        <v>42</v>
      </c>
      <c r="B125" s="6" t="s">
        <v>1327</v>
      </c>
      <c r="C125" s="19" t="s">
        <v>1982</v>
      </c>
      <c r="D125" s="6" t="s">
        <v>2292</v>
      </c>
      <c r="E125" s="6">
        <v>1</v>
      </c>
      <c r="F125" s="6" t="s">
        <v>2004</v>
      </c>
      <c r="G125" s="32" t="s">
        <v>2299</v>
      </c>
      <c r="H125" s="32" t="s">
        <v>2300</v>
      </c>
      <c r="I125" s="6" t="str">
        <f t="shared" si="6"/>
        <v>Standard Bucket</v>
      </c>
      <c r="J125" s="6" t="s">
        <v>362</v>
      </c>
      <c r="K125" s="6">
        <v>1</v>
      </c>
      <c r="L125" s="6">
        <f t="shared" si="7"/>
        <v>1580000</v>
      </c>
      <c r="M125" s="6">
        <v>1350000</v>
      </c>
      <c r="N125" s="6" t="s">
        <v>2003</v>
      </c>
      <c r="O125" s="6" t="s">
        <v>1841</v>
      </c>
      <c r="P125" s="6">
        <v>2016</v>
      </c>
      <c r="Q125" s="6">
        <v>1</v>
      </c>
      <c r="R125" s="6" t="s">
        <v>45</v>
      </c>
      <c r="S125" s="31" t="s">
        <v>2122</v>
      </c>
      <c r="T125" s="6">
        <v>1</v>
      </c>
      <c r="U125" s="26">
        <v>1250000</v>
      </c>
      <c r="V125" s="26">
        <v>1250000</v>
      </c>
      <c r="W125" s="26">
        <v>1250000</v>
      </c>
      <c r="X125" s="6" t="s">
        <v>2003</v>
      </c>
      <c r="Y125" s="6" t="s">
        <v>1232</v>
      </c>
      <c r="Z125" s="6">
        <v>223719</v>
      </c>
    </row>
    <row r="126" spans="1:26" x14ac:dyDescent="0.3">
      <c r="A126" s="28" t="s">
        <v>42</v>
      </c>
      <c r="B126" s="6" t="s">
        <v>1328</v>
      </c>
      <c r="C126" s="6" t="s">
        <v>1975</v>
      </c>
      <c r="D126" s="6" t="s">
        <v>2292</v>
      </c>
      <c r="E126" s="6">
        <v>1</v>
      </c>
      <c r="F126" s="6" t="s">
        <v>2004</v>
      </c>
      <c r="G126" s="32" t="s">
        <v>2299</v>
      </c>
      <c r="H126" s="32" t="s">
        <v>2300</v>
      </c>
      <c r="I126" s="6" t="str">
        <f t="shared" si="6"/>
        <v>Side Breaker</v>
      </c>
      <c r="J126" s="6" t="s">
        <v>464</v>
      </c>
      <c r="K126" s="6">
        <v>1</v>
      </c>
      <c r="L126" s="6">
        <f t="shared" si="7"/>
        <v>3170000</v>
      </c>
      <c r="M126" s="6">
        <v>2700000</v>
      </c>
      <c r="N126" s="6" t="s">
        <v>2003</v>
      </c>
      <c r="O126" s="6" t="s">
        <v>883</v>
      </c>
      <c r="P126" s="6">
        <v>2011</v>
      </c>
      <c r="Q126" s="6">
        <v>1</v>
      </c>
      <c r="R126" s="6" t="s">
        <v>45</v>
      </c>
      <c r="S126" s="31" t="s">
        <v>2117</v>
      </c>
      <c r="T126" s="6">
        <v>1</v>
      </c>
      <c r="U126" s="26">
        <v>2500000</v>
      </c>
      <c r="V126" s="26">
        <v>2500000</v>
      </c>
      <c r="W126" s="26">
        <v>2500000</v>
      </c>
      <c r="X126" s="6" t="s">
        <v>2003</v>
      </c>
      <c r="Y126" s="6" t="s">
        <v>1180</v>
      </c>
      <c r="Z126" s="6">
        <v>223728</v>
      </c>
    </row>
    <row r="127" spans="1:26" x14ac:dyDescent="0.3">
      <c r="A127" s="28" t="s">
        <v>42</v>
      </c>
      <c r="B127" s="6" t="s">
        <v>1326</v>
      </c>
      <c r="C127" s="6" t="s">
        <v>1972</v>
      </c>
      <c r="D127" s="6" t="s">
        <v>2292</v>
      </c>
      <c r="E127" s="6">
        <v>1</v>
      </c>
      <c r="F127" s="6" t="s">
        <v>2004</v>
      </c>
      <c r="G127" s="32" t="s">
        <v>2299</v>
      </c>
      <c r="H127" s="32" t="s">
        <v>2300</v>
      </c>
      <c r="I127" s="6" t="str">
        <f t="shared" si="6"/>
        <v>Stone Grapple</v>
      </c>
      <c r="J127" s="6" t="s">
        <v>161</v>
      </c>
      <c r="K127" s="6">
        <v>1</v>
      </c>
      <c r="L127" s="6">
        <f t="shared" si="7"/>
        <v>3290000</v>
      </c>
      <c r="M127" s="6">
        <v>2800000</v>
      </c>
      <c r="N127" s="6" t="s">
        <v>2003</v>
      </c>
      <c r="O127" s="6" t="s">
        <v>823</v>
      </c>
      <c r="P127" s="6">
        <v>2014</v>
      </c>
      <c r="Q127" s="6">
        <v>1</v>
      </c>
      <c r="R127" s="6" t="s">
        <v>45</v>
      </c>
      <c r="S127" s="31" t="s">
        <v>2113</v>
      </c>
      <c r="T127" s="6">
        <v>1</v>
      </c>
      <c r="U127" s="26">
        <v>2600000</v>
      </c>
      <c r="V127" s="26">
        <v>2600000</v>
      </c>
      <c r="W127" s="26">
        <v>2600000</v>
      </c>
      <c r="X127" s="6" t="s">
        <v>2003</v>
      </c>
      <c r="Y127" s="6" t="s">
        <v>49</v>
      </c>
      <c r="Z127" s="6">
        <v>223730</v>
      </c>
    </row>
    <row r="128" spans="1:26" x14ac:dyDescent="0.3">
      <c r="A128" s="28" t="s">
        <v>42</v>
      </c>
      <c r="B128" s="6" t="s">
        <v>1326</v>
      </c>
      <c r="C128" s="6" t="s">
        <v>1972</v>
      </c>
      <c r="D128" s="6" t="s">
        <v>2292</v>
      </c>
      <c r="E128" s="6">
        <v>1</v>
      </c>
      <c r="F128" s="6" t="s">
        <v>2004</v>
      </c>
      <c r="G128" s="32" t="s">
        <v>2299</v>
      </c>
      <c r="H128" s="32" t="s">
        <v>2300</v>
      </c>
      <c r="I128" s="6" t="str">
        <f t="shared" si="6"/>
        <v>Stone Grapple</v>
      </c>
      <c r="J128" s="6" t="s">
        <v>44</v>
      </c>
      <c r="K128" s="6">
        <v>1</v>
      </c>
      <c r="L128" s="6">
        <f t="shared" si="7"/>
        <v>3290000</v>
      </c>
      <c r="M128" s="6">
        <v>2800000</v>
      </c>
      <c r="N128" s="6" t="s">
        <v>2003</v>
      </c>
      <c r="O128" s="6" t="s">
        <v>2007</v>
      </c>
      <c r="P128" s="6">
        <v>2014</v>
      </c>
      <c r="Q128" s="6">
        <v>1</v>
      </c>
      <c r="R128" s="6" t="s">
        <v>45</v>
      </c>
      <c r="S128" s="31" t="s">
        <v>2113</v>
      </c>
      <c r="T128" s="6">
        <v>1</v>
      </c>
      <c r="U128" s="26">
        <v>2600000</v>
      </c>
      <c r="V128" s="26">
        <v>2600000</v>
      </c>
      <c r="W128" s="26">
        <v>2600000</v>
      </c>
      <c r="X128" s="6" t="s">
        <v>2003</v>
      </c>
      <c r="Y128" s="6" t="s">
        <v>49</v>
      </c>
      <c r="Z128" s="6">
        <v>223731</v>
      </c>
    </row>
    <row r="129" spans="1:26" x14ac:dyDescent="0.3">
      <c r="A129" s="28" t="s">
        <v>42</v>
      </c>
      <c r="B129" s="6" t="s">
        <v>1326</v>
      </c>
      <c r="C129" s="19" t="s">
        <v>1974</v>
      </c>
      <c r="D129" s="6" t="s">
        <v>2002</v>
      </c>
      <c r="E129" s="6">
        <v>1</v>
      </c>
      <c r="F129" s="6" t="s">
        <v>2004</v>
      </c>
      <c r="G129" s="32" t="s">
        <v>2299</v>
      </c>
      <c r="H129" s="32" t="s">
        <v>2300</v>
      </c>
      <c r="I129" s="6" t="str">
        <f t="shared" si="6"/>
        <v>Etc Grapple</v>
      </c>
      <c r="J129" s="6" t="s">
        <v>305</v>
      </c>
      <c r="K129" s="6">
        <v>1</v>
      </c>
      <c r="L129" s="6">
        <f t="shared" si="7"/>
        <v>2640000</v>
      </c>
      <c r="M129" s="6">
        <v>2250000</v>
      </c>
      <c r="N129" s="6" t="s">
        <v>2003</v>
      </c>
      <c r="O129" s="6" t="s">
        <v>2007</v>
      </c>
      <c r="P129" s="6">
        <v>2016</v>
      </c>
      <c r="Q129" s="6">
        <v>1</v>
      </c>
      <c r="R129" s="6" t="s">
        <v>45</v>
      </c>
      <c r="S129" s="31" t="s">
        <v>2113</v>
      </c>
      <c r="T129" s="6">
        <v>1</v>
      </c>
      <c r="U129" s="26">
        <v>2050000</v>
      </c>
      <c r="V129" s="26">
        <v>2050000</v>
      </c>
      <c r="W129" s="26">
        <v>2050000</v>
      </c>
      <c r="X129" s="6" t="s">
        <v>2003</v>
      </c>
      <c r="Y129" s="6" t="s">
        <v>49</v>
      </c>
      <c r="Z129" s="6">
        <v>223733</v>
      </c>
    </row>
    <row r="130" spans="1:26" x14ac:dyDescent="0.3">
      <c r="A130" s="28" t="s">
        <v>42</v>
      </c>
      <c r="B130" s="6" t="s">
        <v>1327</v>
      </c>
      <c r="C130" s="19" t="s">
        <v>1982</v>
      </c>
      <c r="D130" s="6" t="s">
        <v>2292</v>
      </c>
      <c r="E130" s="6">
        <v>1</v>
      </c>
      <c r="F130" s="6" t="s">
        <v>2004</v>
      </c>
      <c r="G130" s="32" t="s">
        <v>2299</v>
      </c>
      <c r="H130" s="32" t="s">
        <v>2300</v>
      </c>
      <c r="I130" s="6" t="str">
        <f t="shared" si="6"/>
        <v>Standard Bucket</v>
      </c>
      <c r="J130" s="6" t="s">
        <v>387</v>
      </c>
      <c r="K130" s="6">
        <v>1</v>
      </c>
      <c r="L130" s="6">
        <f t="shared" si="7"/>
        <v>1290000</v>
      </c>
      <c r="M130" s="6">
        <v>1100000</v>
      </c>
      <c r="N130" s="6" t="s">
        <v>2003</v>
      </c>
      <c r="O130" s="6" t="s">
        <v>843</v>
      </c>
      <c r="P130" s="6">
        <v>2013</v>
      </c>
      <c r="Q130" s="6">
        <v>1</v>
      </c>
      <c r="R130" s="6" t="s">
        <v>45</v>
      </c>
      <c r="S130" s="31" t="s">
        <v>2118</v>
      </c>
      <c r="T130" s="6">
        <v>1</v>
      </c>
      <c r="U130" s="26">
        <v>1000000</v>
      </c>
      <c r="V130" s="26">
        <v>1000000</v>
      </c>
      <c r="W130" s="26">
        <v>1000000</v>
      </c>
      <c r="X130" s="6" t="s">
        <v>2003</v>
      </c>
      <c r="Y130" s="6" t="s">
        <v>1149</v>
      </c>
      <c r="Z130" s="6">
        <v>223742</v>
      </c>
    </row>
    <row r="131" spans="1:26" x14ac:dyDescent="0.3">
      <c r="A131" s="28" t="s">
        <v>42</v>
      </c>
      <c r="B131" s="6" t="s">
        <v>1326</v>
      </c>
      <c r="C131" s="6" t="s">
        <v>1973</v>
      </c>
      <c r="D131" s="6" t="s">
        <v>2002</v>
      </c>
      <c r="E131" s="6">
        <v>1</v>
      </c>
      <c r="F131" s="6" t="s">
        <v>2004</v>
      </c>
      <c r="G131" s="32" t="s">
        <v>2299</v>
      </c>
      <c r="H131" s="32" t="s">
        <v>2300</v>
      </c>
      <c r="I131" s="6" t="str">
        <f t="shared" si="6"/>
        <v>Wood Grapple</v>
      </c>
      <c r="J131" s="6" t="s">
        <v>466</v>
      </c>
      <c r="K131" s="6">
        <v>1</v>
      </c>
      <c r="L131" s="6">
        <f t="shared" si="7"/>
        <v>2290000</v>
      </c>
      <c r="M131" s="6">
        <v>1950000</v>
      </c>
      <c r="N131" s="6" t="s">
        <v>2003</v>
      </c>
      <c r="O131" s="6" t="s">
        <v>2007</v>
      </c>
      <c r="P131" s="6">
        <v>2014</v>
      </c>
      <c r="Q131" s="6">
        <v>1</v>
      </c>
      <c r="R131" s="6" t="s">
        <v>45</v>
      </c>
      <c r="S131" s="31" t="s">
        <v>2113</v>
      </c>
      <c r="T131" s="6">
        <v>1</v>
      </c>
      <c r="U131" s="26">
        <v>1850000</v>
      </c>
      <c r="V131" s="26">
        <v>1850000</v>
      </c>
      <c r="W131" s="26">
        <v>1850000</v>
      </c>
      <c r="X131" s="6" t="s">
        <v>2003</v>
      </c>
      <c r="Y131" s="6" t="s">
        <v>49</v>
      </c>
      <c r="Z131" s="6">
        <v>223744</v>
      </c>
    </row>
    <row r="132" spans="1:26" x14ac:dyDescent="0.3">
      <c r="A132" s="28" t="s">
        <v>42</v>
      </c>
      <c r="B132" s="6" t="s">
        <v>1327</v>
      </c>
      <c r="C132" s="6" t="s">
        <v>1976</v>
      </c>
      <c r="D132" s="6" t="s">
        <v>2291</v>
      </c>
      <c r="E132" s="6">
        <v>1</v>
      </c>
      <c r="F132" s="6" t="s">
        <v>2004</v>
      </c>
      <c r="G132" s="32" t="s">
        <v>2299</v>
      </c>
      <c r="H132" s="32" t="s">
        <v>2300</v>
      </c>
      <c r="I132" s="6" t="str">
        <f t="shared" si="6"/>
        <v>Skeleton Bucket</v>
      </c>
      <c r="J132" s="6" t="s">
        <v>269</v>
      </c>
      <c r="K132" s="6">
        <v>1</v>
      </c>
      <c r="L132" s="6">
        <f t="shared" si="7"/>
        <v>820000</v>
      </c>
      <c r="M132" s="6">
        <v>700000</v>
      </c>
      <c r="N132" s="6" t="s">
        <v>2003</v>
      </c>
      <c r="O132" s="6" t="s">
        <v>2027</v>
      </c>
      <c r="P132" s="6">
        <v>2017</v>
      </c>
      <c r="Q132" s="6">
        <v>1</v>
      </c>
      <c r="R132" s="6" t="s">
        <v>45</v>
      </c>
      <c r="S132" s="31" t="s">
        <v>2124</v>
      </c>
      <c r="T132" s="6">
        <v>1</v>
      </c>
      <c r="U132" s="26">
        <v>600000</v>
      </c>
      <c r="V132" s="26">
        <v>600000</v>
      </c>
      <c r="W132" s="26">
        <v>600000</v>
      </c>
      <c r="X132" s="6" t="s">
        <v>2003</v>
      </c>
      <c r="Y132" s="6" t="s">
        <v>1144</v>
      </c>
      <c r="Z132" s="6">
        <v>223746</v>
      </c>
    </row>
    <row r="133" spans="1:26" x14ac:dyDescent="0.3">
      <c r="A133" s="28" t="s">
        <v>42</v>
      </c>
      <c r="B133" s="6" t="s">
        <v>1328</v>
      </c>
      <c r="C133" s="6" t="s">
        <v>1975</v>
      </c>
      <c r="D133" s="6" t="s">
        <v>2293</v>
      </c>
      <c r="E133" s="6">
        <v>1</v>
      </c>
      <c r="F133" s="6" t="s">
        <v>2004</v>
      </c>
      <c r="G133" s="32" t="s">
        <v>2299</v>
      </c>
      <c r="H133" s="32" t="s">
        <v>2300</v>
      </c>
      <c r="I133" s="6" t="str">
        <f t="shared" si="6"/>
        <v>Side Breaker</v>
      </c>
      <c r="J133" s="6" t="s">
        <v>242</v>
      </c>
      <c r="K133" s="6">
        <v>1</v>
      </c>
      <c r="L133" s="6">
        <f t="shared" si="7"/>
        <v>1700000</v>
      </c>
      <c r="M133" s="6">
        <v>1450000</v>
      </c>
      <c r="N133" s="6" t="s">
        <v>2003</v>
      </c>
      <c r="O133" s="6" t="s">
        <v>2007</v>
      </c>
      <c r="P133" s="6">
        <v>2014</v>
      </c>
      <c r="Q133" s="6">
        <v>1</v>
      </c>
      <c r="R133" s="6" t="s">
        <v>45</v>
      </c>
      <c r="S133" s="31" t="s">
        <v>2113</v>
      </c>
      <c r="T133" s="6">
        <v>1</v>
      </c>
      <c r="U133" s="26">
        <v>1350000</v>
      </c>
      <c r="V133" s="26">
        <v>1350000</v>
      </c>
      <c r="W133" s="26">
        <v>1350000</v>
      </c>
      <c r="X133" s="6" t="s">
        <v>2003</v>
      </c>
      <c r="Y133" s="6" t="s">
        <v>49</v>
      </c>
      <c r="Z133" s="6">
        <v>223751</v>
      </c>
    </row>
    <row r="134" spans="1:26" x14ac:dyDescent="0.3">
      <c r="A134" s="28" t="s">
        <v>42</v>
      </c>
      <c r="B134" s="6" t="s">
        <v>1326</v>
      </c>
      <c r="C134" s="6" t="s">
        <v>1972</v>
      </c>
      <c r="D134" s="6" t="s">
        <v>2289</v>
      </c>
      <c r="E134" s="6">
        <v>1</v>
      </c>
      <c r="F134" s="6" t="s">
        <v>2004</v>
      </c>
      <c r="G134" s="32" t="s">
        <v>2299</v>
      </c>
      <c r="H134" s="32" t="s">
        <v>2300</v>
      </c>
      <c r="I134" s="6" t="str">
        <f t="shared" si="6"/>
        <v>Stone Grapple</v>
      </c>
      <c r="J134" s="6" t="s">
        <v>180</v>
      </c>
      <c r="K134" s="6">
        <v>1</v>
      </c>
      <c r="L134" s="6">
        <f t="shared" si="7"/>
        <v>12110000</v>
      </c>
      <c r="M134" s="6">
        <v>10300000</v>
      </c>
      <c r="N134" s="6" t="s">
        <v>2003</v>
      </c>
      <c r="O134" s="6" t="s">
        <v>813</v>
      </c>
      <c r="P134" s="6">
        <v>2014</v>
      </c>
      <c r="Q134" s="6">
        <v>1</v>
      </c>
      <c r="R134" s="6" t="s">
        <v>45</v>
      </c>
      <c r="S134" s="31" t="s">
        <v>2113</v>
      </c>
      <c r="T134" s="6">
        <v>1</v>
      </c>
      <c r="U134" s="26">
        <v>9800000</v>
      </c>
      <c r="V134" s="26">
        <v>9800000</v>
      </c>
      <c r="W134" s="26">
        <v>9800000</v>
      </c>
      <c r="X134" s="6" t="s">
        <v>2003</v>
      </c>
      <c r="Y134" s="6" t="s">
        <v>80</v>
      </c>
      <c r="Z134" s="6">
        <v>223753</v>
      </c>
    </row>
    <row r="135" spans="1:26" x14ac:dyDescent="0.3">
      <c r="A135" s="28" t="s">
        <v>42</v>
      </c>
      <c r="B135" s="6" t="s">
        <v>1326</v>
      </c>
      <c r="C135" s="6" t="s">
        <v>1972</v>
      </c>
      <c r="D135" s="6" t="s">
        <v>2291</v>
      </c>
      <c r="E135" s="6">
        <v>1</v>
      </c>
      <c r="F135" s="6" t="s">
        <v>2004</v>
      </c>
      <c r="G135" s="32" t="s">
        <v>2299</v>
      </c>
      <c r="H135" s="32" t="s">
        <v>2300</v>
      </c>
      <c r="I135" s="6" t="str">
        <f t="shared" si="6"/>
        <v>Stone Grapple</v>
      </c>
      <c r="J135" s="6" t="s">
        <v>149</v>
      </c>
      <c r="K135" s="6">
        <v>1</v>
      </c>
      <c r="L135" s="6">
        <f t="shared" si="7"/>
        <v>1940000</v>
      </c>
      <c r="M135" s="6">
        <v>1650000</v>
      </c>
      <c r="N135" s="6" t="s">
        <v>2003</v>
      </c>
      <c r="O135" s="6" t="s">
        <v>51</v>
      </c>
      <c r="P135" s="6">
        <v>2016</v>
      </c>
      <c r="Q135" s="6">
        <v>1</v>
      </c>
      <c r="R135" s="6" t="s">
        <v>45</v>
      </c>
      <c r="S135" s="31" t="s">
        <v>2113</v>
      </c>
      <c r="T135" s="6">
        <v>1</v>
      </c>
      <c r="U135" s="26">
        <v>1550000</v>
      </c>
      <c r="V135" s="26">
        <v>1550000</v>
      </c>
      <c r="W135" s="26">
        <v>1550000</v>
      </c>
      <c r="X135" s="6" t="s">
        <v>2003</v>
      </c>
      <c r="Y135" s="6" t="s">
        <v>49</v>
      </c>
      <c r="Z135" s="6">
        <v>223756</v>
      </c>
    </row>
    <row r="136" spans="1:26" x14ac:dyDescent="0.3">
      <c r="A136" s="28" t="s">
        <v>42</v>
      </c>
      <c r="B136" s="6" t="s">
        <v>1326</v>
      </c>
      <c r="C136" s="19" t="s">
        <v>1974</v>
      </c>
      <c r="D136" s="6" t="s">
        <v>2293</v>
      </c>
      <c r="E136" s="6">
        <v>1</v>
      </c>
      <c r="F136" s="6" t="s">
        <v>2004</v>
      </c>
      <c r="G136" s="32" t="s">
        <v>2299</v>
      </c>
      <c r="H136" s="32" t="s">
        <v>2300</v>
      </c>
      <c r="I136" s="6" t="str">
        <f t="shared" si="6"/>
        <v>Etc Grapple</v>
      </c>
      <c r="J136" s="6" t="s">
        <v>267</v>
      </c>
      <c r="K136" s="6">
        <v>1</v>
      </c>
      <c r="L136" s="6">
        <f t="shared" si="7"/>
        <v>2640000</v>
      </c>
      <c r="M136" s="6">
        <v>2250000</v>
      </c>
      <c r="N136" s="6" t="s">
        <v>2003</v>
      </c>
      <c r="O136" s="6" t="s">
        <v>2007</v>
      </c>
      <c r="P136" s="6">
        <v>2016</v>
      </c>
      <c r="Q136" s="6">
        <v>1</v>
      </c>
      <c r="R136" s="6" t="s">
        <v>45</v>
      </c>
      <c r="S136" s="31" t="s">
        <v>2113</v>
      </c>
      <c r="T136" s="6">
        <v>1</v>
      </c>
      <c r="U136" s="26">
        <v>2050000</v>
      </c>
      <c r="V136" s="26">
        <v>2050000</v>
      </c>
      <c r="W136" s="26">
        <v>2050000</v>
      </c>
      <c r="X136" s="6" t="s">
        <v>2003</v>
      </c>
      <c r="Y136" s="6" t="s">
        <v>49</v>
      </c>
      <c r="Z136" s="6">
        <v>223759</v>
      </c>
    </row>
    <row r="137" spans="1:26" x14ac:dyDescent="0.3">
      <c r="A137" s="28" t="s">
        <v>42</v>
      </c>
      <c r="B137" s="6" t="s">
        <v>1326</v>
      </c>
      <c r="C137" s="6" t="s">
        <v>1974</v>
      </c>
      <c r="D137" s="6" t="s">
        <v>2292</v>
      </c>
      <c r="E137" s="6">
        <v>1</v>
      </c>
      <c r="F137" s="6" t="s">
        <v>2004</v>
      </c>
      <c r="G137" s="32" t="s">
        <v>2299</v>
      </c>
      <c r="H137" s="32" t="s">
        <v>2300</v>
      </c>
      <c r="I137" s="6" t="str">
        <f t="shared" si="6"/>
        <v>Etc Grapple</v>
      </c>
      <c r="J137" s="6" t="s">
        <v>125</v>
      </c>
      <c r="K137" s="6">
        <v>1</v>
      </c>
      <c r="L137" s="6">
        <f t="shared" si="7"/>
        <v>6470000</v>
      </c>
      <c r="M137" s="6">
        <v>5500000</v>
      </c>
      <c r="N137" s="6" t="s">
        <v>2003</v>
      </c>
      <c r="O137" s="6" t="s">
        <v>1842</v>
      </c>
      <c r="P137" s="6">
        <v>2016</v>
      </c>
      <c r="Q137" s="6">
        <v>10</v>
      </c>
      <c r="R137" s="6" t="s">
        <v>45</v>
      </c>
      <c r="S137" s="31" t="s">
        <v>2110</v>
      </c>
      <c r="T137" s="6">
        <v>1</v>
      </c>
      <c r="U137" s="26">
        <v>5000000</v>
      </c>
      <c r="V137" s="26">
        <v>5000000</v>
      </c>
      <c r="W137" s="26">
        <v>5000000</v>
      </c>
      <c r="X137" s="6" t="s">
        <v>2003</v>
      </c>
      <c r="Y137" s="6" t="s">
        <v>1225</v>
      </c>
      <c r="Z137" s="6">
        <v>223766</v>
      </c>
    </row>
    <row r="138" spans="1:26" x14ac:dyDescent="0.3">
      <c r="A138" s="28" t="s">
        <v>42</v>
      </c>
      <c r="B138" s="6" t="s">
        <v>1327</v>
      </c>
      <c r="C138" s="6" t="s">
        <v>1976</v>
      </c>
      <c r="D138" s="6" t="s">
        <v>2291</v>
      </c>
      <c r="E138" s="6">
        <v>1</v>
      </c>
      <c r="F138" s="6" t="s">
        <v>2004</v>
      </c>
      <c r="G138" s="32" t="s">
        <v>2299</v>
      </c>
      <c r="H138" s="32" t="s">
        <v>2300</v>
      </c>
      <c r="I138" s="6" t="str">
        <f t="shared" si="6"/>
        <v>Skeleton Bucket</v>
      </c>
      <c r="J138" s="6" t="s">
        <v>245</v>
      </c>
      <c r="K138" s="6">
        <v>1</v>
      </c>
      <c r="L138" s="6">
        <f t="shared" si="7"/>
        <v>820000</v>
      </c>
      <c r="M138" s="6">
        <v>700000</v>
      </c>
      <c r="N138" s="6" t="s">
        <v>2003</v>
      </c>
      <c r="O138" s="6" t="s">
        <v>2027</v>
      </c>
      <c r="P138" s="6">
        <v>2017</v>
      </c>
      <c r="Q138" s="6">
        <v>1</v>
      </c>
      <c r="R138" s="6" t="s">
        <v>45</v>
      </c>
      <c r="S138" s="31" t="s">
        <v>2124</v>
      </c>
      <c r="T138" s="6">
        <v>1</v>
      </c>
      <c r="U138" s="26">
        <v>600000</v>
      </c>
      <c r="V138" s="26">
        <v>600000</v>
      </c>
      <c r="W138" s="26">
        <v>600000</v>
      </c>
      <c r="X138" s="6" t="s">
        <v>2003</v>
      </c>
      <c r="Y138" s="6" t="s">
        <v>1144</v>
      </c>
      <c r="Z138" s="6">
        <v>223767</v>
      </c>
    </row>
    <row r="139" spans="1:26" x14ac:dyDescent="0.3">
      <c r="A139" s="28" t="s">
        <v>42</v>
      </c>
      <c r="B139" s="6" t="s">
        <v>1328</v>
      </c>
      <c r="C139" s="6" t="s">
        <v>1975</v>
      </c>
      <c r="D139" s="6" t="s">
        <v>2291</v>
      </c>
      <c r="E139" s="6">
        <v>1</v>
      </c>
      <c r="F139" s="6" t="s">
        <v>2004</v>
      </c>
      <c r="G139" s="32" t="s">
        <v>2299</v>
      </c>
      <c r="H139" s="32" t="s">
        <v>2300</v>
      </c>
      <c r="I139" s="6" t="str">
        <f t="shared" ref="I139:I202" si="8">IF(ISBLANK(C139),B139,C139)</f>
        <v>Side Breaker</v>
      </c>
      <c r="J139" s="6" t="s">
        <v>468</v>
      </c>
      <c r="K139" s="6">
        <v>1</v>
      </c>
      <c r="L139" s="6">
        <f t="shared" ref="L139:L202" si="9">FLOOR(((M139*100)/85)/10000, 1)*10000</f>
        <v>1580000</v>
      </c>
      <c r="M139" s="6">
        <v>1350000</v>
      </c>
      <c r="N139" s="6" t="s">
        <v>2003</v>
      </c>
      <c r="O139" s="6" t="s">
        <v>2007</v>
      </c>
      <c r="P139" s="6">
        <v>2014</v>
      </c>
      <c r="Q139" s="6">
        <v>1</v>
      </c>
      <c r="R139" s="6" t="s">
        <v>45</v>
      </c>
      <c r="S139" s="31" t="s">
        <v>2113</v>
      </c>
      <c r="T139" s="6">
        <v>1</v>
      </c>
      <c r="U139" s="26">
        <v>1250000</v>
      </c>
      <c r="V139" s="26">
        <v>1250000</v>
      </c>
      <c r="W139" s="26">
        <v>1250000</v>
      </c>
      <c r="X139" s="6" t="s">
        <v>2003</v>
      </c>
      <c r="Y139" s="6" t="s">
        <v>49</v>
      </c>
      <c r="Z139" s="6">
        <v>223769</v>
      </c>
    </row>
    <row r="140" spans="1:26" x14ac:dyDescent="0.3">
      <c r="A140" s="28" t="s">
        <v>42</v>
      </c>
      <c r="B140" s="6" t="s">
        <v>1327</v>
      </c>
      <c r="C140" s="19" t="s">
        <v>2209</v>
      </c>
      <c r="D140" s="6" t="s">
        <v>2289</v>
      </c>
      <c r="E140" s="6">
        <v>1</v>
      </c>
      <c r="F140" s="6" t="s">
        <v>2004</v>
      </c>
      <c r="G140" s="32" t="s">
        <v>2299</v>
      </c>
      <c r="H140" s="32" t="s">
        <v>2300</v>
      </c>
      <c r="I140" s="6" t="str">
        <f t="shared" si="8"/>
        <v>Etc Bucket</v>
      </c>
      <c r="J140" s="6" t="s">
        <v>469</v>
      </c>
      <c r="K140" s="6">
        <v>1</v>
      </c>
      <c r="L140" s="6">
        <f t="shared" si="9"/>
        <v>3760000</v>
      </c>
      <c r="M140" s="6">
        <v>3200000</v>
      </c>
      <c r="N140" s="6" t="s">
        <v>2003</v>
      </c>
      <c r="O140" s="6" t="s">
        <v>884</v>
      </c>
      <c r="P140" s="6">
        <v>2016</v>
      </c>
      <c r="Q140" s="6">
        <v>1</v>
      </c>
      <c r="R140" s="6" t="s">
        <v>45</v>
      </c>
      <c r="S140" s="31" t="s">
        <v>2122</v>
      </c>
      <c r="T140" s="6">
        <v>1</v>
      </c>
      <c r="U140" s="26">
        <v>3000000</v>
      </c>
      <c r="V140" s="26">
        <v>3000000</v>
      </c>
      <c r="W140" s="26">
        <v>3000000</v>
      </c>
      <c r="X140" s="6" t="s">
        <v>2003</v>
      </c>
      <c r="Y140" s="6" t="s">
        <v>1260</v>
      </c>
      <c r="Z140" s="6">
        <v>223777</v>
      </c>
    </row>
    <row r="141" spans="1:26" x14ac:dyDescent="0.3">
      <c r="A141" s="28" t="s">
        <v>42</v>
      </c>
      <c r="B141" s="6" t="s">
        <v>2245</v>
      </c>
      <c r="C141" s="19" t="s">
        <v>2246</v>
      </c>
      <c r="D141" s="6" t="s">
        <v>2289</v>
      </c>
      <c r="E141" s="6">
        <v>1</v>
      </c>
      <c r="F141" s="6" t="s">
        <v>2004</v>
      </c>
      <c r="G141" s="32" t="s">
        <v>2299</v>
      </c>
      <c r="H141" s="32" t="s">
        <v>2300</v>
      </c>
      <c r="I141" s="6" t="str">
        <f t="shared" si="8"/>
        <v>Side Breaker</v>
      </c>
      <c r="J141" s="6" t="s">
        <v>151</v>
      </c>
      <c r="K141" s="6">
        <v>1</v>
      </c>
      <c r="L141" s="6">
        <f t="shared" si="9"/>
        <v>7640000</v>
      </c>
      <c r="M141" s="6">
        <v>6500000</v>
      </c>
      <c r="N141" s="6" t="s">
        <v>2003</v>
      </c>
      <c r="O141" s="6">
        <v>1</v>
      </c>
      <c r="P141" s="6">
        <v>2014</v>
      </c>
      <c r="Q141" s="6">
        <v>1</v>
      </c>
      <c r="R141" s="6" t="s">
        <v>45</v>
      </c>
      <c r="S141" s="31" t="s">
        <v>2116</v>
      </c>
      <c r="T141" s="6">
        <v>1</v>
      </c>
      <c r="U141" s="26">
        <v>6000000</v>
      </c>
      <c r="V141" s="26">
        <v>6000000</v>
      </c>
      <c r="W141" s="26">
        <v>6000000</v>
      </c>
      <c r="X141" s="6" t="s">
        <v>2003</v>
      </c>
      <c r="Y141" s="6" t="s">
        <v>1185</v>
      </c>
      <c r="Z141" s="6">
        <v>223778</v>
      </c>
    </row>
    <row r="142" spans="1:26" x14ac:dyDescent="0.3">
      <c r="A142" s="28" t="s">
        <v>42</v>
      </c>
      <c r="B142" s="6" t="s">
        <v>1326</v>
      </c>
      <c r="C142" s="6" t="s">
        <v>1973</v>
      </c>
      <c r="D142" s="6" t="s">
        <v>2291</v>
      </c>
      <c r="E142" s="6">
        <v>1</v>
      </c>
      <c r="F142" s="6" t="s">
        <v>2004</v>
      </c>
      <c r="G142" s="32" t="s">
        <v>2299</v>
      </c>
      <c r="H142" s="32" t="s">
        <v>2300</v>
      </c>
      <c r="I142" s="6" t="str">
        <f t="shared" si="8"/>
        <v>Wood Grapple</v>
      </c>
      <c r="J142" s="6" t="s">
        <v>127</v>
      </c>
      <c r="K142" s="6">
        <v>1</v>
      </c>
      <c r="L142" s="6">
        <f t="shared" si="9"/>
        <v>2580000</v>
      </c>
      <c r="M142" s="6">
        <v>2200000</v>
      </c>
      <c r="N142" s="6" t="s">
        <v>2003</v>
      </c>
      <c r="O142" s="6" t="s">
        <v>830</v>
      </c>
      <c r="P142" s="6">
        <v>2010</v>
      </c>
      <c r="Q142" s="6">
        <v>1</v>
      </c>
      <c r="R142" s="6" t="s">
        <v>45</v>
      </c>
      <c r="S142" s="31" t="s">
        <v>2114</v>
      </c>
      <c r="T142" s="6">
        <v>1</v>
      </c>
      <c r="U142" s="26">
        <v>2000000</v>
      </c>
      <c r="V142" s="26">
        <v>2000000</v>
      </c>
      <c r="W142" s="26">
        <v>2000000</v>
      </c>
      <c r="X142" s="6" t="s">
        <v>2003</v>
      </c>
      <c r="Y142" s="6" t="s">
        <v>830</v>
      </c>
      <c r="Z142" s="6">
        <v>223779</v>
      </c>
    </row>
    <row r="143" spans="1:26" x14ac:dyDescent="0.3">
      <c r="A143" s="29" t="s">
        <v>42</v>
      </c>
      <c r="B143" s="23" t="s">
        <v>2245</v>
      </c>
      <c r="C143" s="23" t="s">
        <v>2246</v>
      </c>
      <c r="D143" s="23" t="s">
        <v>2289</v>
      </c>
      <c r="E143" s="23">
        <v>1</v>
      </c>
      <c r="F143" s="23" t="s">
        <v>2004</v>
      </c>
      <c r="G143" s="32" t="s">
        <v>2299</v>
      </c>
      <c r="H143" s="32" t="s">
        <v>2300</v>
      </c>
      <c r="I143" s="6" t="str">
        <f t="shared" si="8"/>
        <v>Side Breaker</v>
      </c>
      <c r="J143" s="23" t="s">
        <v>88</v>
      </c>
      <c r="K143" s="6">
        <v>1</v>
      </c>
      <c r="L143" s="6">
        <f t="shared" si="9"/>
        <v>7640000</v>
      </c>
      <c r="M143" s="6">
        <v>6500000</v>
      </c>
      <c r="N143" s="6" t="s">
        <v>2003</v>
      </c>
      <c r="O143" s="6">
        <v>1</v>
      </c>
      <c r="P143" s="6">
        <v>2014</v>
      </c>
      <c r="Q143" s="6">
        <v>1</v>
      </c>
      <c r="R143" s="6" t="s">
        <v>45</v>
      </c>
      <c r="S143" s="31" t="s">
        <v>2116</v>
      </c>
      <c r="T143" s="6">
        <v>1</v>
      </c>
      <c r="U143" s="26">
        <v>6000000</v>
      </c>
      <c r="V143" s="26">
        <v>6000000</v>
      </c>
      <c r="W143" s="26">
        <v>6000000</v>
      </c>
      <c r="X143" s="6" t="s">
        <v>2003</v>
      </c>
      <c r="Y143" s="6" t="s">
        <v>1185</v>
      </c>
      <c r="Z143" s="6">
        <v>223782</v>
      </c>
    </row>
    <row r="144" spans="1:26" x14ac:dyDescent="0.3">
      <c r="A144" s="28" t="s">
        <v>42</v>
      </c>
      <c r="B144" s="6" t="s">
        <v>1328</v>
      </c>
      <c r="C144" s="6" t="s">
        <v>1975</v>
      </c>
      <c r="D144" s="6" t="s">
        <v>2292</v>
      </c>
      <c r="E144" s="6">
        <v>1</v>
      </c>
      <c r="F144" s="6" t="s">
        <v>2004</v>
      </c>
      <c r="G144" s="32" t="s">
        <v>2299</v>
      </c>
      <c r="H144" s="32" t="s">
        <v>2300</v>
      </c>
      <c r="I144" s="6" t="str">
        <f t="shared" si="8"/>
        <v>Side Breaker</v>
      </c>
      <c r="J144" s="6" t="s">
        <v>325</v>
      </c>
      <c r="K144" s="6">
        <v>1</v>
      </c>
      <c r="L144" s="6">
        <f t="shared" si="9"/>
        <v>3760000</v>
      </c>
      <c r="M144" s="6">
        <v>3200000</v>
      </c>
      <c r="N144" s="6" t="s">
        <v>2003</v>
      </c>
      <c r="O144" s="6" t="s">
        <v>2009</v>
      </c>
      <c r="P144" s="6">
        <v>2009</v>
      </c>
      <c r="Q144" s="6">
        <v>1</v>
      </c>
      <c r="R144" s="6" t="s">
        <v>45</v>
      </c>
      <c r="S144" s="31" t="s">
        <v>2110</v>
      </c>
      <c r="T144" s="6">
        <v>1</v>
      </c>
      <c r="U144" s="26">
        <v>3000000</v>
      </c>
      <c r="V144" s="26">
        <v>3000000</v>
      </c>
      <c r="W144" s="26">
        <v>3000000</v>
      </c>
      <c r="X144" s="6" t="s">
        <v>2003</v>
      </c>
      <c r="Y144" s="6" t="s">
        <v>1152</v>
      </c>
      <c r="Z144" s="6">
        <v>223783</v>
      </c>
    </row>
    <row r="145" spans="1:26" x14ac:dyDescent="0.3">
      <c r="A145" s="28" t="s">
        <v>42</v>
      </c>
      <c r="B145" s="6" t="s">
        <v>1326</v>
      </c>
      <c r="C145" s="6" t="s">
        <v>1974</v>
      </c>
      <c r="D145" s="6" t="s">
        <v>2291</v>
      </c>
      <c r="E145" s="6">
        <v>1</v>
      </c>
      <c r="F145" s="6" t="s">
        <v>2004</v>
      </c>
      <c r="G145" s="32" t="s">
        <v>2299</v>
      </c>
      <c r="H145" s="32" t="s">
        <v>2300</v>
      </c>
      <c r="I145" s="6" t="str">
        <f t="shared" si="8"/>
        <v>Etc Grapple</v>
      </c>
      <c r="J145" s="6" t="s">
        <v>136</v>
      </c>
      <c r="K145" s="6">
        <v>1</v>
      </c>
      <c r="L145" s="6">
        <f t="shared" si="9"/>
        <v>2580000</v>
      </c>
      <c r="M145" s="6">
        <v>2200000</v>
      </c>
      <c r="N145" s="6" t="s">
        <v>2003</v>
      </c>
      <c r="O145" s="6" t="s">
        <v>2029</v>
      </c>
      <c r="P145" s="6">
        <v>2007</v>
      </c>
      <c r="Q145" s="6">
        <v>1</v>
      </c>
      <c r="R145" s="6" t="s">
        <v>45</v>
      </c>
      <c r="S145" s="31" t="s">
        <v>2123</v>
      </c>
      <c r="T145" s="6">
        <v>1</v>
      </c>
      <c r="U145" s="26">
        <v>2000000</v>
      </c>
      <c r="V145" s="26">
        <v>2000000</v>
      </c>
      <c r="W145" s="26">
        <v>2000000</v>
      </c>
      <c r="X145" s="6" t="s">
        <v>2003</v>
      </c>
      <c r="Y145" s="6" t="s">
        <v>1143</v>
      </c>
      <c r="Z145" s="6">
        <v>223784</v>
      </c>
    </row>
    <row r="146" spans="1:26" x14ac:dyDescent="0.3">
      <c r="A146" s="28" t="s">
        <v>42</v>
      </c>
      <c r="B146" s="6" t="s">
        <v>1328</v>
      </c>
      <c r="C146" s="6" t="s">
        <v>1975</v>
      </c>
      <c r="D146" s="6" t="s">
        <v>2001</v>
      </c>
      <c r="E146" s="6">
        <v>1</v>
      </c>
      <c r="F146" s="6" t="s">
        <v>2004</v>
      </c>
      <c r="G146" s="32" t="s">
        <v>2299</v>
      </c>
      <c r="H146" s="32" t="s">
        <v>2300</v>
      </c>
      <c r="I146" s="6" t="str">
        <f t="shared" si="8"/>
        <v>Side Breaker</v>
      </c>
      <c r="J146" s="6" t="s">
        <v>150</v>
      </c>
      <c r="K146" s="6">
        <v>1</v>
      </c>
      <c r="L146" s="6">
        <f t="shared" si="9"/>
        <v>10000000</v>
      </c>
      <c r="M146" s="6">
        <v>8500000</v>
      </c>
      <c r="N146" s="6" t="s">
        <v>2003</v>
      </c>
      <c r="O146" s="6" t="s">
        <v>1843</v>
      </c>
      <c r="P146" s="6">
        <v>2013</v>
      </c>
      <c r="Q146" s="6">
        <v>1</v>
      </c>
      <c r="R146" s="6" t="s">
        <v>45</v>
      </c>
      <c r="S146" s="31" t="s">
        <v>2116</v>
      </c>
      <c r="T146" s="6">
        <v>1</v>
      </c>
      <c r="U146" s="26">
        <v>8000000</v>
      </c>
      <c r="V146" s="26">
        <v>8000000</v>
      </c>
      <c r="W146" s="26">
        <v>8000000</v>
      </c>
      <c r="X146" s="6" t="s">
        <v>2003</v>
      </c>
      <c r="Y146" s="6" t="s">
        <v>60</v>
      </c>
      <c r="Z146" s="6">
        <v>223792</v>
      </c>
    </row>
    <row r="147" spans="1:26" x14ac:dyDescent="0.3">
      <c r="A147" s="28" t="s">
        <v>42</v>
      </c>
      <c r="B147" s="6" t="s">
        <v>2245</v>
      </c>
      <c r="C147" s="19" t="s">
        <v>2246</v>
      </c>
      <c r="D147" s="6" t="s">
        <v>2289</v>
      </c>
      <c r="E147" s="6">
        <v>1</v>
      </c>
      <c r="F147" s="6" t="s">
        <v>2004</v>
      </c>
      <c r="G147" s="32" t="s">
        <v>2299</v>
      </c>
      <c r="H147" s="32" t="s">
        <v>2300</v>
      </c>
      <c r="I147" s="6" t="str">
        <f t="shared" si="8"/>
        <v>Side Breaker</v>
      </c>
      <c r="J147" s="6" t="s">
        <v>151</v>
      </c>
      <c r="K147" s="6">
        <v>1</v>
      </c>
      <c r="L147" s="6">
        <f t="shared" si="9"/>
        <v>8230000</v>
      </c>
      <c r="M147" s="6">
        <v>7000000</v>
      </c>
      <c r="N147" s="6" t="s">
        <v>2003</v>
      </c>
      <c r="O147" s="6" t="s">
        <v>1844</v>
      </c>
      <c r="P147" s="6">
        <v>2010</v>
      </c>
      <c r="Q147" s="6">
        <v>1</v>
      </c>
      <c r="R147" s="6" t="s">
        <v>45</v>
      </c>
      <c r="S147" s="31" t="s">
        <v>2118</v>
      </c>
      <c r="T147" s="6">
        <v>1</v>
      </c>
      <c r="U147" s="26">
        <v>6500000</v>
      </c>
      <c r="V147" s="26">
        <v>6500000</v>
      </c>
      <c r="W147" s="26">
        <v>6500000</v>
      </c>
      <c r="X147" s="6" t="s">
        <v>2003</v>
      </c>
      <c r="Y147" s="6" t="s">
        <v>63</v>
      </c>
      <c r="Z147" s="6">
        <v>223793</v>
      </c>
    </row>
    <row r="148" spans="1:26" x14ac:dyDescent="0.3">
      <c r="A148" s="28" t="s">
        <v>42</v>
      </c>
      <c r="B148" s="6" t="s">
        <v>1328</v>
      </c>
      <c r="C148" s="6" t="s">
        <v>1975</v>
      </c>
      <c r="D148" s="6" t="s">
        <v>2291</v>
      </c>
      <c r="E148" s="6">
        <v>1</v>
      </c>
      <c r="F148" s="6" t="s">
        <v>2004</v>
      </c>
      <c r="G148" s="32" t="s">
        <v>2299</v>
      </c>
      <c r="H148" s="32" t="s">
        <v>2300</v>
      </c>
      <c r="I148" s="6" t="str">
        <f t="shared" si="8"/>
        <v>Side Breaker</v>
      </c>
      <c r="J148" s="6" t="s">
        <v>389</v>
      </c>
      <c r="K148" s="6">
        <v>1</v>
      </c>
      <c r="L148" s="6">
        <f t="shared" si="9"/>
        <v>1760000</v>
      </c>
      <c r="M148" s="6">
        <v>1500000</v>
      </c>
      <c r="N148" s="6" t="s">
        <v>2003</v>
      </c>
      <c r="O148" s="6" t="s">
        <v>822</v>
      </c>
      <c r="P148" s="6">
        <v>2015</v>
      </c>
      <c r="Q148" s="6">
        <v>5</v>
      </c>
      <c r="R148" s="6" t="s">
        <v>45</v>
      </c>
      <c r="S148" s="31" t="s">
        <v>2123</v>
      </c>
      <c r="T148" s="6">
        <v>1</v>
      </c>
      <c r="U148" s="26">
        <v>1400000</v>
      </c>
      <c r="V148" s="26">
        <v>1400000</v>
      </c>
      <c r="W148" s="26">
        <v>1400000</v>
      </c>
      <c r="X148" s="6" t="s">
        <v>2003</v>
      </c>
      <c r="Y148" s="6" t="s">
        <v>92</v>
      </c>
      <c r="Z148" s="6">
        <v>223794</v>
      </c>
    </row>
    <row r="149" spans="1:26" x14ac:dyDescent="0.3">
      <c r="A149" s="28" t="s">
        <v>42</v>
      </c>
      <c r="B149" s="6" t="s">
        <v>1337</v>
      </c>
      <c r="C149" s="6"/>
      <c r="D149" s="6" t="s">
        <v>2290</v>
      </c>
      <c r="E149" s="6">
        <v>1</v>
      </c>
      <c r="F149" s="6" t="s">
        <v>2004</v>
      </c>
      <c r="G149" s="32" t="s">
        <v>2299</v>
      </c>
      <c r="H149" s="32" t="s">
        <v>2300</v>
      </c>
      <c r="I149" s="6" t="str">
        <f t="shared" si="8"/>
        <v>ETC</v>
      </c>
      <c r="J149" s="6" t="s">
        <v>401</v>
      </c>
      <c r="K149" s="6">
        <v>1</v>
      </c>
      <c r="L149" s="6">
        <f t="shared" si="9"/>
        <v>1170000</v>
      </c>
      <c r="M149" s="6">
        <v>1000000</v>
      </c>
      <c r="N149" s="6" t="s">
        <v>2003</v>
      </c>
      <c r="O149" s="6" t="s">
        <v>813</v>
      </c>
      <c r="P149" s="6">
        <v>2013</v>
      </c>
      <c r="Q149" s="6">
        <v>1</v>
      </c>
      <c r="R149" s="6" t="s">
        <v>45</v>
      </c>
      <c r="S149" s="31" t="s">
        <v>2113</v>
      </c>
      <c r="T149" s="6">
        <v>1</v>
      </c>
      <c r="U149" s="26">
        <v>900000</v>
      </c>
      <c r="V149" s="26">
        <v>900000</v>
      </c>
      <c r="W149" s="26">
        <v>900000</v>
      </c>
      <c r="X149" s="6" t="s">
        <v>2003</v>
      </c>
      <c r="Y149" s="6" t="s">
        <v>80</v>
      </c>
      <c r="Z149" s="6">
        <v>223795</v>
      </c>
    </row>
    <row r="150" spans="1:26" x14ac:dyDescent="0.3">
      <c r="A150" s="28" t="s">
        <v>42</v>
      </c>
      <c r="B150" s="6" t="s">
        <v>2242</v>
      </c>
      <c r="C150" s="6"/>
      <c r="D150" s="6" t="s">
        <v>2001</v>
      </c>
      <c r="E150" s="6">
        <v>1</v>
      </c>
      <c r="F150" s="6" t="s">
        <v>2004</v>
      </c>
      <c r="G150" s="32" t="s">
        <v>2299</v>
      </c>
      <c r="H150" s="32" t="s">
        <v>2300</v>
      </c>
      <c r="I150" s="6" t="str">
        <f t="shared" si="8"/>
        <v>Quick Coupler</v>
      </c>
      <c r="J150" s="6" t="s">
        <v>231</v>
      </c>
      <c r="K150" s="6">
        <v>1</v>
      </c>
      <c r="L150" s="6">
        <f t="shared" si="9"/>
        <v>1760000</v>
      </c>
      <c r="M150" s="6">
        <v>1500000</v>
      </c>
      <c r="N150" s="6" t="s">
        <v>2003</v>
      </c>
      <c r="O150" s="6" t="s">
        <v>885</v>
      </c>
      <c r="P150" s="6">
        <v>2014</v>
      </c>
      <c r="Q150" s="6">
        <v>1</v>
      </c>
      <c r="R150" s="6" t="s">
        <v>45</v>
      </c>
      <c r="S150" s="31" t="s">
        <v>2119</v>
      </c>
      <c r="T150" s="6">
        <v>1</v>
      </c>
      <c r="U150" s="26">
        <v>1400000</v>
      </c>
      <c r="V150" s="26">
        <v>1400000</v>
      </c>
      <c r="W150" s="26">
        <v>1400000</v>
      </c>
      <c r="X150" s="6" t="s">
        <v>2003</v>
      </c>
      <c r="Y150" s="6" t="s">
        <v>60</v>
      </c>
      <c r="Z150" s="6">
        <v>223805</v>
      </c>
    </row>
    <row r="151" spans="1:26" x14ac:dyDescent="0.3">
      <c r="A151" s="28" t="s">
        <v>42</v>
      </c>
      <c r="B151" s="6" t="s">
        <v>2163</v>
      </c>
      <c r="C151" s="6"/>
      <c r="D151" s="6" t="s">
        <v>2292</v>
      </c>
      <c r="E151" s="6">
        <v>1</v>
      </c>
      <c r="F151" s="6" t="s">
        <v>2004</v>
      </c>
      <c r="G151" s="32" t="s">
        <v>2299</v>
      </c>
      <c r="H151" s="32" t="s">
        <v>2300</v>
      </c>
      <c r="I151" s="6" t="str">
        <f t="shared" si="8"/>
        <v>Lift Fork</v>
      </c>
      <c r="J151" s="6" t="s">
        <v>529</v>
      </c>
      <c r="K151" s="6">
        <v>1</v>
      </c>
      <c r="L151" s="6">
        <f t="shared" si="9"/>
        <v>1470000</v>
      </c>
      <c r="M151" s="6">
        <v>1250000</v>
      </c>
      <c r="N151" s="6" t="s">
        <v>2003</v>
      </c>
      <c r="O151" s="6" t="s">
        <v>2030</v>
      </c>
      <c r="P151" s="6">
        <v>2017</v>
      </c>
      <c r="Q151" s="6">
        <v>1</v>
      </c>
      <c r="R151" s="6" t="s">
        <v>45</v>
      </c>
      <c r="S151" s="31" t="s">
        <v>2110</v>
      </c>
      <c r="T151" s="6">
        <v>1</v>
      </c>
      <c r="U151" s="26">
        <v>1150000</v>
      </c>
      <c r="V151" s="26">
        <v>1150000</v>
      </c>
      <c r="W151" s="26">
        <v>1150000</v>
      </c>
      <c r="X151" s="6" t="s">
        <v>2003</v>
      </c>
      <c r="Y151" s="6" t="s">
        <v>1155</v>
      </c>
      <c r="Z151" s="6">
        <v>223810</v>
      </c>
    </row>
    <row r="152" spans="1:26" x14ac:dyDescent="0.3">
      <c r="A152" s="28" t="s">
        <v>42</v>
      </c>
      <c r="B152" s="6" t="s">
        <v>1326</v>
      </c>
      <c r="C152" s="6" t="s">
        <v>1972</v>
      </c>
      <c r="D152" s="6" t="s">
        <v>2290</v>
      </c>
      <c r="E152" s="6">
        <v>1</v>
      </c>
      <c r="F152" s="6" t="s">
        <v>2004</v>
      </c>
      <c r="G152" s="32" t="s">
        <v>2299</v>
      </c>
      <c r="H152" s="32" t="s">
        <v>2300</v>
      </c>
      <c r="I152" s="6" t="str">
        <f t="shared" si="8"/>
        <v>Stone Grapple</v>
      </c>
      <c r="J152" s="6" t="s">
        <v>217</v>
      </c>
      <c r="K152" s="6">
        <v>1</v>
      </c>
      <c r="L152" s="6">
        <f t="shared" si="9"/>
        <v>7640000</v>
      </c>
      <c r="M152" s="6">
        <v>6500000</v>
      </c>
      <c r="N152" s="6" t="s">
        <v>2003</v>
      </c>
      <c r="O152" s="6" t="s">
        <v>813</v>
      </c>
      <c r="P152" s="6">
        <v>2013</v>
      </c>
      <c r="Q152" s="6">
        <v>1</v>
      </c>
      <c r="R152" s="6" t="s">
        <v>45</v>
      </c>
      <c r="S152" s="31" t="s">
        <v>2113</v>
      </c>
      <c r="T152" s="6">
        <v>1</v>
      </c>
      <c r="U152" s="26">
        <v>6000000</v>
      </c>
      <c r="V152" s="26">
        <v>6000000</v>
      </c>
      <c r="W152" s="26">
        <v>6000000</v>
      </c>
      <c r="X152" s="6" t="s">
        <v>2003</v>
      </c>
      <c r="Y152" s="6" t="s">
        <v>79</v>
      </c>
      <c r="Z152" s="6">
        <v>223814</v>
      </c>
    </row>
    <row r="153" spans="1:26" x14ac:dyDescent="0.3">
      <c r="A153" s="28" t="s">
        <v>42</v>
      </c>
      <c r="B153" s="6" t="s">
        <v>1326</v>
      </c>
      <c r="C153" s="6" t="s">
        <v>1972</v>
      </c>
      <c r="D153" s="6" t="s">
        <v>2292</v>
      </c>
      <c r="E153" s="6">
        <v>1</v>
      </c>
      <c r="F153" s="6" t="s">
        <v>2004</v>
      </c>
      <c r="G153" s="32" t="s">
        <v>2299</v>
      </c>
      <c r="H153" s="32" t="s">
        <v>2300</v>
      </c>
      <c r="I153" s="6" t="str">
        <f t="shared" si="8"/>
        <v>Stone Grapple</v>
      </c>
      <c r="J153" s="6" t="s">
        <v>44</v>
      </c>
      <c r="K153" s="6">
        <v>1</v>
      </c>
      <c r="L153" s="6">
        <f t="shared" si="9"/>
        <v>2700000</v>
      </c>
      <c r="M153" s="6">
        <v>2300000</v>
      </c>
      <c r="N153" s="6" t="s">
        <v>2003</v>
      </c>
      <c r="O153" s="6" t="s">
        <v>813</v>
      </c>
      <c r="P153" s="6">
        <v>2013</v>
      </c>
      <c r="Q153" s="6">
        <v>1</v>
      </c>
      <c r="R153" s="6" t="s">
        <v>45</v>
      </c>
      <c r="S153" s="31" t="s">
        <v>2113</v>
      </c>
      <c r="T153" s="6">
        <v>1</v>
      </c>
      <c r="U153" s="26">
        <v>2100000</v>
      </c>
      <c r="V153" s="26">
        <v>2100000</v>
      </c>
      <c r="W153" s="26">
        <v>2100000</v>
      </c>
      <c r="X153" s="6" t="s">
        <v>2003</v>
      </c>
      <c r="Y153" s="6" t="s">
        <v>80</v>
      </c>
      <c r="Z153" s="6">
        <v>223815</v>
      </c>
    </row>
    <row r="154" spans="1:26" x14ac:dyDescent="0.3">
      <c r="A154" s="28" t="s">
        <v>42</v>
      </c>
      <c r="B154" s="6" t="s">
        <v>1326</v>
      </c>
      <c r="C154" s="6" t="s">
        <v>1984</v>
      </c>
      <c r="D154" s="6" t="s">
        <v>2290</v>
      </c>
      <c r="E154" s="6">
        <v>1</v>
      </c>
      <c r="F154" s="6" t="s">
        <v>2004</v>
      </c>
      <c r="G154" s="32" t="s">
        <v>2299</v>
      </c>
      <c r="H154" s="32" t="s">
        <v>2300</v>
      </c>
      <c r="I154" s="6" t="str">
        <f t="shared" si="8"/>
        <v>Scrap Grapple</v>
      </c>
      <c r="J154" s="6" t="s">
        <v>323</v>
      </c>
      <c r="K154" s="6">
        <v>1</v>
      </c>
      <c r="L154" s="6">
        <f t="shared" si="9"/>
        <v>6470000</v>
      </c>
      <c r="M154" s="6">
        <v>5500000</v>
      </c>
      <c r="N154" s="6" t="s">
        <v>2003</v>
      </c>
      <c r="O154" s="6" t="s">
        <v>886</v>
      </c>
      <c r="P154" s="6">
        <v>2012</v>
      </c>
      <c r="Q154" s="6">
        <v>1</v>
      </c>
      <c r="R154" s="6" t="s">
        <v>45</v>
      </c>
      <c r="S154" s="31" t="s">
        <v>2116</v>
      </c>
      <c r="T154" s="6">
        <v>1</v>
      </c>
      <c r="U154" s="26">
        <v>5000000</v>
      </c>
      <c r="V154" s="26">
        <v>5000000</v>
      </c>
      <c r="W154" s="26">
        <v>5000000</v>
      </c>
      <c r="X154" s="6" t="s">
        <v>2003</v>
      </c>
      <c r="Y154" s="6" t="s">
        <v>1250</v>
      </c>
      <c r="Z154" s="6">
        <v>223816</v>
      </c>
    </row>
    <row r="155" spans="1:26" x14ac:dyDescent="0.3">
      <c r="A155" s="28" t="s">
        <v>42</v>
      </c>
      <c r="B155" s="6" t="s">
        <v>1326</v>
      </c>
      <c r="C155" s="6" t="s">
        <v>1972</v>
      </c>
      <c r="D155" s="6" t="s">
        <v>2291</v>
      </c>
      <c r="E155" s="6">
        <v>1</v>
      </c>
      <c r="F155" s="6" t="s">
        <v>2004</v>
      </c>
      <c r="G155" s="32" t="s">
        <v>2299</v>
      </c>
      <c r="H155" s="32" t="s">
        <v>2300</v>
      </c>
      <c r="I155" s="6" t="str">
        <f t="shared" si="8"/>
        <v>Stone Grapple</v>
      </c>
      <c r="J155" s="6" t="s">
        <v>168</v>
      </c>
      <c r="K155" s="6">
        <v>1</v>
      </c>
      <c r="L155" s="6">
        <f t="shared" si="9"/>
        <v>1760000</v>
      </c>
      <c r="M155" s="6">
        <v>1500000</v>
      </c>
      <c r="N155" s="6" t="s">
        <v>2003</v>
      </c>
      <c r="O155" s="6" t="s">
        <v>1845</v>
      </c>
      <c r="P155" s="6">
        <v>2012</v>
      </c>
      <c r="Q155" s="6">
        <v>1</v>
      </c>
      <c r="R155" s="6" t="s">
        <v>45</v>
      </c>
      <c r="S155" s="31" t="s">
        <v>2110</v>
      </c>
      <c r="T155" s="6">
        <v>1</v>
      </c>
      <c r="U155" s="26">
        <v>1400000</v>
      </c>
      <c r="V155" s="26">
        <v>1400000</v>
      </c>
      <c r="W155" s="26">
        <v>1400000</v>
      </c>
      <c r="X155" s="6" t="s">
        <v>2003</v>
      </c>
      <c r="Y155" s="6" t="s">
        <v>1150</v>
      </c>
      <c r="Z155" s="6">
        <v>223819</v>
      </c>
    </row>
    <row r="156" spans="1:26" x14ac:dyDescent="0.3">
      <c r="A156" s="28" t="s">
        <v>42</v>
      </c>
      <c r="B156" s="6" t="s">
        <v>1327</v>
      </c>
      <c r="C156" s="19" t="s">
        <v>1982</v>
      </c>
      <c r="D156" s="6" t="s">
        <v>2001</v>
      </c>
      <c r="E156" s="6">
        <v>1</v>
      </c>
      <c r="F156" s="6" t="s">
        <v>2004</v>
      </c>
      <c r="G156" s="32" t="s">
        <v>2299</v>
      </c>
      <c r="H156" s="32" t="s">
        <v>2300</v>
      </c>
      <c r="I156" s="6" t="str">
        <f t="shared" si="8"/>
        <v>Standard Bucket</v>
      </c>
      <c r="J156" s="6" t="s">
        <v>260</v>
      </c>
      <c r="K156" s="6">
        <v>1</v>
      </c>
      <c r="L156" s="6">
        <f t="shared" si="9"/>
        <v>2350000</v>
      </c>
      <c r="M156" s="6">
        <v>2000000</v>
      </c>
      <c r="N156" s="6" t="s">
        <v>2003</v>
      </c>
      <c r="O156" s="6" t="s">
        <v>887</v>
      </c>
      <c r="P156" s="6">
        <v>2015</v>
      </c>
      <c r="Q156" s="6">
        <v>1</v>
      </c>
      <c r="R156" s="6" t="s">
        <v>45</v>
      </c>
      <c r="S156" s="31" t="s">
        <v>2116</v>
      </c>
      <c r="T156" s="6">
        <v>1</v>
      </c>
      <c r="U156" s="26">
        <v>1900000</v>
      </c>
      <c r="V156" s="26">
        <v>1900000</v>
      </c>
      <c r="W156" s="26">
        <v>1900000</v>
      </c>
      <c r="X156" s="6" t="s">
        <v>2003</v>
      </c>
      <c r="Y156" s="6" t="s">
        <v>1185</v>
      </c>
      <c r="Z156" s="6">
        <v>223821</v>
      </c>
    </row>
    <row r="157" spans="1:26" x14ac:dyDescent="0.3">
      <c r="A157" s="28" t="s">
        <v>42</v>
      </c>
      <c r="B157" s="6" t="s">
        <v>1328</v>
      </c>
      <c r="C157" s="6" t="s">
        <v>1975</v>
      </c>
      <c r="D157" s="6" t="s">
        <v>2291</v>
      </c>
      <c r="E157" s="6">
        <v>1</v>
      </c>
      <c r="F157" s="6" t="s">
        <v>2004</v>
      </c>
      <c r="G157" s="32" t="s">
        <v>2299</v>
      </c>
      <c r="H157" s="32" t="s">
        <v>2300</v>
      </c>
      <c r="I157" s="6" t="str">
        <f t="shared" si="8"/>
        <v>Side Breaker</v>
      </c>
      <c r="J157" s="6" t="s">
        <v>312</v>
      </c>
      <c r="K157" s="6">
        <v>1</v>
      </c>
      <c r="L157" s="6">
        <f t="shared" si="9"/>
        <v>3170000</v>
      </c>
      <c r="M157" s="6">
        <v>2700000</v>
      </c>
      <c r="N157" s="6" t="s">
        <v>2003</v>
      </c>
      <c r="O157" s="6" t="s">
        <v>2031</v>
      </c>
      <c r="P157" s="6">
        <v>2015</v>
      </c>
      <c r="Q157" s="6">
        <v>7</v>
      </c>
      <c r="R157" s="6" t="s">
        <v>45</v>
      </c>
      <c r="S157" s="31" t="s">
        <v>2123</v>
      </c>
      <c r="T157" s="6">
        <v>1</v>
      </c>
      <c r="U157" s="26">
        <v>2500000</v>
      </c>
      <c r="V157" s="26">
        <v>2500000</v>
      </c>
      <c r="W157" s="26">
        <v>2500000</v>
      </c>
      <c r="X157" s="6" t="s">
        <v>2003</v>
      </c>
      <c r="Y157" s="6" t="s">
        <v>1151</v>
      </c>
      <c r="Z157" s="6">
        <v>223823</v>
      </c>
    </row>
    <row r="158" spans="1:26" x14ac:dyDescent="0.3">
      <c r="A158" s="28" t="s">
        <v>42</v>
      </c>
      <c r="B158" s="6" t="s">
        <v>1326</v>
      </c>
      <c r="C158" s="6" t="s">
        <v>1972</v>
      </c>
      <c r="D158" s="6" t="s">
        <v>2001</v>
      </c>
      <c r="E158" s="6">
        <v>1</v>
      </c>
      <c r="F158" s="6" t="s">
        <v>2004</v>
      </c>
      <c r="G158" s="32" t="s">
        <v>2299</v>
      </c>
      <c r="H158" s="32" t="s">
        <v>2300</v>
      </c>
      <c r="I158" s="6" t="str">
        <f t="shared" si="8"/>
        <v>Stone Grapple</v>
      </c>
      <c r="J158" s="6" t="s">
        <v>472</v>
      </c>
      <c r="K158" s="6">
        <v>1</v>
      </c>
      <c r="L158" s="6">
        <f t="shared" si="9"/>
        <v>11170000</v>
      </c>
      <c r="M158" s="6">
        <v>9500000</v>
      </c>
      <c r="N158" s="6" t="s">
        <v>2003</v>
      </c>
      <c r="O158" s="6" t="s">
        <v>888</v>
      </c>
      <c r="P158" s="6">
        <v>2014</v>
      </c>
      <c r="Q158" s="6">
        <v>7</v>
      </c>
      <c r="R158" s="6" t="s">
        <v>45</v>
      </c>
      <c r="S158" s="31" t="s">
        <v>2118</v>
      </c>
      <c r="T158" s="6">
        <v>1</v>
      </c>
      <c r="U158" s="26">
        <v>9000000</v>
      </c>
      <c r="V158" s="26">
        <v>9000000</v>
      </c>
      <c r="W158" s="26">
        <v>9000000</v>
      </c>
      <c r="X158" s="6" t="s">
        <v>2003</v>
      </c>
      <c r="Y158" s="6" t="s">
        <v>67</v>
      </c>
      <c r="Z158" s="6">
        <v>223831</v>
      </c>
    </row>
    <row r="159" spans="1:26" x14ac:dyDescent="0.3">
      <c r="A159" s="28" t="s">
        <v>42</v>
      </c>
      <c r="B159" s="6" t="s">
        <v>1327</v>
      </c>
      <c r="C159" s="6" t="s">
        <v>1980</v>
      </c>
      <c r="D159" s="6" t="s">
        <v>2292</v>
      </c>
      <c r="E159" s="6">
        <v>1</v>
      </c>
      <c r="F159" s="6" t="s">
        <v>2004</v>
      </c>
      <c r="G159" s="32" t="s">
        <v>2299</v>
      </c>
      <c r="H159" s="32" t="s">
        <v>2300</v>
      </c>
      <c r="I159" s="6" t="str">
        <f t="shared" si="8"/>
        <v>Small Bucket</v>
      </c>
      <c r="J159" s="6" t="s">
        <v>97</v>
      </c>
      <c r="K159" s="6">
        <v>1</v>
      </c>
      <c r="L159" s="6">
        <f t="shared" si="9"/>
        <v>700000</v>
      </c>
      <c r="M159" s="6">
        <v>600000</v>
      </c>
      <c r="N159" s="6" t="s">
        <v>2003</v>
      </c>
      <c r="O159" s="6" t="s">
        <v>813</v>
      </c>
      <c r="P159" s="6">
        <v>2013</v>
      </c>
      <c r="Q159" s="6">
        <v>1</v>
      </c>
      <c r="R159" s="6" t="s">
        <v>45</v>
      </c>
      <c r="S159" s="31" t="s">
        <v>2113</v>
      </c>
      <c r="T159" s="6">
        <v>1</v>
      </c>
      <c r="U159" s="26">
        <v>500000</v>
      </c>
      <c r="V159" s="26">
        <v>500000</v>
      </c>
      <c r="W159" s="26">
        <v>500000</v>
      </c>
      <c r="X159" s="6" t="s">
        <v>2003</v>
      </c>
      <c r="Y159" s="6" t="s">
        <v>80</v>
      </c>
      <c r="Z159" s="6">
        <v>223837</v>
      </c>
    </row>
    <row r="160" spans="1:26" x14ac:dyDescent="0.3">
      <c r="A160" s="28" t="s">
        <v>42</v>
      </c>
      <c r="B160" s="6" t="s">
        <v>1328</v>
      </c>
      <c r="C160" s="6" t="s">
        <v>1975</v>
      </c>
      <c r="D160" s="6" t="s">
        <v>2001</v>
      </c>
      <c r="E160" s="6">
        <v>1</v>
      </c>
      <c r="F160" s="6" t="s">
        <v>2004</v>
      </c>
      <c r="G160" s="32" t="s">
        <v>2299</v>
      </c>
      <c r="H160" s="32" t="s">
        <v>2300</v>
      </c>
      <c r="I160" s="6" t="str">
        <f t="shared" si="8"/>
        <v>Side Breaker</v>
      </c>
      <c r="J160" s="6" t="s">
        <v>475</v>
      </c>
      <c r="K160" s="6">
        <v>1</v>
      </c>
      <c r="L160" s="6">
        <f t="shared" si="9"/>
        <v>11170000</v>
      </c>
      <c r="M160" s="6">
        <v>9500000</v>
      </c>
      <c r="N160" s="6" t="s">
        <v>2003</v>
      </c>
      <c r="O160" s="6" t="s">
        <v>890</v>
      </c>
      <c r="P160" s="6">
        <v>2014</v>
      </c>
      <c r="Q160" s="6">
        <v>1</v>
      </c>
      <c r="R160" s="6" t="s">
        <v>45</v>
      </c>
      <c r="S160" s="31" t="s">
        <v>2116</v>
      </c>
      <c r="T160" s="6">
        <v>1</v>
      </c>
      <c r="U160" s="26">
        <v>9000000</v>
      </c>
      <c r="V160" s="26">
        <v>9000000</v>
      </c>
      <c r="W160" s="26">
        <v>9000000</v>
      </c>
      <c r="X160" s="6" t="s">
        <v>2003</v>
      </c>
      <c r="Y160" s="6" t="s">
        <v>1262</v>
      </c>
      <c r="Z160" s="6">
        <v>223842</v>
      </c>
    </row>
    <row r="161" spans="1:26" x14ac:dyDescent="0.3">
      <c r="A161" s="28" t="s">
        <v>42</v>
      </c>
      <c r="B161" s="6" t="s">
        <v>2247</v>
      </c>
      <c r="C161" s="19" t="s">
        <v>2248</v>
      </c>
      <c r="D161" s="6" t="s">
        <v>2001</v>
      </c>
      <c r="E161" s="6">
        <v>1</v>
      </c>
      <c r="F161" s="6" t="s">
        <v>2004</v>
      </c>
      <c r="G161" s="32" t="s">
        <v>2299</v>
      </c>
      <c r="H161" s="32" t="s">
        <v>2300</v>
      </c>
      <c r="I161" s="6" t="str">
        <f t="shared" si="8"/>
        <v>Hydraulic Crusher</v>
      </c>
      <c r="J161" s="6" t="s">
        <v>477</v>
      </c>
      <c r="K161" s="6">
        <v>1</v>
      </c>
      <c r="L161" s="6">
        <f t="shared" si="9"/>
        <v>14700000</v>
      </c>
      <c r="M161" s="6">
        <v>12500000</v>
      </c>
      <c r="N161" s="6" t="s">
        <v>2003</v>
      </c>
      <c r="O161" s="6" t="s">
        <v>891</v>
      </c>
      <c r="P161" s="6">
        <v>2014</v>
      </c>
      <c r="Q161" s="6">
        <v>1</v>
      </c>
      <c r="R161" s="6" t="s">
        <v>45</v>
      </c>
      <c r="S161" s="31" t="s">
        <v>2121</v>
      </c>
      <c r="T161" s="6">
        <v>1</v>
      </c>
      <c r="U161" s="26">
        <v>12000000</v>
      </c>
      <c r="V161" s="26">
        <v>12000000</v>
      </c>
      <c r="W161" s="26">
        <v>12000000</v>
      </c>
      <c r="X161" s="6" t="s">
        <v>2003</v>
      </c>
      <c r="Y161" s="6" t="s">
        <v>1262</v>
      </c>
      <c r="Z161" s="6">
        <v>223845</v>
      </c>
    </row>
    <row r="162" spans="1:26" x14ac:dyDescent="0.3">
      <c r="A162" s="28" t="s">
        <v>42</v>
      </c>
      <c r="B162" s="6" t="s">
        <v>1326</v>
      </c>
      <c r="C162" s="19" t="s">
        <v>1974</v>
      </c>
      <c r="D162" s="6" t="s">
        <v>2001</v>
      </c>
      <c r="E162" s="6">
        <v>1</v>
      </c>
      <c r="F162" s="6" t="s">
        <v>2004</v>
      </c>
      <c r="G162" s="32" t="s">
        <v>2299</v>
      </c>
      <c r="H162" s="32" t="s">
        <v>2300</v>
      </c>
      <c r="I162" s="6" t="str">
        <f t="shared" si="8"/>
        <v>Etc Grapple</v>
      </c>
      <c r="J162" s="6" t="s">
        <v>157</v>
      </c>
      <c r="K162" s="6">
        <v>1</v>
      </c>
      <c r="L162" s="6">
        <f t="shared" si="9"/>
        <v>7640000</v>
      </c>
      <c r="M162" s="6">
        <v>6500000</v>
      </c>
      <c r="N162" s="6" t="s">
        <v>2003</v>
      </c>
      <c r="O162" s="6" t="s">
        <v>892</v>
      </c>
      <c r="P162" s="6">
        <v>2014</v>
      </c>
      <c r="Q162" s="6">
        <v>1</v>
      </c>
      <c r="R162" s="6" t="s">
        <v>45</v>
      </c>
      <c r="S162" s="31" t="s">
        <v>2121</v>
      </c>
      <c r="T162" s="6">
        <v>1</v>
      </c>
      <c r="U162" s="26">
        <v>6000000</v>
      </c>
      <c r="V162" s="26">
        <v>6000000</v>
      </c>
      <c r="W162" s="26">
        <v>6000000</v>
      </c>
      <c r="X162" s="6" t="s">
        <v>2003</v>
      </c>
      <c r="Y162" s="6" t="s">
        <v>1262</v>
      </c>
      <c r="Z162" s="6">
        <v>223851</v>
      </c>
    </row>
    <row r="163" spans="1:26" x14ac:dyDescent="0.3">
      <c r="A163" s="28" t="s">
        <v>42</v>
      </c>
      <c r="B163" s="6" t="s">
        <v>2169</v>
      </c>
      <c r="C163" s="6"/>
      <c r="D163" s="6" t="s">
        <v>2001</v>
      </c>
      <c r="E163" s="6">
        <v>1</v>
      </c>
      <c r="F163" s="6" t="s">
        <v>2004</v>
      </c>
      <c r="G163" s="32" t="s">
        <v>2299</v>
      </c>
      <c r="H163" s="32" t="s">
        <v>2300</v>
      </c>
      <c r="I163" s="6" t="str">
        <f t="shared" si="8"/>
        <v>Ripper</v>
      </c>
      <c r="J163" s="6" t="s">
        <v>478</v>
      </c>
      <c r="K163" s="6">
        <v>1</v>
      </c>
      <c r="L163" s="6">
        <f t="shared" si="9"/>
        <v>1520000</v>
      </c>
      <c r="M163" s="6">
        <v>1300000</v>
      </c>
      <c r="N163" s="6" t="s">
        <v>2003</v>
      </c>
      <c r="O163" s="6" t="s">
        <v>893</v>
      </c>
      <c r="P163" s="6">
        <v>2016</v>
      </c>
      <c r="Q163" s="6">
        <v>1</v>
      </c>
      <c r="R163" s="6" t="s">
        <v>45</v>
      </c>
      <c r="S163" s="31" t="s">
        <v>2121</v>
      </c>
      <c r="T163" s="6">
        <v>1</v>
      </c>
      <c r="U163" s="26">
        <v>1200000</v>
      </c>
      <c r="V163" s="26">
        <v>1200000</v>
      </c>
      <c r="W163" s="26">
        <v>1200000</v>
      </c>
      <c r="X163" s="6" t="s">
        <v>2003</v>
      </c>
      <c r="Y163" s="6" t="s">
        <v>1262</v>
      </c>
      <c r="Z163" s="6">
        <v>223854</v>
      </c>
    </row>
    <row r="164" spans="1:26" x14ac:dyDescent="0.3">
      <c r="A164" s="28" t="s">
        <v>42</v>
      </c>
      <c r="B164" s="6" t="s">
        <v>1326</v>
      </c>
      <c r="C164" s="6" t="s">
        <v>1972</v>
      </c>
      <c r="D164" s="6" t="s">
        <v>2292</v>
      </c>
      <c r="E164" s="6">
        <v>1</v>
      </c>
      <c r="F164" s="6" t="s">
        <v>2004</v>
      </c>
      <c r="G164" s="32" t="s">
        <v>2299</v>
      </c>
      <c r="H164" s="32" t="s">
        <v>2300</v>
      </c>
      <c r="I164" s="6" t="str">
        <f t="shared" si="8"/>
        <v>Stone Grapple</v>
      </c>
      <c r="J164" s="6" t="s">
        <v>120</v>
      </c>
      <c r="K164" s="6">
        <v>1</v>
      </c>
      <c r="L164" s="6">
        <f t="shared" si="9"/>
        <v>5880000</v>
      </c>
      <c r="M164" s="6">
        <v>5000000</v>
      </c>
      <c r="N164" s="6" t="s">
        <v>2003</v>
      </c>
      <c r="O164" s="6" t="s">
        <v>813</v>
      </c>
      <c r="P164" s="6">
        <v>2013</v>
      </c>
      <c r="Q164" s="6">
        <v>1</v>
      </c>
      <c r="R164" s="6" t="s">
        <v>45</v>
      </c>
      <c r="S164" s="31" t="s">
        <v>2113</v>
      </c>
      <c r="T164" s="6">
        <v>1</v>
      </c>
      <c r="U164" s="26">
        <v>4800000</v>
      </c>
      <c r="V164" s="26">
        <v>4800000</v>
      </c>
      <c r="W164" s="26">
        <v>4800000</v>
      </c>
      <c r="X164" s="6" t="s">
        <v>2003</v>
      </c>
      <c r="Y164" s="6" t="s">
        <v>79</v>
      </c>
      <c r="Z164" s="6">
        <v>223856</v>
      </c>
    </row>
    <row r="165" spans="1:26" x14ac:dyDescent="0.3">
      <c r="A165" s="28" t="s">
        <v>42</v>
      </c>
      <c r="B165" s="6" t="s">
        <v>2169</v>
      </c>
      <c r="C165" s="6"/>
      <c r="D165" s="6" t="s">
        <v>2291</v>
      </c>
      <c r="E165" s="6">
        <v>1</v>
      </c>
      <c r="F165" s="6" t="s">
        <v>2004</v>
      </c>
      <c r="G165" s="32" t="s">
        <v>2299</v>
      </c>
      <c r="H165" s="32" t="s">
        <v>2300</v>
      </c>
      <c r="I165" s="6" t="str">
        <f t="shared" si="8"/>
        <v>Ripper</v>
      </c>
      <c r="J165" s="6" t="s">
        <v>513</v>
      </c>
      <c r="K165" s="6">
        <v>1</v>
      </c>
      <c r="L165" s="6">
        <f t="shared" si="9"/>
        <v>500000</v>
      </c>
      <c r="M165" s="6">
        <v>430000</v>
      </c>
      <c r="N165" s="6" t="s">
        <v>2003</v>
      </c>
      <c r="O165" s="6" t="s">
        <v>2032</v>
      </c>
      <c r="P165" s="6">
        <v>2017</v>
      </c>
      <c r="Q165" s="6">
        <v>1</v>
      </c>
      <c r="R165" s="6" t="s">
        <v>45</v>
      </c>
      <c r="S165" s="31" t="s">
        <v>2110</v>
      </c>
      <c r="T165" s="6">
        <v>1</v>
      </c>
      <c r="U165" s="26">
        <v>380000</v>
      </c>
      <c r="V165" s="26">
        <v>380000</v>
      </c>
      <c r="W165" s="26">
        <v>380000</v>
      </c>
      <c r="X165" s="6" t="s">
        <v>2003</v>
      </c>
      <c r="Y165" s="6" t="s">
        <v>1155</v>
      </c>
      <c r="Z165" s="6">
        <v>223867</v>
      </c>
    </row>
    <row r="166" spans="1:26" x14ac:dyDescent="0.3">
      <c r="A166" s="28" t="s">
        <v>42</v>
      </c>
      <c r="B166" s="6" t="s">
        <v>1328</v>
      </c>
      <c r="C166" s="6" t="s">
        <v>1975</v>
      </c>
      <c r="D166" s="6" t="s">
        <v>2001</v>
      </c>
      <c r="E166" s="6">
        <v>1</v>
      </c>
      <c r="F166" s="6" t="s">
        <v>2004</v>
      </c>
      <c r="G166" s="32" t="s">
        <v>2299</v>
      </c>
      <c r="H166" s="32" t="s">
        <v>2300</v>
      </c>
      <c r="I166" s="6" t="str">
        <f t="shared" si="8"/>
        <v>Side Breaker</v>
      </c>
      <c r="J166" s="6" t="s">
        <v>481</v>
      </c>
      <c r="K166" s="6">
        <v>1</v>
      </c>
      <c r="L166" s="6">
        <f t="shared" si="9"/>
        <v>4940000</v>
      </c>
      <c r="M166" s="6">
        <v>4200000</v>
      </c>
      <c r="N166" s="6" t="s">
        <v>2003</v>
      </c>
      <c r="O166" s="6" t="s">
        <v>2009</v>
      </c>
      <c r="P166" s="6">
        <v>2009</v>
      </c>
      <c r="Q166" s="6">
        <v>1</v>
      </c>
      <c r="R166" s="6" t="s">
        <v>45</v>
      </c>
      <c r="S166" s="31" t="s">
        <v>2117</v>
      </c>
      <c r="T166" s="6">
        <v>1</v>
      </c>
      <c r="U166" s="26">
        <v>4000000</v>
      </c>
      <c r="V166" s="26">
        <v>4000000</v>
      </c>
      <c r="W166" s="26">
        <v>4000000</v>
      </c>
      <c r="X166" s="6" t="s">
        <v>2003</v>
      </c>
      <c r="Y166" s="6" t="s">
        <v>1152</v>
      </c>
      <c r="Z166" s="6">
        <v>223871</v>
      </c>
    </row>
    <row r="167" spans="1:26" x14ac:dyDescent="0.3">
      <c r="A167" s="28" t="s">
        <v>42</v>
      </c>
      <c r="B167" s="6" t="s">
        <v>1326</v>
      </c>
      <c r="C167" s="6" t="s">
        <v>1974</v>
      </c>
      <c r="D167" s="6" t="s">
        <v>2291</v>
      </c>
      <c r="E167" s="6">
        <v>1</v>
      </c>
      <c r="F167" s="6" t="s">
        <v>2004</v>
      </c>
      <c r="G167" s="32" t="s">
        <v>2299</v>
      </c>
      <c r="H167" s="32" t="s">
        <v>2300</v>
      </c>
      <c r="I167" s="6" t="str">
        <f t="shared" si="8"/>
        <v>Etc Grapple</v>
      </c>
      <c r="J167" s="6" t="s">
        <v>136</v>
      </c>
      <c r="K167" s="6">
        <v>1</v>
      </c>
      <c r="L167" s="6">
        <f t="shared" si="9"/>
        <v>2940000</v>
      </c>
      <c r="M167" s="6">
        <v>2500000</v>
      </c>
      <c r="N167" s="6" t="s">
        <v>2003</v>
      </c>
      <c r="O167" s="6" t="s">
        <v>895</v>
      </c>
      <c r="P167" s="6">
        <v>2015</v>
      </c>
      <c r="Q167" s="6">
        <v>1</v>
      </c>
      <c r="R167" s="6" t="s">
        <v>45</v>
      </c>
      <c r="S167" s="31" t="s">
        <v>2122</v>
      </c>
      <c r="T167" s="6">
        <v>1</v>
      </c>
      <c r="U167" s="26">
        <v>2300000</v>
      </c>
      <c r="V167" s="26">
        <v>2300000</v>
      </c>
      <c r="W167" s="26">
        <v>2300000</v>
      </c>
      <c r="X167" s="6" t="s">
        <v>2003</v>
      </c>
      <c r="Y167" s="6" t="s">
        <v>1188</v>
      </c>
      <c r="Z167" s="6">
        <v>223873</v>
      </c>
    </row>
    <row r="168" spans="1:26" x14ac:dyDescent="0.3">
      <c r="A168" s="28" t="s">
        <v>42</v>
      </c>
      <c r="B168" s="6" t="s">
        <v>1328</v>
      </c>
      <c r="C168" s="6" t="s">
        <v>1975</v>
      </c>
      <c r="D168" s="6" t="s">
        <v>2293</v>
      </c>
      <c r="E168" s="6">
        <v>1</v>
      </c>
      <c r="F168" s="6" t="s">
        <v>2004</v>
      </c>
      <c r="G168" s="32" t="s">
        <v>2299</v>
      </c>
      <c r="H168" s="32" t="s">
        <v>2300</v>
      </c>
      <c r="I168" s="6" t="str">
        <f t="shared" si="8"/>
        <v>Side Breaker</v>
      </c>
      <c r="J168" s="6" t="s">
        <v>172</v>
      </c>
      <c r="K168" s="6">
        <v>1</v>
      </c>
      <c r="L168" s="6">
        <f t="shared" si="9"/>
        <v>1520000</v>
      </c>
      <c r="M168" s="6">
        <v>1300000</v>
      </c>
      <c r="N168" s="6" t="s">
        <v>2003</v>
      </c>
      <c r="O168" s="6" t="s">
        <v>790</v>
      </c>
      <c r="P168" s="6">
        <v>2015</v>
      </c>
      <c r="Q168" s="6">
        <v>1</v>
      </c>
      <c r="R168" s="6" t="s">
        <v>45</v>
      </c>
      <c r="S168" s="31" t="s">
        <v>2112</v>
      </c>
      <c r="T168" s="6">
        <v>1</v>
      </c>
      <c r="U168" s="26">
        <v>1200000</v>
      </c>
      <c r="V168" s="26">
        <v>1200000</v>
      </c>
      <c r="W168" s="26">
        <v>1200000</v>
      </c>
      <c r="X168" s="6" t="s">
        <v>2003</v>
      </c>
      <c r="Y168" s="6" t="s">
        <v>1142</v>
      </c>
      <c r="Z168" s="6">
        <v>223879</v>
      </c>
    </row>
    <row r="169" spans="1:26" x14ac:dyDescent="0.3">
      <c r="A169" s="28" t="s">
        <v>42</v>
      </c>
      <c r="B169" s="6" t="s">
        <v>1328</v>
      </c>
      <c r="C169" s="6" t="s">
        <v>1975</v>
      </c>
      <c r="D169" s="6" t="s">
        <v>2292</v>
      </c>
      <c r="E169" s="6">
        <v>1</v>
      </c>
      <c r="F169" s="6" t="s">
        <v>2004</v>
      </c>
      <c r="G169" s="32" t="s">
        <v>2299</v>
      </c>
      <c r="H169" s="32" t="s">
        <v>2300</v>
      </c>
      <c r="I169" s="6" t="str">
        <f t="shared" si="8"/>
        <v>Side Breaker</v>
      </c>
      <c r="J169" s="6" t="s">
        <v>119</v>
      </c>
      <c r="K169" s="6">
        <v>1</v>
      </c>
      <c r="L169" s="6">
        <f t="shared" si="9"/>
        <v>3520000</v>
      </c>
      <c r="M169" s="6">
        <v>3000000</v>
      </c>
      <c r="N169" s="6" t="s">
        <v>2003</v>
      </c>
      <c r="O169" s="6" t="s">
        <v>789</v>
      </c>
      <c r="P169" s="6">
        <v>2007</v>
      </c>
      <c r="Q169" s="6">
        <v>1</v>
      </c>
      <c r="R169" s="6" t="s">
        <v>45</v>
      </c>
      <c r="S169" s="31" t="s">
        <v>2122</v>
      </c>
      <c r="T169" s="6">
        <v>1</v>
      </c>
      <c r="U169" s="26">
        <v>2800000</v>
      </c>
      <c r="V169" s="26">
        <v>2800000</v>
      </c>
      <c r="W169" s="26">
        <v>2800000</v>
      </c>
      <c r="X169" s="6" t="s">
        <v>2003</v>
      </c>
      <c r="Y169" s="6" t="s">
        <v>65</v>
      </c>
      <c r="Z169" s="6">
        <v>223889</v>
      </c>
    </row>
    <row r="170" spans="1:26" x14ac:dyDescent="0.3">
      <c r="A170" s="28" t="s">
        <v>42</v>
      </c>
      <c r="B170" s="6" t="s">
        <v>1378</v>
      </c>
      <c r="C170" s="6"/>
      <c r="D170" s="6" t="s">
        <v>2292</v>
      </c>
      <c r="E170" s="6">
        <v>1</v>
      </c>
      <c r="F170" s="6" t="s">
        <v>2004</v>
      </c>
      <c r="G170" s="32" t="s">
        <v>2299</v>
      </c>
      <c r="H170" s="32" t="s">
        <v>2300</v>
      </c>
      <c r="I170" s="6" t="str">
        <f t="shared" si="8"/>
        <v>Shear&amp;Cutter</v>
      </c>
      <c r="J170" s="6" t="s">
        <v>646</v>
      </c>
      <c r="K170" s="6">
        <v>1</v>
      </c>
      <c r="L170" s="6">
        <f t="shared" si="9"/>
        <v>18230000</v>
      </c>
      <c r="M170" s="6">
        <v>15500000</v>
      </c>
      <c r="N170" s="6" t="s">
        <v>2003</v>
      </c>
      <c r="O170" s="6" t="s">
        <v>789</v>
      </c>
      <c r="P170" s="6">
        <v>2014</v>
      </c>
      <c r="Q170" s="6">
        <v>1</v>
      </c>
      <c r="R170" s="6" t="s">
        <v>45</v>
      </c>
      <c r="S170" s="31" t="s">
        <v>2122</v>
      </c>
      <c r="T170" s="6">
        <v>1</v>
      </c>
      <c r="U170" s="26">
        <v>15000000</v>
      </c>
      <c r="V170" s="26">
        <v>15000000</v>
      </c>
      <c r="W170" s="26">
        <v>15000000</v>
      </c>
      <c r="X170" s="6" t="s">
        <v>2003</v>
      </c>
      <c r="Y170" s="6" t="s">
        <v>65</v>
      </c>
      <c r="Z170" s="6">
        <v>223891</v>
      </c>
    </row>
    <row r="171" spans="1:26" x14ac:dyDescent="0.3">
      <c r="A171" s="28" t="s">
        <v>42</v>
      </c>
      <c r="B171" s="6" t="s">
        <v>1326</v>
      </c>
      <c r="C171" s="6" t="s">
        <v>1974</v>
      </c>
      <c r="D171" s="6" t="s">
        <v>2292</v>
      </c>
      <c r="E171" s="6">
        <v>1</v>
      </c>
      <c r="F171" s="6" t="s">
        <v>2004</v>
      </c>
      <c r="G171" s="32" t="s">
        <v>2299</v>
      </c>
      <c r="H171" s="32" t="s">
        <v>2300</v>
      </c>
      <c r="I171" s="6" t="str">
        <f t="shared" si="8"/>
        <v>Etc Grapple</v>
      </c>
      <c r="J171" s="6" t="s">
        <v>125</v>
      </c>
      <c r="K171" s="6">
        <v>1</v>
      </c>
      <c r="L171" s="6">
        <f t="shared" si="9"/>
        <v>3760000</v>
      </c>
      <c r="M171" s="6">
        <v>3200000</v>
      </c>
      <c r="N171" s="6" t="s">
        <v>2003</v>
      </c>
      <c r="O171" s="6" t="s">
        <v>897</v>
      </c>
      <c r="P171" s="6">
        <v>2012</v>
      </c>
      <c r="Q171" s="6">
        <v>1</v>
      </c>
      <c r="R171" s="6" t="s">
        <v>45</v>
      </c>
      <c r="S171" s="31" t="s">
        <v>2125</v>
      </c>
      <c r="T171" s="6">
        <v>1</v>
      </c>
      <c r="U171" s="26">
        <v>3000000</v>
      </c>
      <c r="V171" s="26">
        <v>3000000</v>
      </c>
      <c r="W171" s="26">
        <v>3000000</v>
      </c>
      <c r="X171" s="6" t="s">
        <v>2003</v>
      </c>
      <c r="Y171" s="6" t="s">
        <v>1261</v>
      </c>
      <c r="Z171" s="6">
        <v>223892</v>
      </c>
    </row>
    <row r="172" spans="1:26" x14ac:dyDescent="0.3">
      <c r="A172" s="28" t="s">
        <v>42</v>
      </c>
      <c r="B172" s="6" t="s">
        <v>1326</v>
      </c>
      <c r="C172" s="6" t="s">
        <v>1972</v>
      </c>
      <c r="D172" s="6" t="s">
        <v>2292</v>
      </c>
      <c r="E172" s="6">
        <v>1</v>
      </c>
      <c r="F172" s="6" t="s">
        <v>2004</v>
      </c>
      <c r="G172" s="32" t="s">
        <v>2299</v>
      </c>
      <c r="H172" s="32" t="s">
        <v>2300</v>
      </c>
      <c r="I172" s="6" t="str">
        <f t="shared" si="8"/>
        <v>Stone Grapple</v>
      </c>
      <c r="J172" s="6" t="s">
        <v>166</v>
      </c>
      <c r="K172" s="6">
        <v>1</v>
      </c>
      <c r="L172" s="6">
        <f t="shared" si="9"/>
        <v>2580000</v>
      </c>
      <c r="M172" s="6">
        <v>2200000</v>
      </c>
      <c r="N172" s="6" t="s">
        <v>2003</v>
      </c>
      <c r="O172" s="6" t="s">
        <v>816</v>
      </c>
      <c r="P172" s="6">
        <v>2010</v>
      </c>
      <c r="Q172" s="6">
        <v>1</v>
      </c>
      <c r="R172" s="6" t="s">
        <v>45</v>
      </c>
      <c r="S172" s="31" t="s">
        <v>2112</v>
      </c>
      <c r="T172" s="6">
        <v>1</v>
      </c>
      <c r="U172" s="26">
        <v>2000000</v>
      </c>
      <c r="V172" s="26">
        <v>2000000</v>
      </c>
      <c r="W172" s="26">
        <v>2000000</v>
      </c>
      <c r="X172" s="6" t="s">
        <v>2003</v>
      </c>
      <c r="Y172" s="6" t="s">
        <v>1243</v>
      </c>
      <c r="Z172" s="6">
        <v>223895</v>
      </c>
    </row>
    <row r="173" spans="1:26" x14ac:dyDescent="0.3">
      <c r="A173" s="28" t="s">
        <v>42</v>
      </c>
      <c r="B173" s="6" t="s">
        <v>1327</v>
      </c>
      <c r="C173" s="19" t="s">
        <v>1982</v>
      </c>
      <c r="D173" s="6" t="s">
        <v>2291</v>
      </c>
      <c r="E173" s="6">
        <v>1</v>
      </c>
      <c r="F173" s="6" t="s">
        <v>2004</v>
      </c>
      <c r="G173" s="32" t="s">
        <v>2299</v>
      </c>
      <c r="H173" s="32" t="s">
        <v>2300</v>
      </c>
      <c r="I173" s="6" t="str">
        <f t="shared" si="8"/>
        <v>Standard Bucket</v>
      </c>
      <c r="J173" s="6" t="s">
        <v>430</v>
      </c>
      <c r="K173" s="6">
        <v>1</v>
      </c>
      <c r="L173" s="6">
        <f t="shared" si="9"/>
        <v>290000</v>
      </c>
      <c r="M173" s="6">
        <v>250000</v>
      </c>
      <c r="N173" s="6" t="s">
        <v>2003</v>
      </c>
      <c r="O173" s="6" t="s">
        <v>898</v>
      </c>
      <c r="P173" s="6">
        <v>2015</v>
      </c>
      <c r="Q173" s="6">
        <v>1</v>
      </c>
      <c r="R173" s="6" t="s">
        <v>45</v>
      </c>
      <c r="S173" s="31" t="s">
        <v>2116</v>
      </c>
      <c r="T173" s="6">
        <v>1</v>
      </c>
      <c r="U173" s="26">
        <v>200000</v>
      </c>
      <c r="V173" s="26">
        <v>200000</v>
      </c>
      <c r="W173" s="26">
        <v>200000</v>
      </c>
      <c r="X173" s="6" t="s">
        <v>2003</v>
      </c>
      <c r="Y173" s="6" t="s">
        <v>90</v>
      </c>
      <c r="Z173" s="6">
        <v>223899</v>
      </c>
    </row>
    <row r="174" spans="1:26" x14ac:dyDescent="0.3">
      <c r="A174" s="28" t="s">
        <v>42</v>
      </c>
      <c r="B174" s="6" t="s">
        <v>1326</v>
      </c>
      <c r="C174" s="6" t="s">
        <v>1974</v>
      </c>
      <c r="D174" s="6" t="s">
        <v>2292</v>
      </c>
      <c r="E174" s="6">
        <v>1</v>
      </c>
      <c r="F174" s="6" t="s">
        <v>2004</v>
      </c>
      <c r="G174" s="32" t="s">
        <v>2299</v>
      </c>
      <c r="H174" s="32" t="s">
        <v>2300</v>
      </c>
      <c r="I174" s="6" t="str">
        <f t="shared" si="8"/>
        <v>Etc Grapple</v>
      </c>
      <c r="J174" s="6" t="s">
        <v>125</v>
      </c>
      <c r="K174" s="6">
        <v>1</v>
      </c>
      <c r="L174" s="6">
        <f t="shared" si="9"/>
        <v>4940000</v>
      </c>
      <c r="M174" s="6">
        <v>4200000</v>
      </c>
      <c r="N174" s="6" t="s">
        <v>2003</v>
      </c>
      <c r="O174" s="6" t="s">
        <v>899</v>
      </c>
      <c r="P174" s="6">
        <v>2011</v>
      </c>
      <c r="Q174" s="6">
        <v>7</v>
      </c>
      <c r="R174" s="6" t="s">
        <v>45</v>
      </c>
      <c r="S174" s="31" t="s">
        <v>2117</v>
      </c>
      <c r="T174" s="6">
        <v>1</v>
      </c>
      <c r="U174" s="26">
        <v>4000000</v>
      </c>
      <c r="V174" s="26">
        <v>4000000</v>
      </c>
      <c r="W174" s="26">
        <v>4000000</v>
      </c>
      <c r="X174" s="6" t="s">
        <v>2003</v>
      </c>
      <c r="Y174" s="6" t="s">
        <v>899</v>
      </c>
      <c r="Z174" s="6">
        <v>223905</v>
      </c>
    </row>
    <row r="175" spans="1:26" x14ac:dyDescent="0.3">
      <c r="A175" s="28" t="s">
        <v>42</v>
      </c>
      <c r="B175" s="6" t="s">
        <v>2163</v>
      </c>
      <c r="C175" s="6"/>
      <c r="D175" s="6" t="s">
        <v>2292</v>
      </c>
      <c r="E175" s="6">
        <v>1</v>
      </c>
      <c r="F175" s="6" t="s">
        <v>2004</v>
      </c>
      <c r="G175" s="32" t="s">
        <v>2299</v>
      </c>
      <c r="H175" s="32" t="s">
        <v>2300</v>
      </c>
      <c r="I175" s="6" t="str">
        <f t="shared" si="8"/>
        <v>Lift Fork</v>
      </c>
      <c r="J175" s="6" t="s">
        <v>465</v>
      </c>
      <c r="K175" s="6">
        <v>1</v>
      </c>
      <c r="L175" s="6">
        <f t="shared" si="9"/>
        <v>1290000</v>
      </c>
      <c r="M175" s="6">
        <v>1100000</v>
      </c>
      <c r="N175" s="6" t="s">
        <v>2003</v>
      </c>
      <c r="O175" s="6" t="s">
        <v>793</v>
      </c>
      <c r="P175" s="6">
        <v>2011</v>
      </c>
      <c r="Q175" s="6">
        <v>1</v>
      </c>
      <c r="R175" s="6" t="s">
        <v>45</v>
      </c>
      <c r="S175" s="31" t="s">
        <v>2116</v>
      </c>
      <c r="T175" s="6">
        <v>1</v>
      </c>
      <c r="U175" s="26">
        <v>1000000</v>
      </c>
      <c r="V175" s="26">
        <v>1000000</v>
      </c>
      <c r="W175" s="26">
        <v>1000000</v>
      </c>
      <c r="X175" s="6" t="s">
        <v>2003</v>
      </c>
      <c r="Y175" s="6" t="s">
        <v>1146</v>
      </c>
      <c r="Z175" s="6">
        <v>223906</v>
      </c>
    </row>
    <row r="176" spans="1:26" x14ac:dyDescent="0.3">
      <c r="A176" s="28" t="s">
        <v>42</v>
      </c>
      <c r="B176" s="6" t="s">
        <v>1337</v>
      </c>
      <c r="C176" s="6"/>
      <c r="D176" s="6" t="s">
        <v>2291</v>
      </c>
      <c r="E176" s="6">
        <v>1</v>
      </c>
      <c r="F176" s="6" t="s">
        <v>2004</v>
      </c>
      <c r="G176" s="32" t="s">
        <v>2299</v>
      </c>
      <c r="H176" s="32" t="s">
        <v>2300</v>
      </c>
      <c r="I176" s="6" t="str">
        <f t="shared" si="8"/>
        <v>ETC</v>
      </c>
      <c r="J176" s="6" t="s">
        <v>138</v>
      </c>
      <c r="K176" s="6">
        <v>1</v>
      </c>
      <c r="L176" s="6">
        <f t="shared" si="9"/>
        <v>4350000</v>
      </c>
      <c r="M176" s="6">
        <v>3700000</v>
      </c>
      <c r="N176" s="6" t="s">
        <v>2003</v>
      </c>
      <c r="O176" s="6" t="s">
        <v>2015</v>
      </c>
      <c r="P176" s="6">
        <v>2012</v>
      </c>
      <c r="Q176" s="6">
        <v>6</v>
      </c>
      <c r="R176" s="6" t="s">
        <v>45</v>
      </c>
      <c r="S176" s="31" t="s">
        <v>2113</v>
      </c>
      <c r="T176" s="6">
        <v>1</v>
      </c>
      <c r="U176" s="26">
        <v>3500000</v>
      </c>
      <c r="V176" s="26">
        <v>3500000</v>
      </c>
      <c r="W176" s="26">
        <v>3500000</v>
      </c>
      <c r="X176" s="6" t="s">
        <v>2003</v>
      </c>
      <c r="Y176" s="6" t="s">
        <v>47</v>
      </c>
      <c r="Z176" s="6">
        <v>223915</v>
      </c>
    </row>
    <row r="177" spans="1:26" x14ac:dyDescent="0.3">
      <c r="A177" s="28" t="s">
        <v>42</v>
      </c>
      <c r="B177" s="6" t="s">
        <v>1326</v>
      </c>
      <c r="C177" s="6" t="s">
        <v>1972</v>
      </c>
      <c r="D177" s="6" t="s">
        <v>2292</v>
      </c>
      <c r="E177" s="6">
        <v>1</v>
      </c>
      <c r="F177" s="6" t="s">
        <v>2004</v>
      </c>
      <c r="G177" s="32" t="s">
        <v>2299</v>
      </c>
      <c r="H177" s="32" t="s">
        <v>2300</v>
      </c>
      <c r="I177" s="6" t="str">
        <f t="shared" si="8"/>
        <v>Stone Grapple</v>
      </c>
      <c r="J177" s="6" t="s">
        <v>207</v>
      </c>
      <c r="K177" s="6">
        <v>1</v>
      </c>
      <c r="L177" s="6">
        <f t="shared" si="9"/>
        <v>2700000</v>
      </c>
      <c r="M177" s="6">
        <v>2300000</v>
      </c>
      <c r="N177" s="6" t="s">
        <v>2003</v>
      </c>
      <c r="O177" s="6" t="s">
        <v>823</v>
      </c>
      <c r="P177" s="6">
        <v>2014</v>
      </c>
      <c r="Q177" s="6">
        <v>1</v>
      </c>
      <c r="R177" s="6" t="s">
        <v>45</v>
      </c>
      <c r="S177" s="31" t="s">
        <v>2113</v>
      </c>
      <c r="T177" s="6">
        <v>1</v>
      </c>
      <c r="U177" s="26">
        <v>2100000</v>
      </c>
      <c r="V177" s="26">
        <v>2100000</v>
      </c>
      <c r="W177" s="26">
        <v>2100000</v>
      </c>
      <c r="X177" s="6" t="s">
        <v>2003</v>
      </c>
      <c r="Y177" s="6" t="s">
        <v>49</v>
      </c>
      <c r="Z177" s="6">
        <v>223917</v>
      </c>
    </row>
    <row r="178" spans="1:26" x14ac:dyDescent="0.3">
      <c r="A178" s="28" t="s">
        <v>42</v>
      </c>
      <c r="B178" s="6" t="s">
        <v>1326</v>
      </c>
      <c r="C178" s="19" t="s">
        <v>1974</v>
      </c>
      <c r="D178" s="6" t="s">
        <v>2293</v>
      </c>
      <c r="E178" s="6">
        <v>1</v>
      </c>
      <c r="F178" s="6" t="s">
        <v>2004</v>
      </c>
      <c r="G178" s="32" t="s">
        <v>2299</v>
      </c>
      <c r="H178" s="32" t="s">
        <v>2300</v>
      </c>
      <c r="I178" s="6" t="str">
        <f t="shared" si="8"/>
        <v>Etc Grapple</v>
      </c>
      <c r="J178" s="6" t="s">
        <v>717</v>
      </c>
      <c r="K178" s="6">
        <v>1</v>
      </c>
      <c r="L178" s="6">
        <f t="shared" si="9"/>
        <v>2640000</v>
      </c>
      <c r="M178" s="6">
        <v>2250000</v>
      </c>
      <c r="N178" s="6" t="s">
        <v>2003</v>
      </c>
      <c r="O178" s="6" t="s">
        <v>2007</v>
      </c>
      <c r="P178" s="6">
        <v>2016</v>
      </c>
      <c r="Q178" s="6">
        <v>1</v>
      </c>
      <c r="R178" s="6" t="s">
        <v>45</v>
      </c>
      <c r="S178" s="31" t="s">
        <v>2113</v>
      </c>
      <c r="T178" s="6">
        <v>1</v>
      </c>
      <c r="U178" s="26">
        <v>2050000</v>
      </c>
      <c r="V178" s="26">
        <v>2050000</v>
      </c>
      <c r="W178" s="26">
        <v>2050000</v>
      </c>
      <c r="X178" s="6" t="s">
        <v>2003</v>
      </c>
      <c r="Y178" s="6" t="s">
        <v>49</v>
      </c>
      <c r="Z178" s="6">
        <v>223925</v>
      </c>
    </row>
    <row r="179" spans="1:26" x14ac:dyDescent="0.3">
      <c r="A179" s="28" t="s">
        <v>42</v>
      </c>
      <c r="B179" s="6" t="s">
        <v>1326</v>
      </c>
      <c r="C179" s="6" t="s">
        <v>1972</v>
      </c>
      <c r="D179" s="6" t="s">
        <v>2291</v>
      </c>
      <c r="E179" s="6">
        <v>1</v>
      </c>
      <c r="F179" s="6" t="s">
        <v>2004</v>
      </c>
      <c r="G179" s="32" t="s">
        <v>2299</v>
      </c>
      <c r="H179" s="32" t="s">
        <v>2300</v>
      </c>
      <c r="I179" s="6" t="str">
        <f t="shared" si="8"/>
        <v>Stone Grapple</v>
      </c>
      <c r="J179" s="6" t="s">
        <v>386</v>
      </c>
      <c r="K179" s="6">
        <v>1</v>
      </c>
      <c r="L179" s="6">
        <f t="shared" si="9"/>
        <v>1940000</v>
      </c>
      <c r="M179" s="6">
        <v>1650000</v>
      </c>
      <c r="N179" s="6" t="s">
        <v>2003</v>
      </c>
      <c r="O179" s="6" t="s">
        <v>51</v>
      </c>
      <c r="P179" s="6">
        <v>2015</v>
      </c>
      <c r="Q179" s="6">
        <v>1</v>
      </c>
      <c r="R179" s="6" t="s">
        <v>45</v>
      </c>
      <c r="S179" s="31" t="s">
        <v>2113</v>
      </c>
      <c r="T179" s="6">
        <v>1</v>
      </c>
      <c r="U179" s="26">
        <v>1550000</v>
      </c>
      <c r="V179" s="26">
        <v>1550000</v>
      </c>
      <c r="W179" s="26">
        <v>1550000</v>
      </c>
      <c r="X179" s="6" t="s">
        <v>2003</v>
      </c>
      <c r="Y179" s="6" t="s">
        <v>49</v>
      </c>
      <c r="Z179" s="6">
        <v>223926</v>
      </c>
    </row>
    <row r="180" spans="1:26" x14ac:dyDescent="0.3">
      <c r="A180" s="28" t="s">
        <v>42</v>
      </c>
      <c r="B180" s="6" t="s">
        <v>2169</v>
      </c>
      <c r="C180" s="6"/>
      <c r="D180" s="6" t="s">
        <v>2292</v>
      </c>
      <c r="E180" s="6">
        <v>1</v>
      </c>
      <c r="F180" s="6" t="s">
        <v>2004</v>
      </c>
      <c r="G180" s="32" t="s">
        <v>2299</v>
      </c>
      <c r="H180" s="32" t="s">
        <v>2300</v>
      </c>
      <c r="I180" s="6" t="str">
        <f t="shared" si="8"/>
        <v>Ripper</v>
      </c>
      <c r="J180" s="6" t="s">
        <v>268</v>
      </c>
      <c r="K180" s="6">
        <v>1</v>
      </c>
      <c r="L180" s="6">
        <f t="shared" si="9"/>
        <v>700000</v>
      </c>
      <c r="M180" s="6">
        <v>600000</v>
      </c>
      <c r="N180" s="6" t="s">
        <v>2003</v>
      </c>
      <c r="O180" s="6" t="s">
        <v>801</v>
      </c>
      <c r="P180" s="6">
        <v>2010</v>
      </c>
      <c r="Q180" s="6">
        <v>1</v>
      </c>
      <c r="R180" s="6" t="s">
        <v>45</v>
      </c>
      <c r="S180" s="31" t="s">
        <v>2110</v>
      </c>
      <c r="T180" s="6">
        <v>1</v>
      </c>
      <c r="U180" s="26">
        <v>500000</v>
      </c>
      <c r="V180" s="26">
        <v>500000</v>
      </c>
      <c r="W180" s="26">
        <v>500000</v>
      </c>
      <c r="X180" s="6" t="s">
        <v>2003</v>
      </c>
      <c r="Y180" s="6" t="s">
        <v>1225</v>
      </c>
      <c r="Z180" s="6">
        <v>223929</v>
      </c>
    </row>
    <row r="181" spans="1:26" x14ac:dyDescent="0.3">
      <c r="A181" s="28" t="s">
        <v>42</v>
      </c>
      <c r="B181" s="6" t="s">
        <v>1327</v>
      </c>
      <c r="C181" s="19" t="s">
        <v>1982</v>
      </c>
      <c r="D181" s="6" t="s">
        <v>2292</v>
      </c>
      <c r="E181" s="6">
        <v>1</v>
      </c>
      <c r="F181" s="6" t="s">
        <v>2004</v>
      </c>
      <c r="G181" s="32" t="s">
        <v>2299</v>
      </c>
      <c r="H181" s="32" t="s">
        <v>2300</v>
      </c>
      <c r="I181" s="6" t="str">
        <f t="shared" si="8"/>
        <v>Standard Bucket</v>
      </c>
      <c r="J181" s="6" t="s">
        <v>387</v>
      </c>
      <c r="K181" s="6">
        <v>1</v>
      </c>
      <c r="L181" s="6">
        <f t="shared" si="9"/>
        <v>1290000</v>
      </c>
      <c r="M181" s="6">
        <v>1100000</v>
      </c>
      <c r="N181" s="6" t="s">
        <v>2003</v>
      </c>
      <c r="O181" s="6" t="s">
        <v>843</v>
      </c>
      <c r="P181" s="6">
        <v>2013</v>
      </c>
      <c r="Q181" s="6">
        <v>1</v>
      </c>
      <c r="R181" s="6" t="s">
        <v>45</v>
      </c>
      <c r="S181" s="31" t="s">
        <v>2118</v>
      </c>
      <c r="T181" s="6">
        <v>1</v>
      </c>
      <c r="U181" s="26">
        <v>1000000</v>
      </c>
      <c r="V181" s="26">
        <v>1000000</v>
      </c>
      <c r="W181" s="26">
        <v>1000000</v>
      </c>
      <c r="X181" s="6" t="s">
        <v>2003</v>
      </c>
      <c r="Y181" s="6" t="s">
        <v>1158</v>
      </c>
      <c r="Z181" s="6">
        <v>223931</v>
      </c>
    </row>
    <row r="182" spans="1:26" x14ac:dyDescent="0.3">
      <c r="A182" s="28" t="s">
        <v>42</v>
      </c>
      <c r="B182" s="6" t="s">
        <v>1328</v>
      </c>
      <c r="C182" s="6" t="s">
        <v>1975</v>
      </c>
      <c r="D182" s="6" t="s">
        <v>2291</v>
      </c>
      <c r="E182" s="6">
        <v>1</v>
      </c>
      <c r="F182" s="6" t="s">
        <v>2004</v>
      </c>
      <c r="G182" s="32" t="s">
        <v>2299</v>
      </c>
      <c r="H182" s="32" t="s">
        <v>2300</v>
      </c>
      <c r="I182" s="6" t="str">
        <f t="shared" si="8"/>
        <v>Side Breaker</v>
      </c>
      <c r="J182" s="6" t="s">
        <v>212</v>
      </c>
      <c r="K182" s="6">
        <v>1</v>
      </c>
      <c r="L182" s="6">
        <f t="shared" si="9"/>
        <v>1880000</v>
      </c>
      <c r="M182" s="6">
        <v>1600000</v>
      </c>
      <c r="N182" s="6" t="s">
        <v>2003</v>
      </c>
      <c r="O182" s="6" t="s">
        <v>794</v>
      </c>
      <c r="P182" s="6">
        <v>2015</v>
      </c>
      <c r="Q182" s="6">
        <v>1</v>
      </c>
      <c r="R182" s="6" t="s">
        <v>45</v>
      </c>
      <c r="S182" s="31" t="s">
        <v>2122</v>
      </c>
      <c r="T182" s="6">
        <v>1</v>
      </c>
      <c r="U182" s="26">
        <v>1500000</v>
      </c>
      <c r="V182" s="26">
        <v>1500000</v>
      </c>
      <c r="W182" s="26">
        <v>1500000</v>
      </c>
      <c r="X182" s="6" t="s">
        <v>2003</v>
      </c>
      <c r="Y182" s="6" t="s">
        <v>1154</v>
      </c>
      <c r="Z182" s="6">
        <v>223936</v>
      </c>
    </row>
    <row r="183" spans="1:26" x14ac:dyDescent="0.3">
      <c r="A183" s="28" t="s">
        <v>42</v>
      </c>
      <c r="B183" s="6" t="s">
        <v>1326</v>
      </c>
      <c r="C183" s="6" t="s">
        <v>1972</v>
      </c>
      <c r="D183" s="6" t="s">
        <v>2291</v>
      </c>
      <c r="E183" s="6">
        <v>1</v>
      </c>
      <c r="F183" s="6" t="s">
        <v>2004</v>
      </c>
      <c r="G183" s="32" t="s">
        <v>2299</v>
      </c>
      <c r="H183" s="32" t="s">
        <v>2300</v>
      </c>
      <c r="I183" s="6" t="str">
        <f t="shared" si="8"/>
        <v>Stone Grapple</v>
      </c>
      <c r="J183" s="6" t="s">
        <v>109</v>
      </c>
      <c r="K183" s="6">
        <v>1</v>
      </c>
      <c r="L183" s="6">
        <f t="shared" si="9"/>
        <v>2940000</v>
      </c>
      <c r="M183" s="6">
        <v>2500000</v>
      </c>
      <c r="N183" s="6" t="s">
        <v>2003</v>
      </c>
      <c r="O183" s="6" t="s">
        <v>900</v>
      </c>
      <c r="P183" s="6">
        <v>2011</v>
      </c>
      <c r="Q183" s="6">
        <v>10</v>
      </c>
      <c r="R183" s="6" t="s">
        <v>45</v>
      </c>
      <c r="S183" s="31" t="s">
        <v>2122</v>
      </c>
      <c r="T183" s="6">
        <v>1</v>
      </c>
      <c r="U183" s="26">
        <v>2300000</v>
      </c>
      <c r="V183" s="26">
        <v>2300000</v>
      </c>
      <c r="W183" s="26">
        <v>2300000</v>
      </c>
      <c r="X183" s="6" t="s">
        <v>2003</v>
      </c>
      <c r="Y183" s="6" t="s">
        <v>1163</v>
      </c>
      <c r="Z183" s="6">
        <v>223945</v>
      </c>
    </row>
    <row r="184" spans="1:26" x14ac:dyDescent="0.3">
      <c r="A184" s="28" t="s">
        <v>42</v>
      </c>
      <c r="B184" s="6" t="s">
        <v>1327</v>
      </c>
      <c r="C184" s="6" t="s">
        <v>1976</v>
      </c>
      <c r="D184" s="6" t="s">
        <v>2001</v>
      </c>
      <c r="E184" s="6">
        <v>1</v>
      </c>
      <c r="F184" s="6" t="s">
        <v>2004</v>
      </c>
      <c r="G184" s="32" t="s">
        <v>2299</v>
      </c>
      <c r="H184" s="32" t="s">
        <v>2300</v>
      </c>
      <c r="I184" s="6" t="str">
        <f t="shared" si="8"/>
        <v>Skeleton Bucket</v>
      </c>
      <c r="J184" s="6" t="s">
        <v>210</v>
      </c>
      <c r="K184" s="6">
        <v>1</v>
      </c>
      <c r="L184" s="6">
        <f t="shared" si="9"/>
        <v>2000000</v>
      </c>
      <c r="M184" s="6">
        <v>1700000</v>
      </c>
      <c r="N184" s="6" t="s">
        <v>2003</v>
      </c>
      <c r="O184" s="6" t="s">
        <v>813</v>
      </c>
      <c r="P184" s="6">
        <v>2013</v>
      </c>
      <c r="Q184" s="6">
        <v>1</v>
      </c>
      <c r="R184" s="6" t="s">
        <v>45</v>
      </c>
      <c r="S184" s="31" t="s">
        <v>2113</v>
      </c>
      <c r="T184" s="6">
        <v>1</v>
      </c>
      <c r="U184" s="26">
        <v>1600000</v>
      </c>
      <c r="V184" s="26">
        <v>1600000</v>
      </c>
      <c r="W184" s="26">
        <v>1600000</v>
      </c>
      <c r="X184" s="6" t="s">
        <v>2003</v>
      </c>
      <c r="Y184" s="6" t="s">
        <v>79</v>
      </c>
      <c r="Z184" s="6">
        <v>223947</v>
      </c>
    </row>
    <row r="185" spans="1:26" x14ac:dyDescent="0.3">
      <c r="A185" s="28" t="s">
        <v>42</v>
      </c>
      <c r="B185" s="6" t="s">
        <v>1337</v>
      </c>
      <c r="C185" s="6"/>
      <c r="D185" s="6" t="s">
        <v>2289</v>
      </c>
      <c r="E185" s="6">
        <v>1</v>
      </c>
      <c r="F185" s="6" t="s">
        <v>2004</v>
      </c>
      <c r="G185" s="32" t="s">
        <v>2299</v>
      </c>
      <c r="H185" s="32" t="s">
        <v>2300</v>
      </c>
      <c r="I185" s="6" t="str">
        <f t="shared" si="8"/>
        <v>ETC</v>
      </c>
      <c r="J185" s="6" t="s">
        <v>2363</v>
      </c>
      <c r="K185" s="6">
        <v>1</v>
      </c>
      <c r="L185" s="6">
        <f t="shared" si="9"/>
        <v>3170000</v>
      </c>
      <c r="M185" s="6">
        <v>2700000</v>
      </c>
      <c r="N185" s="6" t="s">
        <v>2003</v>
      </c>
      <c r="O185" s="6" t="s">
        <v>2011</v>
      </c>
      <c r="P185" s="6">
        <v>2010</v>
      </c>
      <c r="Q185" s="6">
        <v>6</v>
      </c>
      <c r="R185" s="6" t="s">
        <v>45</v>
      </c>
      <c r="S185" s="31" t="s">
        <v>2123</v>
      </c>
      <c r="T185" s="6">
        <v>1</v>
      </c>
      <c r="U185" s="26">
        <v>2500000</v>
      </c>
      <c r="V185" s="26">
        <v>2500000</v>
      </c>
      <c r="W185" s="26">
        <v>2500000</v>
      </c>
      <c r="X185" s="6" t="s">
        <v>2003</v>
      </c>
      <c r="Y185" s="6" t="s">
        <v>1200</v>
      </c>
      <c r="Z185" s="6">
        <v>223960</v>
      </c>
    </row>
    <row r="186" spans="1:26" x14ac:dyDescent="0.3">
      <c r="A186" s="28" t="s">
        <v>42</v>
      </c>
      <c r="B186" s="6" t="s">
        <v>1328</v>
      </c>
      <c r="C186" s="6" t="s">
        <v>1975</v>
      </c>
      <c r="D186" s="6" t="s">
        <v>2001</v>
      </c>
      <c r="E186" s="6">
        <v>1</v>
      </c>
      <c r="F186" s="6" t="s">
        <v>2004</v>
      </c>
      <c r="G186" s="32" t="s">
        <v>2299</v>
      </c>
      <c r="H186" s="32" t="s">
        <v>2300</v>
      </c>
      <c r="I186" s="6" t="str">
        <f t="shared" si="8"/>
        <v>Side Breaker</v>
      </c>
      <c r="J186" s="6" t="s">
        <v>306</v>
      </c>
      <c r="K186" s="6">
        <v>1</v>
      </c>
      <c r="L186" s="6">
        <f t="shared" si="9"/>
        <v>7050000</v>
      </c>
      <c r="M186" s="6">
        <v>6000000</v>
      </c>
      <c r="N186" s="6" t="s">
        <v>2003</v>
      </c>
      <c r="O186" s="6" t="s">
        <v>2033</v>
      </c>
      <c r="P186" s="6">
        <v>2009</v>
      </c>
      <c r="Q186" s="6">
        <v>1</v>
      </c>
      <c r="R186" s="6" t="s">
        <v>45</v>
      </c>
      <c r="S186" s="31" t="s">
        <v>2121</v>
      </c>
      <c r="T186" s="6">
        <v>1</v>
      </c>
      <c r="U186" s="26">
        <v>5500000</v>
      </c>
      <c r="V186" s="26">
        <v>5500000</v>
      </c>
      <c r="W186" s="26">
        <v>5500000</v>
      </c>
      <c r="X186" s="6" t="s">
        <v>2003</v>
      </c>
      <c r="Y186" s="6" t="s">
        <v>1219</v>
      </c>
      <c r="Z186" s="6">
        <v>223981</v>
      </c>
    </row>
    <row r="187" spans="1:26" x14ac:dyDescent="0.3">
      <c r="A187" s="28" t="s">
        <v>42</v>
      </c>
      <c r="B187" s="6" t="s">
        <v>1326</v>
      </c>
      <c r="C187" s="6" t="s">
        <v>1979</v>
      </c>
      <c r="D187" s="6" t="s">
        <v>2291</v>
      </c>
      <c r="E187" s="6">
        <v>1</v>
      </c>
      <c r="F187" s="6" t="s">
        <v>2004</v>
      </c>
      <c r="G187" s="32" t="s">
        <v>2299</v>
      </c>
      <c r="H187" s="32" t="s">
        <v>2300</v>
      </c>
      <c r="I187" s="6" t="str">
        <f t="shared" si="8"/>
        <v>Thumb Grapple</v>
      </c>
      <c r="J187" s="6" t="s">
        <v>394</v>
      </c>
      <c r="K187" s="6">
        <v>1</v>
      </c>
      <c r="L187" s="6">
        <f t="shared" si="9"/>
        <v>2110000</v>
      </c>
      <c r="M187" s="6">
        <v>1800000</v>
      </c>
      <c r="N187" s="6" t="s">
        <v>2003</v>
      </c>
      <c r="O187" s="6" t="s">
        <v>1847</v>
      </c>
      <c r="P187" s="6">
        <v>2017</v>
      </c>
      <c r="Q187" s="6">
        <v>1</v>
      </c>
      <c r="R187" s="6" t="s">
        <v>45</v>
      </c>
      <c r="S187" s="31" t="s">
        <v>2116</v>
      </c>
      <c r="T187" s="6">
        <v>1</v>
      </c>
      <c r="U187" s="26">
        <v>1700000</v>
      </c>
      <c r="V187" s="26">
        <v>1700000</v>
      </c>
      <c r="W187" s="26">
        <v>1700000</v>
      </c>
      <c r="X187" s="6" t="s">
        <v>2003</v>
      </c>
      <c r="Y187" s="6" t="s">
        <v>49</v>
      </c>
      <c r="Z187" s="6">
        <v>223982</v>
      </c>
    </row>
    <row r="188" spans="1:26" x14ac:dyDescent="0.3">
      <c r="A188" s="28" t="s">
        <v>42</v>
      </c>
      <c r="B188" s="6" t="s">
        <v>1326</v>
      </c>
      <c r="C188" s="6" t="s">
        <v>1972</v>
      </c>
      <c r="D188" s="6" t="s">
        <v>2292</v>
      </c>
      <c r="E188" s="6">
        <v>1</v>
      </c>
      <c r="F188" s="6" t="s">
        <v>2004</v>
      </c>
      <c r="G188" s="32" t="s">
        <v>2299</v>
      </c>
      <c r="H188" s="32" t="s">
        <v>2300</v>
      </c>
      <c r="I188" s="6" t="str">
        <f t="shared" si="8"/>
        <v>Stone Grapple</v>
      </c>
      <c r="J188" s="6" t="s">
        <v>50</v>
      </c>
      <c r="K188" s="6">
        <v>1</v>
      </c>
      <c r="L188" s="6">
        <f t="shared" si="9"/>
        <v>3290000</v>
      </c>
      <c r="M188" s="6">
        <v>2800000</v>
      </c>
      <c r="N188" s="6" t="s">
        <v>2003</v>
      </c>
      <c r="O188" s="6" t="s">
        <v>2007</v>
      </c>
      <c r="P188" s="6">
        <v>2014</v>
      </c>
      <c r="Q188" s="6">
        <v>1</v>
      </c>
      <c r="R188" s="6" t="s">
        <v>45</v>
      </c>
      <c r="S188" s="31" t="s">
        <v>2113</v>
      </c>
      <c r="T188" s="6">
        <v>1</v>
      </c>
      <c r="U188" s="26">
        <v>2600000</v>
      </c>
      <c r="V188" s="26">
        <v>2600000</v>
      </c>
      <c r="W188" s="26">
        <v>2600000</v>
      </c>
      <c r="X188" s="6" t="s">
        <v>2003</v>
      </c>
      <c r="Y188" s="6" t="s">
        <v>49</v>
      </c>
      <c r="Z188" s="6">
        <v>223983</v>
      </c>
    </row>
    <row r="189" spans="1:26" x14ac:dyDescent="0.3">
      <c r="A189" s="28" t="s">
        <v>42</v>
      </c>
      <c r="B189" s="6" t="s">
        <v>1325</v>
      </c>
      <c r="C189" s="6" t="s">
        <v>1978</v>
      </c>
      <c r="D189" s="6" t="s">
        <v>2290</v>
      </c>
      <c r="E189" s="6">
        <v>1</v>
      </c>
      <c r="F189" s="6" t="s">
        <v>2004</v>
      </c>
      <c r="G189" s="32" t="s">
        <v>2299</v>
      </c>
      <c r="H189" s="32" t="s">
        <v>2300</v>
      </c>
      <c r="I189" s="6" t="str">
        <f t="shared" si="8"/>
        <v>Hydraulic Pulverizer</v>
      </c>
      <c r="J189" s="6" t="s">
        <v>471</v>
      </c>
      <c r="K189" s="6">
        <v>1</v>
      </c>
      <c r="L189" s="6">
        <f t="shared" si="9"/>
        <v>7640000</v>
      </c>
      <c r="M189" s="6">
        <v>6500000</v>
      </c>
      <c r="N189" s="6" t="s">
        <v>2003</v>
      </c>
      <c r="O189" s="6" t="s">
        <v>813</v>
      </c>
      <c r="P189" s="6">
        <v>2014</v>
      </c>
      <c r="Q189" s="6">
        <v>1</v>
      </c>
      <c r="R189" s="6" t="s">
        <v>45</v>
      </c>
      <c r="S189" s="31" t="s">
        <v>2113</v>
      </c>
      <c r="T189" s="6">
        <v>1</v>
      </c>
      <c r="U189" s="26">
        <v>6000000</v>
      </c>
      <c r="V189" s="26">
        <v>6000000</v>
      </c>
      <c r="W189" s="26">
        <v>6000000</v>
      </c>
      <c r="X189" s="6" t="s">
        <v>2003</v>
      </c>
      <c r="Y189" s="6" t="s">
        <v>80</v>
      </c>
      <c r="Z189" s="6">
        <v>223985</v>
      </c>
    </row>
    <row r="190" spans="1:26" x14ac:dyDescent="0.3">
      <c r="A190" s="28" t="s">
        <v>42</v>
      </c>
      <c r="B190" s="6" t="s">
        <v>2163</v>
      </c>
      <c r="C190" s="6"/>
      <c r="D190" s="6" t="s">
        <v>2291</v>
      </c>
      <c r="E190" s="6">
        <v>1</v>
      </c>
      <c r="F190" s="6" t="s">
        <v>2004</v>
      </c>
      <c r="G190" s="32" t="s">
        <v>2299</v>
      </c>
      <c r="H190" s="32" t="s">
        <v>2300</v>
      </c>
      <c r="I190" s="6" t="str">
        <f t="shared" si="8"/>
        <v>Lift Fork</v>
      </c>
      <c r="J190" s="6" t="s">
        <v>487</v>
      </c>
      <c r="K190" s="6">
        <v>1</v>
      </c>
      <c r="L190" s="6">
        <f t="shared" si="9"/>
        <v>1270000</v>
      </c>
      <c r="M190" s="6">
        <v>1080000</v>
      </c>
      <c r="N190" s="6" t="s">
        <v>2003</v>
      </c>
      <c r="O190" s="6" t="s">
        <v>901</v>
      </c>
      <c r="P190" s="6">
        <v>2017</v>
      </c>
      <c r="Q190" s="6">
        <v>1</v>
      </c>
      <c r="R190" s="6" t="s">
        <v>45</v>
      </c>
      <c r="S190" s="31" t="s">
        <v>2116</v>
      </c>
      <c r="T190" s="6">
        <v>1</v>
      </c>
      <c r="U190" s="26">
        <v>980000</v>
      </c>
      <c r="V190" s="26">
        <v>980000</v>
      </c>
      <c r="W190" s="26">
        <v>980000</v>
      </c>
      <c r="X190" s="6" t="s">
        <v>2003</v>
      </c>
      <c r="Y190" s="6" t="s">
        <v>60</v>
      </c>
      <c r="Z190" s="6">
        <v>223991</v>
      </c>
    </row>
    <row r="191" spans="1:26" x14ac:dyDescent="0.3">
      <c r="A191" s="28" t="s">
        <v>42</v>
      </c>
      <c r="B191" s="6" t="s">
        <v>2163</v>
      </c>
      <c r="C191" s="6"/>
      <c r="D191" s="6" t="s">
        <v>2292</v>
      </c>
      <c r="E191" s="6">
        <v>1</v>
      </c>
      <c r="F191" s="6" t="s">
        <v>2004</v>
      </c>
      <c r="G191" s="32" t="s">
        <v>2299</v>
      </c>
      <c r="H191" s="32" t="s">
        <v>2300</v>
      </c>
      <c r="I191" s="6" t="str">
        <f t="shared" si="8"/>
        <v>Lift Fork</v>
      </c>
      <c r="J191" s="6" t="s">
        <v>102</v>
      </c>
      <c r="K191" s="6">
        <v>1</v>
      </c>
      <c r="L191" s="6">
        <f t="shared" si="9"/>
        <v>1350000</v>
      </c>
      <c r="M191" s="6">
        <v>1150000</v>
      </c>
      <c r="N191" s="6" t="s">
        <v>2003</v>
      </c>
      <c r="O191" s="6" t="s">
        <v>1112</v>
      </c>
      <c r="P191" s="6">
        <v>2017</v>
      </c>
      <c r="Q191" s="6">
        <v>1</v>
      </c>
      <c r="R191" s="6" t="s">
        <v>45</v>
      </c>
      <c r="S191" s="31" t="s">
        <v>2124</v>
      </c>
      <c r="T191" s="6">
        <v>1</v>
      </c>
      <c r="U191" s="26">
        <v>1050000</v>
      </c>
      <c r="V191" s="26">
        <v>1050000</v>
      </c>
      <c r="W191" s="26">
        <v>1050000</v>
      </c>
      <c r="X191" s="6" t="s">
        <v>2003</v>
      </c>
      <c r="Y191" s="6" t="s">
        <v>1144</v>
      </c>
      <c r="Z191" s="6">
        <v>223993</v>
      </c>
    </row>
    <row r="192" spans="1:26" x14ac:dyDescent="0.3">
      <c r="A192" s="28" t="s">
        <v>42</v>
      </c>
      <c r="B192" s="6" t="s">
        <v>2169</v>
      </c>
      <c r="C192" s="6"/>
      <c r="D192" s="6" t="s">
        <v>2291</v>
      </c>
      <c r="E192" s="6">
        <v>1</v>
      </c>
      <c r="F192" s="6" t="s">
        <v>2004</v>
      </c>
      <c r="G192" s="32" t="s">
        <v>2299</v>
      </c>
      <c r="H192" s="32" t="s">
        <v>2300</v>
      </c>
      <c r="I192" s="6" t="str">
        <f t="shared" si="8"/>
        <v>Ripper</v>
      </c>
      <c r="J192" s="6" t="s">
        <v>488</v>
      </c>
      <c r="K192" s="6">
        <v>1</v>
      </c>
      <c r="L192" s="6">
        <f t="shared" si="9"/>
        <v>580000</v>
      </c>
      <c r="M192" s="6">
        <v>500000</v>
      </c>
      <c r="N192" s="6" t="s">
        <v>2003</v>
      </c>
      <c r="O192" s="6" t="s">
        <v>2034</v>
      </c>
      <c r="P192" s="6">
        <v>2017</v>
      </c>
      <c r="Q192" s="6">
        <v>1</v>
      </c>
      <c r="R192" s="6" t="s">
        <v>45</v>
      </c>
      <c r="S192" s="31" t="s">
        <v>2119</v>
      </c>
      <c r="T192" s="6">
        <v>1</v>
      </c>
      <c r="U192" s="26">
        <v>450000</v>
      </c>
      <c r="V192" s="26">
        <v>450000</v>
      </c>
      <c r="W192" s="26">
        <v>450000</v>
      </c>
      <c r="X192" s="6" t="s">
        <v>2003</v>
      </c>
      <c r="Y192" s="6" t="s">
        <v>60</v>
      </c>
      <c r="Z192" s="6">
        <v>223996</v>
      </c>
    </row>
    <row r="193" spans="1:26" x14ac:dyDescent="0.3">
      <c r="A193" s="28" t="s">
        <v>42</v>
      </c>
      <c r="B193" s="6" t="s">
        <v>1326</v>
      </c>
      <c r="C193" s="6" t="s">
        <v>1979</v>
      </c>
      <c r="D193" s="6" t="s">
        <v>2292</v>
      </c>
      <c r="E193" s="6">
        <v>1</v>
      </c>
      <c r="F193" s="6" t="s">
        <v>2004</v>
      </c>
      <c r="G193" s="32" t="s">
        <v>2299</v>
      </c>
      <c r="H193" s="32" t="s">
        <v>2300</v>
      </c>
      <c r="I193" s="6" t="str">
        <f t="shared" si="8"/>
        <v>Thumb Grapple</v>
      </c>
      <c r="J193" s="6" t="s">
        <v>176</v>
      </c>
      <c r="K193" s="6">
        <v>1</v>
      </c>
      <c r="L193" s="6">
        <f t="shared" si="9"/>
        <v>940000</v>
      </c>
      <c r="M193" s="6">
        <v>800000</v>
      </c>
      <c r="N193" s="6" t="s">
        <v>2003</v>
      </c>
      <c r="O193" s="6" t="s">
        <v>813</v>
      </c>
      <c r="P193" s="6">
        <v>2013</v>
      </c>
      <c r="Q193" s="6">
        <v>1</v>
      </c>
      <c r="R193" s="6" t="s">
        <v>45</v>
      </c>
      <c r="S193" s="31" t="s">
        <v>2113</v>
      </c>
      <c r="T193" s="6">
        <v>1</v>
      </c>
      <c r="U193" s="26">
        <v>700000</v>
      </c>
      <c r="V193" s="26">
        <v>700000</v>
      </c>
      <c r="W193" s="26">
        <v>700000</v>
      </c>
      <c r="X193" s="6" t="s">
        <v>2003</v>
      </c>
      <c r="Y193" s="6" t="s">
        <v>80</v>
      </c>
      <c r="Z193" s="6">
        <v>224000</v>
      </c>
    </row>
    <row r="194" spans="1:26" x14ac:dyDescent="0.3">
      <c r="A194" s="28" t="s">
        <v>42</v>
      </c>
      <c r="B194" s="6" t="s">
        <v>1325</v>
      </c>
      <c r="C194" s="6" t="s">
        <v>2156</v>
      </c>
      <c r="D194" s="6" t="s">
        <v>2293</v>
      </c>
      <c r="E194" s="6">
        <v>1</v>
      </c>
      <c r="F194" s="6" t="s">
        <v>2004</v>
      </c>
      <c r="G194" s="32" t="s">
        <v>2299</v>
      </c>
      <c r="H194" s="32" t="s">
        <v>2300</v>
      </c>
      <c r="I194" s="6" t="str">
        <f t="shared" si="8"/>
        <v>Hydraulic Crusher</v>
      </c>
      <c r="J194" s="6" t="s">
        <v>76</v>
      </c>
      <c r="K194" s="6">
        <v>1</v>
      </c>
      <c r="L194" s="6">
        <f t="shared" si="9"/>
        <v>5290000</v>
      </c>
      <c r="M194" s="6">
        <v>4500000</v>
      </c>
      <c r="N194" s="6" t="s">
        <v>2003</v>
      </c>
      <c r="O194" s="6" t="s">
        <v>70</v>
      </c>
      <c r="P194" s="6">
        <v>2014</v>
      </c>
      <c r="Q194" s="6">
        <v>3</v>
      </c>
      <c r="R194" s="6" t="s">
        <v>45</v>
      </c>
      <c r="S194" s="31" t="s">
        <v>2113</v>
      </c>
      <c r="T194" s="6">
        <v>1</v>
      </c>
      <c r="U194" s="26">
        <v>4300000</v>
      </c>
      <c r="V194" s="26">
        <v>4300000</v>
      </c>
      <c r="W194" s="26">
        <v>4300000</v>
      </c>
      <c r="X194" s="6" t="s">
        <v>2003</v>
      </c>
      <c r="Y194" s="6" t="s">
        <v>71</v>
      </c>
      <c r="Z194" s="6">
        <v>224001</v>
      </c>
    </row>
    <row r="195" spans="1:26" x14ac:dyDescent="0.3">
      <c r="A195" s="28" t="s">
        <v>42</v>
      </c>
      <c r="B195" s="6" t="s">
        <v>1327</v>
      </c>
      <c r="C195" s="6" t="s">
        <v>1976</v>
      </c>
      <c r="D195" s="6" t="s">
        <v>2292</v>
      </c>
      <c r="E195" s="6">
        <v>1</v>
      </c>
      <c r="F195" s="6" t="s">
        <v>2004</v>
      </c>
      <c r="G195" s="32" t="s">
        <v>2299</v>
      </c>
      <c r="H195" s="32" t="s">
        <v>2300</v>
      </c>
      <c r="I195" s="6" t="str">
        <f t="shared" si="8"/>
        <v>Skeleton Bucket</v>
      </c>
      <c r="J195" s="6" t="s">
        <v>62</v>
      </c>
      <c r="K195" s="6">
        <v>1</v>
      </c>
      <c r="L195" s="6">
        <f t="shared" si="9"/>
        <v>1110000</v>
      </c>
      <c r="M195" s="6">
        <v>950000</v>
      </c>
      <c r="N195" s="6" t="s">
        <v>2003</v>
      </c>
      <c r="O195" s="6" t="s">
        <v>813</v>
      </c>
      <c r="P195" s="6">
        <v>2013</v>
      </c>
      <c r="Q195" s="6">
        <v>1</v>
      </c>
      <c r="R195" s="6" t="s">
        <v>45</v>
      </c>
      <c r="S195" s="31" t="s">
        <v>2113</v>
      </c>
      <c r="T195" s="6">
        <v>1</v>
      </c>
      <c r="U195" s="26">
        <v>850000</v>
      </c>
      <c r="V195" s="26">
        <v>850000</v>
      </c>
      <c r="W195" s="26">
        <v>850000</v>
      </c>
      <c r="X195" s="6" t="s">
        <v>2003</v>
      </c>
      <c r="Y195" s="6" t="s">
        <v>80</v>
      </c>
      <c r="Z195" s="6">
        <v>224002</v>
      </c>
    </row>
    <row r="196" spans="1:26" x14ac:dyDescent="0.3">
      <c r="A196" s="28" t="s">
        <v>42</v>
      </c>
      <c r="B196" s="6" t="s">
        <v>1327</v>
      </c>
      <c r="C196" s="6" t="s">
        <v>1976</v>
      </c>
      <c r="D196" s="6" t="s">
        <v>2292</v>
      </c>
      <c r="E196" s="6">
        <v>1</v>
      </c>
      <c r="F196" s="6" t="s">
        <v>2004</v>
      </c>
      <c r="G196" s="32" t="s">
        <v>2299</v>
      </c>
      <c r="H196" s="32" t="s">
        <v>2300</v>
      </c>
      <c r="I196" s="6" t="str">
        <f t="shared" si="8"/>
        <v>Skeleton Bucket</v>
      </c>
      <c r="J196" s="6" t="s">
        <v>455</v>
      </c>
      <c r="K196" s="6">
        <v>1</v>
      </c>
      <c r="L196" s="6">
        <f t="shared" si="9"/>
        <v>1050000</v>
      </c>
      <c r="M196" s="6">
        <v>900000</v>
      </c>
      <c r="N196" s="6" t="s">
        <v>2003</v>
      </c>
      <c r="O196" s="6" t="s">
        <v>813</v>
      </c>
      <c r="P196" s="6">
        <v>2013</v>
      </c>
      <c r="Q196" s="6">
        <v>1</v>
      </c>
      <c r="R196" s="6" t="s">
        <v>45</v>
      </c>
      <c r="S196" s="31" t="s">
        <v>2113</v>
      </c>
      <c r="T196" s="6">
        <v>1</v>
      </c>
      <c r="U196" s="26">
        <v>800000</v>
      </c>
      <c r="V196" s="26">
        <v>800000</v>
      </c>
      <c r="W196" s="26">
        <v>800000</v>
      </c>
      <c r="X196" s="6" t="s">
        <v>2003</v>
      </c>
      <c r="Y196" s="6" t="s">
        <v>79</v>
      </c>
      <c r="Z196" s="6">
        <v>224003</v>
      </c>
    </row>
    <row r="197" spans="1:26" x14ac:dyDescent="0.3">
      <c r="A197" s="28" t="s">
        <v>42</v>
      </c>
      <c r="B197" s="6" t="s">
        <v>2169</v>
      </c>
      <c r="C197" s="6"/>
      <c r="D197" s="6" t="s">
        <v>2001</v>
      </c>
      <c r="E197" s="6">
        <v>1</v>
      </c>
      <c r="F197" s="6" t="s">
        <v>2004</v>
      </c>
      <c r="G197" s="32" t="s">
        <v>2299</v>
      </c>
      <c r="H197" s="32" t="s">
        <v>2300</v>
      </c>
      <c r="I197" s="6" t="str">
        <f t="shared" si="8"/>
        <v>Ripper</v>
      </c>
      <c r="J197" s="6" t="s">
        <v>170</v>
      </c>
      <c r="K197" s="6">
        <v>1</v>
      </c>
      <c r="L197" s="6">
        <f t="shared" si="9"/>
        <v>2230000</v>
      </c>
      <c r="M197" s="6">
        <v>1900000</v>
      </c>
      <c r="N197" s="6" t="s">
        <v>2003</v>
      </c>
      <c r="O197" s="6" t="s">
        <v>804</v>
      </c>
      <c r="P197" s="6">
        <v>2017</v>
      </c>
      <c r="Q197" s="6">
        <v>1</v>
      </c>
      <c r="R197" s="6" t="s">
        <v>45</v>
      </c>
      <c r="S197" s="31" t="s">
        <v>2124</v>
      </c>
      <c r="T197" s="6">
        <v>1</v>
      </c>
      <c r="U197" s="26">
        <v>1800000</v>
      </c>
      <c r="V197" s="26">
        <v>1800000</v>
      </c>
      <c r="W197" s="26">
        <v>1800000</v>
      </c>
      <c r="X197" s="6" t="s">
        <v>2003</v>
      </c>
      <c r="Y197" s="6" t="s">
        <v>1144</v>
      </c>
      <c r="Z197" s="6">
        <v>224005</v>
      </c>
    </row>
    <row r="198" spans="1:26" x14ac:dyDescent="0.3">
      <c r="A198" s="28" t="s">
        <v>42</v>
      </c>
      <c r="B198" s="6" t="s">
        <v>2172</v>
      </c>
      <c r="C198" s="6"/>
      <c r="D198" s="6" t="s">
        <v>2292</v>
      </c>
      <c r="E198" s="6">
        <v>1</v>
      </c>
      <c r="F198" s="6" t="s">
        <v>2004</v>
      </c>
      <c r="G198" s="32" t="s">
        <v>2299</v>
      </c>
      <c r="H198" s="32" t="s">
        <v>2300</v>
      </c>
      <c r="I198" s="6" t="str">
        <f t="shared" si="8"/>
        <v>Quick Coupler</v>
      </c>
      <c r="J198" s="6" t="s">
        <v>140</v>
      </c>
      <c r="K198" s="6">
        <v>1</v>
      </c>
      <c r="L198" s="6">
        <f t="shared" si="9"/>
        <v>1000000</v>
      </c>
      <c r="M198" s="6">
        <v>850000</v>
      </c>
      <c r="N198" s="6" t="s">
        <v>2003</v>
      </c>
      <c r="O198" s="6" t="s">
        <v>813</v>
      </c>
      <c r="P198" s="6">
        <v>2014</v>
      </c>
      <c r="Q198" s="6">
        <v>1</v>
      </c>
      <c r="R198" s="6" t="s">
        <v>45</v>
      </c>
      <c r="S198" s="31" t="s">
        <v>2113</v>
      </c>
      <c r="T198" s="6">
        <v>1</v>
      </c>
      <c r="U198" s="26">
        <v>750000</v>
      </c>
      <c r="V198" s="26">
        <v>750000</v>
      </c>
      <c r="W198" s="26">
        <v>750000</v>
      </c>
      <c r="X198" s="6" t="s">
        <v>2003</v>
      </c>
      <c r="Y198" s="6" t="s">
        <v>80</v>
      </c>
      <c r="Z198" s="6">
        <v>224008</v>
      </c>
    </row>
    <row r="199" spans="1:26" x14ac:dyDescent="0.3">
      <c r="A199" s="28" t="s">
        <v>42</v>
      </c>
      <c r="B199" s="6" t="s">
        <v>1326</v>
      </c>
      <c r="C199" s="6" t="s">
        <v>1974</v>
      </c>
      <c r="D199" s="6" t="s">
        <v>2291</v>
      </c>
      <c r="E199" s="6">
        <v>1</v>
      </c>
      <c r="F199" s="6" t="s">
        <v>2004</v>
      </c>
      <c r="G199" s="32" t="s">
        <v>2299</v>
      </c>
      <c r="H199" s="32" t="s">
        <v>2300</v>
      </c>
      <c r="I199" s="6" t="str">
        <f t="shared" si="8"/>
        <v>Etc Grapple</v>
      </c>
      <c r="J199" s="6" t="s">
        <v>136</v>
      </c>
      <c r="K199" s="6">
        <v>1</v>
      </c>
      <c r="L199" s="6">
        <f t="shared" si="9"/>
        <v>2940000</v>
      </c>
      <c r="M199" s="6">
        <v>2500000</v>
      </c>
      <c r="N199" s="6" t="s">
        <v>2003</v>
      </c>
      <c r="O199" s="6" t="s">
        <v>895</v>
      </c>
      <c r="P199" s="6">
        <v>2015</v>
      </c>
      <c r="Q199" s="6">
        <v>1</v>
      </c>
      <c r="R199" s="6" t="s">
        <v>45</v>
      </c>
      <c r="S199" s="31" t="s">
        <v>2122</v>
      </c>
      <c r="T199" s="6">
        <v>1</v>
      </c>
      <c r="U199" s="26">
        <v>2300000</v>
      </c>
      <c r="V199" s="26">
        <v>2300000</v>
      </c>
      <c r="W199" s="26">
        <v>2300000</v>
      </c>
      <c r="X199" s="6" t="s">
        <v>2003</v>
      </c>
      <c r="Y199" s="6" t="s">
        <v>1154</v>
      </c>
      <c r="Z199" s="6">
        <v>224010</v>
      </c>
    </row>
    <row r="200" spans="1:26" x14ac:dyDescent="0.3">
      <c r="A200" s="28" t="s">
        <v>42</v>
      </c>
      <c r="B200" s="6" t="s">
        <v>2163</v>
      </c>
      <c r="C200" s="6"/>
      <c r="D200" s="6" t="s">
        <v>2292</v>
      </c>
      <c r="E200" s="6">
        <v>1</v>
      </c>
      <c r="F200" s="6" t="s">
        <v>2004</v>
      </c>
      <c r="G200" s="32" t="s">
        <v>2299</v>
      </c>
      <c r="H200" s="32" t="s">
        <v>2300</v>
      </c>
      <c r="I200" s="6" t="str">
        <f t="shared" si="8"/>
        <v>Lift Fork</v>
      </c>
      <c r="J200" s="6" t="s">
        <v>320</v>
      </c>
      <c r="K200" s="6">
        <v>1</v>
      </c>
      <c r="L200" s="6">
        <f t="shared" si="9"/>
        <v>470000</v>
      </c>
      <c r="M200" s="6">
        <v>400000</v>
      </c>
      <c r="N200" s="6" t="s">
        <v>2003</v>
      </c>
      <c r="O200" s="6" t="s">
        <v>813</v>
      </c>
      <c r="P200" s="6">
        <v>2013</v>
      </c>
      <c r="Q200" s="6">
        <v>1</v>
      </c>
      <c r="R200" s="6" t="s">
        <v>45</v>
      </c>
      <c r="S200" s="31" t="s">
        <v>2113</v>
      </c>
      <c r="T200" s="6">
        <v>1</v>
      </c>
      <c r="U200" s="26">
        <v>350000</v>
      </c>
      <c r="V200" s="26">
        <v>350000</v>
      </c>
      <c r="W200" s="26">
        <v>350000</v>
      </c>
      <c r="X200" s="6" t="s">
        <v>2003</v>
      </c>
      <c r="Y200" s="6" t="s">
        <v>80</v>
      </c>
      <c r="Z200" s="6">
        <v>224012</v>
      </c>
    </row>
    <row r="201" spans="1:26" x14ac:dyDescent="0.3">
      <c r="A201" s="28" t="s">
        <v>42</v>
      </c>
      <c r="B201" s="6" t="s">
        <v>1337</v>
      </c>
      <c r="C201" s="6"/>
      <c r="D201" s="6" t="s">
        <v>2290</v>
      </c>
      <c r="E201" s="6">
        <v>1</v>
      </c>
      <c r="F201" s="6" t="s">
        <v>2004</v>
      </c>
      <c r="G201" s="32" t="s">
        <v>2299</v>
      </c>
      <c r="H201" s="32" t="s">
        <v>2300</v>
      </c>
      <c r="I201" s="6" t="str">
        <f t="shared" si="8"/>
        <v>ETC</v>
      </c>
      <c r="J201" s="6" t="s">
        <v>332</v>
      </c>
      <c r="K201" s="6">
        <v>1</v>
      </c>
      <c r="L201" s="6">
        <f t="shared" si="9"/>
        <v>8940000</v>
      </c>
      <c r="M201" s="6">
        <v>7600000</v>
      </c>
      <c r="N201" s="6" t="s">
        <v>2003</v>
      </c>
      <c r="O201" s="6" t="s">
        <v>2035</v>
      </c>
      <c r="P201" s="6">
        <v>2013</v>
      </c>
      <c r="Q201" s="6">
        <v>8</v>
      </c>
      <c r="R201" s="6" t="s">
        <v>45</v>
      </c>
      <c r="S201" s="31" t="s">
        <v>2117</v>
      </c>
      <c r="T201" s="6">
        <v>1</v>
      </c>
      <c r="U201" s="26">
        <v>7100000</v>
      </c>
      <c r="V201" s="26">
        <v>7100000</v>
      </c>
      <c r="W201" s="26">
        <v>7100000</v>
      </c>
      <c r="X201" s="6" t="s">
        <v>2003</v>
      </c>
      <c r="Y201" s="6" t="s">
        <v>1156</v>
      </c>
      <c r="Z201" s="6">
        <v>224013</v>
      </c>
    </row>
    <row r="202" spans="1:26" x14ac:dyDescent="0.3">
      <c r="A202" s="28" t="s">
        <v>42</v>
      </c>
      <c r="B202" s="6" t="s">
        <v>1328</v>
      </c>
      <c r="C202" s="6" t="s">
        <v>1975</v>
      </c>
      <c r="D202" s="6" t="s">
        <v>2292</v>
      </c>
      <c r="E202" s="6">
        <v>1</v>
      </c>
      <c r="F202" s="6" t="s">
        <v>2004</v>
      </c>
      <c r="G202" s="32" t="s">
        <v>2299</v>
      </c>
      <c r="H202" s="32" t="s">
        <v>2300</v>
      </c>
      <c r="I202" s="6" t="str">
        <f t="shared" si="8"/>
        <v>Side Breaker</v>
      </c>
      <c r="J202" s="6" t="s">
        <v>2364</v>
      </c>
      <c r="K202" s="6">
        <v>1</v>
      </c>
      <c r="L202" s="6">
        <f t="shared" si="9"/>
        <v>7050000</v>
      </c>
      <c r="M202" s="6">
        <v>6000000</v>
      </c>
      <c r="N202" s="6" t="s">
        <v>2003</v>
      </c>
      <c r="O202" s="6" t="s">
        <v>813</v>
      </c>
      <c r="P202" s="6">
        <v>2016</v>
      </c>
      <c r="Q202" s="6">
        <v>1</v>
      </c>
      <c r="R202" s="6" t="s">
        <v>45</v>
      </c>
      <c r="S202" s="31" t="s">
        <v>2113</v>
      </c>
      <c r="T202" s="6">
        <v>1</v>
      </c>
      <c r="U202" s="26">
        <v>5500000</v>
      </c>
      <c r="V202" s="26">
        <v>5500000</v>
      </c>
      <c r="W202" s="26">
        <v>5500000</v>
      </c>
      <c r="X202" s="6" t="s">
        <v>2003</v>
      </c>
      <c r="Y202" s="6" t="s">
        <v>80</v>
      </c>
      <c r="Z202" s="6">
        <v>224015</v>
      </c>
    </row>
    <row r="203" spans="1:26" x14ac:dyDescent="0.3">
      <c r="A203" s="28" t="s">
        <v>42</v>
      </c>
      <c r="B203" s="6" t="s">
        <v>1337</v>
      </c>
      <c r="C203" s="6"/>
      <c r="D203" s="6" t="s">
        <v>2289</v>
      </c>
      <c r="E203" s="6">
        <v>1</v>
      </c>
      <c r="F203" s="6" t="s">
        <v>2004</v>
      </c>
      <c r="G203" s="32" t="s">
        <v>2299</v>
      </c>
      <c r="H203" s="32" t="s">
        <v>2300</v>
      </c>
      <c r="I203" s="6" t="str">
        <f t="shared" ref="I203:I266" si="10">IF(ISBLANK(C203),B203,C203)</f>
        <v>ETC</v>
      </c>
      <c r="J203" s="6" t="s">
        <v>491</v>
      </c>
      <c r="K203" s="6">
        <v>1</v>
      </c>
      <c r="L203" s="6">
        <f t="shared" ref="L203:L266" si="11">FLOOR(((M203*100)/85)/10000, 1)*10000</f>
        <v>9410000</v>
      </c>
      <c r="M203" s="6">
        <v>8000000</v>
      </c>
      <c r="N203" s="6" t="s">
        <v>2003</v>
      </c>
      <c r="O203" s="6" t="s">
        <v>905</v>
      </c>
      <c r="P203" s="6">
        <v>2010</v>
      </c>
      <c r="Q203" s="6">
        <v>10</v>
      </c>
      <c r="R203" s="6" t="s">
        <v>45</v>
      </c>
      <c r="S203" s="31" t="s">
        <v>2113</v>
      </c>
      <c r="T203" s="6">
        <v>1</v>
      </c>
      <c r="U203" s="26">
        <v>7500000</v>
      </c>
      <c r="V203" s="26">
        <v>7500000</v>
      </c>
      <c r="W203" s="26">
        <v>7500000</v>
      </c>
      <c r="X203" s="6" t="s">
        <v>2003</v>
      </c>
      <c r="Y203" s="6" t="s">
        <v>108</v>
      </c>
      <c r="Z203" s="6">
        <v>224033</v>
      </c>
    </row>
    <row r="204" spans="1:26" x14ac:dyDescent="0.3">
      <c r="A204" s="28" t="s">
        <v>42</v>
      </c>
      <c r="B204" s="6" t="s">
        <v>1328</v>
      </c>
      <c r="C204" s="6" t="s">
        <v>1975</v>
      </c>
      <c r="D204" s="6" t="s">
        <v>2294</v>
      </c>
      <c r="E204" s="6">
        <v>1</v>
      </c>
      <c r="F204" s="6" t="s">
        <v>2004</v>
      </c>
      <c r="G204" s="32" t="s">
        <v>2299</v>
      </c>
      <c r="H204" s="32" t="s">
        <v>2300</v>
      </c>
      <c r="I204" s="6" t="str">
        <f t="shared" si="10"/>
        <v>Side Breaker</v>
      </c>
      <c r="J204" s="6" t="s">
        <v>492</v>
      </c>
      <c r="K204" s="6">
        <v>1</v>
      </c>
      <c r="L204" s="6">
        <f t="shared" si="11"/>
        <v>3410000</v>
      </c>
      <c r="M204" s="6">
        <v>2900000</v>
      </c>
      <c r="N204" s="6" t="s">
        <v>2003</v>
      </c>
      <c r="O204" s="6" t="s">
        <v>906</v>
      </c>
      <c r="P204" s="6">
        <v>2012</v>
      </c>
      <c r="Q204" s="6">
        <v>1</v>
      </c>
      <c r="R204" s="6" t="s">
        <v>45</v>
      </c>
      <c r="S204" s="31" t="s">
        <v>2117</v>
      </c>
      <c r="T204" s="6">
        <v>1</v>
      </c>
      <c r="U204" s="26">
        <v>2700000</v>
      </c>
      <c r="V204" s="26">
        <v>2700000</v>
      </c>
      <c r="W204" s="26">
        <v>2700000</v>
      </c>
      <c r="X204" s="6" t="s">
        <v>2003</v>
      </c>
      <c r="Y204" s="6" t="s">
        <v>1263</v>
      </c>
      <c r="Z204" s="6">
        <v>224037</v>
      </c>
    </row>
    <row r="205" spans="1:26" x14ac:dyDescent="0.3">
      <c r="A205" s="28" t="s">
        <v>42</v>
      </c>
      <c r="B205" s="6" t="s">
        <v>2245</v>
      </c>
      <c r="C205" s="6" t="s">
        <v>2246</v>
      </c>
      <c r="D205" s="6" t="s">
        <v>2289</v>
      </c>
      <c r="E205" s="6">
        <v>1</v>
      </c>
      <c r="F205" s="6" t="s">
        <v>2004</v>
      </c>
      <c r="G205" s="32" t="s">
        <v>2299</v>
      </c>
      <c r="H205" s="32" t="s">
        <v>2300</v>
      </c>
      <c r="I205" s="6" t="str">
        <f t="shared" si="10"/>
        <v>Side Breaker</v>
      </c>
      <c r="J205" s="6" t="s">
        <v>493</v>
      </c>
      <c r="K205" s="6">
        <v>1</v>
      </c>
      <c r="L205" s="6">
        <f t="shared" si="11"/>
        <v>7050000</v>
      </c>
      <c r="M205" s="6">
        <v>6000000</v>
      </c>
      <c r="N205" s="6" t="s">
        <v>2003</v>
      </c>
      <c r="O205" s="6" t="s">
        <v>907</v>
      </c>
      <c r="P205" s="6">
        <v>2013</v>
      </c>
      <c r="Q205" s="6">
        <v>1</v>
      </c>
      <c r="R205" s="6" t="s">
        <v>45</v>
      </c>
      <c r="S205" s="31" t="s">
        <v>2110</v>
      </c>
      <c r="T205" s="6">
        <v>1</v>
      </c>
      <c r="U205" s="26">
        <v>5500000</v>
      </c>
      <c r="V205" s="26">
        <v>5500000</v>
      </c>
      <c r="W205" s="26">
        <v>5500000</v>
      </c>
      <c r="X205" s="6" t="s">
        <v>2003</v>
      </c>
      <c r="Y205" s="6" t="s">
        <v>1264</v>
      </c>
      <c r="Z205" s="6">
        <v>224042</v>
      </c>
    </row>
    <row r="206" spans="1:26" x14ac:dyDescent="0.3">
      <c r="A206" s="28" t="s">
        <v>42</v>
      </c>
      <c r="B206" s="6" t="s">
        <v>1327</v>
      </c>
      <c r="C206" s="6" t="s">
        <v>1976</v>
      </c>
      <c r="D206" s="6" t="s">
        <v>2292</v>
      </c>
      <c r="E206" s="6">
        <v>1</v>
      </c>
      <c r="F206" s="6" t="s">
        <v>2004</v>
      </c>
      <c r="G206" s="32" t="s">
        <v>2299</v>
      </c>
      <c r="H206" s="32" t="s">
        <v>2300</v>
      </c>
      <c r="I206" s="6" t="str">
        <f t="shared" si="10"/>
        <v>Skeleton Bucket</v>
      </c>
      <c r="J206" s="6" t="s">
        <v>494</v>
      </c>
      <c r="K206" s="6">
        <v>1</v>
      </c>
      <c r="L206" s="6">
        <f t="shared" si="11"/>
        <v>1880000</v>
      </c>
      <c r="M206" s="6">
        <v>1600000</v>
      </c>
      <c r="N206" s="6" t="s">
        <v>2003</v>
      </c>
      <c r="O206" s="6" t="s">
        <v>908</v>
      </c>
      <c r="P206" s="6">
        <v>2017</v>
      </c>
      <c r="Q206" s="6">
        <v>1</v>
      </c>
      <c r="R206" s="6" t="s">
        <v>45</v>
      </c>
      <c r="S206" s="31" t="s">
        <v>2114</v>
      </c>
      <c r="T206" s="6">
        <v>1</v>
      </c>
      <c r="U206" s="26">
        <v>1500000</v>
      </c>
      <c r="V206" s="26">
        <v>1500000</v>
      </c>
      <c r="W206" s="26">
        <v>1500000</v>
      </c>
      <c r="X206" s="6" t="s">
        <v>2003</v>
      </c>
      <c r="Y206" s="6" t="s">
        <v>833</v>
      </c>
      <c r="Z206" s="6">
        <v>224043</v>
      </c>
    </row>
    <row r="207" spans="1:26" x14ac:dyDescent="0.3">
      <c r="A207" s="28" t="s">
        <v>42</v>
      </c>
      <c r="B207" s="6" t="s">
        <v>1327</v>
      </c>
      <c r="C207" s="19" t="s">
        <v>1982</v>
      </c>
      <c r="D207" s="6" t="s">
        <v>2289</v>
      </c>
      <c r="E207" s="6">
        <v>1</v>
      </c>
      <c r="F207" s="6" t="s">
        <v>2004</v>
      </c>
      <c r="G207" s="32" t="s">
        <v>2299</v>
      </c>
      <c r="H207" s="32" t="s">
        <v>2300</v>
      </c>
      <c r="I207" s="6" t="str">
        <f t="shared" si="10"/>
        <v>Standard Bucket</v>
      </c>
      <c r="J207" s="6" t="s">
        <v>75</v>
      </c>
      <c r="K207" s="6">
        <v>1</v>
      </c>
      <c r="L207" s="6">
        <f t="shared" si="11"/>
        <v>7050000</v>
      </c>
      <c r="M207" s="6">
        <v>6000000</v>
      </c>
      <c r="N207" s="6" t="s">
        <v>2003</v>
      </c>
      <c r="O207" s="6" t="s">
        <v>909</v>
      </c>
      <c r="P207" s="6">
        <v>2016</v>
      </c>
      <c r="Q207" s="6">
        <v>1</v>
      </c>
      <c r="R207" s="6" t="s">
        <v>45</v>
      </c>
      <c r="S207" s="31" t="s">
        <v>2120</v>
      </c>
      <c r="T207" s="6">
        <v>1</v>
      </c>
      <c r="U207" s="26">
        <v>5500000</v>
      </c>
      <c r="V207" s="26">
        <v>5500000</v>
      </c>
      <c r="W207" s="26">
        <v>5500000</v>
      </c>
      <c r="X207" s="6" t="s">
        <v>2003</v>
      </c>
      <c r="Y207" s="6" t="s">
        <v>74</v>
      </c>
      <c r="Z207" s="6">
        <v>224045</v>
      </c>
    </row>
    <row r="208" spans="1:26" x14ac:dyDescent="0.3">
      <c r="A208" s="28" t="s">
        <v>42</v>
      </c>
      <c r="B208" s="6" t="s">
        <v>1327</v>
      </c>
      <c r="C208" s="6" t="s">
        <v>1976</v>
      </c>
      <c r="D208" s="6" t="s">
        <v>2291</v>
      </c>
      <c r="E208" s="6">
        <v>1</v>
      </c>
      <c r="F208" s="6" t="s">
        <v>2004</v>
      </c>
      <c r="G208" s="32" t="s">
        <v>2299</v>
      </c>
      <c r="H208" s="32" t="s">
        <v>2300</v>
      </c>
      <c r="I208" s="6" t="str">
        <f t="shared" si="10"/>
        <v>Skeleton Bucket</v>
      </c>
      <c r="J208" s="6" t="s">
        <v>495</v>
      </c>
      <c r="K208" s="6">
        <v>1</v>
      </c>
      <c r="L208" s="6">
        <f t="shared" si="11"/>
        <v>820000</v>
      </c>
      <c r="M208" s="6">
        <v>700000</v>
      </c>
      <c r="N208" s="6" t="s">
        <v>2003</v>
      </c>
      <c r="O208" s="6" t="s">
        <v>833</v>
      </c>
      <c r="P208" s="6">
        <v>2017</v>
      </c>
      <c r="Q208" s="6">
        <v>1</v>
      </c>
      <c r="R208" s="6" t="s">
        <v>45</v>
      </c>
      <c r="S208" s="31" t="s">
        <v>2114</v>
      </c>
      <c r="T208" s="6">
        <v>1</v>
      </c>
      <c r="U208" s="26">
        <v>600000</v>
      </c>
      <c r="V208" s="26">
        <v>600000</v>
      </c>
      <c r="W208" s="26">
        <v>600000</v>
      </c>
      <c r="X208" s="6" t="s">
        <v>2003</v>
      </c>
      <c r="Y208" s="6" t="s">
        <v>833</v>
      </c>
      <c r="Z208" s="6">
        <v>224046</v>
      </c>
    </row>
    <row r="209" spans="1:26" x14ac:dyDescent="0.3">
      <c r="A209" s="28" t="s">
        <v>42</v>
      </c>
      <c r="B209" s="6" t="s">
        <v>1327</v>
      </c>
      <c r="C209" s="6" t="s">
        <v>1976</v>
      </c>
      <c r="D209" s="6" t="s">
        <v>2292</v>
      </c>
      <c r="E209" s="6">
        <v>1</v>
      </c>
      <c r="F209" s="6" t="s">
        <v>2004</v>
      </c>
      <c r="G209" s="32" t="s">
        <v>2299</v>
      </c>
      <c r="H209" s="32" t="s">
        <v>2300</v>
      </c>
      <c r="I209" s="6" t="str">
        <f t="shared" si="10"/>
        <v>Skeleton Bucket</v>
      </c>
      <c r="J209" s="6" t="s">
        <v>118</v>
      </c>
      <c r="K209" s="6">
        <v>1</v>
      </c>
      <c r="L209" s="6">
        <f t="shared" si="11"/>
        <v>1110000</v>
      </c>
      <c r="M209" s="6">
        <v>950000</v>
      </c>
      <c r="N209" s="6" t="s">
        <v>2003</v>
      </c>
      <c r="O209" s="6" t="s">
        <v>910</v>
      </c>
      <c r="P209" s="6">
        <v>2015</v>
      </c>
      <c r="Q209" s="6">
        <v>1</v>
      </c>
      <c r="R209" s="6" t="s">
        <v>45</v>
      </c>
      <c r="S209" s="31" t="s">
        <v>2125</v>
      </c>
      <c r="T209" s="6">
        <v>1</v>
      </c>
      <c r="U209" s="26">
        <v>850000</v>
      </c>
      <c r="V209" s="26">
        <v>850000</v>
      </c>
      <c r="W209" s="26">
        <v>850000</v>
      </c>
      <c r="X209" s="6" t="s">
        <v>2003</v>
      </c>
      <c r="Y209" s="6" t="s">
        <v>98</v>
      </c>
      <c r="Z209" s="6">
        <v>224060</v>
      </c>
    </row>
    <row r="210" spans="1:26" x14ac:dyDescent="0.3">
      <c r="A210" s="28" t="s">
        <v>42</v>
      </c>
      <c r="B210" s="6" t="s">
        <v>1328</v>
      </c>
      <c r="C210" s="6" t="s">
        <v>1975</v>
      </c>
      <c r="D210" s="6" t="s">
        <v>2292</v>
      </c>
      <c r="E210" s="6">
        <v>1</v>
      </c>
      <c r="F210" s="6" t="s">
        <v>2004</v>
      </c>
      <c r="G210" s="32" t="s">
        <v>2299</v>
      </c>
      <c r="H210" s="32" t="s">
        <v>2300</v>
      </c>
      <c r="I210" s="6" t="str">
        <f t="shared" si="10"/>
        <v>Side Breaker</v>
      </c>
      <c r="J210" s="6" t="s">
        <v>119</v>
      </c>
      <c r="K210" s="6">
        <v>1</v>
      </c>
      <c r="L210" s="6">
        <f t="shared" si="11"/>
        <v>5290000</v>
      </c>
      <c r="M210" s="6">
        <v>4500000</v>
      </c>
      <c r="N210" s="6" t="s">
        <v>2003</v>
      </c>
      <c r="O210" s="6" t="s">
        <v>837</v>
      </c>
      <c r="P210" s="6">
        <v>2015</v>
      </c>
      <c r="Q210" s="6">
        <v>1</v>
      </c>
      <c r="R210" s="6" t="s">
        <v>45</v>
      </c>
      <c r="S210" s="31" t="s">
        <v>2113</v>
      </c>
      <c r="T210" s="6">
        <v>1</v>
      </c>
      <c r="U210" s="26">
        <v>4300000</v>
      </c>
      <c r="V210" s="26">
        <v>4300000</v>
      </c>
      <c r="W210" s="26">
        <v>4300000</v>
      </c>
      <c r="X210" s="6" t="s">
        <v>2003</v>
      </c>
      <c r="Y210" s="6" t="s">
        <v>71</v>
      </c>
      <c r="Z210" s="6">
        <v>224061</v>
      </c>
    </row>
    <row r="211" spans="1:26" x14ac:dyDescent="0.3">
      <c r="A211" s="28" t="s">
        <v>42</v>
      </c>
      <c r="B211" s="6" t="s">
        <v>1326</v>
      </c>
      <c r="C211" s="6" t="s">
        <v>1972</v>
      </c>
      <c r="D211" s="6" t="s">
        <v>2291</v>
      </c>
      <c r="E211" s="6">
        <v>1</v>
      </c>
      <c r="F211" s="6" t="s">
        <v>2004</v>
      </c>
      <c r="G211" s="32" t="s">
        <v>2299</v>
      </c>
      <c r="H211" s="32" t="s">
        <v>2300</v>
      </c>
      <c r="I211" s="6" t="str">
        <f t="shared" si="10"/>
        <v>Stone Grapple</v>
      </c>
      <c r="J211" s="6" t="s">
        <v>149</v>
      </c>
      <c r="K211" s="6">
        <v>1</v>
      </c>
      <c r="L211" s="6">
        <f t="shared" si="11"/>
        <v>4580000</v>
      </c>
      <c r="M211" s="6">
        <v>3900000</v>
      </c>
      <c r="N211" s="6" t="s">
        <v>2003</v>
      </c>
      <c r="O211" s="6" t="s">
        <v>911</v>
      </c>
      <c r="P211" s="6">
        <v>2016</v>
      </c>
      <c r="Q211" s="6">
        <v>1</v>
      </c>
      <c r="R211" s="6" t="s">
        <v>45</v>
      </c>
      <c r="S211" s="31" t="s">
        <v>2121</v>
      </c>
      <c r="T211" s="6">
        <v>1</v>
      </c>
      <c r="U211" s="26">
        <v>3700000</v>
      </c>
      <c r="V211" s="26">
        <v>3700000</v>
      </c>
      <c r="W211" s="26">
        <v>3700000</v>
      </c>
      <c r="X211" s="6" t="s">
        <v>2003</v>
      </c>
      <c r="Y211" s="6" t="s">
        <v>1265</v>
      </c>
      <c r="Z211" s="6">
        <v>224062</v>
      </c>
    </row>
    <row r="212" spans="1:26" x14ac:dyDescent="0.3">
      <c r="A212" s="28" t="s">
        <v>42</v>
      </c>
      <c r="B212" s="6" t="s">
        <v>1326</v>
      </c>
      <c r="C212" s="6" t="s">
        <v>1979</v>
      </c>
      <c r="D212" s="6" t="s">
        <v>2292</v>
      </c>
      <c r="E212" s="6">
        <v>1</v>
      </c>
      <c r="F212" s="6" t="s">
        <v>2004</v>
      </c>
      <c r="G212" s="32" t="s">
        <v>2299</v>
      </c>
      <c r="H212" s="32" t="s">
        <v>2300</v>
      </c>
      <c r="I212" s="6" t="str">
        <f t="shared" si="10"/>
        <v>Thumb Grapple</v>
      </c>
      <c r="J212" s="6" t="s">
        <v>195</v>
      </c>
      <c r="K212" s="6">
        <v>1</v>
      </c>
      <c r="L212" s="6">
        <f t="shared" si="11"/>
        <v>1290000</v>
      </c>
      <c r="M212" s="6">
        <v>1100000</v>
      </c>
      <c r="N212" s="6" t="s">
        <v>2003</v>
      </c>
      <c r="O212" s="6" t="s">
        <v>1848</v>
      </c>
      <c r="P212" s="6">
        <v>2012</v>
      </c>
      <c r="Q212" s="6">
        <v>6</v>
      </c>
      <c r="R212" s="6" t="s">
        <v>45</v>
      </c>
      <c r="S212" s="31" t="s">
        <v>2116</v>
      </c>
      <c r="T212" s="6">
        <v>1</v>
      </c>
      <c r="U212" s="26">
        <v>1000000</v>
      </c>
      <c r="V212" s="26">
        <v>1000000</v>
      </c>
      <c r="W212" s="26">
        <v>1000000</v>
      </c>
      <c r="X212" s="6" t="s">
        <v>2003</v>
      </c>
      <c r="Y212" s="6" t="s">
        <v>1146</v>
      </c>
      <c r="Z212" s="6">
        <v>224063</v>
      </c>
    </row>
    <row r="213" spans="1:26" x14ac:dyDescent="0.3">
      <c r="A213" s="28" t="s">
        <v>42</v>
      </c>
      <c r="B213" s="6" t="s">
        <v>1326</v>
      </c>
      <c r="C213" s="6" t="s">
        <v>1972</v>
      </c>
      <c r="D213" s="6" t="s">
        <v>2291</v>
      </c>
      <c r="E213" s="6">
        <v>1</v>
      </c>
      <c r="F213" s="6" t="s">
        <v>2004</v>
      </c>
      <c r="G213" s="32" t="s">
        <v>2299</v>
      </c>
      <c r="H213" s="32" t="s">
        <v>2300</v>
      </c>
      <c r="I213" s="6" t="str">
        <f t="shared" si="10"/>
        <v>Stone Grapple</v>
      </c>
      <c r="J213" s="6" t="s">
        <v>426</v>
      </c>
      <c r="K213" s="6">
        <v>1</v>
      </c>
      <c r="L213" s="6">
        <f t="shared" si="11"/>
        <v>1940000</v>
      </c>
      <c r="M213" s="6">
        <v>1650000</v>
      </c>
      <c r="N213" s="6" t="s">
        <v>2003</v>
      </c>
      <c r="O213" s="6" t="s">
        <v>51</v>
      </c>
      <c r="P213" s="6">
        <v>2016</v>
      </c>
      <c r="Q213" s="6">
        <v>1</v>
      </c>
      <c r="R213" s="6" t="s">
        <v>45</v>
      </c>
      <c r="S213" s="31" t="s">
        <v>2113</v>
      </c>
      <c r="T213" s="6">
        <v>1</v>
      </c>
      <c r="U213" s="26">
        <v>1550000</v>
      </c>
      <c r="V213" s="26">
        <v>1550000</v>
      </c>
      <c r="W213" s="26">
        <v>1550000</v>
      </c>
      <c r="X213" s="6" t="s">
        <v>2003</v>
      </c>
      <c r="Y213" s="6" t="s">
        <v>49</v>
      </c>
      <c r="Z213" s="6">
        <v>224068</v>
      </c>
    </row>
    <row r="214" spans="1:26" x14ac:dyDescent="0.3">
      <c r="A214" s="28" t="s">
        <v>42</v>
      </c>
      <c r="B214" s="6" t="s">
        <v>1328</v>
      </c>
      <c r="C214" s="19" t="s">
        <v>1975</v>
      </c>
      <c r="D214" s="6" t="s">
        <v>2292</v>
      </c>
      <c r="E214" s="6">
        <v>1</v>
      </c>
      <c r="F214" s="6" t="s">
        <v>2004</v>
      </c>
      <c r="G214" s="32" t="s">
        <v>2299</v>
      </c>
      <c r="H214" s="32" t="s">
        <v>2300</v>
      </c>
      <c r="I214" s="6" t="str">
        <f t="shared" si="10"/>
        <v>Side Breaker</v>
      </c>
      <c r="J214" s="6" t="s">
        <v>423</v>
      </c>
      <c r="K214" s="6">
        <v>1</v>
      </c>
      <c r="L214" s="6">
        <f t="shared" si="11"/>
        <v>2940000</v>
      </c>
      <c r="M214" s="6">
        <v>2500000</v>
      </c>
      <c r="N214" s="6" t="s">
        <v>2003</v>
      </c>
      <c r="O214" s="6" t="s">
        <v>912</v>
      </c>
      <c r="P214" s="6">
        <v>2010</v>
      </c>
      <c r="Q214" s="6">
        <v>1</v>
      </c>
      <c r="R214" s="6" t="s">
        <v>45</v>
      </c>
      <c r="S214" s="31" t="s">
        <v>2120</v>
      </c>
      <c r="T214" s="6">
        <v>1</v>
      </c>
      <c r="U214" s="26">
        <v>2300000</v>
      </c>
      <c r="V214" s="26">
        <v>2300000</v>
      </c>
      <c r="W214" s="26">
        <v>2300000</v>
      </c>
      <c r="X214" s="6" t="s">
        <v>2003</v>
      </c>
      <c r="Y214" s="6" t="s">
        <v>1162</v>
      </c>
      <c r="Z214" s="6">
        <v>224074</v>
      </c>
    </row>
    <row r="215" spans="1:26" x14ac:dyDescent="0.3">
      <c r="A215" s="28" t="s">
        <v>42</v>
      </c>
      <c r="B215" s="6" t="s">
        <v>1326</v>
      </c>
      <c r="C215" s="6" t="s">
        <v>1972</v>
      </c>
      <c r="D215" s="6" t="s">
        <v>2292</v>
      </c>
      <c r="E215" s="6">
        <v>1</v>
      </c>
      <c r="F215" s="6" t="s">
        <v>2004</v>
      </c>
      <c r="G215" s="32" t="s">
        <v>2299</v>
      </c>
      <c r="H215" s="32" t="s">
        <v>2300</v>
      </c>
      <c r="I215" s="6" t="str">
        <f t="shared" si="10"/>
        <v>Stone Grapple</v>
      </c>
      <c r="J215" s="6" t="s">
        <v>44</v>
      </c>
      <c r="K215" s="6">
        <v>1</v>
      </c>
      <c r="L215" s="6">
        <f t="shared" si="11"/>
        <v>2820000</v>
      </c>
      <c r="M215" s="6">
        <v>2400000</v>
      </c>
      <c r="N215" s="6" t="s">
        <v>2003</v>
      </c>
      <c r="O215" s="6" t="s">
        <v>1849</v>
      </c>
      <c r="P215" s="6">
        <v>2013</v>
      </c>
      <c r="Q215" s="6">
        <v>1</v>
      </c>
      <c r="R215" s="6" t="s">
        <v>45</v>
      </c>
      <c r="S215" s="31" t="s">
        <v>2116</v>
      </c>
      <c r="T215" s="6">
        <v>1</v>
      </c>
      <c r="U215" s="26">
        <v>2200000</v>
      </c>
      <c r="V215" s="26">
        <v>2200000</v>
      </c>
      <c r="W215" s="26">
        <v>2200000</v>
      </c>
      <c r="X215" s="6" t="s">
        <v>2003</v>
      </c>
      <c r="Y215" s="6" t="s">
        <v>1236</v>
      </c>
      <c r="Z215" s="6">
        <v>224078</v>
      </c>
    </row>
    <row r="216" spans="1:26" x14ac:dyDescent="0.3">
      <c r="A216" s="28" t="s">
        <v>42</v>
      </c>
      <c r="B216" s="6" t="s">
        <v>1328</v>
      </c>
      <c r="C216" s="6" t="s">
        <v>1975</v>
      </c>
      <c r="D216" s="6" t="s">
        <v>2292</v>
      </c>
      <c r="E216" s="6">
        <v>1</v>
      </c>
      <c r="F216" s="6" t="s">
        <v>2004</v>
      </c>
      <c r="G216" s="32" t="s">
        <v>2299</v>
      </c>
      <c r="H216" s="32" t="s">
        <v>2300</v>
      </c>
      <c r="I216" s="6" t="str">
        <f t="shared" si="10"/>
        <v>Side Breaker</v>
      </c>
      <c r="J216" s="6" t="s">
        <v>404</v>
      </c>
      <c r="K216" s="6">
        <v>1</v>
      </c>
      <c r="L216" s="6">
        <f t="shared" si="11"/>
        <v>5170000</v>
      </c>
      <c r="M216" s="6">
        <v>4400000</v>
      </c>
      <c r="N216" s="6" t="s">
        <v>2003</v>
      </c>
      <c r="O216" s="6" t="s">
        <v>862</v>
      </c>
      <c r="P216" s="6">
        <v>2015</v>
      </c>
      <c r="Q216" s="6">
        <v>8</v>
      </c>
      <c r="R216" s="6" t="s">
        <v>45</v>
      </c>
      <c r="S216" s="31" t="s">
        <v>2118</v>
      </c>
      <c r="T216" s="6">
        <v>1</v>
      </c>
      <c r="U216" s="26">
        <v>4200000</v>
      </c>
      <c r="V216" s="26">
        <v>4200000</v>
      </c>
      <c r="W216" s="26">
        <v>4200000</v>
      </c>
      <c r="X216" s="6" t="s">
        <v>2003</v>
      </c>
      <c r="Y216" s="6" t="s">
        <v>67</v>
      </c>
      <c r="Z216" s="6">
        <v>224087</v>
      </c>
    </row>
    <row r="217" spans="1:26" x14ac:dyDescent="0.3">
      <c r="A217" s="28" t="s">
        <v>42</v>
      </c>
      <c r="B217" s="6" t="s">
        <v>2163</v>
      </c>
      <c r="C217" s="6"/>
      <c r="D217" s="6" t="s">
        <v>2295</v>
      </c>
      <c r="E217" s="6">
        <v>1</v>
      </c>
      <c r="F217" s="6" t="s">
        <v>2004</v>
      </c>
      <c r="G217" s="32" t="s">
        <v>2299</v>
      </c>
      <c r="H217" s="32" t="s">
        <v>2300</v>
      </c>
      <c r="I217" s="6" t="str">
        <f t="shared" si="10"/>
        <v>Lift Fork</v>
      </c>
      <c r="J217" s="6" t="s">
        <v>285</v>
      </c>
      <c r="K217" s="6">
        <v>1</v>
      </c>
      <c r="L217" s="6">
        <f t="shared" si="11"/>
        <v>1410000</v>
      </c>
      <c r="M217" s="6">
        <v>1200000</v>
      </c>
      <c r="N217" s="6" t="s">
        <v>2003</v>
      </c>
      <c r="O217" s="6" t="s">
        <v>1850</v>
      </c>
      <c r="P217" s="6">
        <v>2016</v>
      </c>
      <c r="Q217" s="6">
        <v>11</v>
      </c>
      <c r="R217" s="6" t="s">
        <v>45</v>
      </c>
      <c r="S217" s="31" t="s">
        <v>2112</v>
      </c>
      <c r="T217" s="6">
        <v>1</v>
      </c>
      <c r="U217" s="26">
        <v>1100000</v>
      </c>
      <c r="V217" s="26">
        <v>1100000</v>
      </c>
      <c r="W217" s="26">
        <v>1100000</v>
      </c>
      <c r="X217" s="6" t="s">
        <v>2003</v>
      </c>
      <c r="Y217" s="6" t="s">
        <v>1184</v>
      </c>
      <c r="Z217" s="6">
        <v>224090</v>
      </c>
    </row>
    <row r="218" spans="1:26" x14ac:dyDescent="0.3">
      <c r="A218" s="28" t="s">
        <v>42</v>
      </c>
      <c r="B218" s="6" t="s">
        <v>1326</v>
      </c>
      <c r="C218" s="6" t="s">
        <v>1972</v>
      </c>
      <c r="D218" s="6" t="s">
        <v>2292</v>
      </c>
      <c r="E218" s="6">
        <v>1</v>
      </c>
      <c r="F218" s="6" t="s">
        <v>2004</v>
      </c>
      <c r="G218" s="32" t="s">
        <v>2299</v>
      </c>
      <c r="H218" s="32" t="s">
        <v>2300</v>
      </c>
      <c r="I218" s="6" t="str">
        <f t="shared" si="10"/>
        <v>Stone Grapple</v>
      </c>
      <c r="J218" s="6" t="s">
        <v>120</v>
      </c>
      <c r="K218" s="6">
        <v>1</v>
      </c>
      <c r="L218" s="6">
        <f t="shared" si="11"/>
        <v>5520000</v>
      </c>
      <c r="M218" s="6">
        <v>4700000</v>
      </c>
      <c r="N218" s="6" t="s">
        <v>2003</v>
      </c>
      <c r="O218" s="6" t="s">
        <v>899</v>
      </c>
      <c r="P218" s="6">
        <v>2011</v>
      </c>
      <c r="Q218" s="6">
        <v>8</v>
      </c>
      <c r="R218" s="6" t="s">
        <v>45</v>
      </c>
      <c r="S218" s="31" t="s">
        <v>2117</v>
      </c>
      <c r="T218" s="6">
        <v>1</v>
      </c>
      <c r="U218" s="26">
        <v>4500000</v>
      </c>
      <c r="V218" s="26">
        <v>4500000</v>
      </c>
      <c r="W218" s="26">
        <v>4500000</v>
      </c>
      <c r="X218" s="6" t="s">
        <v>2003</v>
      </c>
      <c r="Y218" s="6" t="s">
        <v>899</v>
      </c>
      <c r="Z218" s="6">
        <v>224091</v>
      </c>
    </row>
    <row r="219" spans="1:26" x14ac:dyDescent="0.3">
      <c r="A219" s="28" t="s">
        <v>42</v>
      </c>
      <c r="B219" s="6" t="s">
        <v>1337</v>
      </c>
      <c r="C219" s="6"/>
      <c r="D219" s="6" t="s">
        <v>2291</v>
      </c>
      <c r="E219" s="6">
        <v>1</v>
      </c>
      <c r="F219" s="6" t="s">
        <v>2004</v>
      </c>
      <c r="G219" s="32" t="s">
        <v>2299</v>
      </c>
      <c r="H219" s="32" t="s">
        <v>2300</v>
      </c>
      <c r="I219" s="6" t="str">
        <f t="shared" si="10"/>
        <v>ETC</v>
      </c>
      <c r="J219" s="6" t="s">
        <v>500</v>
      </c>
      <c r="K219" s="6">
        <v>1</v>
      </c>
      <c r="L219" s="6">
        <f t="shared" si="11"/>
        <v>2110000</v>
      </c>
      <c r="M219" s="6">
        <v>1800000</v>
      </c>
      <c r="N219" s="6" t="s">
        <v>2003</v>
      </c>
      <c r="O219" s="6" t="s">
        <v>913</v>
      </c>
      <c r="P219" s="6">
        <v>2016</v>
      </c>
      <c r="Q219" s="6">
        <v>9</v>
      </c>
      <c r="R219" s="6" t="s">
        <v>45</v>
      </c>
      <c r="S219" s="31" t="s">
        <v>2118</v>
      </c>
      <c r="T219" s="6">
        <v>1</v>
      </c>
      <c r="U219" s="26">
        <v>1700000</v>
      </c>
      <c r="V219" s="26">
        <v>1700000</v>
      </c>
      <c r="W219" s="26">
        <v>1700000</v>
      </c>
      <c r="X219" s="6" t="s">
        <v>2003</v>
      </c>
      <c r="Y219" s="6" t="s">
        <v>1170</v>
      </c>
      <c r="Z219" s="6">
        <v>224093</v>
      </c>
    </row>
    <row r="220" spans="1:26" x14ac:dyDescent="0.3">
      <c r="A220" s="28" t="s">
        <v>42</v>
      </c>
      <c r="B220" s="6" t="s">
        <v>1328</v>
      </c>
      <c r="C220" s="6" t="s">
        <v>1975</v>
      </c>
      <c r="D220" s="6" t="s">
        <v>2293</v>
      </c>
      <c r="E220" s="6">
        <v>1</v>
      </c>
      <c r="F220" s="6" t="s">
        <v>2004</v>
      </c>
      <c r="G220" s="32" t="s">
        <v>2299</v>
      </c>
      <c r="H220" s="32" t="s">
        <v>2300</v>
      </c>
      <c r="I220" s="6" t="str">
        <f t="shared" si="10"/>
        <v>Side Breaker</v>
      </c>
      <c r="J220" s="6" t="s">
        <v>385</v>
      </c>
      <c r="K220" s="6">
        <v>1</v>
      </c>
      <c r="L220" s="6">
        <f t="shared" si="11"/>
        <v>2000000</v>
      </c>
      <c r="M220" s="6">
        <v>1700000</v>
      </c>
      <c r="N220" s="6" t="s">
        <v>2003</v>
      </c>
      <c r="O220" s="6" t="s">
        <v>70</v>
      </c>
      <c r="P220" s="6">
        <v>2014</v>
      </c>
      <c r="Q220" s="6">
        <v>5</v>
      </c>
      <c r="R220" s="6" t="s">
        <v>45</v>
      </c>
      <c r="S220" s="31" t="s">
        <v>2113</v>
      </c>
      <c r="T220" s="6">
        <v>1</v>
      </c>
      <c r="U220" s="26">
        <v>1600000</v>
      </c>
      <c r="V220" s="26">
        <v>1600000</v>
      </c>
      <c r="W220" s="26">
        <v>1600000</v>
      </c>
      <c r="X220" s="6" t="s">
        <v>2003</v>
      </c>
      <c r="Y220" s="6" t="s">
        <v>71</v>
      </c>
      <c r="Z220" s="6">
        <v>224096</v>
      </c>
    </row>
    <row r="221" spans="1:26" x14ac:dyDescent="0.3">
      <c r="A221" s="28" t="s">
        <v>42</v>
      </c>
      <c r="B221" s="6" t="s">
        <v>2245</v>
      </c>
      <c r="C221" s="6" t="s">
        <v>2246</v>
      </c>
      <c r="D221" s="6" t="s">
        <v>2292</v>
      </c>
      <c r="E221" s="6">
        <v>1</v>
      </c>
      <c r="F221" s="6" t="s">
        <v>2004</v>
      </c>
      <c r="G221" s="32" t="s">
        <v>2299</v>
      </c>
      <c r="H221" s="32" t="s">
        <v>2300</v>
      </c>
      <c r="I221" s="6" t="str">
        <f t="shared" si="10"/>
        <v>Side Breaker</v>
      </c>
      <c r="J221" s="6" t="s">
        <v>501</v>
      </c>
      <c r="K221" s="6">
        <v>1</v>
      </c>
      <c r="L221" s="6">
        <f t="shared" si="11"/>
        <v>7170000</v>
      </c>
      <c r="M221" s="6">
        <v>6100000</v>
      </c>
      <c r="N221" s="6" t="s">
        <v>2003</v>
      </c>
      <c r="O221" s="6" t="s">
        <v>915</v>
      </c>
      <c r="P221" s="6">
        <v>2015</v>
      </c>
      <c r="Q221" s="6">
        <v>1</v>
      </c>
      <c r="R221" s="6" t="s">
        <v>45</v>
      </c>
      <c r="S221" s="31" t="s">
        <v>2116</v>
      </c>
      <c r="T221" s="6">
        <v>1</v>
      </c>
      <c r="U221" s="26">
        <v>5600000</v>
      </c>
      <c r="V221" s="26">
        <v>5600000</v>
      </c>
      <c r="W221" s="26">
        <v>5600000</v>
      </c>
      <c r="X221" s="6" t="s">
        <v>2003</v>
      </c>
      <c r="Y221" s="6" t="s">
        <v>1175</v>
      </c>
      <c r="Z221" s="6">
        <v>224105</v>
      </c>
    </row>
    <row r="222" spans="1:26" x14ac:dyDescent="0.3">
      <c r="A222" s="28" t="s">
        <v>42</v>
      </c>
      <c r="B222" s="6" t="s">
        <v>1326</v>
      </c>
      <c r="C222" s="6" t="s">
        <v>1972</v>
      </c>
      <c r="D222" s="6" t="s">
        <v>2292</v>
      </c>
      <c r="E222" s="6">
        <v>1</v>
      </c>
      <c r="F222" s="6" t="s">
        <v>2004</v>
      </c>
      <c r="G222" s="32" t="s">
        <v>2299</v>
      </c>
      <c r="H222" s="32" t="s">
        <v>2300</v>
      </c>
      <c r="I222" s="6" t="str">
        <f t="shared" si="10"/>
        <v>Stone Grapple</v>
      </c>
      <c r="J222" s="6" t="s">
        <v>257</v>
      </c>
      <c r="K222" s="6">
        <v>1</v>
      </c>
      <c r="L222" s="6">
        <f t="shared" si="11"/>
        <v>4700000</v>
      </c>
      <c r="M222" s="6">
        <v>4000000</v>
      </c>
      <c r="N222" s="6" t="s">
        <v>2003</v>
      </c>
      <c r="O222" s="6" t="s">
        <v>1851</v>
      </c>
      <c r="P222" s="6">
        <v>2003</v>
      </c>
      <c r="Q222" s="6">
        <v>1</v>
      </c>
      <c r="R222" s="6" t="s">
        <v>45</v>
      </c>
      <c r="S222" s="31" t="s">
        <v>2122</v>
      </c>
      <c r="T222" s="6">
        <v>1</v>
      </c>
      <c r="U222" s="26">
        <v>3800000</v>
      </c>
      <c r="V222" s="26">
        <v>3800000</v>
      </c>
      <c r="W222" s="26">
        <v>3800000</v>
      </c>
      <c r="X222" s="6" t="s">
        <v>2003</v>
      </c>
      <c r="Y222" s="6" t="s">
        <v>1204</v>
      </c>
      <c r="Z222" s="6">
        <v>224115</v>
      </c>
    </row>
    <row r="223" spans="1:26" x14ac:dyDescent="0.3">
      <c r="A223" s="28" t="s">
        <v>42</v>
      </c>
      <c r="B223" s="6" t="s">
        <v>2163</v>
      </c>
      <c r="C223" s="6"/>
      <c r="D223" s="6" t="s">
        <v>2291</v>
      </c>
      <c r="E223" s="6">
        <v>1</v>
      </c>
      <c r="F223" s="6" t="s">
        <v>2004</v>
      </c>
      <c r="G223" s="32" t="s">
        <v>2299</v>
      </c>
      <c r="H223" s="32" t="s">
        <v>2300</v>
      </c>
      <c r="I223" s="6" t="str">
        <f t="shared" si="10"/>
        <v>Lift Fork</v>
      </c>
      <c r="J223" s="6" t="s">
        <v>391</v>
      </c>
      <c r="K223" s="6">
        <v>1</v>
      </c>
      <c r="L223" s="6">
        <f t="shared" si="11"/>
        <v>1050000</v>
      </c>
      <c r="M223" s="6">
        <v>900000</v>
      </c>
      <c r="N223" s="6" t="s">
        <v>2003</v>
      </c>
      <c r="O223" s="6" t="s">
        <v>791</v>
      </c>
      <c r="P223" s="6">
        <v>2016</v>
      </c>
      <c r="Q223" s="6">
        <v>12</v>
      </c>
      <c r="R223" s="6" t="s">
        <v>45</v>
      </c>
      <c r="S223" s="31" t="s">
        <v>2123</v>
      </c>
      <c r="T223" s="6">
        <v>1</v>
      </c>
      <c r="U223" s="26">
        <v>800000</v>
      </c>
      <c r="V223" s="26">
        <v>800000</v>
      </c>
      <c r="W223" s="26">
        <v>800000</v>
      </c>
      <c r="X223" s="6" t="s">
        <v>2003</v>
      </c>
      <c r="Y223" s="6" t="s">
        <v>1143</v>
      </c>
      <c r="Z223" s="6">
        <v>224116</v>
      </c>
    </row>
    <row r="224" spans="1:26" x14ac:dyDescent="0.3">
      <c r="A224" s="28" t="s">
        <v>42</v>
      </c>
      <c r="B224" s="6" t="s">
        <v>1326</v>
      </c>
      <c r="C224" s="6" t="s">
        <v>1979</v>
      </c>
      <c r="D224" s="6" t="s">
        <v>2292</v>
      </c>
      <c r="E224" s="6">
        <v>1</v>
      </c>
      <c r="F224" s="6" t="s">
        <v>2004</v>
      </c>
      <c r="G224" s="32" t="s">
        <v>2299</v>
      </c>
      <c r="H224" s="32" t="s">
        <v>2300</v>
      </c>
      <c r="I224" s="6" t="str">
        <f t="shared" si="10"/>
        <v>Thumb Grapple</v>
      </c>
      <c r="J224" s="6" t="s">
        <v>96</v>
      </c>
      <c r="K224" s="6">
        <v>1</v>
      </c>
      <c r="L224" s="6">
        <f t="shared" si="11"/>
        <v>1700000</v>
      </c>
      <c r="M224" s="6">
        <v>1450000</v>
      </c>
      <c r="N224" s="6" t="s">
        <v>2003</v>
      </c>
      <c r="O224" s="6" t="s">
        <v>51</v>
      </c>
      <c r="P224" s="6">
        <v>2014</v>
      </c>
      <c r="Q224" s="6">
        <v>1</v>
      </c>
      <c r="R224" s="6" t="s">
        <v>45</v>
      </c>
      <c r="S224" s="31" t="s">
        <v>2113</v>
      </c>
      <c r="T224" s="6">
        <v>1</v>
      </c>
      <c r="U224" s="26">
        <v>1350000</v>
      </c>
      <c r="V224" s="26">
        <v>1350000</v>
      </c>
      <c r="W224" s="26">
        <v>1350000</v>
      </c>
      <c r="X224" s="6" t="s">
        <v>2003</v>
      </c>
      <c r="Y224" s="6" t="s">
        <v>49</v>
      </c>
      <c r="Z224" s="6">
        <v>224127</v>
      </c>
    </row>
    <row r="225" spans="1:26" x14ac:dyDescent="0.3">
      <c r="A225" s="28" t="s">
        <v>42</v>
      </c>
      <c r="B225" s="6" t="s">
        <v>1326</v>
      </c>
      <c r="C225" s="6" t="s">
        <v>1972</v>
      </c>
      <c r="D225" s="6" t="s">
        <v>2292</v>
      </c>
      <c r="E225" s="6">
        <v>1</v>
      </c>
      <c r="F225" s="6" t="s">
        <v>2004</v>
      </c>
      <c r="G225" s="32" t="s">
        <v>2299</v>
      </c>
      <c r="H225" s="32" t="s">
        <v>2300</v>
      </c>
      <c r="I225" s="6" t="str">
        <f t="shared" si="10"/>
        <v>Stone Grapple</v>
      </c>
      <c r="J225" s="6" t="s">
        <v>44</v>
      </c>
      <c r="K225" s="6">
        <v>1</v>
      </c>
      <c r="L225" s="6">
        <f t="shared" si="11"/>
        <v>2700000</v>
      </c>
      <c r="M225" s="6">
        <v>2300000</v>
      </c>
      <c r="N225" s="6" t="s">
        <v>2003</v>
      </c>
      <c r="O225" s="6" t="s">
        <v>51</v>
      </c>
      <c r="P225" s="6">
        <v>2014</v>
      </c>
      <c r="Q225" s="6">
        <v>1</v>
      </c>
      <c r="R225" s="6" t="s">
        <v>45</v>
      </c>
      <c r="S225" s="31" t="s">
        <v>2113</v>
      </c>
      <c r="T225" s="6">
        <v>1</v>
      </c>
      <c r="U225" s="26">
        <v>2100000</v>
      </c>
      <c r="V225" s="26">
        <v>2100000</v>
      </c>
      <c r="W225" s="26">
        <v>2100000</v>
      </c>
      <c r="X225" s="6" t="s">
        <v>2003</v>
      </c>
      <c r="Y225" s="6" t="s">
        <v>49</v>
      </c>
      <c r="Z225" s="6">
        <v>224131</v>
      </c>
    </row>
    <row r="226" spans="1:26" x14ac:dyDescent="0.3">
      <c r="A226" s="28" t="s">
        <v>42</v>
      </c>
      <c r="B226" s="6" t="s">
        <v>1325</v>
      </c>
      <c r="C226" s="19" t="s">
        <v>2156</v>
      </c>
      <c r="D226" s="6" t="s">
        <v>2292</v>
      </c>
      <c r="E226" s="6">
        <v>1</v>
      </c>
      <c r="F226" s="6" t="s">
        <v>2004</v>
      </c>
      <c r="G226" s="32" t="s">
        <v>2299</v>
      </c>
      <c r="H226" s="32" t="s">
        <v>2300</v>
      </c>
      <c r="I226" s="6" t="str">
        <f t="shared" si="10"/>
        <v>Hydraulic Crusher</v>
      </c>
      <c r="J226" s="6" t="s">
        <v>304</v>
      </c>
      <c r="K226" s="6">
        <v>1</v>
      </c>
      <c r="L226" s="6">
        <f t="shared" si="11"/>
        <v>8820000</v>
      </c>
      <c r="M226" s="6">
        <v>7500000</v>
      </c>
      <c r="N226" s="6" t="s">
        <v>2003</v>
      </c>
      <c r="O226" s="6" t="s">
        <v>2041</v>
      </c>
      <c r="P226" s="6">
        <v>2013</v>
      </c>
      <c r="Q226" s="6">
        <v>1</v>
      </c>
      <c r="R226" s="6" t="s">
        <v>45</v>
      </c>
      <c r="S226" s="31" t="s">
        <v>2113</v>
      </c>
      <c r="T226" s="6">
        <v>1</v>
      </c>
      <c r="U226" s="26">
        <v>7000000</v>
      </c>
      <c r="V226" s="26">
        <v>7000000</v>
      </c>
      <c r="W226" s="26">
        <v>7000000</v>
      </c>
      <c r="X226" s="6" t="s">
        <v>2003</v>
      </c>
      <c r="Y226" s="6" t="s">
        <v>49</v>
      </c>
      <c r="Z226" s="6">
        <v>224134</v>
      </c>
    </row>
    <row r="227" spans="1:26" x14ac:dyDescent="0.3">
      <c r="A227" s="28" t="s">
        <v>42</v>
      </c>
      <c r="B227" s="6" t="s">
        <v>1326</v>
      </c>
      <c r="C227" s="6" t="s">
        <v>1972</v>
      </c>
      <c r="D227" s="6" t="s">
        <v>2292</v>
      </c>
      <c r="E227" s="6">
        <v>1</v>
      </c>
      <c r="F227" s="6" t="s">
        <v>2004</v>
      </c>
      <c r="G227" s="32" t="s">
        <v>2299</v>
      </c>
      <c r="H227" s="32" t="s">
        <v>2300</v>
      </c>
      <c r="I227" s="6" t="str">
        <f t="shared" si="10"/>
        <v>Stone Grapple</v>
      </c>
      <c r="J227" s="6" t="s">
        <v>502</v>
      </c>
      <c r="K227" s="6">
        <v>1</v>
      </c>
      <c r="L227" s="6">
        <f t="shared" si="11"/>
        <v>3050000</v>
      </c>
      <c r="M227" s="6">
        <v>2600000</v>
      </c>
      <c r="N227" s="6" t="s">
        <v>2003</v>
      </c>
      <c r="O227" s="6" t="s">
        <v>51</v>
      </c>
      <c r="P227" s="6">
        <v>2014</v>
      </c>
      <c r="Q227" s="6">
        <v>1</v>
      </c>
      <c r="R227" s="6" t="s">
        <v>45</v>
      </c>
      <c r="S227" s="31" t="s">
        <v>2113</v>
      </c>
      <c r="T227" s="6">
        <v>1</v>
      </c>
      <c r="U227" s="26">
        <v>2400000</v>
      </c>
      <c r="V227" s="26">
        <v>2400000</v>
      </c>
      <c r="W227" s="26">
        <v>2400000</v>
      </c>
      <c r="X227" s="6" t="s">
        <v>2003</v>
      </c>
      <c r="Y227" s="6" t="s">
        <v>49</v>
      </c>
      <c r="Z227" s="6">
        <v>224135</v>
      </c>
    </row>
    <row r="228" spans="1:26" x14ac:dyDescent="0.3">
      <c r="A228" s="28" t="s">
        <v>42</v>
      </c>
      <c r="B228" s="6" t="s">
        <v>1326</v>
      </c>
      <c r="C228" s="6" t="s">
        <v>1973</v>
      </c>
      <c r="D228" s="6" t="s">
        <v>2292</v>
      </c>
      <c r="E228" s="6">
        <v>1</v>
      </c>
      <c r="F228" s="6" t="s">
        <v>2004</v>
      </c>
      <c r="G228" s="32" t="s">
        <v>2299</v>
      </c>
      <c r="H228" s="32" t="s">
        <v>2300</v>
      </c>
      <c r="I228" s="6" t="str">
        <f t="shared" si="10"/>
        <v>Wood Grapple</v>
      </c>
      <c r="J228" s="6" t="s">
        <v>101</v>
      </c>
      <c r="K228" s="6">
        <v>1</v>
      </c>
      <c r="L228" s="6">
        <f t="shared" si="11"/>
        <v>5640000</v>
      </c>
      <c r="M228" s="6">
        <v>4800000</v>
      </c>
      <c r="N228" s="6" t="s">
        <v>2003</v>
      </c>
      <c r="O228" s="6" t="s">
        <v>51</v>
      </c>
      <c r="P228" s="6">
        <v>2014</v>
      </c>
      <c r="Q228" s="6">
        <v>1</v>
      </c>
      <c r="R228" s="6" t="s">
        <v>45</v>
      </c>
      <c r="S228" s="31" t="s">
        <v>2113</v>
      </c>
      <c r="T228" s="6">
        <v>1</v>
      </c>
      <c r="U228" s="26">
        <v>4600000</v>
      </c>
      <c r="V228" s="26">
        <v>4600000</v>
      </c>
      <c r="W228" s="26">
        <v>4600000</v>
      </c>
      <c r="X228" s="6" t="s">
        <v>2003</v>
      </c>
      <c r="Y228" s="6" t="s">
        <v>49</v>
      </c>
      <c r="Z228" s="6">
        <v>224139</v>
      </c>
    </row>
    <row r="229" spans="1:26" x14ac:dyDescent="0.3">
      <c r="A229" s="28" t="s">
        <v>42</v>
      </c>
      <c r="B229" s="6" t="s">
        <v>2245</v>
      </c>
      <c r="C229" s="19" t="s">
        <v>2246</v>
      </c>
      <c r="D229" s="6" t="s">
        <v>2292</v>
      </c>
      <c r="E229" s="6">
        <v>1</v>
      </c>
      <c r="F229" s="6" t="s">
        <v>2004</v>
      </c>
      <c r="G229" s="32" t="s">
        <v>2299</v>
      </c>
      <c r="H229" s="32" t="s">
        <v>2300</v>
      </c>
      <c r="I229" s="6" t="str">
        <f t="shared" si="10"/>
        <v>Side Breaker</v>
      </c>
      <c r="J229" s="6" t="s">
        <v>503</v>
      </c>
      <c r="K229" s="6">
        <v>1</v>
      </c>
      <c r="L229" s="6">
        <f t="shared" si="11"/>
        <v>4350000</v>
      </c>
      <c r="M229" s="6">
        <v>3700000</v>
      </c>
      <c r="N229" s="6" t="s">
        <v>2003</v>
      </c>
      <c r="O229" s="6" t="s">
        <v>916</v>
      </c>
      <c r="P229" s="6">
        <v>2010</v>
      </c>
      <c r="Q229" s="6">
        <v>5</v>
      </c>
      <c r="R229" s="6" t="s">
        <v>45</v>
      </c>
      <c r="S229" s="31" t="s">
        <v>2117</v>
      </c>
      <c r="T229" s="6">
        <v>1</v>
      </c>
      <c r="U229" s="26">
        <v>3500000</v>
      </c>
      <c r="V229" s="26">
        <v>3500000</v>
      </c>
      <c r="W229" s="26">
        <v>3500000</v>
      </c>
      <c r="X229" s="6" t="s">
        <v>2003</v>
      </c>
      <c r="Y229" s="6" t="s">
        <v>1176</v>
      </c>
      <c r="Z229" s="6">
        <v>224144</v>
      </c>
    </row>
    <row r="230" spans="1:26" x14ac:dyDescent="0.3">
      <c r="A230" s="28" t="s">
        <v>42</v>
      </c>
      <c r="B230" s="6" t="s">
        <v>1328</v>
      </c>
      <c r="C230" s="6" t="s">
        <v>1975</v>
      </c>
      <c r="D230" s="6" t="s">
        <v>2291</v>
      </c>
      <c r="E230" s="6">
        <v>1</v>
      </c>
      <c r="F230" s="6" t="s">
        <v>2004</v>
      </c>
      <c r="G230" s="32" t="s">
        <v>2299</v>
      </c>
      <c r="H230" s="32" t="s">
        <v>2300</v>
      </c>
      <c r="I230" s="6" t="str">
        <f t="shared" si="10"/>
        <v>Side Breaker</v>
      </c>
      <c r="J230" s="6" t="s">
        <v>538</v>
      </c>
      <c r="K230" s="6">
        <v>1</v>
      </c>
      <c r="L230" s="6">
        <f t="shared" si="11"/>
        <v>3760000</v>
      </c>
      <c r="M230" s="6">
        <v>3200000</v>
      </c>
      <c r="N230" s="6" t="s">
        <v>2003</v>
      </c>
      <c r="O230" s="6" t="s">
        <v>820</v>
      </c>
      <c r="P230" s="6">
        <v>2010</v>
      </c>
      <c r="Q230" s="6">
        <v>1</v>
      </c>
      <c r="R230" s="6" t="s">
        <v>45</v>
      </c>
      <c r="S230" s="31" t="s">
        <v>2120</v>
      </c>
      <c r="T230" s="6">
        <v>1</v>
      </c>
      <c r="U230" s="26">
        <v>3000000</v>
      </c>
      <c r="V230" s="26">
        <v>3000000</v>
      </c>
      <c r="W230" s="26">
        <v>3000000</v>
      </c>
      <c r="X230" s="6" t="s">
        <v>2003</v>
      </c>
      <c r="Y230" s="6" t="s">
        <v>1160</v>
      </c>
      <c r="Z230" s="6">
        <v>224153</v>
      </c>
    </row>
    <row r="231" spans="1:26" x14ac:dyDescent="0.3">
      <c r="A231" s="28" t="s">
        <v>42</v>
      </c>
      <c r="B231" s="6" t="s">
        <v>1326</v>
      </c>
      <c r="C231" s="19" t="s">
        <v>1974</v>
      </c>
      <c r="D231" s="6" t="s">
        <v>2293</v>
      </c>
      <c r="E231" s="6">
        <v>1</v>
      </c>
      <c r="F231" s="6" t="s">
        <v>2004</v>
      </c>
      <c r="G231" s="32" t="s">
        <v>2299</v>
      </c>
      <c r="H231" s="32" t="s">
        <v>2300</v>
      </c>
      <c r="I231" s="6" t="str">
        <f t="shared" si="10"/>
        <v>Etc Grapple</v>
      </c>
      <c r="J231" s="6" t="s">
        <v>505</v>
      </c>
      <c r="K231" s="6">
        <v>1</v>
      </c>
      <c r="L231" s="6">
        <f t="shared" si="11"/>
        <v>2640000</v>
      </c>
      <c r="M231" s="6">
        <v>2250000</v>
      </c>
      <c r="N231" s="6" t="s">
        <v>2003</v>
      </c>
      <c r="O231" s="6" t="s">
        <v>2007</v>
      </c>
      <c r="P231" s="6">
        <v>2016</v>
      </c>
      <c r="Q231" s="6">
        <v>1</v>
      </c>
      <c r="R231" s="6" t="s">
        <v>45</v>
      </c>
      <c r="S231" s="31" t="s">
        <v>2113</v>
      </c>
      <c r="T231" s="6">
        <v>1</v>
      </c>
      <c r="U231" s="26">
        <v>2050000</v>
      </c>
      <c r="V231" s="26">
        <v>2050000</v>
      </c>
      <c r="W231" s="26">
        <v>2050000</v>
      </c>
      <c r="X231" s="6" t="s">
        <v>2003</v>
      </c>
      <c r="Y231" s="6" t="s">
        <v>49</v>
      </c>
      <c r="Z231" s="6">
        <v>224157</v>
      </c>
    </row>
    <row r="232" spans="1:26" x14ac:dyDescent="0.3">
      <c r="A232" s="28" t="s">
        <v>42</v>
      </c>
      <c r="B232" s="6" t="s">
        <v>1328</v>
      </c>
      <c r="C232" s="6" t="s">
        <v>1975</v>
      </c>
      <c r="D232" s="6" t="s">
        <v>2293</v>
      </c>
      <c r="E232" s="6">
        <v>1</v>
      </c>
      <c r="F232" s="6" t="s">
        <v>2004</v>
      </c>
      <c r="G232" s="32" t="s">
        <v>2299</v>
      </c>
      <c r="H232" s="32" t="s">
        <v>2300</v>
      </c>
      <c r="I232" s="6" t="str">
        <f t="shared" si="10"/>
        <v>Side Breaker</v>
      </c>
      <c r="J232" s="6" t="s">
        <v>172</v>
      </c>
      <c r="K232" s="6">
        <v>1</v>
      </c>
      <c r="L232" s="6">
        <f t="shared" si="11"/>
        <v>2000000</v>
      </c>
      <c r="M232" s="6">
        <v>1700000</v>
      </c>
      <c r="N232" s="6" t="s">
        <v>2003</v>
      </c>
      <c r="O232" s="6" t="s">
        <v>798</v>
      </c>
      <c r="P232" s="6">
        <v>2014</v>
      </c>
      <c r="Q232" s="6">
        <v>6</v>
      </c>
      <c r="R232" s="6" t="s">
        <v>45</v>
      </c>
      <c r="S232" s="31" t="s">
        <v>2113</v>
      </c>
      <c r="T232" s="6">
        <v>1</v>
      </c>
      <c r="U232" s="26">
        <v>1600000</v>
      </c>
      <c r="V232" s="26">
        <v>1600000</v>
      </c>
      <c r="W232" s="26">
        <v>1600000</v>
      </c>
      <c r="X232" s="6" t="s">
        <v>2003</v>
      </c>
      <c r="Y232" s="6" t="s">
        <v>71</v>
      </c>
      <c r="Z232" s="6">
        <v>224161</v>
      </c>
    </row>
    <row r="233" spans="1:26" x14ac:dyDescent="0.3">
      <c r="A233" s="28" t="s">
        <v>42</v>
      </c>
      <c r="B233" s="6" t="s">
        <v>1326</v>
      </c>
      <c r="C233" s="6" t="s">
        <v>1984</v>
      </c>
      <c r="D233" s="6" t="s">
        <v>2289</v>
      </c>
      <c r="E233" s="6">
        <v>1</v>
      </c>
      <c r="F233" s="6" t="s">
        <v>2004</v>
      </c>
      <c r="G233" s="32" t="s">
        <v>2299</v>
      </c>
      <c r="H233" s="32" t="s">
        <v>2300</v>
      </c>
      <c r="I233" s="6" t="str">
        <f t="shared" si="10"/>
        <v>Scrap Grapple</v>
      </c>
      <c r="J233" s="6" t="s">
        <v>301</v>
      </c>
      <c r="K233" s="6">
        <v>1</v>
      </c>
      <c r="L233" s="6">
        <f t="shared" si="11"/>
        <v>4350000</v>
      </c>
      <c r="M233" s="6">
        <v>3700000</v>
      </c>
      <c r="N233" s="6" t="s">
        <v>2003</v>
      </c>
      <c r="O233" s="6" t="s">
        <v>813</v>
      </c>
      <c r="P233" s="6">
        <v>2013</v>
      </c>
      <c r="Q233" s="6">
        <v>1</v>
      </c>
      <c r="R233" s="6" t="s">
        <v>45</v>
      </c>
      <c r="S233" s="31" t="s">
        <v>2113</v>
      </c>
      <c r="T233" s="6">
        <v>1</v>
      </c>
      <c r="U233" s="26">
        <v>3500000</v>
      </c>
      <c r="V233" s="26">
        <v>3500000</v>
      </c>
      <c r="W233" s="26">
        <v>3500000</v>
      </c>
      <c r="X233" s="6" t="s">
        <v>2003</v>
      </c>
      <c r="Y233" s="6" t="s">
        <v>79</v>
      </c>
      <c r="Z233" s="6">
        <v>224162</v>
      </c>
    </row>
    <row r="234" spans="1:26" x14ac:dyDescent="0.3">
      <c r="A234" s="28" t="s">
        <v>42</v>
      </c>
      <c r="B234" s="6" t="s">
        <v>1326</v>
      </c>
      <c r="C234" s="19" t="s">
        <v>1974</v>
      </c>
      <c r="D234" s="6" t="s">
        <v>2002</v>
      </c>
      <c r="E234" s="6">
        <v>1</v>
      </c>
      <c r="F234" s="6" t="s">
        <v>2004</v>
      </c>
      <c r="G234" s="32" t="s">
        <v>2299</v>
      </c>
      <c r="H234" s="32" t="s">
        <v>2300</v>
      </c>
      <c r="I234" s="6" t="str">
        <f t="shared" si="10"/>
        <v>Etc Grapple</v>
      </c>
      <c r="J234" s="6" t="s">
        <v>588</v>
      </c>
      <c r="K234" s="6">
        <v>1</v>
      </c>
      <c r="L234" s="6">
        <f t="shared" si="11"/>
        <v>2290000</v>
      </c>
      <c r="M234" s="6">
        <v>1950000</v>
      </c>
      <c r="N234" s="6" t="s">
        <v>2003</v>
      </c>
      <c r="O234" s="6" t="s">
        <v>2007</v>
      </c>
      <c r="P234" s="6">
        <v>2014</v>
      </c>
      <c r="Q234" s="6">
        <v>1</v>
      </c>
      <c r="R234" s="6" t="s">
        <v>45</v>
      </c>
      <c r="S234" s="31" t="s">
        <v>2113</v>
      </c>
      <c r="T234" s="6">
        <v>1</v>
      </c>
      <c r="U234" s="26">
        <v>1850000</v>
      </c>
      <c r="V234" s="26">
        <v>1850000</v>
      </c>
      <c r="W234" s="26">
        <v>1850000</v>
      </c>
      <c r="X234" s="6" t="s">
        <v>2003</v>
      </c>
      <c r="Y234" s="6" t="s">
        <v>49</v>
      </c>
      <c r="Z234" s="6">
        <v>224165</v>
      </c>
    </row>
    <row r="235" spans="1:26" x14ac:dyDescent="0.3">
      <c r="A235" s="28" t="s">
        <v>42</v>
      </c>
      <c r="B235" s="6" t="s">
        <v>1326</v>
      </c>
      <c r="C235" s="6" t="s">
        <v>1974</v>
      </c>
      <c r="D235" s="6" t="s">
        <v>2292</v>
      </c>
      <c r="E235" s="6">
        <v>1</v>
      </c>
      <c r="F235" s="6" t="s">
        <v>2004</v>
      </c>
      <c r="G235" s="32" t="s">
        <v>2299</v>
      </c>
      <c r="H235" s="32" t="s">
        <v>2300</v>
      </c>
      <c r="I235" s="6" t="str">
        <f t="shared" si="10"/>
        <v>Etc Grapple</v>
      </c>
      <c r="J235" s="6" t="s">
        <v>125</v>
      </c>
      <c r="K235" s="6">
        <v>1</v>
      </c>
      <c r="L235" s="6">
        <f t="shared" si="11"/>
        <v>5520000</v>
      </c>
      <c r="M235" s="6">
        <v>4700000</v>
      </c>
      <c r="N235" s="6" t="s">
        <v>2003</v>
      </c>
      <c r="O235" s="6" t="s">
        <v>809</v>
      </c>
      <c r="P235" s="6">
        <v>2009</v>
      </c>
      <c r="Q235" s="6">
        <v>1</v>
      </c>
      <c r="R235" s="6" t="s">
        <v>45</v>
      </c>
      <c r="S235" s="31" t="s">
        <v>2114</v>
      </c>
      <c r="T235" s="6">
        <v>1</v>
      </c>
      <c r="U235" s="26">
        <v>4500000</v>
      </c>
      <c r="V235" s="26">
        <v>4500000</v>
      </c>
      <c r="W235" s="26">
        <v>4500000</v>
      </c>
      <c r="X235" s="6" t="s">
        <v>2003</v>
      </c>
      <c r="Y235" s="6" t="s">
        <v>830</v>
      </c>
      <c r="Z235" s="6">
        <v>224166</v>
      </c>
    </row>
    <row r="236" spans="1:26" x14ac:dyDescent="0.3">
      <c r="A236" s="28" t="s">
        <v>42</v>
      </c>
      <c r="B236" s="6" t="s">
        <v>2172</v>
      </c>
      <c r="C236" s="6"/>
      <c r="D236" s="6" t="s">
        <v>2289</v>
      </c>
      <c r="E236" s="6">
        <v>1</v>
      </c>
      <c r="F236" s="6" t="s">
        <v>2004</v>
      </c>
      <c r="G236" s="32" t="s">
        <v>2299</v>
      </c>
      <c r="H236" s="32" t="s">
        <v>2300</v>
      </c>
      <c r="I236" s="6" t="str">
        <f t="shared" si="10"/>
        <v>Quick Coupler</v>
      </c>
      <c r="J236" s="6" t="s">
        <v>244</v>
      </c>
      <c r="K236" s="6">
        <v>1</v>
      </c>
      <c r="L236" s="6">
        <f t="shared" si="11"/>
        <v>4350000</v>
      </c>
      <c r="M236" s="6">
        <v>3700000</v>
      </c>
      <c r="N236" s="6" t="s">
        <v>2003</v>
      </c>
      <c r="O236" s="6" t="s">
        <v>813</v>
      </c>
      <c r="P236" s="6">
        <v>2013</v>
      </c>
      <c r="Q236" s="6">
        <v>1</v>
      </c>
      <c r="R236" s="6" t="s">
        <v>45</v>
      </c>
      <c r="S236" s="31" t="s">
        <v>2113</v>
      </c>
      <c r="T236" s="6">
        <v>1</v>
      </c>
      <c r="U236" s="26">
        <v>3500000</v>
      </c>
      <c r="V236" s="26">
        <v>3500000</v>
      </c>
      <c r="W236" s="26">
        <v>3500000</v>
      </c>
      <c r="X236" s="6" t="s">
        <v>2003</v>
      </c>
      <c r="Y236" s="6" t="s">
        <v>80</v>
      </c>
      <c r="Z236" s="6">
        <v>224171</v>
      </c>
    </row>
    <row r="237" spans="1:26" x14ac:dyDescent="0.3">
      <c r="A237" s="28" t="s">
        <v>42</v>
      </c>
      <c r="B237" s="6" t="s">
        <v>1326</v>
      </c>
      <c r="C237" s="6" t="s">
        <v>1972</v>
      </c>
      <c r="D237" s="6" t="s">
        <v>2292</v>
      </c>
      <c r="E237" s="6">
        <v>1</v>
      </c>
      <c r="F237" s="6" t="s">
        <v>2004</v>
      </c>
      <c r="G237" s="32" t="s">
        <v>2299</v>
      </c>
      <c r="H237" s="32" t="s">
        <v>2300</v>
      </c>
      <c r="I237" s="6" t="str">
        <f t="shared" si="10"/>
        <v>Stone Grapple</v>
      </c>
      <c r="J237" s="6" t="s">
        <v>120</v>
      </c>
      <c r="K237" s="6">
        <v>1</v>
      </c>
      <c r="L237" s="6">
        <f t="shared" si="11"/>
        <v>5880000</v>
      </c>
      <c r="M237" s="6">
        <v>5000000</v>
      </c>
      <c r="N237" s="6" t="s">
        <v>2003</v>
      </c>
      <c r="O237" s="6" t="s">
        <v>2007</v>
      </c>
      <c r="P237" s="6">
        <v>2015</v>
      </c>
      <c r="Q237" s="6">
        <v>1</v>
      </c>
      <c r="R237" s="6" t="s">
        <v>45</v>
      </c>
      <c r="S237" s="31" t="s">
        <v>2113</v>
      </c>
      <c r="T237" s="6">
        <v>1</v>
      </c>
      <c r="U237" s="26">
        <v>4800000</v>
      </c>
      <c r="V237" s="26">
        <v>4800000</v>
      </c>
      <c r="W237" s="26">
        <v>4800000</v>
      </c>
      <c r="X237" s="6" t="s">
        <v>2003</v>
      </c>
      <c r="Y237" s="6" t="s">
        <v>49</v>
      </c>
      <c r="Z237" s="6">
        <v>224174</v>
      </c>
    </row>
    <row r="238" spans="1:26" x14ac:dyDescent="0.3">
      <c r="A238" s="28" t="s">
        <v>42</v>
      </c>
      <c r="B238" s="6" t="s">
        <v>1327</v>
      </c>
      <c r="C238" s="19" t="s">
        <v>1982</v>
      </c>
      <c r="D238" s="6" t="s">
        <v>2289</v>
      </c>
      <c r="E238" s="6">
        <v>1</v>
      </c>
      <c r="F238" s="6" t="s">
        <v>2004</v>
      </c>
      <c r="G238" s="32" t="s">
        <v>2299</v>
      </c>
      <c r="H238" s="32" t="s">
        <v>2300</v>
      </c>
      <c r="I238" s="6" t="str">
        <f t="shared" si="10"/>
        <v>Standard Bucket</v>
      </c>
      <c r="J238" s="6" t="s">
        <v>506</v>
      </c>
      <c r="K238" s="6">
        <v>1</v>
      </c>
      <c r="L238" s="6">
        <f t="shared" si="11"/>
        <v>15880000</v>
      </c>
      <c r="M238" s="6">
        <v>13500000</v>
      </c>
      <c r="N238" s="6" t="s">
        <v>2003</v>
      </c>
      <c r="O238" s="6" t="s">
        <v>831</v>
      </c>
      <c r="P238" s="6">
        <v>2012</v>
      </c>
      <c r="Q238" s="6">
        <v>1</v>
      </c>
      <c r="R238" s="6" t="s">
        <v>45</v>
      </c>
      <c r="S238" s="31" t="s">
        <v>2117</v>
      </c>
      <c r="T238" s="6">
        <v>1</v>
      </c>
      <c r="U238" s="26">
        <v>13000000</v>
      </c>
      <c r="V238" s="26">
        <v>13000000</v>
      </c>
      <c r="W238" s="26">
        <v>13000000</v>
      </c>
      <c r="X238" s="6" t="s">
        <v>2003</v>
      </c>
      <c r="Y238" s="6" t="s">
        <v>1179</v>
      </c>
      <c r="Z238" s="6">
        <v>224179</v>
      </c>
    </row>
    <row r="239" spans="1:26" x14ac:dyDescent="0.3">
      <c r="A239" s="28" t="s">
        <v>42</v>
      </c>
      <c r="B239" s="6" t="s">
        <v>2163</v>
      </c>
      <c r="C239" s="6"/>
      <c r="D239" s="6" t="s">
        <v>2291</v>
      </c>
      <c r="E239" s="6">
        <v>1</v>
      </c>
      <c r="F239" s="6" t="s">
        <v>2004</v>
      </c>
      <c r="G239" s="32" t="s">
        <v>2299</v>
      </c>
      <c r="H239" s="32" t="s">
        <v>2300</v>
      </c>
      <c r="I239" s="6" t="str">
        <f t="shared" si="10"/>
        <v>Lift Fork</v>
      </c>
      <c r="J239" s="6" t="s">
        <v>310</v>
      </c>
      <c r="K239" s="6">
        <v>1</v>
      </c>
      <c r="L239" s="6">
        <f t="shared" si="11"/>
        <v>1110000</v>
      </c>
      <c r="M239" s="6">
        <v>950000</v>
      </c>
      <c r="N239" s="6" t="s">
        <v>2003</v>
      </c>
      <c r="O239" s="6" t="s">
        <v>836</v>
      </c>
      <c r="P239" s="6">
        <v>2017</v>
      </c>
      <c r="Q239" s="6">
        <v>1</v>
      </c>
      <c r="R239" s="6" t="s">
        <v>45</v>
      </c>
      <c r="S239" s="31" t="s">
        <v>2124</v>
      </c>
      <c r="T239" s="6">
        <v>1</v>
      </c>
      <c r="U239" s="26">
        <v>850000</v>
      </c>
      <c r="V239" s="26">
        <v>850000</v>
      </c>
      <c r="W239" s="26">
        <v>850000</v>
      </c>
      <c r="X239" s="6" t="s">
        <v>2003</v>
      </c>
      <c r="Y239" s="6" t="s">
        <v>1144</v>
      </c>
      <c r="Z239" s="6">
        <v>224180</v>
      </c>
    </row>
    <row r="240" spans="1:26" x14ac:dyDescent="0.3">
      <c r="A240" s="28" t="s">
        <v>42</v>
      </c>
      <c r="B240" s="6" t="s">
        <v>1328</v>
      </c>
      <c r="C240" s="6" t="s">
        <v>1975</v>
      </c>
      <c r="D240" s="6" t="s">
        <v>2292</v>
      </c>
      <c r="E240" s="6">
        <v>1</v>
      </c>
      <c r="F240" s="6" t="s">
        <v>2004</v>
      </c>
      <c r="G240" s="32" t="s">
        <v>2299</v>
      </c>
      <c r="H240" s="32" t="s">
        <v>2300</v>
      </c>
      <c r="I240" s="6" t="str">
        <f t="shared" si="10"/>
        <v>Side Breaker</v>
      </c>
      <c r="J240" s="6" t="s">
        <v>177</v>
      </c>
      <c r="K240" s="6">
        <v>1</v>
      </c>
      <c r="L240" s="6">
        <f t="shared" si="11"/>
        <v>3760000</v>
      </c>
      <c r="M240" s="6">
        <v>3200000</v>
      </c>
      <c r="N240" s="6" t="s">
        <v>2003</v>
      </c>
      <c r="O240" s="6" t="s">
        <v>2042</v>
      </c>
      <c r="P240" s="6">
        <v>2010</v>
      </c>
      <c r="Q240" s="6">
        <v>8</v>
      </c>
      <c r="R240" s="6" t="s">
        <v>45</v>
      </c>
      <c r="S240" s="31" t="s">
        <v>2123</v>
      </c>
      <c r="T240" s="6">
        <v>1</v>
      </c>
      <c r="U240" s="26">
        <v>3000000</v>
      </c>
      <c r="V240" s="26">
        <v>3000000</v>
      </c>
      <c r="W240" s="26">
        <v>3000000</v>
      </c>
      <c r="X240" s="6" t="s">
        <v>2003</v>
      </c>
      <c r="Y240" s="6" t="s">
        <v>1212</v>
      </c>
      <c r="Z240" s="6">
        <v>224181</v>
      </c>
    </row>
    <row r="241" spans="1:26" x14ac:dyDescent="0.3">
      <c r="A241" s="28" t="s">
        <v>42</v>
      </c>
      <c r="B241" s="6" t="s">
        <v>2239</v>
      </c>
      <c r="C241" s="6" t="s">
        <v>1981</v>
      </c>
      <c r="D241" s="6" t="s">
        <v>2001</v>
      </c>
      <c r="E241" s="6">
        <v>1</v>
      </c>
      <c r="F241" s="6" t="s">
        <v>2004</v>
      </c>
      <c r="G241" s="32" t="s">
        <v>2299</v>
      </c>
      <c r="H241" s="32" t="s">
        <v>2300</v>
      </c>
      <c r="I241" s="6" t="str">
        <f t="shared" si="10"/>
        <v>Orange Grapple</v>
      </c>
      <c r="J241" s="6" t="s">
        <v>508</v>
      </c>
      <c r="K241" s="6">
        <v>1</v>
      </c>
      <c r="L241" s="6">
        <f t="shared" si="11"/>
        <v>4940000</v>
      </c>
      <c r="M241" s="6">
        <v>4200000</v>
      </c>
      <c r="N241" s="6" t="s">
        <v>2003</v>
      </c>
      <c r="O241" s="6" t="s">
        <v>917</v>
      </c>
      <c r="P241" s="6">
        <v>2004</v>
      </c>
      <c r="Q241" s="6">
        <v>6</v>
      </c>
      <c r="R241" s="6" t="s">
        <v>45</v>
      </c>
      <c r="S241" s="31" t="s">
        <v>2112</v>
      </c>
      <c r="T241" s="6">
        <v>1</v>
      </c>
      <c r="U241" s="26">
        <v>4000000</v>
      </c>
      <c r="V241" s="26">
        <v>4000000</v>
      </c>
      <c r="W241" s="26">
        <v>4000000</v>
      </c>
      <c r="X241" s="6" t="s">
        <v>2003</v>
      </c>
      <c r="Y241" s="6" t="s">
        <v>1267</v>
      </c>
      <c r="Z241" s="6">
        <v>224200</v>
      </c>
    </row>
    <row r="242" spans="1:26" x14ac:dyDescent="0.3">
      <c r="A242" s="28" t="s">
        <v>42</v>
      </c>
      <c r="B242" s="6" t="s">
        <v>1326</v>
      </c>
      <c r="C242" s="6" t="s">
        <v>1974</v>
      </c>
      <c r="D242" s="6" t="s">
        <v>2291</v>
      </c>
      <c r="E242" s="6">
        <v>1</v>
      </c>
      <c r="F242" s="6" t="s">
        <v>2004</v>
      </c>
      <c r="G242" s="32" t="s">
        <v>2299</v>
      </c>
      <c r="H242" s="32" t="s">
        <v>2300</v>
      </c>
      <c r="I242" s="6" t="str">
        <f t="shared" si="10"/>
        <v>Etc Grapple</v>
      </c>
      <c r="J242" s="6" t="s">
        <v>136</v>
      </c>
      <c r="K242" s="6">
        <v>1</v>
      </c>
      <c r="L242" s="6">
        <f t="shared" si="11"/>
        <v>2940000</v>
      </c>
      <c r="M242" s="6">
        <v>2500000</v>
      </c>
      <c r="N242" s="6" t="s">
        <v>2003</v>
      </c>
      <c r="O242" s="6" t="s">
        <v>794</v>
      </c>
      <c r="P242" s="6">
        <v>2015</v>
      </c>
      <c r="Q242" s="6">
        <v>1</v>
      </c>
      <c r="R242" s="6" t="s">
        <v>45</v>
      </c>
      <c r="S242" s="31" t="s">
        <v>2122</v>
      </c>
      <c r="T242" s="6">
        <v>1</v>
      </c>
      <c r="U242" s="26">
        <v>2300000</v>
      </c>
      <c r="V242" s="26">
        <v>2300000</v>
      </c>
      <c r="W242" s="26">
        <v>2300000</v>
      </c>
      <c r="X242" s="6" t="s">
        <v>2003</v>
      </c>
      <c r="Y242" s="6" t="s">
        <v>1154</v>
      </c>
      <c r="Z242" s="6">
        <v>224201</v>
      </c>
    </row>
    <row r="243" spans="1:26" x14ac:dyDescent="0.3">
      <c r="A243" s="28" t="s">
        <v>42</v>
      </c>
      <c r="B243" s="6" t="s">
        <v>1327</v>
      </c>
      <c r="C243" s="6" t="s">
        <v>1976</v>
      </c>
      <c r="D243" s="6" t="s">
        <v>2292</v>
      </c>
      <c r="E243" s="6">
        <v>1</v>
      </c>
      <c r="F243" s="6" t="s">
        <v>2004</v>
      </c>
      <c r="G243" s="32" t="s">
        <v>2299</v>
      </c>
      <c r="H243" s="32" t="s">
        <v>2300</v>
      </c>
      <c r="I243" s="6" t="str">
        <f t="shared" si="10"/>
        <v>Skeleton Bucket</v>
      </c>
      <c r="J243" s="6" t="s">
        <v>118</v>
      </c>
      <c r="K243" s="6">
        <v>1</v>
      </c>
      <c r="L243" s="6">
        <f t="shared" si="11"/>
        <v>1410000</v>
      </c>
      <c r="M243" s="6">
        <v>1200000</v>
      </c>
      <c r="N243" s="6" t="s">
        <v>2003</v>
      </c>
      <c r="O243" s="6" t="s">
        <v>918</v>
      </c>
      <c r="P243" s="6">
        <v>2014</v>
      </c>
      <c r="Q243" s="6">
        <v>5</v>
      </c>
      <c r="R243" s="6" t="s">
        <v>45</v>
      </c>
      <c r="S243" s="31" t="s">
        <v>2112</v>
      </c>
      <c r="T243" s="6">
        <v>1</v>
      </c>
      <c r="U243" s="26">
        <v>1100000</v>
      </c>
      <c r="V243" s="26">
        <v>1100000</v>
      </c>
      <c r="W243" s="26">
        <v>1100000</v>
      </c>
      <c r="X243" s="6" t="s">
        <v>2003</v>
      </c>
      <c r="Y243" s="6" t="s">
        <v>1184</v>
      </c>
      <c r="Z243" s="6">
        <v>224204</v>
      </c>
    </row>
    <row r="244" spans="1:26" x14ac:dyDescent="0.3">
      <c r="A244" s="28" t="s">
        <v>42</v>
      </c>
      <c r="B244" s="6" t="s">
        <v>1326</v>
      </c>
      <c r="C244" s="6" t="s">
        <v>1973</v>
      </c>
      <c r="D244" s="6" t="s">
        <v>2291</v>
      </c>
      <c r="E244" s="6">
        <v>1</v>
      </c>
      <c r="F244" s="6" t="s">
        <v>2004</v>
      </c>
      <c r="G244" s="32" t="s">
        <v>2299</v>
      </c>
      <c r="H244" s="32" t="s">
        <v>2300</v>
      </c>
      <c r="I244" s="6" t="str">
        <f t="shared" si="10"/>
        <v>Wood Grapple</v>
      </c>
      <c r="J244" s="6" t="s">
        <v>420</v>
      </c>
      <c r="K244" s="6">
        <v>1</v>
      </c>
      <c r="L244" s="6">
        <f t="shared" si="11"/>
        <v>3880000</v>
      </c>
      <c r="M244" s="6">
        <v>3300000</v>
      </c>
      <c r="N244" s="6" t="s">
        <v>2003</v>
      </c>
      <c r="O244" s="6" t="s">
        <v>51</v>
      </c>
      <c r="P244" s="6">
        <v>2017</v>
      </c>
      <c r="Q244" s="6">
        <v>1</v>
      </c>
      <c r="R244" s="6" t="s">
        <v>45</v>
      </c>
      <c r="S244" s="31" t="s">
        <v>2113</v>
      </c>
      <c r="T244" s="6">
        <v>1</v>
      </c>
      <c r="U244" s="26">
        <v>3100000</v>
      </c>
      <c r="V244" s="26">
        <v>3100000</v>
      </c>
      <c r="W244" s="26">
        <v>3100000</v>
      </c>
      <c r="X244" s="6" t="s">
        <v>2003</v>
      </c>
      <c r="Y244" s="6" t="s">
        <v>49</v>
      </c>
      <c r="Z244" s="6">
        <v>224206</v>
      </c>
    </row>
    <row r="245" spans="1:26" x14ac:dyDescent="0.3">
      <c r="A245" s="28" t="s">
        <v>42</v>
      </c>
      <c r="B245" s="6" t="s">
        <v>1337</v>
      </c>
      <c r="C245" s="6"/>
      <c r="D245" s="6" t="s">
        <v>2291</v>
      </c>
      <c r="E245" s="6">
        <v>1</v>
      </c>
      <c r="F245" s="6" t="s">
        <v>2004</v>
      </c>
      <c r="G245" s="32" t="s">
        <v>2299</v>
      </c>
      <c r="H245" s="32" t="s">
        <v>2300</v>
      </c>
      <c r="I245" s="6" t="str">
        <f t="shared" si="10"/>
        <v>ETC</v>
      </c>
      <c r="J245" s="6" t="s">
        <v>509</v>
      </c>
      <c r="K245" s="6">
        <v>1</v>
      </c>
      <c r="L245" s="6">
        <f t="shared" si="11"/>
        <v>350000</v>
      </c>
      <c r="M245" s="6">
        <v>300000</v>
      </c>
      <c r="N245" s="6" t="s">
        <v>2003</v>
      </c>
      <c r="O245" s="6" t="s">
        <v>2011</v>
      </c>
      <c r="P245" s="6">
        <v>2015</v>
      </c>
      <c r="Q245" s="6">
        <v>6</v>
      </c>
      <c r="R245" s="6" t="s">
        <v>45</v>
      </c>
      <c r="S245" s="31" t="s">
        <v>2123</v>
      </c>
      <c r="T245" s="6">
        <v>1</v>
      </c>
      <c r="U245" s="26">
        <v>250000</v>
      </c>
      <c r="V245" s="26">
        <v>250000</v>
      </c>
      <c r="W245" s="26">
        <v>250000</v>
      </c>
      <c r="X245" s="6" t="s">
        <v>2003</v>
      </c>
      <c r="Y245" s="6" t="s">
        <v>1200</v>
      </c>
      <c r="Z245" s="6">
        <v>224210</v>
      </c>
    </row>
    <row r="246" spans="1:26" x14ac:dyDescent="0.3">
      <c r="A246" s="28" t="s">
        <v>42</v>
      </c>
      <c r="B246" s="6" t="s">
        <v>1328</v>
      </c>
      <c r="C246" s="6" t="s">
        <v>1975</v>
      </c>
      <c r="D246" s="6" t="s">
        <v>2290</v>
      </c>
      <c r="E246" s="6">
        <v>1</v>
      </c>
      <c r="F246" s="6" t="s">
        <v>2004</v>
      </c>
      <c r="G246" s="32" t="s">
        <v>2299</v>
      </c>
      <c r="H246" s="32" t="s">
        <v>2300</v>
      </c>
      <c r="I246" s="6" t="str">
        <f t="shared" si="10"/>
        <v>Side Breaker</v>
      </c>
      <c r="J246" s="6" t="s">
        <v>443</v>
      </c>
      <c r="K246" s="6">
        <v>1</v>
      </c>
      <c r="L246" s="6">
        <f t="shared" si="11"/>
        <v>5520000</v>
      </c>
      <c r="M246" s="6">
        <v>4700000</v>
      </c>
      <c r="N246" s="6" t="s">
        <v>2003</v>
      </c>
      <c r="O246" s="6" t="s">
        <v>948</v>
      </c>
      <c r="P246" s="6">
        <v>2008</v>
      </c>
      <c r="Q246" s="6">
        <v>1</v>
      </c>
      <c r="R246" s="6" t="s">
        <v>45</v>
      </c>
      <c r="S246" s="31" t="s">
        <v>2123</v>
      </c>
      <c r="T246" s="6">
        <v>1</v>
      </c>
      <c r="U246" s="26">
        <v>4500000</v>
      </c>
      <c r="V246" s="26">
        <v>4500000</v>
      </c>
      <c r="W246" s="26">
        <v>4500000</v>
      </c>
      <c r="X246" s="6" t="s">
        <v>2003</v>
      </c>
      <c r="Y246" s="6" t="s">
        <v>1181</v>
      </c>
      <c r="Z246" s="6">
        <v>224213</v>
      </c>
    </row>
    <row r="247" spans="1:26" x14ac:dyDescent="0.3">
      <c r="A247" s="28" t="s">
        <v>42</v>
      </c>
      <c r="B247" s="6" t="s">
        <v>1326</v>
      </c>
      <c r="C247" s="6" t="s">
        <v>1972</v>
      </c>
      <c r="D247" s="6" t="s">
        <v>2291</v>
      </c>
      <c r="E247" s="6">
        <v>1</v>
      </c>
      <c r="F247" s="6" t="s">
        <v>2004</v>
      </c>
      <c r="G247" s="32" t="s">
        <v>2299</v>
      </c>
      <c r="H247" s="32" t="s">
        <v>2300</v>
      </c>
      <c r="I247" s="6" t="str">
        <f t="shared" si="10"/>
        <v>Stone Grapple</v>
      </c>
      <c r="J247" s="6" t="s">
        <v>168</v>
      </c>
      <c r="K247" s="6">
        <v>1</v>
      </c>
      <c r="L247" s="6">
        <f t="shared" si="11"/>
        <v>1940000</v>
      </c>
      <c r="M247" s="6">
        <v>1650000</v>
      </c>
      <c r="N247" s="6" t="s">
        <v>2003</v>
      </c>
      <c r="O247" s="6" t="s">
        <v>51</v>
      </c>
      <c r="P247" s="6">
        <v>2016</v>
      </c>
      <c r="Q247" s="6">
        <v>1</v>
      </c>
      <c r="R247" s="6" t="s">
        <v>45</v>
      </c>
      <c r="S247" s="31" t="s">
        <v>2113</v>
      </c>
      <c r="T247" s="6">
        <v>1</v>
      </c>
      <c r="U247" s="26">
        <v>1550000</v>
      </c>
      <c r="V247" s="26">
        <v>1550000</v>
      </c>
      <c r="W247" s="26">
        <v>1550000</v>
      </c>
      <c r="X247" s="6" t="s">
        <v>2003</v>
      </c>
      <c r="Y247" s="6" t="s">
        <v>49</v>
      </c>
      <c r="Z247" s="6">
        <v>224221</v>
      </c>
    </row>
    <row r="248" spans="1:26" x14ac:dyDescent="0.3">
      <c r="A248" s="28" t="s">
        <v>42</v>
      </c>
      <c r="B248" s="6" t="s">
        <v>1328</v>
      </c>
      <c r="C248" s="6" t="s">
        <v>1975</v>
      </c>
      <c r="D248" s="6" t="s">
        <v>2292</v>
      </c>
      <c r="E248" s="6">
        <v>1</v>
      </c>
      <c r="F248" s="6" t="s">
        <v>2004</v>
      </c>
      <c r="G248" s="32" t="s">
        <v>2299</v>
      </c>
      <c r="H248" s="32" t="s">
        <v>2300</v>
      </c>
      <c r="I248" s="6" t="str">
        <f t="shared" si="10"/>
        <v>Side Breaker</v>
      </c>
      <c r="J248" s="6" t="s">
        <v>510</v>
      </c>
      <c r="K248" s="6">
        <v>1</v>
      </c>
      <c r="L248" s="6">
        <f t="shared" si="11"/>
        <v>4000000</v>
      </c>
      <c r="M248" s="6">
        <v>3400000</v>
      </c>
      <c r="N248" s="6" t="s">
        <v>2003</v>
      </c>
      <c r="O248" s="6" t="s">
        <v>803</v>
      </c>
      <c r="P248" s="6">
        <v>2009</v>
      </c>
      <c r="Q248" s="6">
        <v>1</v>
      </c>
      <c r="R248" s="6" t="s">
        <v>45</v>
      </c>
      <c r="S248" s="31" t="s">
        <v>2123</v>
      </c>
      <c r="T248" s="6">
        <v>1</v>
      </c>
      <c r="U248" s="26">
        <v>3200000</v>
      </c>
      <c r="V248" s="26">
        <v>3200000</v>
      </c>
      <c r="W248" s="26">
        <v>3200000</v>
      </c>
      <c r="X248" s="6" t="s">
        <v>2003</v>
      </c>
      <c r="Y248" s="6" t="s">
        <v>1181</v>
      </c>
      <c r="Z248" s="6">
        <v>224222</v>
      </c>
    </row>
    <row r="249" spans="1:26" x14ac:dyDescent="0.3">
      <c r="A249" s="28" t="s">
        <v>42</v>
      </c>
      <c r="B249" s="6" t="s">
        <v>1328</v>
      </c>
      <c r="C249" s="6" t="s">
        <v>1975</v>
      </c>
      <c r="D249" s="6" t="s">
        <v>2292</v>
      </c>
      <c r="E249" s="6">
        <v>1</v>
      </c>
      <c r="F249" s="6" t="s">
        <v>2004</v>
      </c>
      <c r="G249" s="32" t="s">
        <v>2299</v>
      </c>
      <c r="H249" s="32" t="s">
        <v>2300</v>
      </c>
      <c r="I249" s="6" t="str">
        <f t="shared" si="10"/>
        <v>Side Breaker</v>
      </c>
      <c r="J249" s="6" t="s">
        <v>422</v>
      </c>
      <c r="K249" s="6">
        <v>1</v>
      </c>
      <c r="L249" s="6">
        <f t="shared" si="11"/>
        <v>4230000</v>
      </c>
      <c r="M249" s="6">
        <v>3600000</v>
      </c>
      <c r="N249" s="6" t="s">
        <v>2003</v>
      </c>
      <c r="O249" s="6" t="s">
        <v>814</v>
      </c>
      <c r="P249" s="6">
        <v>2015</v>
      </c>
      <c r="Q249" s="6">
        <v>10</v>
      </c>
      <c r="R249" s="6" t="s">
        <v>45</v>
      </c>
      <c r="S249" s="31" t="s">
        <v>2119</v>
      </c>
      <c r="T249" s="6">
        <v>1</v>
      </c>
      <c r="U249" s="26">
        <v>3400000</v>
      </c>
      <c r="V249" s="26">
        <v>3400000</v>
      </c>
      <c r="W249" s="26">
        <v>3400000</v>
      </c>
      <c r="X249" s="6" t="s">
        <v>2003</v>
      </c>
      <c r="Y249" s="6" t="s">
        <v>1194</v>
      </c>
      <c r="Z249" s="6">
        <v>224230</v>
      </c>
    </row>
    <row r="250" spans="1:26" x14ac:dyDescent="0.3">
      <c r="A250" s="28" t="s">
        <v>42</v>
      </c>
      <c r="B250" s="6" t="s">
        <v>2169</v>
      </c>
      <c r="C250" s="6"/>
      <c r="D250" s="6" t="s">
        <v>2291</v>
      </c>
      <c r="E250" s="6">
        <v>1</v>
      </c>
      <c r="F250" s="6" t="s">
        <v>2004</v>
      </c>
      <c r="G250" s="32" t="s">
        <v>2299</v>
      </c>
      <c r="H250" s="32" t="s">
        <v>2300</v>
      </c>
      <c r="I250" s="6" t="str">
        <f t="shared" si="10"/>
        <v>Ripper</v>
      </c>
      <c r="J250" s="6" t="s">
        <v>291</v>
      </c>
      <c r="K250" s="6">
        <v>1</v>
      </c>
      <c r="L250" s="6">
        <f t="shared" si="11"/>
        <v>350000</v>
      </c>
      <c r="M250" s="6">
        <v>300000</v>
      </c>
      <c r="N250" s="6" t="s">
        <v>2003</v>
      </c>
      <c r="O250" s="6" t="s">
        <v>794</v>
      </c>
      <c r="P250" s="6">
        <v>2015</v>
      </c>
      <c r="Q250" s="6">
        <v>1</v>
      </c>
      <c r="R250" s="6" t="s">
        <v>45</v>
      </c>
      <c r="S250" s="31" t="s">
        <v>2122</v>
      </c>
      <c r="T250" s="6">
        <v>1</v>
      </c>
      <c r="U250" s="26">
        <v>250000</v>
      </c>
      <c r="V250" s="26">
        <v>250000</v>
      </c>
      <c r="W250" s="26">
        <v>250000</v>
      </c>
      <c r="X250" s="6" t="s">
        <v>2003</v>
      </c>
      <c r="Y250" s="6" t="s">
        <v>1154</v>
      </c>
      <c r="Z250" s="6">
        <v>224233</v>
      </c>
    </row>
    <row r="251" spans="1:26" x14ac:dyDescent="0.3">
      <c r="A251" s="28" t="s">
        <v>42</v>
      </c>
      <c r="B251" s="6" t="s">
        <v>1328</v>
      </c>
      <c r="C251" s="6" t="s">
        <v>1975</v>
      </c>
      <c r="D251" s="6" t="s">
        <v>2291</v>
      </c>
      <c r="E251" s="6">
        <v>1</v>
      </c>
      <c r="F251" s="6" t="s">
        <v>2004</v>
      </c>
      <c r="G251" s="32" t="s">
        <v>2299</v>
      </c>
      <c r="H251" s="32" t="s">
        <v>2300</v>
      </c>
      <c r="I251" s="6" t="str">
        <f t="shared" si="10"/>
        <v>Side Breaker</v>
      </c>
      <c r="J251" s="6" t="s">
        <v>383</v>
      </c>
      <c r="K251" s="6">
        <v>1</v>
      </c>
      <c r="L251" s="6">
        <f t="shared" si="11"/>
        <v>1290000</v>
      </c>
      <c r="M251" s="6">
        <v>1100000</v>
      </c>
      <c r="N251" s="6" t="s">
        <v>2003</v>
      </c>
      <c r="O251" s="6" t="s">
        <v>805</v>
      </c>
      <c r="P251" s="6">
        <v>2010</v>
      </c>
      <c r="Q251" s="6">
        <v>6</v>
      </c>
      <c r="R251" s="6" t="s">
        <v>45</v>
      </c>
      <c r="S251" s="31" t="s">
        <v>2119</v>
      </c>
      <c r="T251" s="6">
        <v>1</v>
      </c>
      <c r="U251" s="26">
        <v>1000000</v>
      </c>
      <c r="V251" s="26">
        <v>1000000</v>
      </c>
      <c r="W251" s="26">
        <v>1000000</v>
      </c>
      <c r="X251" s="6" t="s">
        <v>2003</v>
      </c>
      <c r="Y251" s="6" t="s">
        <v>1165</v>
      </c>
      <c r="Z251" s="6">
        <v>224239</v>
      </c>
    </row>
    <row r="252" spans="1:26" x14ac:dyDescent="0.3">
      <c r="A252" s="28" t="s">
        <v>42</v>
      </c>
      <c r="B252" s="6" t="s">
        <v>1327</v>
      </c>
      <c r="C252" s="6" t="s">
        <v>1976</v>
      </c>
      <c r="D252" s="6" t="s">
        <v>2292</v>
      </c>
      <c r="E252" s="6">
        <v>1</v>
      </c>
      <c r="F252" s="6" t="s">
        <v>2004</v>
      </c>
      <c r="G252" s="32" t="s">
        <v>2299</v>
      </c>
      <c r="H252" s="32" t="s">
        <v>2300</v>
      </c>
      <c r="I252" s="6" t="str">
        <f t="shared" si="10"/>
        <v>Skeleton Bucket</v>
      </c>
      <c r="J252" s="6" t="s">
        <v>190</v>
      </c>
      <c r="K252" s="6">
        <v>1</v>
      </c>
      <c r="L252" s="6">
        <f t="shared" si="11"/>
        <v>1880000</v>
      </c>
      <c r="M252" s="6">
        <v>1600000</v>
      </c>
      <c r="N252" s="6" t="s">
        <v>2003</v>
      </c>
      <c r="O252" s="6" t="s">
        <v>2044</v>
      </c>
      <c r="P252" s="6">
        <v>2017</v>
      </c>
      <c r="Q252" s="6">
        <v>1</v>
      </c>
      <c r="R252" s="6" t="s">
        <v>45</v>
      </c>
      <c r="S252" s="31" t="s">
        <v>2124</v>
      </c>
      <c r="T252" s="6">
        <v>1</v>
      </c>
      <c r="U252" s="26">
        <v>1500000</v>
      </c>
      <c r="V252" s="26">
        <v>1500000</v>
      </c>
      <c r="W252" s="26">
        <v>1500000</v>
      </c>
      <c r="X252" s="6" t="s">
        <v>2003</v>
      </c>
      <c r="Y252" s="6" t="s">
        <v>1144</v>
      </c>
      <c r="Z252" s="6">
        <v>224243</v>
      </c>
    </row>
    <row r="253" spans="1:26" x14ac:dyDescent="0.3">
      <c r="A253" s="28" t="s">
        <v>42</v>
      </c>
      <c r="B253" s="6" t="s">
        <v>2172</v>
      </c>
      <c r="C253" s="6"/>
      <c r="D253" s="6" t="s">
        <v>2001</v>
      </c>
      <c r="E253" s="6">
        <v>1</v>
      </c>
      <c r="F253" s="6" t="s">
        <v>2004</v>
      </c>
      <c r="G253" s="32" t="s">
        <v>2299</v>
      </c>
      <c r="H253" s="32" t="s">
        <v>2300</v>
      </c>
      <c r="I253" s="6" t="str">
        <f t="shared" si="10"/>
        <v>Quick Coupler</v>
      </c>
      <c r="J253" s="6" t="s">
        <v>411</v>
      </c>
      <c r="K253" s="6">
        <v>1</v>
      </c>
      <c r="L253" s="6">
        <f t="shared" si="11"/>
        <v>3170000</v>
      </c>
      <c r="M253" s="6">
        <v>2700000</v>
      </c>
      <c r="N253" s="6" t="s">
        <v>2003</v>
      </c>
      <c r="O253" s="6" t="s">
        <v>91</v>
      </c>
      <c r="P253" s="6">
        <v>2017</v>
      </c>
      <c r="Q253" s="6">
        <v>1</v>
      </c>
      <c r="R253" s="6" t="s">
        <v>45</v>
      </c>
      <c r="S253" s="31" t="s">
        <v>2111</v>
      </c>
      <c r="T253" s="6">
        <v>1</v>
      </c>
      <c r="U253" s="26">
        <v>2500000</v>
      </c>
      <c r="V253" s="26">
        <v>2500000</v>
      </c>
      <c r="W253" s="26">
        <v>2500000</v>
      </c>
      <c r="X253" s="6" t="s">
        <v>2003</v>
      </c>
      <c r="Y253" s="6" t="s">
        <v>84</v>
      </c>
      <c r="Z253" s="6">
        <v>224250</v>
      </c>
    </row>
    <row r="254" spans="1:26" x14ac:dyDescent="0.3">
      <c r="A254" s="28" t="s">
        <v>42</v>
      </c>
      <c r="B254" s="6" t="s">
        <v>1326</v>
      </c>
      <c r="C254" s="6" t="s">
        <v>1974</v>
      </c>
      <c r="D254" s="6" t="s">
        <v>2292</v>
      </c>
      <c r="E254" s="6">
        <v>1</v>
      </c>
      <c r="F254" s="6" t="s">
        <v>2004</v>
      </c>
      <c r="G254" s="32" t="s">
        <v>2299</v>
      </c>
      <c r="H254" s="32" t="s">
        <v>2300</v>
      </c>
      <c r="I254" s="6" t="str">
        <f t="shared" si="10"/>
        <v>Etc Grapple</v>
      </c>
      <c r="J254" s="6" t="s">
        <v>125</v>
      </c>
      <c r="K254" s="6">
        <v>1</v>
      </c>
      <c r="L254" s="6">
        <f t="shared" si="11"/>
        <v>5640000</v>
      </c>
      <c r="M254" s="6">
        <v>4800000</v>
      </c>
      <c r="N254" s="6" t="s">
        <v>2003</v>
      </c>
      <c r="O254" s="6" t="s">
        <v>54</v>
      </c>
      <c r="P254" s="6">
        <v>2010</v>
      </c>
      <c r="Q254" s="6">
        <v>1</v>
      </c>
      <c r="R254" s="6" t="s">
        <v>45</v>
      </c>
      <c r="S254" s="31" t="s">
        <v>2114</v>
      </c>
      <c r="T254" s="6">
        <v>1</v>
      </c>
      <c r="U254" s="26">
        <v>4600000</v>
      </c>
      <c r="V254" s="26">
        <v>4600000</v>
      </c>
      <c r="W254" s="26">
        <v>4600000</v>
      </c>
      <c r="X254" s="6" t="s">
        <v>2003</v>
      </c>
      <c r="Y254" s="6" t="s">
        <v>54</v>
      </c>
      <c r="Z254" s="6">
        <v>224255</v>
      </c>
    </row>
    <row r="255" spans="1:26" x14ac:dyDescent="0.3">
      <c r="A255" s="28" t="s">
        <v>42</v>
      </c>
      <c r="B255" s="6" t="s">
        <v>1327</v>
      </c>
      <c r="C255" s="6" t="s">
        <v>1977</v>
      </c>
      <c r="D255" s="6" t="s">
        <v>2291</v>
      </c>
      <c r="E255" s="6">
        <v>1</v>
      </c>
      <c r="F255" s="6" t="s">
        <v>2004</v>
      </c>
      <c r="G255" s="32" t="s">
        <v>2299</v>
      </c>
      <c r="H255" s="32" t="s">
        <v>2300</v>
      </c>
      <c r="I255" s="6" t="str">
        <f t="shared" si="10"/>
        <v>Wide Bucket</v>
      </c>
      <c r="J255" s="6" t="s">
        <v>514</v>
      </c>
      <c r="K255" s="6">
        <v>1</v>
      </c>
      <c r="L255" s="6">
        <f t="shared" si="11"/>
        <v>760000</v>
      </c>
      <c r="M255" s="6">
        <v>650000</v>
      </c>
      <c r="N255" s="6" t="s">
        <v>2003</v>
      </c>
      <c r="O255" s="6" t="s">
        <v>921</v>
      </c>
      <c r="P255" s="6">
        <v>2017</v>
      </c>
      <c r="Q255" s="6">
        <v>1</v>
      </c>
      <c r="R255" s="6" t="s">
        <v>45</v>
      </c>
      <c r="S255" s="31" t="s">
        <v>2114</v>
      </c>
      <c r="T255" s="6">
        <v>1</v>
      </c>
      <c r="U255" s="26">
        <v>550000</v>
      </c>
      <c r="V255" s="26">
        <v>550000</v>
      </c>
      <c r="W255" s="26">
        <v>550000</v>
      </c>
      <c r="X255" s="6" t="s">
        <v>2003</v>
      </c>
      <c r="Y255" s="6" t="s">
        <v>833</v>
      </c>
      <c r="Z255" s="6">
        <v>224262</v>
      </c>
    </row>
    <row r="256" spans="1:26" x14ac:dyDescent="0.3">
      <c r="A256" s="28" t="s">
        <v>42</v>
      </c>
      <c r="B256" s="6" t="s">
        <v>1327</v>
      </c>
      <c r="C256" s="6" t="s">
        <v>1976</v>
      </c>
      <c r="D256" s="6" t="s">
        <v>2292</v>
      </c>
      <c r="E256" s="6">
        <v>1</v>
      </c>
      <c r="F256" s="6" t="s">
        <v>2004</v>
      </c>
      <c r="G256" s="32" t="s">
        <v>2299</v>
      </c>
      <c r="H256" s="32" t="s">
        <v>2300</v>
      </c>
      <c r="I256" s="6" t="str">
        <f t="shared" si="10"/>
        <v>Skeleton Bucket</v>
      </c>
      <c r="J256" s="6" t="s">
        <v>190</v>
      </c>
      <c r="K256" s="6">
        <v>1</v>
      </c>
      <c r="L256" s="6">
        <f t="shared" si="11"/>
        <v>1410000</v>
      </c>
      <c r="M256" s="6">
        <v>1200000</v>
      </c>
      <c r="N256" s="6" t="s">
        <v>2003</v>
      </c>
      <c r="O256" s="6" t="s">
        <v>922</v>
      </c>
      <c r="P256" s="6">
        <v>2016</v>
      </c>
      <c r="Q256" s="6">
        <v>6</v>
      </c>
      <c r="R256" s="6" t="s">
        <v>45</v>
      </c>
      <c r="S256" s="31" t="s">
        <v>2123</v>
      </c>
      <c r="T256" s="6">
        <v>1</v>
      </c>
      <c r="U256" s="26">
        <v>1100000</v>
      </c>
      <c r="V256" s="26">
        <v>1100000</v>
      </c>
      <c r="W256" s="26">
        <v>1100000</v>
      </c>
      <c r="X256" s="6" t="s">
        <v>2003</v>
      </c>
      <c r="Y256" s="6" t="s">
        <v>1237</v>
      </c>
      <c r="Z256" s="6">
        <v>224266</v>
      </c>
    </row>
    <row r="257" spans="1:26" x14ac:dyDescent="0.3">
      <c r="A257" s="28" t="s">
        <v>42</v>
      </c>
      <c r="B257" s="6" t="s">
        <v>1337</v>
      </c>
      <c r="C257" s="6"/>
      <c r="D257" s="6" t="s">
        <v>2001</v>
      </c>
      <c r="E257" s="6">
        <v>1</v>
      </c>
      <c r="F257" s="6" t="s">
        <v>2004</v>
      </c>
      <c r="G257" s="32" t="s">
        <v>2299</v>
      </c>
      <c r="H257" s="32" t="s">
        <v>2300</v>
      </c>
      <c r="I257" s="6" t="str">
        <f t="shared" si="10"/>
        <v>ETC</v>
      </c>
      <c r="J257" s="6" t="s">
        <v>515</v>
      </c>
      <c r="K257" s="6">
        <v>1</v>
      </c>
      <c r="L257" s="6">
        <f t="shared" si="11"/>
        <v>11170000</v>
      </c>
      <c r="M257" s="6">
        <v>9500000</v>
      </c>
      <c r="N257" s="6" t="s">
        <v>2003</v>
      </c>
      <c r="O257" s="6" t="s">
        <v>923</v>
      </c>
      <c r="P257" s="6">
        <v>2014</v>
      </c>
      <c r="Q257" s="6">
        <v>1</v>
      </c>
      <c r="R257" s="6" t="s">
        <v>45</v>
      </c>
      <c r="S257" s="31" t="s">
        <v>2121</v>
      </c>
      <c r="T257" s="6">
        <v>1</v>
      </c>
      <c r="U257" s="26">
        <v>9000000</v>
      </c>
      <c r="V257" s="26">
        <v>9000000</v>
      </c>
      <c r="W257" s="26">
        <v>9000000</v>
      </c>
      <c r="X257" s="6" t="s">
        <v>2003</v>
      </c>
      <c r="Y257" s="6" t="s">
        <v>1265</v>
      </c>
      <c r="Z257" s="6">
        <v>224272</v>
      </c>
    </row>
    <row r="258" spans="1:26" x14ac:dyDescent="0.3">
      <c r="A258" s="28" t="s">
        <v>42</v>
      </c>
      <c r="B258" s="6" t="s">
        <v>1326</v>
      </c>
      <c r="C258" s="6" t="s">
        <v>1972</v>
      </c>
      <c r="D258" s="6" t="s">
        <v>2291</v>
      </c>
      <c r="E258" s="6">
        <v>1</v>
      </c>
      <c r="F258" s="6" t="s">
        <v>2004</v>
      </c>
      <c r="G258" s="32" t="s">
        <v>2299</v>
      </c>
      <c r="H258" s="32" t="s">
        <v>2300</v>
      </c>
      <c r="I258" s="6" t="str">
        <f t="shared" si="10"/>
        <v>Stone Grapple</v>
      </c>
      <c r="J258" s="6" t="s">
        <v>109</v>
      </c>
      <c r="K258" s="6">
        <v>1</v>
      </c>
      <c r="L258" s="6">
        <f t="shared" si="11"/>
        <v>3760000</v>
      </c>
      <c r="M258" s="6">
        <v>3200000</v>
      </c>
      <c r="N258" s="6" t="s">
        <v>2003</v>
      </c>
      <c r="O258" s="6" t="s">
        <v>54</v>
      </c>
      <c r="P258" s="6">
        <v>2011</v>
      </c>
      <c r="Q258" s="6">
        <v>1</v>
      </c>
      <c r="R258" s="6" t="s">
        <v>45</v>
      </c>
      <c r="S258" s="31" t="s">
        <v>2114</v>
      </c>
      <c r="T258" s="6">
        <v>1</v>
      </c>
      <c r="U258" s="26">
        <v>3000000</v>
      </c>
      <c r="V258" s="26">
        <v>3000000</v>
      </c>
      <c r="W258" s="26">
        <v>3000000</v>
      </c>
      <c r="X258" s="6" t="s">
        <v>2003</v>
      </c>
      <c r="Y258" s="6" t="s">
        <v>54</v>
      </c>
      <c r="Z258" s="6">
        <v>224275</v>
      </c>
    </row>
    <row r="259" spans="1:26" x14ac:dyDescent="0.3">
      <c r="A259" s="28" t="s">
        <v>42</v>
      </c>
      <c r="B259" s="6" t="s">
        <v>1326</v>
      </c>
      <c r="C259" s="6" t="s">
        <v>1973</v>
      </c>
      <c r="D259" s="6" t="s">
        <v>2291</v>
      </c>
      <c r="E259" s="6">
        <v>1</v>
      </c>
      <c r="F259" s="6" t="s">
        <v>2004</v>
      </c>
      <c r="G259" s="32" t="s">
        <v>2299</v>
      </c>
      <c r="H259" s="32" t="s">
        <v>2300</v>
      </c>
      <c r="I259" s="6" t="str">
        <f t="shared" si="10"/>
        <v>Wood Grapple</v>
      </c>
      <c r="J259" s="6" t="s">
        <v>262</v>
      </c>
      <c r="K259" s="6">
        <v>1</v>
      </c>
      <c r="L259" s="6">
        <f t="shared" si="11"/>
        <v>3880000</v>
      </c>
      <c r="M259" s="6">
        <v>3300000</v>
      </c>
      <c r="N259" s="6" t="s">
        <v>2003</v>
      </c>
      <c r="O259" s="6" t="s">
        <v>2045</v>
      </c>
      <c r="P259" s="6">
        <v>2016</v>
      </c>
      <c r="Q259" s="6">
        <v>1</v>
      </c>
      <c r="R259" s="6" t="s">
        <v>45</v>
      </c>
      <c r="S259" s="31" t="s">
        <v>2116</v>
      </c>
      <c r="T259" s="6">
        <v>1</v>
      </c>
      <c r="U259" s="26">
        <v>3100000</v>
      </c>
      <c r="V259" s="26">
        <v>3100000</v>
      </c>
      <c r="W259" s="26">
        <v>3100000</v>
      </c>
      <c r="X259" s="6" t="s">
        <v>2003</v>
      </c>
      <c r="Y259" s="6" t="s">
        <v>49</v>
      </c>
      <c r="Z259" s="6">
        <v>224281</v>
      </c>
    </row>
    <row r="260" spans="1:26" x14ac:dyDescent="0.3">
      <c r="A260" s="28" t="s">
        <v>42</v>
      </c>
      <c r="B260" s="6" t="s">
        <v>1328</v>
      </c>
      <c r="C260" s="6" t="s">
        <v>1975</v>
      </c>
      <c r="D260" s="6" t="s">
        <v>2002</v>
      </c>
      <c r="E260" s="6">
        <v>1</v>
      </c>
      <c r="F260" s="6" t="s">
        <v>2004</v>
      </c>
      <c r="G260" s="32" t="s">
        <v>2299</v>
      </c>
      <c r="H260" s="32" t="s">
        <v>2300</v>
      </c>
      <c r="I260" s="6" t="str">
        <f t="shared" si="10"/>
        <v>Side Breaker</v>
      </c>
      <c r="J260" s="6" t="s">
        <v>425</v>
      </c>
      <c r="K260" s="6">
        <v>1</v>
      </c>
      <c r="L260" s="6">
        <f t="shared" si="11"/>
        <v>1640000</v>
      </c>
      <c r="M260" s="6">
        <v>1400000</v>
      </c>
      <c r="N260" s="6" t="s">
        <v>2003</v>
      </c>
      <c r="O260" s="6" t="s">
        <v>2007</v>
      </c>
      <c r="P260" s="6">
        <v>2014</v>
      </c>
      <c r="Q260" s="6">
        <v>1</v>
      </c>
      <c r="R260" s="6" t="s">
        <v>45</v>
      </c>
      <c r="S260" s="31" t="s">
        <v>2113</v>
      </c>
      <c r="T260" s="6">
        <v>1</v>
      </c>
      <c r="U260" s="26">
        <v>1300000</v>
      </c>
      <c r="V260" s="26">
        <v>1300000</v>
      </c>
      <c r="W260" s="26">
        <v>1300000</v>
      </c>
      <c r="X260" s="6" t="s">
        <v>2003</v>
      </c>
      <c r="Y260" s="6" t="s">
        <v>49</v>
      </c>
      <c r="Z260" s="6">
        <v>224283</v>
      </c>
    </row>
    <row r="261" spans="1:26" x14ac:dyDescent="0.3">
      <c r="A261" s="28" t="s">
        <v>42</v>
      </c>
      <c r="B261" s="6" t="s">
        <v>1326</v>
      </c>
      <c r="C261" s="6" t="s">
        <v>1973</v>
      </c>
      <c r="D261" s="6" t="s">
        <v>2291</v>
      </c>
      <c r="E261" s="6">
        <v>1</v>
      </c>
      <c r="F261" s="6" t="s">
        <v>2004</v>
      </c>
      <c r="G261" s="32" t="s">
        <v>2299</v>
      </c>
      <c r="H261" s="32" t="s">
        <v>2300</v>
      </c>
      <c r="I261" s="6" t="str">
        <f t="shared" si="10"/>
        <v>Wood Grapple</v>
      </c>
      <c r="J261" s="6" t="s">
        <v>127</v>
      </c>
      <c r="K261" s="6">
        <v>1</v>
      </c>
      <c r="L261" s="6">
        <f t="shared" si="11"/>
        <v>2580000</v>
      </c>
      <c r="M261" s="6">
        <v>2200000</v>
      </c>
      <c r="N261" s="6" t="s">
        <v>2003</v>
      </c>
      <c r="O261" s="6" t="s">
        <v>924</v>
      </c>
      <c r="P261" s="6">
        <v>2010</v>
      </c>
      <c r="Q261" s="6">
        <v>1</v>
      </c>
      <c r="R261" s="6" t="s">
        <v>45</v>
      </c>
      <c r="S261" s="31" t="s">
        <v>2114</v>
      </c>
      <c r="T261" s="6">
        <v>1</v>
      </c>
      <c r="U261" s="26">
        <v>2000000</v>
      </c>
      <c r="V261" s="26">
        <v>2000000</v>
      </c>
      <c r="W261" s="26">
        <v>2000000</v>
      </c>
      <c r="X261" s="6" t="s">
        <v>2003</v>
      </c>
      <c r="Y261" s="6" t="s">
        <v>830</v>
      </c>
      <c r="Z261" s="6">
        <v>224284</v>
      </c>
    </row>
    <row r="262" spans="1:26" x14ac:dyDescent="0.3">
      <c r="A262" s="28" t="s">
        <v>42</v>
      </c>
      <c r="B262" s="6" t="s">
        <v>1326</v>
      </c>
      <c r="C262" s="6" t="s">
        <v>1972</v>
      </c>
      <c r="D262" s="6" t="s">
        <v>2292</v>
      </c>
      <c r="E262" s="6">
        <v>1</v>
      </c>
      <c r="F262" s="6" t="s">
        <v>2004</v>
      </c>
      <c r="G262" s="32" t="s">
        <v>2299</v>
      </c>
      <c r="H262" s="32" t="s">
        <v>2300</v>
      </c>
      <c r="I262" s="6" t="str">
        <f t="shared" si="10"/>
        <v>Stone Grapple</v>
      </c>
      <c r="J262" s="6" t="s">
        <v>250</v>
      </c>
      <c r="K262" s="6">
        <v>1</v>
      </c>
      <c r="L262" s="6">
        <f t="shared" si="11"/>
        <v>2230000</v>
      </c>
      <c r="M262" s="6">
        <v>1900000</v>
      </c>
      <c r="N262" s="6" t="s">
        <v>2003</v>
      </c>
      <c r="O262" s="6" t="s">
        <v>2007</v>
      </c>
      <c r="P262" s="6">
        <v>2013</v>
      </c>
      <c r="Q262" s="6">
        <v>1</v>
      </c>
      <c r="R262" s="6" t="s">
        <v>45</v>
      </c>
      <c r="S262" s="31" t="s">
        <v>2113</v>
      </c>
      <c r="T262" s="6">
        <v>1</v>
      </c>
      <c r="U262" s="26">
        <v>1800000</v>
      </c>
      <c r="V262" s="26">
        <v>1800000</v>
      </c>
      <c r="W262" s="26">
        <v>1800000</v>
      </c>
      <c r="X262" s="6" t="s">
        <v>2003</v>
      </c>
      <c r="Y262" s="6" t="s">
        <v>49</v>
      </c>
      <c r="Z262" s="6">
        <v>224288</v>
      </c>
    </row>
    <row r="263" spans="1:26" x14ac:dyDescent="0.3">
      <c r="A263" s="28" t="s">
        <v>42</v>
      </c>
      <c r="B263" s="6" t="s">
        <v>2163</v>
      </c>
      <c r="C263" s="6"/>
      <c r="D263" s="6" t="s">
        <v>2292</v>
      </c>
      <c r="E263" s="6">
        <v>1</v>
      </c>
      <c r="F263" s="6" t="s">
        <v>2004</v>
      </c>
      <c r="G263" s="32" t="s">
        <v>2299</v>
      </c>
      <c r="H263" s="32" t="s">
        <v>2300</v>
      </c>
      <c r="I263" s="6" t="str">
        <f t="shared" si="10"/>
        <v>Lift Fork</v>
      </c>
      <c r="J263" s="6" t="s">
        <v>102</v>
      </c>
      <c r="K263" s="6">
        <v>1</v>
      </c>
      <c r="L263" s="6">
        <f t="shared" si="11"/>
        <v>940000</v>
      </c>
      <c r="M263" s="6">
        <v>800000</v>
      </c>
      <c r="N263" s="6" t="s">
        <v>2003</v>
      </c>
      <c r="O263" s="6" t="s">
        <v>925</v>
      </c>
      <c r="P263" s="6">
        <v>2014</v>
      </c>
      <c r="Q263" s="6">
        <v>1</v>
      </c>
      <c r="R263" s="6" t="s">
        <v>45</v>
      </c>
      <c r="S263" s="31" t="s">
        <v>2119</v>
      </c>
      <c r="T263" s="6">
        <v>1</v>
      </c>
      <c r="U263" s="26">
        <v>700000</v>
      </c>
      <c r="V263" s="26">
        <v>700000</v>
      </c>
      <c r="W263" s="26">
        <v>700000</v>
      </c>
      <c r="X263" s="6" t="s">
        <v>2003</v>
      </c>
      <c r="Y263" s="6" t="s">
        <v>60</v>
      </c>
      <c r="Z263" s="6">
        <v>224291</v>
      </c>
    </row>
    <row r="264" spans="1:26" x14ac:dyDescent="0.3">
      <c r="A264" s="28" t="s">
        <v>42</v>
      </c>
      <c r="B264" s="6" t="s">
        <v>1337</v>
      </c>
      <c r="C264" s="6"/>
      <c r="D264" s="6" t="s">
        <v>2289</v>
      </c>
      <c r="E264" s="6">
        <v>1</v>
      </c>
      <c r="F264" s="6" t="s">
        <v>2004</v>
      </c>
      <c r="G264" s="32" t="s">
        <v>2299</v>
      </c>
      <c r="H264" s="32" t="s">
        <v>2300</v>
      </c>
      <c r="I264" s="6" t="str">
        <f t="shared" si="10"/>
        <v>ETC</v>
      </c>
      <c r="J264" s="6" t="s">
        <v>517</v>
      </c>
      <c r="K264" s="6">
        <v>1</v>
      </c>
      <c r="L264" s="6">
        <f t="shared" si="11"/>
        <v>12350000</v>
      </c>
      <c r="M264" s="6">
        <v>10500000</v>
      </c>
      <c r="N264" s="6" t="s">
        <v>2003</v>
      </c>
      <c r="O264" s="6" t="s">
        <v>926</v>
      </c>
      <c r="P264" s="6">
        <v>2006</v>
      </c>
      <c r="Q264" s="6">
        <v>1</v>
      </c>
      <c r="R264" s="6" t="s">
        <v>45</v>
      </c>
      <c r="S264" s="31" t="s">
        <v>2110</v>
      </c>
      <c r="T264" s="6">
        <v>1</v>
      </c>
      <c r="U264" s="26">
        <v>10000000</v>
      </c>
      <c r="V264" s="26">
        <v>10000000</v>
      </c>
      <c r="W264" s="26">
        <v>10000000</v>
      </c>
      <c r="X264" s="6" t="s">
        <v>2003</v>
      </c>
      <c r="Y264" s="6" t="s">
        <v>1208</v>
      </c>
      <c r="Z264" s="6">
        <v>224292</v>
      </c>
    </row>
    <row r="265" spans="1:26" x14ac:dyDescent="0.3">
      <c r="A265" s="28" t="s">
        <v>42</v>
      </c>
      <c r="B265" s="6" t="s">
        <v>1326</v>
      </c>
      <c r="C265" s="6" t="s">
        <v>1972</v>
      </c>
      <c r="D265" s="6" t="s">
        <v>2291</v>
      </c>
      <c r="E265" s="6">
        <v>1</v>
      </c>
      <c r="F265" s="6" t="s">
        <v>2004</v>
      </c>
      <c r="G265" s="32" t="s">
        <v>2299</v>
      </c>
      <c r="H265" s="32" t="s">
        <v>2300</v>
      </c>
      <c r="I265" s="6" t="str">
        <f t="shared" si="10"/>
        <v>Stone Grapple</v>
      </c>
      <c r="J265" s="6" t="s">
        <v>518</v>
      </c>
      <c r="K265" s="6">
        <v>1</v>
      </c>
      <c r="L265" s="6">
        <f t="shared" si="11"/>
        <v>1940000</v>
      </c>
      <c r="M265" s="6">
        <v>1650000</v>
      </c>
      <c r="N265" s="6" t="s">
        <v>2003</v>
      </c>
      <c r="O265" s="6" t="s">
        <v>2007</v>
      </c>
      <c r="P265" s="6">
        <v>2016</v>
      </c>
      <c r="Q265" s="6">
        <v>1</v>
      </c>
      <c r="R265" s="6" t="s">
        <v>45</v>
      </c>
      <c r="S265" s="31" t="s">
        <v>2113</v>
      </c>
      <c r="T265" s="6">
        <v>1</v>
      </c>
      <c r="U265" s="26">
        <v>1550000</v>
      </c>
      <c r="V265" s="26">
        <v>1550000</v>
      </c>
      <c r="W265" s="26">
        <v>1550000</v>
      </c>
      <c r="X265" s="6" t="s">
        <v>2003</v>
      </c>
      <c r="Y265" s="6" t="s">
        <v>49</v>
      </c>
      <c r="Z265" s="6">
        <v>224293</v>
      </c>
    </row>
    <row r="266" spans="1:26" x14ac:dyDescent="0.3">
      <c r="A266" s="28" t="s">
        <v>42</v>
      </c>
      <c r="B266" s="6" t="s">
        <v>1327</v>
      </c>
      <c r="C266" s="6" t="s">
        <v>1976</v>
      </c>
      <c r="D266" s="6" t="s">
        <v>2289</v>
      </c>
      <c r="E266" s="6">
        <v>1</v>
      </c>
      <c r="F266" s="6" t="s">
        <v>2004</v>
      </c>
      <c r="G266" s="32" t="s">
        <v>2299</v>
      </c>
      <c r="H266" s="32" t="s">
        <v>2300</v>
      </c>
      <c r="I266" s="6" t="str">
        <f t="shared" si="10"/>
        <v>Skeleton Bucket</v>
      </c>
      <c r="J266" s="6" t="s">
        <v>1928</v>
      </c>
      <c r="K266" s="6">
        <v>1</v>
      </c>
      <c r="L266" s="6">
        <f t="shared" si="11"/>
        <v>3170000</v>
      </c>
      <c r="M266" s="6">
        <v>2700000</v>
      </c>
      <c r="N266" s="6" t="s">
        <v>2003</v>
      </c>
      <c r="O266" s="6" t="s">
        <v>927</v>
      </c>
      <c r="P266" s="6">
        <v>2010</v>
      </c>
      <c r="Q266" s="6">
        <v>1</v>
      </c>
      <c r="R266" s="6" t="s">
        <v>45</v>
      </c>
      <c r="S266" s="31" t="s">
        <v>2110</v>
      </c>
      <c r="T266" s="6">
        <v>1</v>
      </c>
      <c r="U266" s="26">
        <v>2500000</v>
      </c>
      <c r="V266" s="26">
        <v>2500000</v>
      </c>
      <c r="W266" s="26">
        <v>2500000</v>
      </c>
      <c r="X266" s="6" t="s">
        <v>2003</v>
      </c>
      <c r="Y266" s="6" t="s">
        <v>1208</v>
      </c>
      <c r="Z266" s="6">
        <v>224294</v>
      </c>
    </row>
    <row r="267" spans="1:26" x14ac:dyDescent="0.3">
      <c r="A267" s="28" t="s">
        <v>42</v>
      </c>
      <c r="B267" s="6" t="s">
        <v>1327</v>
      </c>
      <c r="C267" s="6" t="s">
        <v>1976</v>
      </c>
      <c r="D267" s="6" t="s">
        <v>2292</v>
      </c>
      <c r="E267" s="6">
        <v>1</v>
      </c>
      <c r="F267" s="6" t="s">
        <v>2004</v>
      </c>
      <c r="G267" s="32" t="s">
        <v>2299</v>
      </c>
      <c r="H267" s="32" t="s">
        <v>2300</v>
      </c>
      <c r="I267" s="6" t="str">
        <f t="shared" ref="I267:I330" si="12">IF(ISBLANK(C267),B267,C267)</f>
        <v>Skeleton Bucket</v>
      </c>
      <c r="J267" s="6" t="s">
        <v>62</v>
      </c>
      <c r="K267" s="6">
        <v>1</v>
      </c>
      <c r="L267" s="6">
        <f t="shared" ref="L267:L330" si="13">FLOOR(((M267*100)/85)/10000, 1)*10000</f>
        <v>1290000</v>
      </c>
      <c r="M267" s="6">
        <v>1100000</v>
      </c>
      <c r="N267" s="6" t="s">
        <v>2003</v>
      </c>
      <c r="O267" s="6" t="s">
        <v>2007</v>
      </c>
      <c r="P267" s="6">
        <v>2015</v>
      </c>
      <c r="Q267" s="6">
        <v>1</v>
      </c>
      <c r="R267" s="6" t="s">
        <v>45</v>
      </c>
      <c r="S267" s="31" t="s">
        <v>2113</v>
      </c>
      <c r="T267" s="6">
        <v>1</v>
      </c>
      <c r="U267" s="26">
        <v>1000000</v>
      </c>
      <c r="V267" s="26">
        <v>1000000</v>
      </c>
      <c r="W267" s="26">
        <v>1000000</v>
      </c>
      <c r="X267" s="6" t="s">
        <v>2003</v>
      </c>
      <c r="Y267" s="6" t="s">
        <v>49</v>
      </c>
      <c r="Z267" s="6">
        <v>224295</v>
      </c>
    </row>
    <row r="268" spans="1:26" x14ac:dyDescent="0.3">
      <c r="A268" s="28" t="s">
        <v>42</v>
      </c>
      <c r="B268" s="6" t="s">
        <v>1328</v>
      </c>
      <c r="C268" s="6" t="s">
        <v>1975</v>
      </c>
      <c r="D268" s="6" t="s">
        <v>2001</v>
      </c>
      <c r="E268" s="6">
        <v>1</v>
      </c>
      <c r="F268" s="6" t="s">
        <v>2004</v>
      </c>
      <c r="G268" s="32" t="s">
        <v>2299</v>
      </c>
      <c r="H268" s="32" t="s">
        <v>2300</v>
      </c>
      <c r="I268" s="6" t="str">
        <f t="shared" si="12"/>
        <v>Side Breaker</v>
      </c>
      <c r="J268" s="6" t="s">
        <v>150</v>
      </c>
      <c r="K268" s="6">
        <v>1</v>
      </c>
      <c r="L268" s="6">
        <f t="shared" si="13"/>
        <v>6470000</v>
      </c>
      <c r="M268" s="6">
        <v>5500000</v>
      </c>
      <c r="N268" s="6" t="s">
        <v>2003</v>
      </c>
      <c r="O268" s="6" t="s">
        <v>2009</v>
      </c>
      <c r="P268" s="6">
        <v>2009</v>
      </c>
      <c r="Q268" s="6">
        <v>1</v>
      </c>
      <c r="R268" s="6" t="s">
        <v>45</v>
      </c>
      <c r="S268" s="31" t="s">
        <v>2110</v>
      </c>
      <c r="T268" s="6">
        <v>1</v>
      </c>
      <c r="U268" s="26">
        <v>5000000</v>
      </c>
      <c r="V268" s="26">
        <v>5000000</v>
      </c>
      <c r="W268" s="26">
        <v>5000000</v>
      </c>
      <c r="X268" s="6" t="s">
        <v>2003</v>
      </c>
      <c r="Y268" s="6" t="s">
        <v>1152</v>
      </c>
      <c r="Z268" s="6">
        <v>224296</v>
      </c>
    </row>
    <row r="269" spans="1:26" x14ac:dyDescent="0.3">
      <c r="A269" s="28" t="s">
        <v>42</v>
      </c>
      <c r="B269" s="6" t="s">
        <v>1327</v>
      </c>
      <c r="C269" s="19" t="s">
        <v>1982</v>
      </c>
      <c r="D269" s="6" t="s">
        <v>2291</v>
      </c>
      <c r="E269" s="6">
        <v>1</v>
      </c>
      <c r="F269" s="6" t="s">
        <v>2004</v>
      </c>
      <c r="G269" s="32" t="s">
        <v>2299</v>
      </c>
      <c r="H269" s="32" t="s">
        <v>2300</v>
      </c>
      <c r="I269" s="6" t="str">
        <f t="shared" si="12"/>
        <v>Standard Bucket</v>
      </c>
      <c r="J269" s="6" t="s">
        <v>706</v>
      </c>
      <c r="K269" s="6">
        <v>1</v>
      </c>
      <c r="L269" s="6">
        <f t="shared" si="13"/>
        <v>290000</v>
      </c>
      <c r="M269" s="6">
        <v>250000</v>
      </c>
      <c r="N269" s="6" t="s">
        <v>2003</v>
      </c>
      <c r="O269" s="6" t="s">
        <v>793</v>
      </c>
      <c r="P269" s="6">
        <v>2014</v>
      </c>
      <c r="Q269" s="6">
        <v>1</v>
      </c>
      <c r="R269" s="6" t="s">
        <v>45</v>
      </c>
      <c r="S269" s="31" t="s">
        <v>2116</v>
      </c>
      <c r="T269" s="6">
        <v>1</v>
      </c>
      <c r="U269" s="26">
        <v>200000</v>
      </c>
      <c r="V269" s="26">
        <v>200000</v>
      </c>
      <c r="W269" s="26">
        <v>200000</v>
      </c>
      <c r="X269" s="6" t="s">
        <v>2003</v>
      </c>
      <c r="Y269" s="6" t="s">
        <v>90</v>
      </c>
      <c r="Z269" s="6">
        <v>224299</v>
      </c>
    </row>
    <row r="270" spans="1:26" x14ac:dyDescent="0.3">
      <c r="A270" s="28" t="s">
        <v>42</v>
      </c>
      <c r="B270" s="6" t="s">
        <v>1327</v>
      </c>
      <c r="C270" s="6" t="s">
        <v>1977</v>
      </c>
      <c r="D270" s="6" t="s">
        <v>2291</v>
      </c>
      <c r="E270" s="6">
        <v>1</v>
      </c>
      <c r="F270" s="6" t="s">
        <v>2004</v>
      </c>
      <c r="G270" s="32" t="s">
        <v>2299</v>
      </c>
      <c r="H270" s="32" t="s">
        <v>2300</v>
      </c>
      <c r="I270" s="6" t="str">
        <f t="shared" si="12"/>
        <v>Wide Bucket</v>
      </c>
      <c r="J270" s="6" t="s">
        <v>350</v>
      </c>
      <c r="K270" s="6">
        <v>1</v>
      </c>
      <c r="L270" s="6">
        <f t="shared" si="13"/>
        <v>760000</v>
      </c>
      <c r="M270" s="6">
        <v>650000</v>
      </c>
      <c r="N270" s="6" t="s">
        <v>2003</v>
      </c>
      <c r="O270" s="6" t="s">
        <v>833</v>
      </c>
      <c r="P270" s="6">
        <v>2017</v>
      </c>
      <c r="Q270" s="6">
        <v>1</v>
      </c>
      <c r="R270" s="6" t="s">
        <v>45</v>
      </c>
      <c r="S270" s="31" t="s">
        <v>2114</v>
      </c>
      <c r="T270" s="6">
        <v>1</v>
      </c>
      <c r="U270" s="26">
        <v>550000</v>
      </c>
      <c r="V270" s="26">
        <v>550000</v>
      </c>
      <c r="W270" s="26">
        <v>550000</v>
      </c>
      <c r="X270" s="6" t="s">
        <v>2003</v>
      </c>
      <c r="Y270" s="6" t="s">
        <v>833</v>
      </c>
      <c r="Z270" s="6">
        <v>224303</v>
      </c>
    </row>
    <row r="271" spans="1:26" x14ac:dyDescent="0.3">
      <c r="A271" s="28" t="s">
        <v>42</v>
      </c>
      <c r="B271" s="6" t="s">
        <v>1326</v>
      </c>
      <c r="C271" s="6" t="s">
        <v>1973</v>
      </c>
      <c r="D271" s="6" t="s">
        <v>2291</v>
      </c>
      <c r="E271" s="6">
        <v>1</v>
      </c>
      <c r="F271" s="6" t="s">
        <v>2004</v>
      </c>
      <c r="G271" s="32" t="s">
        <v>2299</v>
      </c>
      <c r="H271" s="32" t="s">
        <v>2300</v>
      </c>
      <c r="I271" s="6" t="str">
        <f t="shared" si="12"/>
        <v>Wood Grapple</v>
      </c>
      <c r="J271" s="6" t="s">
        <v>127</v>
      </c>
      <c r="K271" s="6">
        <v>1</v>
      </c>
      <c r="L271" s="6">
        <f t="shared" si="13"/>
        <v>2230000</v>
      </c>
      <c r="M271" s="6">
        <v>1900000</v>
      </c>
      <c r="N271" s="6" t="s">
        <v>2003</v>
      </c>
      <c r="O271" s="6" t="s">
        <v>54</v>
      </c>
      <c r="P271" s="6">
        <v>2012</v>
      </c>
      <c r="Q271" s="6">
        <v>1</v>
      </c>
      <c r="R271" s="6" t="s">
        <v>45</v>
      </c>
      <c r="S271" s="31" t="s">
        <v>2114</v>
      </c>
      <c r="T271" s="6">
        <v>1</v>
      </c>
      <c r="U271" s="26">
        <v>1800000</v>
      </c>
      <c r="V271" s="26">
        <v>1800000</v>
      </c>
      <c r="W271" s="26">
        <v>1800000</v>
      </c>
      <c r="X271" s="6" t="s">
        <v>2003</v>
      </c>
      <c r="Y271" s="6" t="s">
        <v>54</v>
      </c>
      <c r="Z271" s="6">
        <v>224304</v>
      </c>
    </row>
    <row r="272" spans="1:26" x14ac:dyDescent="0.3">
      <c r="A272" s="28" t="s">
        <v>42</v>
      </c>
      <c r="B272" s="6" t="s">
        <v>1337</v>
      </c>
      <c r="C272" s="6"/>
      <c r="D272" s="6" t="s">
        <v>2292</v>
      </c>
      <c r="E272" s="6">
        <v>1</v>
      </c>
      <c r="F272" s="6" t="s">
        <v>2004</v>
      </c>
      <c r="G272" s="32" t="s">
        <v>2299</v>
      </c>
      <c r="H272" s="32" t="s">
        <v>2300</v>
      </c>
      <c r="I272" s="6" t="str">
        <f t="shared" si="12"/>
        <v>ETC</v>
      </c>
      <c r="J272" s="6" t="s">
        <v>530</v>
      </c>
      <c r="K272" s="6">
        <v>1</v>
      </c>
      <c r="L272" s="6">
        <f t="shared" si="13"/>
        <v>4350000</v>
      </c>
      <c r="M272" s="6">
        <v>3700000</v>
      </c>
      <c r="N272" s="6" t="s">
        <v>2003</v>
      </c>
      <c r="O272" s="6" t="s">
        <v>813</v>
      </c>
      <c r="P272" s="6">
        <v>2013</v>
      </c>
      <c r="Q272" s="6">
        <v>1</v>
      </c>
      <c r="R272" s="6" t="s">
        <v>45</v>
      </c>
      <c r="S272" s="31" t="s">
        <v>2113</v>
      </c>
      <c r="T272" s="6">
        <v>1</v>
      </c>
      <c r="U272" s="26">
        <v>3500000</v>
      </c>
      <c r="V272" s="26">
        <v>3500000</v>
      </c>
      <c r="W272" s="26">
        <v>3500000</v>
      </c>
      <c r="X272" s="6" t="s">
        <v>2003</v>
      </c>
      <c r="Y272" s="6" t="s">
        <v>79</v>
      </c>
      <c r="Z272" s="6">
        <v>224306</v>
      </c>
    </row>
    <row r="273" spans="1:26" x14ac:dyDescent="0.3">
      <c r="A273" s="28" t="s">
        <v>42</v>
      </c>
      <c r="B273" s="6" t="s">
        <v>1326</v>
      </c>
      <c r="C273" s="6" t="s">
        <v>1979</v>
      </c>
      <c r="D273" s="6" t="s">
        <v>2292</v>
      </c>
      <c r="E273" s="6">
        <v>1</v>
      </c>
      <c r="F273" s="6" t="s">
        <v>2004</v>
      </c>
      <c r="G273" s="32" t="s">
        <v>2299</v>
      </c>
      <c r="H273" s="32" t="s">
        <v>2300</v>
      </c>
      <c r="I273" s="6" t="str">
        <f t="shared" si="12"/>
        <v>Thumb Grapple</v>
      </c>
      <c r="J273" s="6" t="s">
        <v>59</v>
      </c>
      <c r="K273" s="6">
        <v>1</v>
      </c>
      <c r="L273" s="6">
        <f t="shared" si="13"/>
        <v>1640000</v>
      </c>
      <c r="M273" s="6">
        <v>1400000</v>
      </c>
      <c r="N273" s="6" t="s">
        <v>2003</v>
      </c>
      <c r="O273" s="6" t="s">
        <v>823</v>
      </c>
      <c r="P273" s="6">
        <v>2014</v>
      </c>
      <c r="Q273" s="6">
        <v>1</v>
      </c>
      <c r="R273" s="6" t="s">
        <v>45</v>
      </c>
      <c r="S273" s="31" t="s">
        <v>2113</v>
      </c>
      <c r="T273" s="6">
        <v>1</v>
      </c>
      <c r="U273" s="26">
        <v>1300000</v>
      </c>
      <c r="V273" s="26">
        <v>1300000</v>
      </c>
      <c r="W273" s="26">
        <v>1300000</v>
      </c>
      <c r="X273" s="6" t="s">
        <v>2003</v>
      </c>
      <c r="Y273" s="6" t="s">
        <v>49</v>
      </c>
      <c r="Z273" s="6">
        <v>224307</v>
      </c>
    </row>
    <row r="274" spans="1:26" x14ac:dyDescent="0.3">
      <c r="A274" s="28" t="s">
        <v>42</v>
      </c>
      <c r="B274" s="6" t="s">
        <v>2163</v>
      </c>
      <c r="C274" s="6"/>
      <c r="D274" s="6" t="s">
        <v>2292</v>
      </c>
      <c r="E274" s="6">
        <v>1</v>
      </c>
      <c r="F274" s="6" t="s">
        <v>2004</v>
      </c>
      <c r="G274" s="32" t="s">
        <v>2299</v>
      </c>
      <c r="H274" s="32" t="s">
        <v>2300</v>
      </c>
      <c r="I274" s="6" t="str">
        <f t="shared" si="12"/>
        <v>Lift Fork</v>
      </c>
      <c r="J274" s="6" t="s">
        <v>465</v>
      </c>
      <c r="K274" s="6">
        <v>1</v>
      </c>
      <c r="L274" s="6">
        <f t="shared" si="13"/>
        <v>1410000</v>
      </c>
      <c r="M274" s="6">
        <v>1200000</v>
      </c>
      <c r="N274" s="6" t="s">
        <v>2003</v>
      </c>
      <c r="O274" s="6" t="s">
        <v>847</v>
      </c>
      <c r="P274" s="6">
        <v>2012</v>
      </c>
      <c r="Q274" s="6">
        <v>1</v>
      </c>
      <c r="R274" s="6" t="s">
        <v>45</v>
      </c>
      <c r="S274" s="31" t="s">
        <v>2116</v>
      </c>
      <c r="T274" s="6">
        <v>1</v>
      </c>
      <c r="U274" s="26">
        <v>1100000</v>
      </c>
      <c r="V274" s="26">
        <v>1100000</v>
      </c>
      <c r="W274" s="26">
        <v>1100000</v>
      </c>
      <c r="X274" s="6" t="s">
        <v>2003</v>
      </c>
      <c r="Y274" s="6" t="s">
        <v>1146</v>
      </c>
      <c r="Z274" s="6">
        <v>224310</v>
      </c>
    </row>
    <row r="275" spans="1:26" x14ac:dyDescent="0.3">
      <c r="A275" s="28" t="s">
        <v>42</v>
      </c>
      <c r="B275" s="6" t="s">
        <v>1328</v>
      </c>
      <c r="C275" s="6" t="s">
        <v>1975</v>
      </c>
      <c r="D275" s="6" t="s">
        <v>2291</v>
      </c>
      <c r="E275" s="6">
        <v>1</v>
      </c>
      <c r="F275" s="6" t="s">
        <v>2004</v>
      </c>
      <c r="G275" s="32" t="s">
        <v>2299</v>
      </c>
      <c r="H275" s="32" t="s">
        <v>2300</v>
      </c>
      <c r="I275" s="6" t="str">
        <f t="shared" si="12"/>
        <v>Side Breaker</v>
      </c>
      <c r="J275" s="6" t="s">
        <v>266</v>
      </c>
      <c r="K275" s="6">
        <v>1</v>
      </c>
      <c r="L275" s="6">
        <f t="shared" si="13"/>
        <v>2350000</v>
      </c>
      <c r="M275" s="6">
        <v>2000000</v>
      </c>
      <c r="N275" s="6" t="s">
        <v>2003</v>
      </c>
      <c r="O275" s="6" t="s">
        <v>1852</v>
      </c>
      <c r="P275" s="6">
        <v>2017</v>
      </c>
      <c r="Q275" s="6">
        <v>1</v>
      </c>
      <c r="R275" s="6" t="s">
        <v>45</v>
      </c>
      <c r="S275" s="31" t="s">
        <v>2113</v>
      </c>
      <c r="T275" s="6">
        <v>1</v>
      </c>
      <c r="U275" s="26">
        <v>1900000</v>
      </c>
      <c r="V275" s="26">
        <v>1900000</v>
      </c>
      <c r="W275" s="26">
        <v>1900000</v>
      </c>
      <c r="X275" s="6" t="s">
        <v>2003</v>
      </c>
      <c r="Y275" s="6" t="s">
        <v>49</v>
      </c>
      <c r="Z275" s="6">
        <v>224311</v>
      </c>
    </row>
    <row r="276" spans="1:26" x14ac:dyDescent="0.3">
      <c r="A276" s="28" t="s">
        <v>42</v>
      </c>
      <c r="B276" s="6" t="s">
        <v>1326</v>
      </c>
      <c r="C276" s="6" t="s">
        <v>1972</v>
      </c>
      <c r="D276" s="6" t="s">
        <v>2292</v>
      </c>
      <c r="E276" s="6">
        <v>1</v>
      </c>
      <c r="F276" s="6" t="s">
        <v>2004</v>
      </c>
      <c r="G276" s="32" t="s">
        <v>2299</v>
      </c>
      <c r="H276" s="32" t="s">
        <v>2300</v>
      </c>
      <c r="I276" s="6" t="str">
        <f t="shared" si="12"/>
        <v>Stone Grapple</v>
      </c>
      <c r="J276" s="6" t="s">
        <v>197</v>
      </c>
      <c r="K276" s="6">
        <v>1</v>
      </c>
      <c r="L276" s="6">
        <f t="shared" si="13"/>
        <v>4580000</v>
      </c>
      <c r="M276" s="6">
        <v>3900000</v>
      </c>
      <c r="N276" s="6" t="s">
        <v>2003</v>
      </c>
      <c r="O276" s="6" t="s">
        <v>2046</v>
      </c>
      <c r="P276" s="6">
        <v>2017</v>
      </c>
      <c r="Q276" s="6">
        <v>1</v>
      </c>
      <c r="R276" s="6" t="s">
        <v>45</v>
      </c>
      <c r="S276" s="31" t="s">
        <v>2110</v>
      </c>
      <c r="T276" s="6">
        <v>1</v>
      </c>
      <c r="U276" s="26">
        <v>3700000</v>
      </c>
      <c r="V276" s="26">
        <v>3700000</v>
      </c>
      <c r="W276" s="26">
        <v>3700000</v>
      </c>
      <c r="X276" s="6" t="s">
        <v>2003</v>
      </c>
      <c r="Y276" s="6" t="s">
        <v>1155</v>
      </c>
      <c r="Z276" s="6">
        <v>224313</v>
      </c>
    </row>
    <row r="277" spans="1:26" x14ac:dyDescent="0.3">
      <c r="A277" s="28" t="s">
        <v>42</v>
      </c>
      <c r="B277" s="6" t="s">
        <v>1325</v>
      </c>
      <c r="C277" s="6" t="s">
        <v>1983</v>
      </c>
      <c r="D277" s="6" t="s">
        <v>2001</v>
      </c>
      <c r="E277" s="6">
        <v>1</v>
      </c>
      <c r="F277" s="6" t="s">
        <v>2004</v>
      </c>
      <c r="G277" s="32" t="s">
        <v>2299</v>
      </c>
      <c r="H277" s="32" t="s">
        <v>2300</v>
      </c>
      <c r="I277" s="6" t="str">
        <f t="shared" si="12"/>
        <v>Hydraulic Multi Processor</v>
      </c>
      <c r="J277" s="6" t="s">
        <v>452</v>
      </c>
      <c r="K277" s="6">
        <v>1</v>
      </c>
      <c r="L277" s="6">
        <f t="shared" si="13"/>
        <v>19410000</v>
      </c>
      <c r="M277" s="6">
        <v>16500000</v>
      </c>
      <c r="N277" s="6" t="s">
        <v>2003</v>
      </c>
      <c r="O277" s="6" t="s">
        <v>1853</v>
      </c>
      <c r="P277" s="6">
        <v>2015</v>
      </c>
      <c r="Q277" s="6">
        <v>1</v>
      </c>
      <c r="R277" s="6" t="s">
        <v>45</v>
      </c>
      <c r="S277" s="31" t="s">
        <v>2116</v>
      </c>
      <c r="T277" s="6">
        <v>1</v>
      </c>
      <c r="U277" s="26">
        <v>16000000</v>
      </c>
      <c r="V277" s="26">
        <v>16000000</v>
      </c>
      <c r="W277" s="26">
        <v>16000000</v>
      </c>
      <c r="X277" s="6" t="s">
        <v>2003</v>
      </c>
      <c r="Y277" s="6" t="s">
        <v>1199</v>
      </c>
      <c r="Z277" s="6">
        <v>224317</v>
      </c>
    </row>
    <row r="278" spans="1:26" x14ac:dyDescent="0.3">
      <c r="A278" s="28" t="s">
        <v>42</v>
      </c>
      <c r="B278" s="6" t="s">
        <v>1328</v>
      </c>
      <c r="C278" s="6" t="s">
        <v>1975</v>
      </c>
      <c r="D278" s="6" t="s">
        <v>2295</v>
      </c>
      <c r="E278" s="6">
        <v>1</v>
      </c>
      <c r="F278" s="6" t="s">
        <v>2004</v>
      </c>
      <c r="G278" s="32" t="s">
        <v>2299</v>
      </c>
      <c r="H278" s="32" t="s">
        <v>2300</v>
      </c>
      <c r="I278" s="6" t="str">
        <f t="shared" si="12"/>
        <v>Side Breaker</v>
      </c>
      <c r="J278" s="6" t="s">
        <v>379</v>
      </c>
      <c r="K278" s="6">
        <v>1</v>
      </c>
      <c r="L278" s="6">
        <f t="shared" si="13"/>
        <v>2230000</v>
      </c>
      <c r="M278" s="6">
        <v>1900000</v>
      </c>
      <c r="N278" s="6" t="s">
        <v>2003</v>
      </c>
      <c r="O278" s="6" t="s">
        <v>2007</v>
      </c>
      <c r="P278" s="6">
        <v>2017</v>
      </c>
      <c r="Q278" s="6">
        <v>1</v>
      </c>
      <c r="R278" s="6" t="s">
        <v>45</v>
      </c>
      <c r="S278" s="31" t="s">
        <v>2113</v>
      </c>
      <c r="T278" s="6">
        <v>1</v>
      </c>
      <c r="U278" s="26">
        <v>1800000</v>
      </c>
      <c r="V278" s="26">
        <v>1800000</v>
      </c>
      <c r="W278" s="26">
        <v>1800000</v>
      </c>
      <c r="X278" s="6" t="s">
        <v>2003</v>
      </c>
      <c r="Y278" s="6" t="s">
        <v>49</v>
      </c>
      <c r="Z278" s="6">
        <v>224320</v>
      </c>
    </row>
    <row r="279" spans="1:26" x14ac:dyDescent="0.3">
      <c r="A279" s="28" t="s">
        <v>42</v>
      </c>
      <c r="B279" s="6" t="s">
        <v>1327</v>
      </c>
      <c r="C279" s="6" t="s">
        <v>1976</v>
      </c>
      <c r="D279" s="6" t="s">
        <v>2292</v>
      </c>
      <c r="E279" s="6">
        <v>1</v>
      </c>
      <c r="F279" s="6" t="s">
        <v>2004</v>
      </c>
      <c r="G279" s="32" t="s">
        <v>2299</v>
      </c>
      <c r="H279" s="32" t="s">
        <v>2300</v>
      </c>
      <c r="I279" s="6" t="str">
        <f t="shared" si="12"/>
        <v>Skeleton Bucket</v>
      </c>
      <c r="J279" s="6" t="s">
        <v>334</v>
      </c>
      <c r="K279" s="6">
        <v>1</v>
      </c>
      <c r="L279" s="6">
        <f t="shared" si="13"/>
        <v>1290000</v>
      </c>
      <c r="M279" s="6">
        <v>1100000</v>
      </c>
      <c r="N279" s="6" t="s">
        <v>2003</v>
      </c>
      <c r="O279" s="6" t="s">
        <v>823</v>
      </c>
      <c r="P279" s="6">
        <v>2014</v>
      </c>
      <c r="Q279" s="6">
        <v>1</v>
      </c>
      <c r="R279" s="6" t="s">
        <v>45</v>
      </c>
      <c r="S279" s="31" t="s">
        <v>2113</v>
      </c>
      <c r="T279" s="6">
        <v>1</v>
      </c>
      <c r="U279" s="26">
        <v>1000000</v>
      </c>
      <c r="V279" s="26">
        <v>1000000</v>
      </c>
      <c r="W279" s="26">
        <v>1000000</v>
      </c>
      <c r="X279" s="6" t="s">
        <v>2003</v>
      </c>
      <c r="Y279" s="6" t="s">
        <v>49</v>
      </c>
      <c r="Z279" s="6">
        <v>224322</v>
      </c>
    </row>
    <row r="280" spans="1:26" x14ac:dyDescent="0.3">
      <c r="A280" s="28" t="s">
        <v>42</v>
      </c>
      <c r="B280" s="6" t="s">
        <v>1327</v>
      </c>
      <c r="C280" s="19" t="s">
        <v>1982</v>
      </c>
      <c r="D280" s="6" t="s">
        <v>2289</v>
      </c>
      <c r="E280" s="6">
        <v>1</v>
      </c>
      <c r="F280" s="6" t="s">
        <v>2004</v>
      </c>
      <c r="G280" s="32" t="s">
        <v>2299</v>
      </c>
      <c r="H280" s="32" t="s">
        <v>2300</v>
      </c>
      <c r="I280" s="6" t="str">
        <f t="shared" si="12"/>
        <v>Standard Bucket</v>
      </c>
      <c r="J280" s="6" t="s">
        <v>366</v>
      </c>
      <c r="K280" s="6">
        <v>1</v>
      </c>
      <c r="L280" s="6">
        <f t="shared" si="13"/>
        <v>4940000</v>
      </c>
      <c r="M280" s="6">
        <v>4200000</v>
      </c>
      <c r="N280" s="6" t="s">
        <v>2003</v>
      </c>
      <c r="O280" s="6" t="s">
        <v>928</v>
      </c>
      <c r="P280" s="6">
        <v>2016</v>
      </c>
      <c r="Q280" s="6">
        <v>1</v>
      </c>
      <c r="R280" s="6" t="s">
        <v>45</v>
      </c>
      <c r="S280" s="31" t="s">
        <v>2120</v>
      </c>
      <c r="T280" s="6">
        <v>1</v>
      </c>
      <c r="U280" s="26">
        <v>4000000</v>
      </c>
      <c r="V280" s="26">
        <v>4000000</v>
      </c>
      <c r="W280" s="26">
        <v>4000000</v>
      </c>
      <c r="X280" s="6" t="s">
        <v>2003</v>
      </c>
      <c r="Y280" s="6" t="s">
        <v>74</v>
      </c>
      <c r="Z280" s="6">
        <v>224326</v>
      </c>
    </row>
    <row r="281" spans="1:26" x14ac:dyDescent="0.3">
      <c r="A281" s="28" t="s">
        <v>42</v>
      </c>
      <c r="B281" s="6" t="s">
        <v>1328</v>
      </c>
      <c r="C281" s="6" t="s">
        <v>1975</v>
      </c>
      <c r="D281" s="6" t="s">
        <v>2293</v>
      </c>
      <c r="E281" s="6">
        <v>1</v>
      </c>
      <c r="F281" s="6" t="s">
        <v>2004</v>
      </c>
      <c r="G281" s="32" t="s">
        <v>2299</v>
      </c>
      <c r="H281" s="32" t="s">
        <v>2300</v>
      </c>
      <c r="I281" s="6" t="str">
        <f t="shared" si="12"/>
        <v>Side Breaker</v>
      </c>
      <c r="J281" s="6" t="s">
        <v>520</v>
      </c>
      <c r="K281" s="6">
        <v>1</v>
      </c>
      <c r="L281" s="6">
        <f t="shared" si="13"/>
        <v>1520000</v>
      </c>
      <c r="M281" s="6">
        <v>1300000</v>
      </c>
      <c r="N281" s="6" t="s">
        <v>2003</v>
      </c>
      <c r="O281" s="6" t="s">
        <v>929</v>
      </c>
      <c r="P281" s="6">
        <v>2015</v>
      </c>
      <c r="Q281" s="6">
        <v>1</v>
      </c>
      <c r="R281" s="6" t="s">
        <v>45</v>
      </c>
      <c r="S281" s="31" t="s">
        <v>2112</v>
      </c>
      <c r="T281" s="6">
        <v>1</v>
      </c>
      <c r="U281" s="26">
        <v>1200000</v>
      </c>
      <c r="V281" s="26">
        <v>1200000</v>
      </c>
      <c r="W281" s="26">
        <v>1200000</v>
      </c>
      <c r="X281" s="6" t="s">
        <v>2003</v>
      </c>
      <c r="Y281" s="6" t="s">
        <v>1142</v>
      </c>
      <c r="Z281" s="6">
        <v>224327</v>
      </c>
    </row>
    <row r="282" spans="1:26" x14ac:dyDescent="0.3">
      <c r="A282" s="28" t="s">
        <v>42</v>
      </c>
      <c r="B282" s="6" t="s">
        <v>1327</v>
      </c>
      <c r="C282" s="6" t="s">
        <v>1976</v>
      </c>
      <c r="D282" s="6" t="s">
        <v>2001</v>
      </c>
      <c r="E282" s="6">
        <v>1</v>
      </c>
      <c r="F282" s="6" t="s">
        <v>2004</v>
      </c>
      <c r="G282" s="32" t="s">
        <v>2299</v>
      </c>
      <c r="H282" s="32" t="s">
        <v>2300</v>
      </c>
      <c r="I282" s="6" t="str">
        <f t="shared" si="12"/>
        <v>Skeleton Bucket</v>
      </c>
      <c r="J282" s="6" t="s">
        <v>124</v>
      </c>
      <c r="K282" s="6">
        <v>1</v>
      </c>
      <c r="L282" s="6">
        <f t="shared" si="13"/>
        <v>2820000</v>
      </c>
      <c r="M282" s="6">
        <v>2400000</v>
      </c>
      <c r="N282" s="6" t="s">
        <v>2003</v>
      </c>
      <c r="O282" s="6" t="s">
        <v>930</v>
      </c>
      <c r="P282" s="6">
        <v>2015</v>
      </c>
      <c r="Q282" s="6">
        <v>1</v>
      </c>
      <c r="R282" s="6" t="s">
        <v>45</v>
      </c>
      <c r="S282" s="31" t="s">
        <v>2116</v>
      </c>
      <c r="T282" s="6">
        <v>1</v>
      </c>
      <c r="U282" s="26">
        <v>2200000</v>
      </c>
      <c r="V282" s="26">
        <v>2200000</v>
      </c>
      <c r="W282" s="26">
        <v>2200000</v>
      </c>
      <c r="X282" s="6" t="s">
        <v>2003</v>
      </c>
      <c r="Y282" s="6" t="s">
        <v>1216</v>
      </c>
      <c r="Z282" s="6">
        <v>224344</v>
      </c>
    </row>
    <row r="283" spans="1:26" x14ac:dyDescent="0.3">
      <c r="A283" s="28" t="s">
        <v>42</v>
      </c>
      <c r="B283" s="6" t="s">
        <v>1326</v>
      </c>
      <c r="C283" s="6" t="s">
        <v>1972</v>
      </c>
      <c r="D283" s="6" t="s">
        <v>2292</v>
      </c>
      <c r="E283" s="6">
        <v>1</v>
      </c>
      <c r="F283" s="6" t="s">
        <v>2004</v>
      </c>
      <c r="G283" s="32" t="s">
        <v>2299</v>
      </c>
      <c r="H283" s="32" t="s">
        <v>2300</v>
      </c>
      <c r="I283" s="6" t="str">
        <f t="shared" si="12"/>
        <v>Stone Grapple</v>
      </c>
      <c r="J283" s="6" t="s">
        <v>341</v>
      </c>
      <c r="K283" s="6">
        <v>1</v>
      </c>
      <c r="L283" s="6">
        <f t="shared" si="13"/>
        <v>2230000</v>
      </c>
      <c r="M283" s="6">
        <v>1900000</v>
      </c>
      <c r="N283" s="6" t="s">
        <v>2003</v>
      </c>
      <c r="O283" s="6" t="s">
        <v>823</v>
      </c>
      <c r="P283" s="6">
        <v>2014</v>
      </c>
      <c r="Q283" s="6">
        <v>1</v>
      </c>
      <c r="R283" s="6" t="s">
        <v>45</v>
      </c>
      <c r="S283" s="31" t="s">
        <v>2113</v>
      </c>
      <c r="T283" s="6">
        <v>1</v>
      </c>
      <c r="U283" s="26">
        <v>1800000</v>
      </c>
      <c r="V283" s="26">
        <v>1800000</v>
      </c>
      <c r="W283" s="26">
        <v>1800000</v>
      </c>
      <c r="X283" s="6" t="s">
        <v>2003</v>
      </c>
      <c r="Y283" s="6" t="s">
        <v>49</v>
      </c>
      <c r="Z283" s="6">
        <v>224345</v>
      </c>
    </row>
    <row r="284" spans="1:26" x14ac:dyDescent="0.3">
      <c r="A284" s="28" t="s">
        <v>42</v>
      </c>
      <c r="B284" s="6" t="s">
        <v>1328</v>
      </c>
      <c r="C284" s="6" t="s">
        <v>1975</v>
      </c>
      <c r="D284" s="6" t="s">
        <v>2292</v>
      </c>
      <c r="E284" s="6">
        <v>1</v>
      </c>
      <c r="F284" s="6" t="s">
        <v>2004</v>
      </c>
      <c r="G284" s="32" t="s">
        <v>2299</v>
      </c>
      <c r="H284" s="32" t="s">
        <v>2300</v>
      </c>
      <c r="I284" s="6" t="str">
        <f t="shared" si="12"/>
        <v>Side Breaker</v>
      </c>
      <c r="J284" s="6" t="s">
        <v>119</v>
      </c>
      <c r="K284" s="6">
        <v>1</v>
      </c>
      <c r="L284" s="6">
        <f t="shared" si="13"/>
        <v>5520000</v>
      </c>
      <c r="M284" s="6">
        <v>4700000</v>
      </c>
      <c r="N284" s="6" t="s">
        <v>2003</v>
      </c>
      <c r="O284" s="6" t="s">
        <v>798</v>
      </c>
      <c r="P284" s="6">
        <v>2015</v>
      </c>
      <c r="Q284" s="6">
        <v>1</v>
      </c>
      <c r="R284" s="6" t="s">
        <v>45</v>
      </c>
      <c r="S284" s="31" t="s">
        <v>2113</v>
      </c>
      <c r="T284" s="6">
        <v>1</v>
      </c>
      <c r="U284" s="26">
        <v>4500000</v>
      </c>
      <c r="V284" s="26">
        <v>4500000</v>
      </c>
      <c r="W284" s="26">
        <v>4500000</v>
      </c>
      <c r="X284" s="6" t="s">
        <v>2003</v>
      </c>
      <c r="Y284" s="6" t="s">
        <v>71</v>
      </c>
      <c r="Z284" s="6">
        <v>224353</v>
      </c>
    </row>
    <row r="285" spans="1:26" x14ac:dyDescent="0.3">
      <c r="A285" s="28" t="s">
        <v>42</v>
      </c>
      <c r="B285" s="6" t="s">
        <v>1327</v>
      </c>
      <c r="C285" s="19" t="s">
        <v>1982</v>
      </c>
      <c r="D285" s="6" t="s">
        <v>2289</v>
      </c>
      <c r="E285" s="6">
        <v>1</v>
      </c>
      <c r="F285" s="6" t="s">
        <v>2004</v>
      </c>
      <c r="G285" s="32" t="s">
        <v>2299</v>
      </c>
      <c r="H285" s="32" t="s">
        <v>2300</v>
      </c>
      <c r="I285" s="6" t="str">
        <f t="shared" si="12"/>
        <v>Standard Bucket</v>
      </c>
      <c r="J285" s="6" t="s">
        <v>187</v>
      </c>
      <c r="K285" s="6">
        <v>1</v>
      </c>
      <c r="L285" s="6">
        <f t="shared" si="13"/>
        <v>4350000</v>
      </c>
      <c r="M285" s="6">
        <v>3700000</v>
      </c>
      <c r="N285" s="6" t="s">
        <v>2003</v>
      </c>
      <c r="O285" s="6" t="s">
        <v>1854</v>
      </c>
      <c r="P285" s="6">
        <v>2016</v>
      </c>
      <c r="Q285" s="6">
        <v>1</v>
      </c>
      <c r="R285" s="6" t="s">
        <v>45</v>
      </c>
      <c r="S285" s="31" t="s">
        <v>2120</v>
      </c>
      <c r="T285" s="6">
        <v>1</v>
      </c>
      <c r="U285" s="26">
        <v>3500000</v>
      </c>
      <c r="V285" s="26">
        <v>3500000</v>
      </c>
      <c r="W285" s="26">
        <v>3500000</v>
      </c>
      <c r="X285" s="6" t="s">
        <v>2003</v>
      </c>
      <c r="Y285" s="6" t="s">
        <v>74</v>
      </c>
      <c r="Z285" s="6">
        <v>224365</v>
      </c>
    </row>
    <row r="286" spans="1:26" x14ac:dyDescent="0.3">
      <c r="A286" s="28" t="s">
        <v>42</v>
      </c>
      <c r="B286" s="6" t="s">
        <v>1327</v>
      </c>
      <c r="C286" s="6" t="s">
        <v>1976</v>
      </c>
      <c r="D286" s="6" t="s">
        <v>2292</v>
      </c>
      <c r="E286" s="6">
        <v>1</v>
      </c>
      <c r="F286" s="6" t="s">
        <v>2004</v>
      </c>
      <c r="G286" s="32" t="s">
        <v>2299</v>
      </c>
      <c r="H286" s="32" t="s">
        <v>2300</v>
      </c>
      <c r="I286" s="6" t="str">
        <f t="shared" si="12"/>
        <v>Skeleton Bucket</v>
      </c>
      <c r="J286" s="6" t="s">
        <v>110</v>
      </c>
      <c r="K286" s="6">
        <v>1</v>
      </c>
      <c r="L286" s="6">
        <f t="shared" si="13"/>
        <v>1290000</v>
      </c>
      <c r="M286" s="6">
        <v>1100000</v>
      </c>
      <c r="N286" s="6" t="s">
        <v>2003</v>
      </c>
      <c r="O286" s="6" t="s">
        <v>2012</v>
      </c>
      <c r="P286" s="6">
        <v>2014</v>
      </c>
      <c r="Q286" s="6">
        <v>1</v>
      </c>
      <c r="R286" s="6" t="s">
        <v>45</v>
      </c>
      <c r="S286" s="31" t="s">
        <v>2113</v>
      </c>
      <c r="T286" s="6">
        <v>1</v>
      </c>
      <c r="U286" s="26">
        <v>1000000</v>
      </c>
      <c r="V286" s="26">
        <v>1000000</v>
      </c>
      <c r="W286" s="26">
        <v>1000000</v>
      </c>
      <c r="X286" s="6" t="s">
        <v>2003</v>
      </c>
      <c r="Y286" s="6" t="s">
        <v>49</v>
      </c>
      <c r="Z286" s="6">
        <v>224366</v>
      </c>
    </row>
    <row r="287" spans="1:26" x14ac:dyDescent="0.3">
      <c r="A287" s="28" t="s">
        <v>42</v>
      </c>
      <c r="B287" s="6" t="s">
        <v>1328</v>
      </c>
      <c r="C287" s="6" t="s">
        <v>1975</v>
      </c>
      <c r="D287" s="6" t="s">
        <v>2291</v>
      </c>
      <c r="E287" s="6">
        <v>1</v>
      </c>
      <c r="F287" s="6" t="s">
        <v>2004</v>
      </c>
      <c r="G287" s="32" t="s">
        <v>2299</v>
      </c>
      <c r="H287" s="32" t="s">
        <v>2300</v>
      </c>
      <c r="I287" s="6" t="str">
        <f t="shared" si="12"/>
        <v>Side Breaker</v>
      </c>
      <c r="J287" s="6" t="s">
        <v>522</v>
      </c>
      <c r="K287" s="6">
        <v>1</v>
      </c>
      <c r="L287" s="6">
        <f t="shared" si="13"/>
        <v>1880000</v>
      </c>
      <c r="M287" s="6">
        <v>1600000</v>
      </c>
      <c r="N287" s="6" t="s">
        <v>2003</v>
      </c>
      <c r="O287" s="6" t="s">
        <v>794</v>
      </c>
      <c r="P287" s="6">
        <v>2015</v>
      </c>
      <c r="Q287" s="6">
        <v>1</v>
      </c>
      <c r="R287" s="6" t="s">
        <v>45</v>
      </c>
      <c r="S287" s="31" t="s">
        <v>2122</v>
      </c>
      <c r="T287" s="6">
        <v>1</v>
      </c>
      <c r="U287" s="26">
        <v>1500000</v>
      </c>
      <c r="V287" s="26">
        <v>1500000</v>
      </c>
      <c r="W287" s="26">
        <v>1500000</v>
      </c>
      <c r="X287" s="6" t="s">
        <v>2003</v>
      </c>
      <c r="Y287" s="6" t="s">
        <v>1154</v>
      </c>
      <c r="Z287" s="6">
        <v>224369</v>
      </c>
    </row>
    <row r="288" spans="1:26" x14ac:dyDescent="0.3">
      <c r="A288" s="28" t="s">
        <v>42</v>
      </c>
      <c r="B288" s="6" t="s">
        <v>1327</v>
      </c>
      <c r="C288" s="6" t="s">
        <v>1976</v>
      </c>
      <c r="D288" s="6" t="s">
        <v>2289</v>
      </c>
      <c r="E288" s="6">
        <v>1</v>
      </c>
      <c r="F288" s="6" t="s">
        <v>2004</v>
      </c>
      <c r="G288" s="32" t="s">
        <v>2299</v>
      </c>
      <c r="H288" s="32" t="s">
        <v>2300</v>
      </c>
      <c r="I288" s="6" t="str">
        <f t="shared" si="12"/>
        <v>Skeleton Bucket</v>
      </c>
      <c r="J288" s="6" t="s">
        <v>188</v>
      </c>
      <c r="K288" s="6">
        <v>1</v>
      </c>
      <c r="L288" s="6">
        <f t="shared" si="13"/>
        <v>4110000</v>
      </c>
      <c r="M288" s="6">
        <v>3500000</v>
      </c>
      <c r="N288" s="6" t="s">
        <v>2003</v>
      </c>
      <c r="O288" s="6" t="s">
        <v>1855</v>
      </c>
      <c r="P288" s="6">
        <v>2016</v>
      </c>
      <c r="Q288" s="6">
        <v>1</v>
      </c>
      <c r="R288" s="6" t="s">
        <v>45</v>
      </c>
      <c r="S288" s="31" t="s">
        <v>2120</v>
      </c>
      <c r="T288" s="6">
        <v>1</v>
      </c>
      <c r="U288" s="26">
        <v>3300000</v>
      </c>
      <c r="V288" s="26">
        <v>3300000</v>
      </c>
      <c r="W288" s="26">
        <v>3300000</v>
      </c>
      <c r="X288" s="6" t="s">
        <v>2003</v>
      </c>
      <c r="Y288" s="6" t="s">
        <v>74</v>
      </c>
      <c r="Z288" s="6">
        <v>224370</v>
      </c>
    </row>
    <row r="289" spans="1:26" x14ac:dyDescent="0.3">
      <c r="A289" s="28" t="s">
        <v>42</v>
      </c>
      <c r="B289" s="6" t="s">
        <v>1328</v>
      </c>
      <c r="C289" s="6" t="s">
        <v>1975</v>
      </c>
      <c r="D289" s="6" t="s">
        <v>2290</v>
      </c>
      <c r="E289" s="6">
        <v>1</v>
      </c>
      <c r="F289" s="6" t="s">
        <v>2004</v>
      </c>
      <c r="G289" s="32" t="s">
        <v>2299</v>
      </c>
      <c r="H289" s="32" t="s">
        <v>2300</v>
      </c>
      <c r="I289" s="6" t="str">
        <f t="shared" si="12"/>
        <v>Side Breaker</v>
      </c>
      <c r="J289" s="6" t="s">
        <v>523</v>
      </c>
      <c r="K289" s="6">
        <v>1</v>
      </c>
      <c r="L289" s="6">
        <f t="shared" si="13"/>
        <v>10000000</v>
      </c>
      <c r="M289" s="6">
        <v>8500000</v>
      </c>
      <c r="N289" s="6" t="s">
        <v>2003</v>
      </c>
      <c r="O289" s="6" t="s">
        <v>931</v>
      </c>
      <c r="P289" s="6">
        <v>2013</v>
      </c>
      <c r="Q289" s="6">
        <v>1</v>
      </c>
      <c r="R289" s="6" t="s">
        <v>45</v>
      </c>
      <c r="S289" s="31" t="s">
        <v>2114</v>
      </c>
      <c r="T289" s="6">
        <v>1</v>
      </c>
      <c r="U289" s="26">
        <v>8000000</v>
      </c>
      <c r="V289" s="26">
        <v>8000000</v>
      </c>
      <c r="W289" s="26">
        <v>8000000</v>
      </c>
      <c r="X289" s="6" t="s">
        <v>2003</v>
      </c>
      <c r="Y289" s="6" t="s">
        <v>1230</v>
      </c>
      <c r="Z289" s="6">
        <v>224373</v>
      </c>
    </row>
    <row r="290" spans="1:26" x14ac:dyDescent="0.3">
      <c r="A290" s="28" t="s">
        <v>42</v>
      </c>
      <c r="B290" s="6" t="s">
        <v>1337</v>
      </c>
      <c r="C290" s="6"/>
      <c r="D290" s="6" t="s">
        <v>2289</v>
      </c>
      <c r="E290" s="6">
        <v>1</v>
      </c>
      <c r="F290" s="6" t="s">
        <v>2004</v>
      </c>
      <c r="G290" s="32" t="s">
        <v>2299</v>
      </c>
      <c r="H290" s="32" t="s">
        <v>2300</v>
      </c>
      <c r="I290" s="6" t="str">
        <f t="shared" si="12"/>
        <v>ETC</v>
      </c>
      <c r="J290" s="6" t="s">
        <v>287</v>
      </c>
      <c r="K290" s="6">
        <v>1</v>
      </c>
      <c r="L290" s="6">
        <f t="shared" si="13"/>
        <v>3170000</v>
      </c>
      <c r="M290" s="6">
        <v>2700000</v>
      </c>
      <c r="N290" s="6" t="s">
        <v>2003</v>
      </c>
      <c r="O290" s="6" t="s">
        <v>826</v>
      </c>
      <c r="P290" s="6">
        <v>2007</v>
      </c>
      <c r="Q290" s="6">
        <v>1</v>
      </c>
      <c r="R290" s="6" t="s">
        <v>45</v>
      </c>
      <c r="S290" s="31" t="s">
        <v>2117</v>
      </c>
      <c r="T290" s="6">
        <v>1</v>
      </c>
      <c r="U290" s="26">
        <v>2500000</v>
      </c>
      <c r="V290" s="26">
        <v>2500000</v>
      </c>
      <c r="W290" s="26">
        <v>2500000</v>
      </c>
      <c r="X290" s="6" t="s">
        <v>2003</v>
      </c>
      <c r="Y290" s="6" t="s">
        <v>1269</v>
      </c>
      <c r="Z290" s="6">
        <v>224378</v>
      </c>
    </row>
    <row r="291" spans="1:26" x14ac:dyDescent="0.3">
      <c r="A291" s="28" t="s">
        <v>42</v>
      </c>
      <c r="B291" s="6" t="s">
        <v>1328</v>
      </c>
      <c r="C291" s="6" t="s">
        <v>1975</v>
      </c>
      <c r="D291" s="6" t="s">
        <v>2292</v>
      </c>
      <c r="E291" s="6">
        <v>1</v>
      </c>
      <c r="F291" s="6" t="s">
        <v>2004</v>
      </c>
      <c r="G291" s="32" t="s">
        <v>2299</v>
      </c>
      <c r="H291" s="32" t="s">
        <v>2300</v>
      </c>
      <c r="I291" s="6" t="str">
        <f t="shared" si="12"/>
        <v>Side Breaker</v>
      </c>
      <c r="J291" s="6" t="s">
        <v>524</v>
      </c>
      <c r="K291" s="6">
        <v>1</v>
      </c>
      <c r="L291" s="6">
        <f t="shared" si="13"/>
        <v>2580000</v>
      </c>
      <c r="M291" s="6">
        <v>2200000</v>
      </c>
      <c r="N291" s="6" t="s">
        <v>2003</v>
      </c>
      <c r="O291" s="6" t="s">
        <v>54</v>
      </c>
      <c r="P291" s="6">
        <v>2009</v>
      </c>
      <c r="Q291" s="6">
        <v>1</v>
      </c>
      <c r="R291" s="6" t="s">
        <v>45</v>
      </c>
      <c r="S291" s="31" t="s">
        <v>2114</v>
      </c>
      <c r="T291" s="6">
        <v>1</v>
      </c>
      <c r="U291" s="26">
        <v>2000000</v>
      </c>
      <c r="V291" s="26">
        <v>2000000</v>
      </c>
      <c r="W291" s="26">
        <v>2000000</v>
      </c>
      <c r="X291" s="6" t="s">
        <v>2003</v>
      </c>
      <c r="Y291" s="6" t="s">
        <v>54</v>
      </c>
      <c r="Z291" s="6">
        <v>224379</v>
      </c>
    </row>
    <row r="292" spans="1:26" x14ac:dyDescent="0.3">
      <c r="A292" s="28" t="s">
        <v>42</v>
      </c>
      <c r="B292" s="6" t="s">
        <v>1327</v>
      </c>
      <c r="C292" s="6" t="s">
        <v>1971</v>
      </c>
      <c r="D292" s="6" t="s">
        <v>2289</v>
      </c>
      <c r="E292" s="6">
        <v>1</v>
      </c>
      <c r="F292" s="6" t="s">
        <v>2004</v>
      </c>
      <c r="G292" s="32" t="s">
        <v>2299</v>
      </c>
      <c r="H292" s="32" t="s">
        <v>2300</v>
      </c>
      <c r="I292" s="6" t="str">
        <f t="shared" si="12"/>
        <v>Special Bucket</v>
      </c>
      <c r="J292" s="6" t="s">
        <v>359</v>
      </c>
      <c r="K292" s="6">
        <v>1</v>
      </c>
      <c r="L292" s="6">
        <f t="shared" si="13"/>
        <v>4110000</v>
      </c>
      <c r="M292" s="6">
        <v>3500000</v>
      </c>
      <c r="N292" s="6" t="s">
        <v>2003</v>
      </c>
      <c r="O292" s="6" t="s">
        <v>1856</v>
      </c>
      <c r="P292" s="6">
        <v>2015</v>
      </c>
      <c r="Q292" s="6">
        <v>1</v>
      </c>
      <c r="R292" s="6" t="s">
        <v>45</v>
      </c>
      <c r="S292" s="31" t="s">
        <v>2122</v>
      </c>
      <c r="T292" s="6">
        <v>1</v>
      </c>
      <c r="U292" s="26">
        <v>3300000</v>
      </c>
      <c r="V292" s="26">
        <v>3300000</v>
      </c>
      <c r="W292" s="26">
        <v>3300000</v>
      </c>
      <c r="X292" s="6" t="s">
        <v>2003</v>
      </c>
      <c r="Y292" s="6" t="s">
        <v>1231</v>
      </c>
      <c r="Z292" s="6">
        <v>224393</v>
      </c>
    </row>
    <row r="293" spans="1:26" x14ac:dyDescent="0.3">
      <c r="A293" s="28" t="s">
        <v>42</v>
      </c>
      <c r="B293" s="6" t="s">
        <v>1328</v>
      </c>
      <c r="C293" s="6" t="s">
        <v>1975</v>
      </c>
      <c r="D293" s="6" t="s">
        <v>2292</v>
      </c>
      <c r="E293" s="6">
        <v>1</v>
      </c>
      <c r="F293" s="6" t="s">
        <v>2004</v>
      </c>
      <c r="G293" s="32" t="s">
        <v>2299</v>
      </c>
      <c r="H293" s="32" t="s">
        <v>2300</v>
      </c>
      <c r="I293" s="6" t="str">
        <f t="shared" si="12"/>
        <v>Side Breaker</v>
      </c>
      <c r="J293" s="6" t="s">
        <v>159</v>
      </c>
      <c r="K293" s="6">
        <v>1</v>
      </c>
      <c r="L293" s="6">
        <f t="shared" si="13"/>
        <v>4350000</v>
      </c>
      <c r="M293" s="6">
        <v>3700000</v>
      </c>
      <c r="N293" s="6" t="s">
        <v>2003</v>
      </c>
      <c r="O293" s="6" t="s">
        <v>51</v>
      </c>
      <c r="P293" s="6">
        <v>2014</v>
      </c>
      <c r="Q293" s="6">
        <v>1</v>
      </c>
      <c r="R293" s="6" t="s">
        <v>45</v>
      </c>
      <c r="S293" s="31" t="s">
        <v>2113</v>
      </c>
      <c r="T293" s="6">
        <v>1</v>
      </c>
      <c r="U293" s="26">
        <v>3500000</v>
      </c>
      <c r="V293" s="26">
        <v>3500000</v>
      </c>
      <c r="W293" s="26">
        <v>3500000</v>
      </c>
      <c r="X293" s="6" t="s">
        <v>2003</v>
      </c>
      <c r="Y293" s="6" t="s">
        <v>49</v>
      </c>
      <c r="Z293" s="6">
        <v>224399</v>
      </c>
    </row>
    <row r="294" spans="1:26" x14ac:dyDescent="0.3">
      <c r="A294" s="28" t="s">
        <v>42</v>
      </c>
      <c r="B294" s="6" t="s">
        <v>1326</v>
      </c>
      <c r="C294" s="6" t="s">
        <v>1972</v>
      </c>
      <c r="D294" s="6" t="s">
        <v>2290</v>
      </c>
      <c r="E294" s="6">
        <v>1</v>
      </c>
      <c r="F294" s="6" t="s">
        <v>2004</v>
      </c>
      <c r="G294" s="32" t="s">
        <v>2299</v>
      </c>
      <c r="H294" s="32" t="s">
        <v>2300</v>
      </c>
      <c r="I294" s="6" t="str">
        <f t="shared" si="12"/>
        <v>Stone Grapple</v>
      </c>
      <c r="J294" s="6" t="s">
        <v>94</v>
      </c>
      <c r="K294" s="6">
        <v>1</v>
      </c>
      <c r="L294" s="6">
        <f t="shared" si="13"/>
        <v>3170000</v>
      </c>
      <c r="M294" s="6">
        <v>2700000</v>
      </c>
      <c r="N294" s="6" t="s">
        <v>2003</v>
      </c>
      <c r="O294" s="6" t="s">
        <v>2011</v>
      </c>
      <c r="P294" s="6">
        <v>2010</v>
      </c>
      <c r="Q294" s="6">
        <v>6</v>
      </c>
      <c r="R294" s="6" t="s">
        <v>45</v>
      </c>
      <c r="S294" s="31" t="s">
        <v>2123</v>
      </c>
      <c r="T294" s="6">
        <v>1</v>
      </c>
      <c r="U294" s="26">
        <v>2500000</v>
      </c>
      <c r="V294" s="26">
        <v>2500000</v>
      </c>
      <c r="W294" s="26">
        <v>2500000</v>
      </c>
      <c r="X294" s="6" t="s">
        <v>2003</v>
      </c>
      <c r="Y294" s="6" t="s">
        <v>1200</v>
      </c>
      <c r="Z294" s="6">
        <v>224400</v>
      </c>
    </row>
    <row r="295" spans="1:26" x14ac:dyDescent="0.3">
      <c r="A295" s="28" t="s">
        <v>42</v>
      </c>
      <c r="B295" s="6" t="s">
        <v>1326</v>
      </c>
      <c r="C295" s="6" t="s">
        <v>1972</v>
      </c>
      <c r="D295" s="6" t="s">
        <v>2292</v>
      </c>
      <c r="E295" s="6">
        <v>1</v>
      </c>
      <c r="F295" s="6" t="s">
        <v>2004</v>
      </c>
      <c r="G295" s="32" t="s">
        <v>2299</v>
      </c>
      <c r="H295" s="32" t="s">
        <v>2300</v>
      </c>
      <c r="I295" s="6" t="str">
        <f t="shared" si="12"/>
        <v>Stone Grapple</v>
      </c>
      <c r="J295" s="6" t="s">
        <v>44</v>
      </c>
      <c r="K295" s="6">
        <v>1</v>
      </c>
      <c r="L295" s="6">
        <f t="shared" si="13"/>
        <v>2580000</v>
      </c>
      <c r="M295" s="6">
        <v>2200000</v>
      </c>
      <c r="N295" s="6" t="s">
        <v>2003</v>
      </c>
      <c r="O295" s="6" t="s">
        <v>819</v>
      </c>
      <c r="P295" s="6">
        <v>2015</v>
      </c>
      <c r="Q295" s="6">
        <v>1</v>
      </c>
      <c r="R295" s="6" t="s">
        <v>45</v>
      </c>
      <c r="S295" s="31" t="s">
        <v>2114</v>
      </c>
      <c r="T295" s="6">
        <v>1</v>
      </c>
      <c r="U295" s="26">
        <v>2000000</v>
      </c>
      <c r="V295" s="26">
        <v>2000000</v>
      </c>
      <c r="W295" s="26">
        <v>2000000</v>
      </c>
      <c r="X295" s="6" t="s">
        <v>2003</v>
      </c>
      <c r="Y295" s="6" t="s">
        <v>1141</v>
      </c>
      <c r="Z295" s="6">
        <v>224405</v>
      </c>
    </row>
    <row r="296" spans="1:26" x14ac:dyDescent="0.3">
      <c r="A296" s="28" t="s">
        <v>42</v>
      </c>
      <c r="B296" s="6" t="s">
        <v>1328</v>
      </c>
      <c r="C296" s="6" t="s">
        <v>1975</v>
      </c>
      <c r="D296" s="6" t="s">
        <v>2001</v>
      </c>
      <c r="E296" s="6">
        <v>1</v>
      </c>
      <c r="F296" s="6" t="s">
        <v>2004</v>
      </c>
      <c r="G296" s="32" t="s">
        <v>2299</v>
      </c>
      <c r="H296" s="32" t="s">
        <v>2300</v>
      </c>
      <c r="I296" s="6" t="str">
        <f t="shared" si="12"/>
        <v>Side Breaker</v>
      </c>
      <c r="J296" s="6" t="s">
        <v>397</v>
      </c>
      <c r="K296" s="6">
        <v>1</v>
      </c>
      <c r="L296" s="6">
        <f t="shared" si="13"/>
        <v>13520000</v>
      </c>
      <c r="M296" s="6">
        <v>11500000</v>
      </c>
      <c r="N296" s="6" t="s">
        <v>2003</v>
      </c>
      <c r="O296" s="6" t="s">
        <v>814</v>
      </c>
      <c r="P296" s="6">
        <v>2015</v>
      </c>
      <c r="Q296" s="6">
        <v>7</v>
      </c>
      <c r="R296" s="6" t="s">
        <v>45</v>
      </c>
      <c r="S296" s="31" t="s">
        <v>2119</v>
      </c>
      <c r="T296" s="6">
        <v>1</v>
      </c>
      <c r="U296" s="26">
        <v>11000000</v>
      </c>
      <c r="V296" s="26">
        <v>11000000</v>
      </c>
      <c r="W296" s="26">
        <v>11000000</v>
      </c>
      <c r="X296" s="6" t="s">
        <v>2003</v>
      </c>
      <c r="Y296" s="6" t="s">
        <v>1194</v>
      </c>
      <c r="Z296" s="6">
        <v>224410</v>
      </c>
    </row>
    <row r="297" spans="1:26" x14ac:dyDescent="0.3">
      <c r="A297" s="28" t="s">
        <v>42</v>
      </c>
      <c r="B297" s="6" t="s">
        <v>1326</v>
      </c>
      <c r="C297" s="6" t="s">
        <v>1979</v>
      </c>
      <c r="D297" s="6" t="s">
        <v>2292</v>
      </c>
      <c r="E297" s="6">
        <v>1</v>
      </c>
      <c r="F297" s="6" t="s">
        <v>2004</v>
      </c>
      <c r="G297" s="32" t="s">
        <v>2299</v>
      </c>
      <c r="H297" s="32" t="s">
        <v>2300</v>
      </c>
      <c r="I297" s="6" t="str">
        <f t="shared" si="12"/>
        <v>Thumb Grapple</v>
      </c>
      <c r="J297" s="6" t="s">
        <v>526</v>
      </c>
      <c r="K297" s="6">
        <v>1</v>
      </c>
      <c r="L297" s="6">
        <f t="shared" si="13"/>
        <v>940000</v>
      </c>
      <c r="M297" s="6">
        <v>800000</v>
      </c>
      <c r="N297" s="6" t="s">
        <v>2003</v>
      </c>
      <c r="O297" s="6" t="s">
        <v>813</v>
      </c>
      <c r="P297" s="6">
        <v>2013</v>
      </c>
      <c r="Q297" s="6">
        <v>1</v>
      </c>
      <c r="R297" s="6" t="s">
        <v>45</v>
      </c>
      <c r="S297" s="31" t="s">
        <v>2113</v>
      </c>
      <c r="T297" s="6">
        <v>1</v>
      </c>
      <c r="U297" s="26">
        <v>700000</v>
      </c>
      <c r="V297" s="26">
        <v>700000</v>
      </c>
      <c r="W297" s="26">
        <v>700000</v>
      </c>
      <c r="X297" s="6" t="s">
        <v>2003</v>
      </c>
      <c r="Y297" s="6" t="s">
        <v>79</v>
      </c>
      <c r="Z297" s="6">
        <v>224412</v>
      </c>
    </row>
    <row r="298" spans="1:26" x14ac:dyDescent="0.3">
      <c r="A298" s="28" t="s">
        <v>42</v>
      </c>
      <c r="B298" s="6" t="s">
        <v>1326</v>
      </c>
      <c r="C298" s="6" t="s">
        <v>1979</v>
      </c>
      <c r="D298" s="6" t="s">
        <v>2292</v>
      </c>
      <c r="E298" s="6">
        <v>1</v>
      </c>
      <c r="F298" s="6" t="s">
        <v>2004</v>
      </c>
      <c r="G298" s="32" t="s">
        <v>2299</v>
      </c>
      <c r="H298" s="32" t="s">
        <v>2300</v>
      </c>
      <c r="I298" s="6" t="str">
        <f t="shared" si="12"/>
        <v>Thumb Grapple</v>
      </c>
      <c r="J298" s="6" t="s">
        <v>93</v>
      </c>
      <c r="K298" s="6">
        <v>1</v>
      </c>
      <c r="L298" s="6">
        <f t="shared" si="13"/>
        <v>940000</v>
      </c>
      <c r="M298" s="6">
        <v>800000</v>
      </c>
      <c r="N298" s="6" t="s">
        <v>2003</v>
      </c>
      <c r="O298" s="6" t="s">
        <v>813</v>
      </c>
      <c r="P298" s="6">
        <v>2013</v>
      </c>
      <c r="Q298" s="6">
        <v>1</v>
      </c>
      <c r="R298" s="6" t="s">
        <v>45</v>
      </c>
      <c r="S298" s="31" t="s">
        <v>2113</v>
      </c>
      <c r="T298" s="6">
        <v>1</v>
      </c>
      <c r="U298" s="26">
        <v>700000</v>
      </c>
      <c r="V298" s="26">
        <v>700000</v>
      </c>
      <c r="W298" s="26">
        <v>700000</v>
      </c>
      <c r="X298" s="6" t="s">
        <v>2003</v>
      </c>
      <c r="Y298" s="6" t="s">
        <v>79</v>
      </c>
      <c r="Z298" s="6">
        <v>224414</v>
      </c>
    </row>
    <row r="299" spans="1:26" x14ac:dyDescent="0.3">
      <c r="A299" s="28" t="s">
        <v>42</v>
      </c>
      <c r="B299" s="6" t="s">
        <v>1327</v>
      </c>
      <c r="C299" s="6" t="s">
        <v>1976</v>
      </c>
      <c r="D299" s="6" t="s">
        <v>2292</v>
      </c>
      <c r="E299" s="6">
        <v>1</v>
      </c>
      <c r="F299" s="6" t="s">
        <v>2004</v>
      </c>
      <c r="G299" s="32" t="s">
        <v>2299</v>
      </c>
      <c r="H299" s="32" t="s">
        <v>2300</v>
      </c>
      <c r="I299" s="6" t="str">
        <f t="shared" si="12"/>
        <v>Skeleton Bucket</v>
      </c>
      <c r="J299" s="6" t="s">
        <v>162</v>
      </c>
      <c r="K299" s="6">
        <v>1</v>
      </c>
      <c r="L299" s="6">
        <f t="shared" si="13"/>
        <v>1290000</v>
      </c>
      <c r="M299" s="6">
        <v>1100000</v>
      </c>
      <c r="N299" s="6" t="s">
        <v>2003</v>
      </c>
      <c r="O299" s="6" t="s">
        <v>51</v>
      </c>
      <c r="P299" s="6">
        <v>2014</v>
      </c>
      <c r="Q299" s="6">
        <v>1</v>
      </c>
      <c r="R299" s="6" t="s">
        <v>45</v>
      </c>
      <c r="S299" s="31" t="s">
        <v>2113</v>
      </c>
      <c r="T299" s="6">
        <v>1</v>
      </c>
      <c r="U299" s="26">
        <v>1000000</v>
      </c>
      <c r="V299" s="26">
        <v>1000000</v>
      </c>
      <c r="W299" s="26">
        <v>1000000</v>
      </c>
      <c r="X299" s="6" t="s">
        <v>2003</v>
      </c>
      <c r="Y299" s="6" t="s">
        <v>49</v>
      </c>
      <c r="Z299" s="6">
        <v>224416</v>
      </c>
    </row>
    <row r="300" spans="1:26" x14ac:dyDescent="0.3">
      <c r="A300" s="28" t="s">
        <v>42</v>
      </c>
      <c r="B300" s="6" t="s">
        <v>1327</v>
      </c>
      <c r="C300" s="6" t="s">
        <v>1976</v>
      </c>
      <c r="D300" s="6" t="s">
        <v>2292</v>
      </c>
      <c r="E300" s="6">
        <v>1</v>
      </c>
      <c r="F300" s="6" t="s">
        <v>2004</v>
      </c>
      <c r="G300" s="32" t="s">
        <v>2299</v>
      </c>
      <c r="H300" s="32" t="s">
        <v>2300</v>
      </c>
      <c r="I300" s="6" t="str">
        <f t="shared" si="12"/>
        <v>Skeleton Bucket</v>
      </c>
      <c r="J300" s="6" t="s">
        <v>110</v>
      </c>
      <c r="K300" s="6">
        <v>1</v>
      </c>
      <c r="L300" s="6">
        <f t="shared" si="13"/>
        <v>1290000</v>
      </c>
      <c r="M300" s="6">
        <v>1100000</v>
      </c>
      <c r="N300" s="6" t="s">
        <v>2003</v>
      </c>
      <c r="O300" s="6" t="s">
        <v>813</v>
      </c>
      <c r="P300" s="6">
        <v>2013</v>
      </c>
      <c r="Q300" s="6">
        <v>1</v>
      </c>
      <c r="R300" s="6" t="s">
        <v>45</v>
      </c>
      <c r="S300" s="31" t="s">
        <v>2113</v>
      </c>
      <c r="T300" s="6">
        <v>1</v>
      </c>
      <c r="U300" s="26">
        <v>1000000</v>
      </c>
      <c r="V300" s="26">
        <v>1000000</v>
      </c>
      <c r="W300" s="26">
        <v>1000000</v>
      </c>
      <c r="X300" s="6" t="s">
        <v>2003</v>
      </c>
      <c r="Y300" s="6" t="s">
        <v>79</v>
      </c>
      <c r="Z300" s="6">
        <v>224421</v>
      </c>
    </row>
    <row r="301" spans="1:26" x14ac:dyDescent="0.3">
      <c r="A301" s="28" t="s">
        <v>42</v>
      </c>
      <c r="B301" s="6" t="s">
        <v>1328</v>
      </c>
      <c r="C301" s="6" t="s">
        <v>1975</v>
      </c>
      <c r="D301" s="6" t="s">
        <v>2292</v>
      </c>
      <c r="E301" s="6">
        <v>1</v>
      </c>
      <c r="F301" s="6" t="s">
        <v>2004</v>
      </c>
      <c r="G301" s="32" t="s">
        <v>2299</v>
      </c>
      <c r="H301" s="32" t="s">
        <v>2300</v>
      </c>
      <c r="I301" s="6" t="str">
        <f t="shared" si="12"/>
        <v>Side Breaker</v>
      </c>
      <c r="J301" s="6" t="s">
        <v>119</v>
      </c>
      <c r="K301" s="6">
        <v>1</v>
      </c>
      <c r="L301" s="6">
        <f t="shared" si="13"/>
        <v>3170000</v>
      </c>
      <c r="M301" s="6">
        <v>2700000</v>
      </c>
      <c r="N301" s="6" t="s">
        <v>2003</v>
      </c>
      <c r="O301" s="6" t="s">
        <v>934</v>
      </c>
      <c r="P301" s="6">
        <v>2008</v>
      </c>
      <c r="Q301" s="6">
        <v>1</v>
      </c>
      <c r="R301" s="6" t="s">
        <v>45</v>
      </c>
      <c r="S301" s="31" t="s">
        <v>2118</v>
      </c>
      <c r="T301" s="6">
        <v>1</v>
      </c>
      <c r="U301" s="26">
        <v>2500000</v>
      </c>
      <c r="V301" s="26">
        <v>2500000</v>
      </c>
      <c r="W301" s="26">
        <v>2500000</v>
      </c>
      <c r="X301" s="6" t="s">
        <v>2003</v>
      </c>
      <c r="Y301" s="6" t="s">
        <v>67</v>
      </c>
      <c r="Z301" s="6">
        <v>224430</v>
      </c>
    </row>
    <row r="302" spans="1:26" x14ac:dyDescent="0.3">
      <c r="A302" s="28" t="s">
        <v>42</v>
      </c>
      <c r="B302" s="6" t="s">
        <v>2263</v>
      </c>
      <c r="C302" s="6"/>
      <c r="D302" s="6" t="s">
        <v>2292</v>
      </c>
      <c r="E302" s="6">
        <v>1</v>
      </c>
      <c r="F302" s="6" t="s">
        <v>2004</v>
      </c>
      <c r="G302" s="32" t="s">
        <v>2299</v>
      </c>
      <c r="H302" s="32" t="s">
        <v>2300</v>
      </c>
      <c r="I302" s="6" t="str">
        <f t="shared" si="12"/>
        <v>Compactor</v>
      </c>
      <c r="J302" s="6" t="s">
        <v>660</v>
      </c>
      <c r="K302" s="6">
        <v>1</v>
      </c>
      <c r="L302" s="6">
        <f t="shared" si="13"/>
        <v>3760000</v>
      </c>
      <c r="M302" s="6">
        <v>3200000</v>
      </c>
      <c r="N302" s="6" t="s">
        <v>2003</v>
      </c>
      <c r="O302" s="6" t="s">
        <v>1857</v>
      </c>
      <c r="P302" s="6">
        <v>2014</v>
      </c>
      <c r="Q302" s="6">
        <v>1</v>
      </c>
      <c r="R302" s="6" t="s">
        <v>45</v>
      </c>
      <c r="S302" s="31" t="s">
        <v>2121</v>
      </c>
      <c r="T302" s="6">
        <v>1</v>
      </c>
      <c r="U302" s="26">
        <v>3000000</v>
      </c>
      <c r="V302" s="26">
        <v>3000000</v>
      </c>
      <c r="W302" s="26">
        <v>3000000</v>
      </c>
      <c r="X302" s="6" t="s">
        <v>2003</v>
      </c>
      <c r="Y302" s="6" t="s">
        <v>1265</v>
      </c>
      <c r="Z302" s="6">
        <v>224435</v>
      </c>
    </row>
    <row r="303" spans="1:26" x14ac:dyDescent="0.3">
      <c r="A303" s="28" t="s">
        <v>42</v>
      </c>
      <c r="B303" s="6" t="s">
        <v>1325</v>
      </c>
      <c r="C303" s="6" t="s">
        <v>2156</v>
      </c>
      <c r="D303" s="6" t="s">
        <v>2292</v>
      </c>
      <c r="E303" s="6">
        <v>1</v>
      </c>
      <c r="F303" s="6" t="s">
        <v>2004</v>
      </c>
      <c r="G303" s="32" t="s">
        <v>2299</v>
      </c>
      <c r="H303" s="32" t="s">
        <v>2300</v>
      </c>
      <c r="I303" s="6" t="str">
        <f t="shared" si="12"/>
        <v>Hydraulic Crusher</v>
      </c>
      <c r="J303" s="6" t="s">
        <v>311</v>
      </c>
      <c r="K303" s="6">
        <v>1</v>
      </c>
      <c r="L303" s="6">
        <f t="shared" si="13"/>
        <v>13520000</v>
      </c>
      <c r="M303" s="6">
        <v>11500000</v>
      </c>
      <c r="N303" s="6" t="s">
        <v>2003</v>
      </c>
      <c r="O303" s="6" t="s">
        <v>51</v>
      </c>
      <c r="P303" s="6">
        <v>2015</v>
      </c>
      <c r="Q303" s="6">
        <v>1</v>
      </c>
      <c r="R303" s="6" t="s">
        <v>45</v>
      </c>
      <c r="S303" s="31" t="s">
        <v>2113</v>
      </c>
      <c r="T303" s="6">
        <v>1</v>
      </c>
      <c r="U303" s="26">
        <v>11000000</v>
      </c>
      <c r="V303" s="26">
        <v>11000000</v>
      </c>
      <c r="W303" s="26">
        <v>11000000</v>
      </c>
      <c r="X303" s="6" t="s">
        <v>2003</v>
      </c>
      <c r="Y303" s="6" t="s">
        <v>49</v>
      </c>
      <c r="Z303" s="6">
        <v>224440</v>
      </c>
    </row>
    <row r="304" spans="1:26" x14ac:dyDescent="0.3">
      <c r="A304" s="28" t="s">
        <v>42</v>
      </c>
      <c r="B304" s="6" t="s">
        <v>1326</v>
      </c>
      <c r="C304" s="6" t="s">
        <v>1972</v>
      </c>
      <c r="D304" s="6" t="s">
        <v>2291</v>
      </c>
      <c r="E304" s="6">
        <v>1</v>
      </c>
      <c r="F304" s="6" t="s">
        <v>2004</v>
      </c>
      <c r="G304" s="32" t="s">
        <v>2299</v>
      </c>
      <c r="H304" s="32" t="s">
        <v>2300</v>
      </c>
      <c r="I304" s="6" t="str">
        <f t="shared" si="12"/>
        <v>Stone Grapple</v>
      </c>
      <c r="J304" s="6" t="s">
        <v>375</v>
      </c>
      <c r="K304" s="6">
        <v>1</v>
      </c>
      <c r="L304" s="6">
        <f t="shared" si="13"/>
        <v>24110000</v>
      </c>
      <c r="M304" s="6">
        <v>20500000</v>
      </c>
      <c r="N304" s="6" t="s">
        <v>2003</v>
      </c>
      <c r="O304" s="6" t="s">
        <v>802</v>
      </c>
      <c r="P304" s="6">
        <v>2016</v>
      </c>
      <c r="Q304" s="6">
        <v>12</v>
      </c>
      <c r="R304" s="6" t="s">
        <v>45</v>
      </c>
      <c r="S304" s="31" t="s">
        <v>2122</v>
      </c>
      <c r="T304" s="6">
        <v>1</v>
      </c>
      <c r="U304" s="26">
        <v>20000000</v>
      </c>
      <c r="V304" s="26">
        <v>20000000</v>
      </c>
      <c r="W304" s="26">
        <v>20000000</v>
      </c>
      <c r="X304" s="6" t="s">
        <v>2003</v>
      </c>
      <c r="Y304" s="6" t="s">
        <v>1172</v>
      </c>
      <c r="Z304" s="6">
        <v>224442</v>
      </c>
    </row>
    <row r="305" spans="1:26" x14ac:dyDescent="0.3">
      <c r="A305" s="28" t="s">
        <v>42</v>
      </c>
      <c r="B305" s="6" t="s">
        <v>1326</v>
      </c>
      <c r="C305" s="6" t="s">
        <v>1974</v>
      </c>
      <c r="D305" s="6" t="s">
        <v>2290</v>
      </c>
      <c r="E305" s="6">
        <v>1</v>
      </c>
      <c r="F305" s="6" t="s">
        <v>2004</v>
      </c>
      <c r="G305" s="32" t="s">
        <v>2299</v>
      </c>
      <c r="H305" s="32" t="s">
        <v>2300</v>
      </c>
      <c r="I305" s="6" t="str">
        <f t="shared" si="12"/>
        <v>Etc Grapple</v>
      </c>
      <c r="J305" s="6" t="s">
        <v>432</v>
      </c>
      <c r="K305" s="6">
        <v>1</v>
      </c>
      <c r="L305" s="6">
        <f t="shared" si="13"/>
        <v>6470000</v>
      </c>
      <c r="M305" s="6">
        <v>5500000</v>
      </c>
      <c r="N305" s="6" t="s">
        <v>2003</v>
      </c>
      <c r="O305" s="6" t="s">
        <v>1858</v>
      </c>
      <c r="P305" s="6">
        <v>2012</v>
      </c>
      <c r="Q305" s="6">
        <v>4</v>
      </c>
      <c r="R305" s="6" t="s">
        <v>45</v>
      </c>
      <c r="S305" s="31" t="s">
        <v>2116</v>
      </c>
      <c r="T305" s="6">
        <v>1</v>
      </c>
      <c r="U305" s="26">
        <v>5000000</v>
      </c>
      <c r="V305" s="26">
        <v>5000000</v>
      </c>
      <c r="W305" s="26">
        <v>5000000</v>
      </c>
      <c r="X305" s="6" t="s">
        <v>2003</v>
      </c>
      <c r="Y305" s="6" t="s">
        <v>1250</v>
      </c>
      <c r="Z305" s="6">
        <v>224446</v>
      </c>
    </row>
    <row r="306" spans="1:26" x14ac:dyDescent="0.3">
      <c r="A306" s="28" t="s">
        <v>42</v>
      </c>
      <c r="B306" s="6" t="s">
        <v>1327</v>
      </c>
      <c r="C306" s="6" t="s">
        <v>1980</v>
      </c>
      <c r="D306" s="6" t="s">
        <v>2292</v>
      </c>
      <c r="E306" s="6">
        <v>1</v>
      </c>
      <c r="F306" s="6" t="s">
        <v>2004</v>
      </c>
      <c r="G306" s="32" t="s">
        <v>2299</v>
      </c>
      <c r="H306" s="32" t="s">
        <v>2300</v>
      </c>
      <c r="I306" s="6" t="str">
        <f t="shared" si="12"/>
        <v>Small Bucket</v>
      </c>
      <c r="J306" s="6" t="s">
        <v>97</v>
      </c>
      <c r="K306" s="6">
        <v>1</v>
      </c>
      <c r="L306" s="6">
        <f t="shared" si="13"/>
        <v>820000</v>
      </c>
      <c r="M306" s="6">
        <v>700000</v>
      </c>
      <c r="N306" s="6" t="s">
        <v>2003</v>
      </c>
      <c r="O306" s="6" t="s">
        <v>936</v>
      </c>
      <c r="P306" s="6">
        <v>2013</v>
      </c>
      <c r="Q306" s="6">
        <v>1</v>
      </c>
      <c r="R306" s="6" t="s">
        <v>45</v>
      </c>
      <c r="S306" s="31" t="s">
        <v>2112</v>
      </c>
      <c r="T306" s="6">
        <v>1</v>
      </c>
      <c r="U306" s="26">
        <v>600000</v>
      </c>
      <c r="V306" s="26">
        <v>600000</v>
      </c>
      <c r="W306" s="26">
        <v>600000</v>
      </c>
      <c r="X306" s="6" t="s">
        <v>2003</v>
      </c>
      <c r="Y306" s="6" t="s">
        <v>1270</v>
      </c>
      <c r="Z306" s="6">
        <v>224451</v>
      </c>
    </row>
    <row r="307" spans="1:26" x14ac:dyDescent="0.3">
      <c r="A307" s="28" t="s">
        <v>42</v>
      </c>
      <c r="B307" s="6" t="s">
        <v>2163</v>
      </c>
      <c r="C307" s="6"/>
      <c r="D307" s="6" t="s">
        <v>2292</v>
      </c>
      <c r="E307" s="6">
        <v>1</v>
      </c>
      <c r="F307" s="6" t="s">
        <v>2004</v>
      </c>
      <c r="G307" s="32" t="s">
        <v>2299</v>
      </c>
      <c r="H307" s="32" t="s">
        <v>2300</v>
      </c>
      <c r="I307" s="6" t="str">
        <f t="shared" si="12"/>
        <v>Lift Fork</v>
      </c>
      <c r="J307" s="6" t="s">
        <v>102</v>
      </c>
      <c r="K307" s="6">
        <v>1</v>
      </c>
      <c r="L307" s="6">
        <f t="shared" si="13"/>
        <v>880000</v>
      </c>
      <c r="M307" s="6">
        <v>750000</v>
      </c>
      <c r="N307" s="6" t="s">
        <v>2003</v>
      </c>
      <c r="O307" s="6" t="s">
        <v>813</v>
      </c>
      <c r="P307" s="6">
        <v>2013</v>
      </c>
      <c r="Q307" s="6">
        <v>1</v>
      </c>
      <c r="R307" s="6" t="s">
        <v>45</v>
      </c>
      <c r="S307" s="31" t="s">
        <v>2113</v>
      </c>
      <c r="T307" s="6">
        <v>1</v>
      </c>
      <c r="U307" s="26">
        <v>650000</v>
      </c>
      <c r="V307" s="26">
        <v>650000</v>
      </c>
      <c r="W307" s="26">
        <v>650000</v>
      </c>
      <c r="X307" s="6" t="s">
        <v>2003</v>
      </c>
      <c r="Y307" s="6" t="s">
        <v>79</v>
      </c>
      <c r="Z307" s="6">
        <v>224457</v>
      </c>
    </row>
    <row r="308" spans="1:26" x14ac:dyDescent="0.3">
      <c r="A308" s="28" t="s">
        <v>42</v>
      </c>
      <c r="B308" s="6" t="s">
        <v>1328</v>
      </c>
      <c r="C308" s="6" t="s">
        <v>1975</v>
      </c>
      <c r="D308" s="6" t="s">
        <v>2292</v>
      </c>
      <c r="E308" s="6">
        <v>1</v>
      </c>
      <c r="F308" s="6" t="s">
        <v>2004</v>
      </c>
      <c r="G308" s="32" t="s">
        <v>2299</v>
      </c>
      <c r="H308" s="32" t="s">
        <v>2300</v>
      </c>
      <c r="I308" s="6" t="str">
        <f t="shared" si="12"/>
        <v>Side Breaker</v>
      </c>
      <c r="J308" s="6" t="s">
        <v>531</v>
      </c>
      <c r="K308" s="6">
        <v>1</v>
      </c>
      <c r="L308" s="6">
        <f t="shared" si="13"/>
        <v>5520000</v>
      </c>
      <c r="M308" s="6">
        <v>4700000</v>
      </c>
      <c r="N308" s="6" t="s">
        <v>2003</v>
      </c>
      <c r="O308" s="6" t="s">
        <v>937</v>
      </c>
      <c r="P308" s="6">
        <v>2016</v>
      </c>
      <c r="Q308" s="6">
        <v>6</v>
      </c>
      <c r="R308" s="6" t="s">
        <v>45</v>
      </c>
      <c r="S308" s="31" t="s">
        <v>2123</v>
      </c>
      <c r="T308" s="6">
        <v>1</v>
      </c>
      <c r="U308" s="26">
        <v>4500000</v>
      </c>
      <c r="V308" s="26">
        <v>4500000</v>
      </c>
      <c r="W308" s="26">
        <v>4500000</v>
      </c>
      <c r="X308" s="6" t="s">
        <v>2003</v>
      </c>
      <c r="Y308" s="6" t="s">
        <v>1237</v>
      </c>
      <c r="Z308" s="6">
        <v>224459</v>
      </c>
    </row>
    <row r="309" spans="1:26" x14ac:dyDescent="0.3">
      <c r="A309" s="28" t="s">
        <v>42</v>
      </c>
      <c r="B309" s="6" t="s">
        <v>2163</v>
      </c>
      <c r="C309" s="6"/>
      <c r="D309" s="6" t="s">
        <v>2292</v>
      </c>
      <c r="E309" s="6">
        <v>1</v>
      </c>
      <c r="F309" s="6" t="s">
        <v>2004</v>
      </c>
      <c r="G309" s="32" t="s">
        <v>2299</v>
      </c>
      <c r="H309" s="32" t="s">
        <v>2300</v>
      </c>
      <c r="I309" s="6" t="str">
        <f t="shared" si="12"/>
        <v>Lift Fork</v>
      </c>
      <c r="J309" s="6" t="s">
        <v>178</v>
      </c>
      <c r="K309" s="6">
        <v>1</v>
      </c>
      <c r="L309" s="6">
        <f t="shared" si="13"/>
        <v>1050000</v>
      </c>
      <c r="M309" s="6">
        <v>900000</v>
      </c>
      <c r="N309" s="6" t="s">
        <v>2003</v>
      </c>
      <c r="O309" s="6" t="s">
        <v>938</v>
      </c>
      <c r="P309" s="6">
        <v>2016</v>
      </c>
      <c r="Q309" s="6">
        <v>6</v>
      </c>
      <c r="R309" s="6" t="s">
        <v>45</v>
      </c>
      <c r="S309" s="31" t="s">
        <v>2123</v>
      </c>
      <c r="T309" s="6">
        <v>1</v>
      </c>
      <c r="U309" s="26">
        <v>800000</v>
      </c>
      <c r="V309" s="26">
        <v>800000</v>
      </c>
      <c r="W309" s="26">
        <v>800000</v>
      </c>
      <c r="X309" s="6" t="s">
        <v>2003</v>
      </c>
      <c r="Y309" s="6" t="s">
        <v>1237</v>
      </c>
      <c r="Z309" s="6">
        <v>224460</v>
      </c>
    </row>
    <row r="310" spans="1:26" x14ac:dyDescent="0.3">
      <c r="A310" s="28" t="s">
        <v>42</v>
      </c>
      <c r="B310" s="6" t="s">
        <v>1326</v>
      </c>
      <c r="C310" s="6" t="s">
        <v>1972</v>
      </c>
      <c r="D310" s="6" t="s">
        <v>2291</v>
      </c>
      <c r="E310" s="6">
        <v>1</v>
      </c>
      <c r="F310" s="6" t="s">
        <v>2004</v>
      </c>
      <c r="G310" s="32" t="s">
        <v>2299</v>
      </c>
      <c r="H310" s="32" t="s">
        <v>2300</v>
      </c>
      <c r="I310" s="6" t="str">
        <f t="shared" si="12"/>
        <v>Stone Grapple</v>
      </c>
      <c r="J310" s="6" t="s">
        <v>109</v>
      </c>
      <c r="K310" s="6">
        <v>1</v>
      </c>
      <c r="L310" s="6">
        <f t="shared" si="13"/>
        <v>3760000</v>
      </c>
      <c r="M310" s="6">
        <v>3200000</v>
      </c>
      <c r="N310" s="6" t="s">
        <v>2003</v>
      </c>
      <c r="O310" s="6" t="s">
        <v>939</v>
      </c>
      <c r="P310" s="6">
        <v>2015</v>
      </c>
      <c r="Q310" s="6">
        <v>2</v>
      </c>
      <c r="R310" s="6" t="s">
        <v>45</v>
      </c>
      <c r="S310" s="31" t="s">
        <v>2120</v>
      </c>
      <c r="T310" s="6">
        <v>1</v>
      </c>
      <c r="U310" s="26">
        <v>3000000</v>
      </c>
      <c r="V310" s="26">
        <v>3000000</v>
      </c>
      <c r="W310" s="26">
        <v>3000000</v>
      </c>
      <c r="X310" s="6" t="s">
        <v>2003</v>
      </c>
      <c r="Y310" s="6" t="s">
        <v>1271</v>
      </c>
      <c r="Z310" s="6">
        <v>224461</v>
      </c>
    </row>
    <row r="311" spans="1:26" x14ac:dyDescent="0.3">
      <c r="A311" s="28" t="s">
        <v>42</v>
      </c>
      <c r="B311" s="6" t="s">
        <v>2169</v>
      </c>
      <c r="C311" s="6"/>
      <c r="D311" s="6" t="s">
        <v>2292</v>
      </c>
      <c r="E311" s="6">
        <v>1</v>
      </c>
      <c r="F311" s="6" t="s">
        <v>2004</v>
      </c>
      <c r="G311" s="32" t="s">
        <v>2299</v>
      </c>
      <c r="H311" s="32" t="s">
        <v>2300</v>
      </c>
      <c r="I311" s="6" t="str">
        <f t="shared" si="12"/>
        <v>Ripper</v>
      </c>
      <c r="J311" s="6" t="s">
        <v>167</v>
      </c>
      <c r="K311" s="6">
        <v>1</v>
      </c>
      <c r="L311" s="6">
        <f t="shared" si="13"/>
        <v>1050000</v>
      </c>
      <c r="M311" s="6">
        <v>900000</v>
      </c>
      <c r="N311" s="6" t="s">
        <v>2003</v>
      </c>
      <c r="O311" s="6" t="s">
        <v>2007</v>
      </c>
      <c r="P311" s="6">
        <v>2017</v>
      </c>
      <c r="Q311" s="6">
        <v>1</v>
      </c>
      <c r="R311" s="6" t="s">
        <v>45</v>
      </c>
      <c r="S311" s="31" t="s">
        <v>2113</v>
      </c>
      <c r="T311" s="6">
        <v>1</v>
      </c>
      <c r="U311" s="26">
        <v>800000</v>
      </c>
      <c r="V311" s="26">
        <v>800000</v>
      </c>
      <c r="W311" s="26">
        <v>800000</v>
      </c>
      <c r="X311" s="6" t="s">
        <v>2003</v>
      </c>
      <c r="Y311" s="6" t="s">
        <v>49</v>
      </c>
      <c r="Z311" s="6">
        <v>224470</v>
      </c>
    </row>
    <row r="312" spans="1:26" x14ac:dyDescent="0.3">
      <c r="A312" s="28" t="s">
        <v>42</v>
      </c>
      <c r="B312" s="6" t="s">
        <v>1327</v>
      </c>
      <c r="C312" s="6" t="s">
        <v>1982</v>
      </c>
      <c r="D312" s="6" t="s">
        <v>2001</v>
      </c>
      <c r="E312" s="6">
        <v>1</v>
      </c>
      <c r="F312" s="6" t="s">
        <v>2004</v>
      </c>
      <c r="G312" s="32" t="s">
        <v>2299</v>
      </c>
      <c r="H312" s="32" t="s">
        <v>2300</v>
      </c>
      <c r="I312" s="6" t="str">
        <f t="shared" si="12"/>
        <v>Standard Bucket</v>
      </c>
      <c r="J312" s="6" t="s">
        <v>260</v>
      </c>
      <c r="K312" s="6">
        <v>1</v>
      </c>
      <c r="L312" s="6">
        <f t="shared" si="13"/>
        <v>2230000</v>
      </c>
      <c r="M312" s="6">
        <v>1900000</v>
      </c>
      <c r="N312" s="6" t="s">
        <v>2003</v>
      </c>
      <c r="O312" s="6">
        <v>1</v>
      </c>
      <c r="P312" s="6">
        <v>2015</v>
      </c>
      <c r="Q312" s="6">
        <v>1</v>
      </c>
      <c r="R312" s="6" t="s">
        <v>45</v>
      </c>
      <c r="S312" s="31" t="s">
        <v>2116</v>
      </c>
      <c r="T312" s="6">
        <v>1</v>
      </c>
      <c r="U312" s="26">
        <v>1800000</v>
      </c>
      <c r="V312" s="26">
        <v>1800000</v>
      </c>
      <c r="W312" s="26">
        <v>1800000</v>
      </c>
      <c r="X312" s="6" t="s">
        <v>2003</v>
      </c>
      <c r="Y312" s="6" t="s">
        <v>1185</v>
      </c>
      <c r="Z312" s="6">
        <v>224471</v>
      </c>
    </row>
    <row r="313" spans="1:26" x14ac:dyDescent="0.3">
      <c r="A313" s="28" t="s">
        <v>42</v>
      </c>
      <c r="B313" s="6" t="s">
        <v>1327</v>
      </c>
      <c r="C313" s="6" t="s">
        <v>1982</v>
      </c>
      <c r="D313" s="6" t="s">
        <v>2001</v>
      </c>
      <c r="E313" s="6">
        <v>1</v>
      </c>
      <c r="F313" s="6" t="s">
        <v>2004</v>
      </c>
      <c r="G313" s="32" t="s">
        <v>2299</v>
      </c>
      <c r="H313" s="32" t="s">
        <v>2300</v>
      </c>
      <c r="I313" s="6" t="str">
        <f t="shared" si="12"/>
        <v>Standard Bucket</v>
      </c>
      <c r="J313" s="6" t="s">
        <v>260</v>
      </c>
      <c r="K313" s="6">
        <v>1</v>
      </c>
      <c r="L313" s="6">
        <f t="shared" si="13"/>
        <v>3410000</v>
      </c>
      <c r="M313" s="6">
        <v>2900000</v>
      </c>
      <c r="N313" s="6" t="s">
        <v>2003</v>
      </c>
      <c r="O313" s="6">
        <v>1</v>
      </c>
      <c r="P313" s="6">
        <v>2015</v>
      </c>
      <c r="Q313" s="6">
        <v>1</v>
      </c>
      <c r="R313" s="6" t="s">
        <v>45</v>
      </c>
      <c r="S313" s="31" t="s">
        <v>2116</v>
      </c>
      <c r="T313" s="6">
        <v>1</v>
      </c>
      <c r="U313" s="26">
        <v>2700000</v>
      </c>
      <c r="V313" s="26">
        <v>2700000</v>
      </c>
      <c r="W313" s="26">
        <v>2700000</v>
      </c>
      <c r="X313" s="6" t="s">
        <v>2003</v>
      </c>
      <c r="Y313" s="6" t="s">
        <v>1185</v>
      </c>
      <c r="Z313" s="6">
        <v>224474</v>
      </c>
    </row>
    <row r="314" spans="1:26" x14ac:dyDescent="0.3">
      <c r="A314" s="28" t="s">
        <v>42</v>
      </c>
      <c r="B314" s="6" t="s">
        <v>1326</v>
      </c>
      <c r="C314" s="6" t="s">
        <v>1984</v>
      </c>
      <c r="D314" s="6" t="s">
        <v>2292</v>
      </c>
      <c r="E314" s="6">
        <v>1</v>
      </c>
      <c r="F314" s="6" t="s">
        <v>2004</v>
      </c>
      <c r="G314" s="32" t="s">
        <v>2299</v>
      </c>
      <c r="H314" s="32" t="s">
        <v>2300</v>
      </c>
      <c r="I314" s="6" t="str">
        <f t="shared" si="12"/>
        <v>Scrap Grapple</v>
      </c>
      <c r="J314" s="6" t="s">
        <v>337</v>
      </c>
      <c r="K314" s="6">
        <v>1</v>
      </c>
      <c r="L314" s="6">
        <f t="shared" si="13"/>
        <v>2230000</v>
      </c>
      <c r="M314" s="6">
        <v>1900000</v>
      </c>
      <c r="N314" s="6" t="s">
        <v>2003</v>
      </c>
      <c r="O314" s="6">
        <v>1</v>
      </c>
      <c r="P314" s="6">
        <v>2015</v>
      </c>
      <c r="Q314" s="6">
        <v>1</v>
      </c>
      <c r="R314" s="6" t="s">
        <v>45</v>
      </c>
      <c r="S314" s="31" t="s">
        <v>2116</v>
      </c>
      <c r="T314" s="6">
        <v>1</v>
      </c>
      <c r="U314" s="26">
        <v>1800000</v>
      </c>
      <c r="V314" s="26">
        <v>1800000</v>
      </c>
      <c r="W314" s="26">
        <v>1800000</v>
      </c>
      <c r="X314" s="6" t="s">
        <v>2003</v>
      </c>
      <c r="Y314" s="6" t="s">
        <v>1185</v>
      </c>
      <c r="Z314" s="6">
        <v>224476</v>
      </c>
    </row>
    <row r="315" spans="1:26" x14ac:dyDescent="0.3">
      <c r="A315" s="28" t="s">
        <v>42</v>
      </c>
      <c r="B315" s="6" t="s">
        <v>2242</v>
      </c>
      <c r="C315" s="6"/>
      <c r="D315" s="6" t="s">
        <v>2001</v>
      </c>
      <c r="E315" s="6">
        <v>1</v>
      </c>
      <c r="F315" s="6" t="s">
        <v>2004</v>
      </c>
      <c r="G315" s="32" t="s">
        <v>2299</v>
      </c>
      <c r="H315" s="32" t="s">
        <v>2300</v>
      </c>
      <c r="I315" s="6" t="str">
        <f t="shared" si="12"/>
        <v>Quick Coupler</v>
      </c>
      <c r="J315" s="6" t="s">
        <v>208</v>
      </c>
      <c r="K315" s="6">
        <v>1</v>
      </c>
      <c r="L315" s="6">
        <f t="shared" si="13"/>
        <v>1290000</v>
      </c>
      <c r="M315" s="6">
        <v>1100000</v>
      </c>
      <c r="N315" s="6" t="s">
        <v>2003</v>
      </c>
      <c r="O315" s="6">
        <v>300</v>
      </c>
      <c r="P315" s="6">
        <v>2015</v>
      </c>
      <c r="Q315" s="6">
        <v>1</v>
      </c>
      <c r="R315" s="6" t="s">
        <v>45</v>
      </c>
      <c r="S315" s="31" t="s">
        <v>2116</v>
      </c>
      <c r="T315" s="6">
        <v>1</v>
      </c>
      <c r="U315" s="26">
        <v>1000000</v>
      </c>
      <c r="V315" s="26">
        <v>1000000</v>
      </c>
      <c r="W315" s="26">
        <v>1000000</v>
      </c>
      <c r="X315" s="6" t="s">
        <v>2003</v>
      </c>
      <c r="Y315" s="6" t="s">
        <v>1185</v>
      </c>
      <c r="Z315" s="6">
        <v>224478</v>
      </c>
    </row>
    <row r="316" spans="1:26" x14ac:dyDescent="0.3">
      <c r="A316" s="28" t="s">
        <v>42</v>
      </c>
      <c r="B316" s="6" t="s">
        <v>1327</v>
      </c>
      <c r="C316" s="6" t="s">
        <v>1976</v>
      </c>
      <c r="D316" s="6" t="s">
        <v>2001</v>
      </c>
      <c r="E316" s="6">
        <v>1</v>
      </c>
      <c r="F316" s="6" t="s">
        <v>2004</v>
      </c>
      <c r="G316" s="32" t="s">
        <v>2299</v>
      </c>
      <c r="H316" s="32" t="s">
        <v>2300</v>
      </c>
      <c r="I316" s="6" t="str">
        <f t="shared" si="12"/>
        <v>Skeleton Bucket</v>
      </c>
      <c r="J316" s="6" t="s">
        <v>377</v>
      </c>
      <c r="K316" s="6">
        <v>1</v>
      </c>
      <c r="L316" s="6">
        <f t="shared" si="13"/>
        <v>2350000</v>
      </c>
      <c r="M316" s="6">
        <v>2000000</v>
      </c>
      <c r="N316" s="6" t="s">
        <v>2003</v>
      </c>
      <c r="O316" s="6" t="s">
        <v>941</v>
      </c>
      <c r="P316" s="6">
        <v>2013</v>
      </c>
      <c r="Q316" s="6">
        <v>1</v>
      </c>
      <c r="R316" s="6" t="s">
        <v>45</v>
      </c>
      <c r="S316" s="31" t="s">
        <v>2116</v>
      </c>
      <c r="T316" s="6">
        <v>1</v>
      </c>
      <c r="U316" s="26">
        <v>1900000</v>
      </c>
      <c r="V316" s="26">
        <v>1900000</v>
      </c>
      <c r="W316" s="26">
        <v>1900000</v>
      </c>
      <c r="X316" s="6" t="s">
        <v>2003</v>
      </c>
      <c r="Y316" s="6" t="s">
        <v>1185</v>
      </c>
      <c r="Z316" s="6">
        <v>224481</v>
      </c>
    </row>
    <row r="317" spans="1:26" x14ac:dyDescent="0.3">
      <c r="A317" s="28" t="s">
        <v>42</v>
      </c>
      <c r="B317" s="6" t="s">
        <v>1325</v>
      </c>
      <c r="C317" s="6" t="s">
        <v>1983</v>
      </c>
      <c r="D317" s="6" t="s">
        <v>2001</v>
      </c>
      <c r="E317" s="6">
        <v>1</v>
      </c>
      <c r="F317" s="6" t="s">
        <v>2004</v>
      </c>
      <c r="G317" s="32" t="s">
        <v>2299</v>
      </c>
      <c r="H317" s="32" t="s">
        <v>2300</v>
      </c>
      <c r="I317" s="6" t="str">
        <f t="shared" si="12"/>
        <v>Hydraulic Multi Processor</v>
      </c>
      <c r="J317" s="6" t="s">
        <v>485</v>
      </c>
      <c r="K317" s="6">
        <v>1</v>
      </c>
      <c r="L317" s="6">
        <f t="shared" si="13"/>
        <v>19410000</v>
      </c>
      <c r="M317" s="6">
        <v>16500000</v>
      </c>
      <c r="N317" s="6" t="s">
        <v>2003</v>
      </c>
      <c r="O317" s="6" t="s">
        <v>1859</v>
      </c>
      <c r="P317" s="6">
        <v>2015</v>
      </c>
      <c r="Q317" s="6">
        <v>1</v>
      </c>
      <c r="R317" s="6" t="s">
        <v>45</v>
      </c>
      <c r="S317" s="31" t="s">
        <v>2116</v>
      </c>
      <c r="T317" s="6">
        <v>1</v>
      </c>
      <c r="U317" s="26">
        <v>16000000</v>
      </c>
      <c r="V317" s="26">
        <v>16000000</v>
      </c>
      <c r="W317" s="26">
        <v>16000000</v>
      </c>
      <c r="X317" s="6" t="s">
        <v>2003</v>
      </c>
      <c r="Y317" s="6" t="s">
        <v>1199</v>
      </c>
      <c r="Z317" s="6">
        <v>224483</v>
      </c>
    </row>
    <row r="318" spans="1:26" x14ac:dyDescent="0.3">
      <c r="A318" s="28" t="s">
        <v>42</v>
      </c>
      <c r="B318" s="6" t="s">
        <v>1326</v>
      </c>
      <c r="C318" s="19" t="s">
        <v>1974</v>
      </c>
      <c r="D318" s="6" t="s">
        <v>2291</v>
      </c>
      <c r="E318" s="6">
        <v>1</v>
      </c>
      <c r="F318" s="6" t="s">
        <v>2004</v>
      </c>
      <c r="G318" s="32" t="s">
        <v>2299</v>
      </c>
      <c r="H318" s="32" t="s">
        <v>2300</v>
      </c>
      <c r="I318" s="6" t="str">
        <f t="shared" si="12"/>
        <v>Etc Grapple</v>
      </c>
      <c r="J318" s="6" t="s">
        <v>365</v>
      </c>
      <c r="K318" s="6">
        <v>1</v>
      </c>
      <c r="L318" s="6">
        <f t="shared" si="13"/>
        <v>3880000</v>
      </c>
      <c r="M318" s="6">
        <v>3300000</v>
      </c>
      <c r="N318" s="6" t="s">
        <v>2003</v>
      </c>
      <c r="O318" s="6" t="s">
        <v>942</v>
      </c>
      <c r="P318" s="6">
        <v>2015</v>
      </c>
      <c r="Q318" s="6">
        <v>6</v>
      </c>
      <c r="R318" s="6" t="s">
        <v>45</v>
      </c>
      <c r="S318" s="31" t="s">
        <v>2111</v>
      </c>
      <c r="T318" s="6">
        <v>1</v>
      </c>
      <c r="U318" s="26">
        <v>3100000</v>
      </c>
      <c r="V318" s="26">
        <v>3100000</v>
      </c>
      <c r="W318" s="26">
        <v>3100000</v>
      </c>
      <c r="X318" s="6" t="s">
        <v>2003</v>
      </c>
      <c r="Y318" s="6" t="s">
        <v>1235</v>
      </c>
      <c r="Z318" s="6">
        <v>224485</v>
      </c>
    </row>
    <row r="319" spans="1:26" x14ac:dyDescent="0.3">
      <c r="A319" s="28" t="s">
        <v>42</v>
      </c>
      <c r="B319" s="6" t="s">
        <v>1328</v>
      </c>
      <c r="C319" s="6" t="s">
        <v>1975</v>
      </c>
      <c r="D319" s="6" t="s">
        <v>2293</v>
      </c>
      <c r="E319" s="6">
        <v>1</v>
      </c>
      <c r="F319" s="6" t="s">
        <v>2004</v>
      </c>
      <c r="G319" s="32" t="s">
        <v>2299</v>
      </c>
      <c r="H319" s="32" t="s">
        <v>2300</v>
      </c>
      <c r="I319" s="6" t="str">
        <f t="shared" si="12"/>
        <v>Side Breaker</v>
      </c>
      <c r="J319" s="6" t="s">
        <v>520</v>
      </c>
      <c r="K319" s="6">
        <v>1</v>
      </c>
      <c r="L319" s="6">
        <f t="shared" si="13"/>
        <v>1640000</v>
      </c>
      <c r="M319" s="6">
        <v>1400000</v>
      </c>
      <c r="N319" s="6" t="s">
        <v>2003</v>
      </c>
      <c r="O319" s="6" t="s">
        <v>943</v>
      </c>
      <c r="P319" s="6">
        <v>2015</v>
      </c>
      <c r="Q319" s="6">
        <v>1</v>
      </c>
      <c r="R319" s="6" t="s">
        <v>45</v>
      </c>
      <c r="S319" s="31" t="s">
        <v>2112</v>
      </c>
      <c r="T319" s="6">
        <v>1</v>
      </c>
      <c r="U319" s="26">
        <v>1300000</v>
      </c>
      <c r="V319" s="26">
        <v>1300000</v>
      </c>
      <c r="W319" s="26">
        <v>1300000</v>
      </c>
      <c r="X319" s="6" t="s">
        <v>2003</v>
      </c>
      <c r="Y319" s="6" t="s">
        <v>1142</v>
      </c>
      <c r="Z319" s="6">
        <v>224487</v>
      </c>
    </row>
    <row r="320" spans="1:26" x14ac:dyDescent="0.3">
      <c r="A320" s="28" t="s">
        <v>42</v>
      </c>
      <c r="B320" s="6" t="s">
        <v>1326</v>
      </c>
      <c r="C320" s="6" t="s">
        <v>1972</v>
      </c>
      <c r="D320" s="6" t="s">
        <v>2001</v>
      </c>
      <c r="E320" s="6">
        <v>1</v>
      </c>
      <c r="F320" s="6" t="s">
        <v>2004</v>
      </c>
      <c r="G320" s="32" t="s">
        <v>2299</v>
      </c>
      <c r="H320" s="32" t="s">
        <v>2300</v>
      </c>
      <c r="I320" s="6" t="str">
        <f t="shared" si="12"/>
        <v>Stone Grapple</v>
      </c>
      <c r="J320" s="6" t="s">
        <v>203</v>
      </c>
      <c r="K320" s="6">
        <v>1</v>
      </c>
      <c r="L320" s="6">
        <f t="shared" si="13"/>
        <v>6820000</v>
      </c>
      <c r="M320" s="6">
        <v>5800000</v>
      </c>
      <c r="N320" s="6" t="s">
        <v>2003</v>
      </c>
      <c r="O320" s="6" t="s">
        <v>945</v>
      </c>
      <c r="P320" s="6">
        <v>2014</v>
      </c>
      <c r="Q320" s="6">
        <v>1</v>
      </c>
      <c r="R320" s="6" t="s">
        <v>45</v>
      </c>
      <c r="S320" s="31" t="s">
        <v>2117</v>
      </c>
      <c r="T320" s="6">
        <v>1</v>
      </c>
      <c r="U320" s="26">
        <v>5300000</v>
      </c>
      <c r="V320" s="26">
        <v>5300000</v>
      </c>
      <c r="W320" s="26">
        <v>5300000</v>
      </c>
      <c r="X320" s="6" t="s">
        <v>2003</v>
      </c>
      <c r="Y320" s="6" t="s">
        <v>1240</v>
      </c>
      <c r="Z320" s="6">
        <v>224491</v>
      </c>
    </row>
    <row r="321" spans="1:26" x14ac:dyDescent="0.3">
      <c r="A321" s="28" t="s">
        <v>42</v>
      </c>
      <c r="B321" s="6" t="s">
        <v>1326</v>
      </c>
      <c r="C321" s="6" t="s">
        <v>1974</v>
      </c>
      <c r="D321" s="6" t="s">
        <v>2292</v>
      </c>
      <c r="E321" s="6">
        <v>1</v>
      </c>
      <c r="F321" s="6" t="s">
        <v>2004</v>
      </c>
      <c r="G321" s="32" t="s">
        <v>2299</v>
      </c>
      <c r="H321" s="32" t="s">
        <v>2300</v>
      </c>
      <c r="I321" s="6" t="str">
        <f t="shared" si="12"/>
        <v>Etc Grapple</v>
      </c>
      <c r="J321" s="6" t="s">
        <v>590</v>
      </c>
      <c r="K321" s="6">
        <v>1</v>
      </c>
      <c r="L321" s="6">
        <f t="shared" si="13"/>
        <v>7050000</v>
      </c>
      <c r="M321" s="6">
        <v>6000000</v>
      </c>
      <c r="N321" s="6" t="s">
        <v>2003</v>
      </c>
      <c r="O321" s="6" t="s">
        <v>789</v>
      </c>
      <c r="P321" s="6">
        <v>2014</v>
      </c>
      <c r="Q321" s="6">
        <v>1</v>
      </c>
      <c r="R321" s="6" t="s">
        <v>45</v>
      </c>
      <c r="S321" s="31" t="s">
        <v>2122</v>
      </c>
      <c r="T321" s="6">
        <v>1</v>
      </c>
      <c r="U321" s="26">
        <v>5500000</v>
      </c>
      <c r="V321" s="26">
        <v>5500000</v>
      </c>
      <c r="W321" s="26">
        <v>5500000</v>
      </c>
      <c r="X321" s="6" t="s">
        <v>2003</v>
      </c>
      <c r="Y321" s="6" t="s">
        <v>65</v>
      </c>
      <c r="Z321" s="6">
        <v>224492</v>
      </c>
    </row>
    <row r="322" spans="1:26" x14ac:dyDescent="0.3">
      <c r="A322" s="28" t="s">
        <v>42</v>
      </c>
      <c r="B322" s="6" t="s">
        <v>1327</v>
      </c>
      <c r="C322" s="6" t="s">
        <v>1980</v>
      </c>
      <c r="D322" s="6" t="s">
        <v>2291</v>
      </c>
      <c r="E322" s="6">
        <v>1</v>
      </c>
      <c r="F322" s="6" t="s">
        <v>2004</v>
      </c>
      <c r="G322" s="32" t="s">
        <v>2299</v>
      </c>
      <c r="H322" s="32" t="s">
        <v>2300</v>
      </c>
      <c r="I322" s="6" t="str">
        <f t="shared" si="12"/>
        <v>Small Bucket</v>
      </c>
      <c r="J322" s="6" t="s">
        <v>328</v>
      </c>
      <c r="K322" s="6">
        <v>1</v>
      </c>
      <c r="L322" s="6">
        <f t="shared" si="13"/>
        <v>310000</v>
      </c>
      <c r="M322" s="6">
        <v>270000</v>
      </c>
      <c r="N322" s="6" t="s">
        <v>2003</v>
      </c>
      <c r="O322" s="6" t="s">
        <v>790</v>
      </c>
      <c r="P322" s="6">
        <v>2016</v>
      </c>
      <c r="Q322" s="6">
        <v>1</v>
      </c>
      <c r="R322" s="6" t="s">
        <v>45</v>
      </c>
      <c r="S322" s="31" t="s">
        <v>2112</v>
      </c>
      <c r="T322" s="6">
        <v>1</v>
      </c>
      <c r="U322" s="26">
        <v>220000</v>
      </c>
      <c r="V322" s="26">
        <v>220000</v>
      </c>
      <c r="W322" s="26">
        <v>220000</v>
      </c>
      <c r="X322" s="6" t="s">
        <v>2003</v>
      </c>
      <c r="Y322" s="6" t="s">
        <v>1142</v>
      </c>
      <c r="Z322" s="6">
        <v>224496</v>
      </c>
    </row>
    <row r="323" spans="1:26" x14ac:dyDescent="0.3">
      <c r="A323" s="28" t="s">
        <v>42</v>
      </c>
      <c r="B323" s="6" t="s">
        <v>1328</v>
      </c>
      <c r="C323" s="6" t="s">
        <v>1975</v>
      </c>
      <c r="D323" s="6" t="s">
        <v>2292</v>
      </c>
      <c r="E323" s="6">
        <v>1</v>
      </c>
      <c r="F323" s="6" t="s">
        <v>2004</v>
      </c>
      <c r="G323" s="32" t="s">
        <v>2299</v>
      </c>
      <c r="H323" s="32" t="s">
        <v>2300</v>
      </c>
      <c r="I323" s="6" t="str">
        <f t="shared" si="12"/>
        <v>Side Breaker</v>
      </c>
      <c r="J323" s="6" t="s">
        <v>119</v>
      </c>
      <c r="K323" s="6">
        <v>1</v>
      </c>
      <c r="L323" s="6">
        <f t="shared" si="13"/>
        <v>5520000</v>
      </c>
      <c r="M323" s="6">
        <v>4700000</v>
      </c>
      <c r="N323" s="6" t="s">
        <v>2003</v>
      </c>
      <c r="O323" s="6" t="s">
        <v>70</v>
      </c>
      <c r="P323" s="6">
        <v>2015</v>
      </c>
      <c r="Q323" s="6">
        <v>1</v>
      </c>
      <c r="R323" s="6" t="s">
        <v>45</v>
      </c>
      <c r="S323" s="31" t="s">
        <v>2113</v>
      </c>
      <c r="T323" s="6">
        <v>1</v>
      </c>
      <c r="U323" s="26">
        <v>4500000</v>
      </c>
      <c r="V323" s="26">
        <v>4500000</v>
      </c>
      <c r="W323" s="26">
        <v>4500000</v>
      </c>
      <c r="X323" s="6" t="s">
        <v>2003</v>
      </c>
      <c r="Y323" s="6" t="s">
        <v>71</v>
      </c>
      <c r="Z323" s="6">
        <v>224517</v>
      </c>
    </row>
    <row r="324" spans="1:26" x14ac:dyDescent="0.3">
      <c r="A324" s="28" t="s">
        <v>42</v>
      </c>
      <c r="B324" s="6" t="s">
        <v>1327</v>
      </c>
      <c r="C324" s="6" t="s">
        <v>1976</v>
      </c>
      <c r="D324" s="6" t="s">
        <v>2290</v>
      </c>
      <c r="E324" s="6">
        <v>1</v>
      </c>
      <c r="F324" s="6" t="s">
        <v>2004</v>
      </c>
      <c r="G324" s="32" t="s">
        <v>2299</v>
      </c>
      <c r="H324" s="32" t="s">
        <v>2300</v>
      </c>
      <c r="I324" s="6" t="str">
        <f t="shared" si="12"/>
        <v>Skeleton Bucket</v>
      </c>
      <c r="J324" s="6" t="s">
        <v>537</v>
      </c>
      <c r="K324" s="6">
        <v>1</v>
      </c>
      <c r="L324" s="6">
        <f t="shared" si="13"/>
        <v>1050000</v>
      </c>
      <c r="M324" s="6">
        <v>900000</v>
      </c>
      <c r="N324" s="6" t="s">
        <v>2003</v>
      </c>
      <c r="O324" s="6" t="s">
        <v>823</v>
      </c>
      <c r="P324" s="6">
        <v>2013</v>
      </c>
      <c r="Q324" s="6">
        <v>1</v>
      </c>
      <c r="R324" s="6" t="s">
        <v>45</v>
      </c>
      <c r="S324" s="31" t="s">
        <v>2113</v>
      </c>
      <c r="T324" s="6">
        <v>1</v>
      </c>
      <c r="U324" s="26">
        <v>800000</v>
      </c>
      <c r="V324" s="26">
        <v>800000</v>
      </c>
      <c r="W324" s="26">
        <v>800000</v>
      </c>
      <c r="X324" s="6" t="s">
        <v>2003</v>
      </c>
      <c r="Y324" s="6" t="s">
        <v>49</v>
      </c>
      <c r="Z324" s="6">
        <v>224520</v>
      </c>
    </row>
    <row r="325" spans="1:26" x14ac:dyDescent="0.3">
      <c r="A325" s="28" t="s">
        <v>42</v>
      </c>
      <c r="B325" s="6" t="s">
        <v>1337</v>
      </c>
      <c r="C325" s="6"/>
      <c r="D325" s="6" t="s">
        <v>2289</v>
      </c>
      <c r="E325" s="6">
        <v>1</v>
      </c>
      <c r="F325" s="6" t="s">
        <v>2004</v>
      </c>
      <c r="G325" s="32" t="s">
        <v>2299</v>
      </c>
      <c r="H325" s="32" t="s">
        <v>2300</v>
      </c>
      <c r="I325" s="6" t="str">
        <f t="shared" si="12"/>
        <v>ETC</v>
      </c>
      <c r="J325" s="6" t="s">
        <v>363</v>
      </c>
      <c r="K325" s="6">
        <v>1</v>
      </c>
      <c r="L325" s="6">
        <f t="shared" si="13"/>
        <v>15880000</v>
      </c>
      <c r="M325" s="6">
        <v>13500000</v>
      </c>
      <c r="N325" s="6" t="s">
        <v>2003</v>
      </c>
      <c r="O325" s="6" t="s">
        <v>840</v>
      </c>
      <c r="P325" s="6">
        <v>2010</v>
      </c>
      <c r="Q325" s="6">
        <v>1</v>
      </c>
      <c r="R325" s="6" t="s">
        <v>45</v>
      </c>
      <c r="S325" s="31" t="s">
        <v>2117</v>
      </c>
      <c r="T325" s="6">
        <v>1</v>
      </c>
      <c r="U325" s="26">
        <v>13000000</v>
      </c>
      <c r="V325" s="26">
        <v>13000000</v>
      </c>
      <c r="W325" s="26">
        <v>13000000</v>
      </c>
      <c r="X325" s="6" t="s">
        <v>2003</v>
      </c>
      <c r="Y325" s="6" t="s">
        <v>1145</v>
      </c>
      <c r="Z325" s="6">
        <v>224528</v>
      </c>
    </row>
    <row r="326" spans="1:26" x14ac:dyDescent="0.3">
      <c r="A326" s="28" t="s">
        <v>42</v>
      </c>
      <c r="B326" s="6" t="s">
        <v>1326</v>
      </c>
      <c r="C326" s="19" t="s">
        <v>1974</v>
      </c>
      <c r="D326" s="6" t="s">
        <v>2002</v>
      </c>
      <c r="E326" s="6">
        <v>1</v>
      </c>
      <c r="F326" s="6" t="s">
        <v>2004</v>
      </c>
      <c r="G326" s="32" t="s">
        <v>2299</v>
      </c>
      <c r="H326" s="32" t="s">
        <v>2300</v>
      </c>
      <c r="I326" s="6" t="str">
        <f t="shared" si="12"/>
        <v>Etc Grapple</v>
      </c>
      <c r="J326" s="6" t="s">
        <v>241</v>
      </c>
      <c r="K326" s="6">
        <v>1</v>
      </c>
      <c r="L326" s="6">
        <f t="shared" si="13"/>
        <v>2290000</v>
      </c>
      <c r="M326" s="6">
        <v>1950000</v>
      </c>
      <c r="N326" s="6" t="s">
        <v>2003</v>
      </c>
      <c r="O326" s="6" t="s">
        <v>51</v>
      </c>
      <c r="P326" s="6">
        <v>2014</v>
      </c>
      <c r="Q326" s="6">
        <v>1</v>
      </c>
      <c r="R326" s="6" t="s">
        <v>45</v>
      </c>
      <c r="S326" s="31" t="s">
        <v>2113</v>
      </c>
      <c r="T326" s="6">
        <v>1</v>
      </c>
      <c r="U326" s="26">
        <v>1850000</v>
      </c>
      <c r="V326" s="26">
        <v>1850000</v>
      </c>
      <c r="W326" s="26">
        <v>1850000</v>
      </c>
      <c r="X326" s="6" t="s">
        <v>2003</v>
      </c>
      <c r="Y326" s="6" t="s">
        <v>49</v>
      </c>
      <c r="Z326" s="6">
        <v>224534</v>
      </c>
    </row>
    <row r="327" spans="1:26" x14ac:dyDescent="0.3">
      <c r="A327" s="28" t="s">
        <v>42</v>
      </c>
      <c r="B327" s="6" t="s">
        <v>1326</v>
      </c>
      <c r="C327" s="19" t="s">
        <v>1974</v>
      </c>
      <c r="D327" s="6" t="s">
        <v>2293</v>
      </c>
      <c r="E327" s="6">
        <v>1</v>
      </c>
      <c r="F327" s="6" t="s">
        <v>2004</v>
      </c>
      <c r="G327" s="32" t="s">
        <v>2299</v>
      </c>
      <c r="H327" s="32" t="s">
        <v>2300</v>
      </c>
      <c r="I327" s="6" t="str">
        <f t="shared" si="12"/>
        <v>Etc Grapple</v>
      </c>
      <c r="J327" s="6" t="s">
        <v>335</v>
      </c>
      <c r="K327" s="6">
        <v>1</v>
      </c>
      <c r="L327" s="6">
        <f t="shared" si="13"/>
        <v>2640000</v>
      </c>
      <c r="M327" s="6">
        <v>2250000</v>
      </c>
      <c r="N327" s="6" t="s">
        <v>2003</v>
      </c>
      <c r="O327" s="6" t="s">
        <v>2007</v>
      </c>
      <c r="P327" s="6">
        <v>2016</v>
      </c>
      <c r="Q327" s="6">
        <v>1</v>
      </c>
      <c r="R327" s="6" t="s">
        <v>45</v>
      </c>
      <c r="S327" s="31" t="s">
        <v>2113</v>
      </c>
      <c r="T327" s="6">
        <v>1</v>
      </c>
      <c r="U327" s="26">
        <v>2050000</v>
      </c>
      <c r="V327" s="26">
        <v>2050000</v>
      </c>
      <c r="W327" s="26">
        <v>2050000</v>
      </c>
      <c r="X327" s="6" t="s">
        <v>2003</v>
      </c>
      <c r="Y327" s="6" t="s">
        <v>49</v>
      </c>
      <c r="Z327" s="6">
        <v>224545</v>
      </c>
    </row>
    <row r="328" spans="1:26" x14ac:dyDescent="0.3">
      <c r="A328" s="28" t="s">
        <v>42</v>
      </c>
      <c r="B328" s="6" t="s">
        <v>1337</v>
      </c>
      <c r="C328" s="6"/>
      <c r="D328" s="6" t="s">
        <v>2001</v>
      </c>
      <c r="E328" s="6">
        <v>1</v>
      </c>
      <c r="F328" s="6" t="s">
        <v>2004</v>
      </c>
      <c r="G328" s="32" t="s">
        <v>2299</v>
      </c>
      <c r="H328" s="32" t="s">
        <v>2300</v>
      </c>
      <c r="I328" s="6" t="str">
        <f t="shared" si="12"/>
        <v>ETC</v>
      </c>
      <c r="J328" s="6" t="s">
        <v>497</v>
      </c>
      <c r="K328" s="6">
        <v>1</v>
      </c>
      <c r="L328" s="6">
        <f t="shared" si="13"/>
        <v>10000000</v>
      </c>
      <c r="M328" s="6">
        <v>8500000</v>
      </c>
      <c r="N328" s="6" t="s">
        <v>2003</v>
      </c>
      <c r="O328" s="6" t="s">
        <v>1860</v>
      </c>
      <c r="P328" s="6">
        <v>2014</v>
      </c>
      <c r="Q328" s="6">
        <v>1</v>
      </c>
      <c r="R328" s="6" t="s">
        <v>45</v>
      </c>
      <c r="S328" s="31" t="s">
        <v>2121</v>
      </c>
      <c r="T328" s="6">
        <v>1</v>
      </c>
      <c r="U328" s="26">
        <v>8000000</v>
      </c>
      <c r="V328" s="26">
        <v>8000000</v>
      </c>
      <c r="W328" s="26">
        <v>8000000</v>
      </c>
      <c r="X328" s="6" t="s">
        <v>2003</v>
      </c>
      <c r="Y328" s="6" t="s">
        <v>1265</v>
      </c>
      <c r="Z328" s="6">
        <v>224547</v>
      </c>
    </row>
    <row r="329" spans="1:26" x14ac:dyDescent="0.3">
      <c r="A329" s="28" t="s">
        <v>42</v>
      </c>
      <c r="B329" s="6" t="s">
        <v>1326</v>
      </c>
      <c r="C329" s="19" t="s">
        <v>1974</v>
      </c>
      <c r="D329" s="6" t="s">
        <v>2292</v>
      </c>
      <c r="E329" s="6">
        <v>1</v>
      </c>
      <c r="F329" s="6" t="s">
        <v>2004</v>
      </c>
      <c r="G329" s="32" t="s">
        <v>2299</v>
      </c>
      <c r="H329" s="32" t="s">
        <v>2300</v>
      </c>
      <c r="I329" s="6" t="str">
        <f t="shared" si="12"/>
        <v>Etc Grapple</v>
      </c>
      <c r="J329" s="6" t="s">
        <v>297</v>
      </c>
      <c r="K329" s="6">
        <v>1</v>
      </c>
      <c r="L329" s="6">
        <f t="shared" si="13"/>
        <v>3050000</v>
      </c>
      <c r="M329" s="6">
        <v>2600000</v>
      </c>
      <c r="N329" s="6" t="s">
        <v>2003</v>
      </c>
      <c r="O329" s="6" t="s">
        <v>902</v>
      </c>
      <c r="P329" s="6">
        <v>2014</v>
      </c>
      <c r="Q329" s="6">
        <v>1</v>
      </c>
      <c r="R329" s="6" t="s">
        <v>45</v>
      </c>
      <c r="S329" s="31" t="s">
        <v>2112</v>
      </c>
      <c r="T329" s="6">
        <v>1</v>
      </c>
      <c r="U329" s="26">
        <v>2400000</v>
      </c>
      <c r="V329" s="26">
        <v>2400000</v>
      </c>
      <c r="W329" s="26">
        <v>2400000</v>
      </c>
      <c r="X329" s="6" t="s">
        <v>2003</v>
      </c>
      <c r="Y329" s="6" t="s">
        <v>1192</v>
      </c>
      <c r="Z329" s="6">
        <v>224551</v>
      </c>
    </row>
    <row r="330" spans="1:26" x14ac:dyDescent="0.3">
      <c r="A330" s="28" t="s">
        <v>42</v>
      </c>
      <c r="B330" s="6" t="s">
        <v>2172</v>
      </c>
      <c r="C330" s="6"/>
      <c r="D330" s="6" t="s">
        <v>2290</v>
      </c>
      <c r="E330" s="6">
        <v>1</v>
      </c>
      <c r="F330" s="6" t="s">
        <v>2004</v>
      </c>
      <c r="G330" s="32" t="s">
        <v>2299</v>
      </c>
      <c r="H330" s="32" t="s">
        <v>2300</v>
      </c>
      <c r="I330" s="6" t="str">
        <f t="shared" si="12"/>
        <v>Quick Coupler</v>
      </c>
      <c r="J330" s="6" t="s">
        <v>734</v>
      </c>
      <c r="K330" s="6">
        <v>1</v>
      </c>
      <c r="L330" s="6">
        <f t="shared" si="13"/>
        <v>1050000</v>
      </c>
      <c r="M330" s="6">
        <v>900000</v>
      </c>
      <c r="N330" s="6" t="s">
        <v>2003</v>
      </c>
      <c r="O330" s="6" t="s">
        <v>1861</v>
      </c>
      <c r="P330" s="6">
        <v>2007</v>
      </c>
      <c r="Q330" s="6">
        <v>1</v>
      </c>
      <c r="R330" s="6" t="s">
        <v>45</v>
      </c>
      <c r="S330" s="31" t="s">
        <v>2123</v>
      </c>
      <c r="T330" s="6">
        <v>1</v>
      </c>
      <c r="U330" s="26">
        <v>800000</v>
      </c>
      <c r="V330" s="26">
        <v>800000</v>
      </c>
      <c r="W330" s="26">
        <v>800000</v>
      </c>
      <c r="X330" s="6" t="s">
        <v>2003</v>
      </c>
      <c r="Y330" s="6" t="s">
        <v>1157</v>
      </c>
      <c r="Z330" s="6">
        <v>224552</v>
      </c>
    </row>
    <row r="331" spans="1:26" x14ac:dyDescent="0.3">
      <c r="A331" s="28" t="s">
        <v>42</v>
      </c>
      <c r="B331" s="6" t="s">
        <v>1337</v>
      </c>
      <c r="C331" s="6"/>
      <c r="D331" s="6" t="s">
        <v>2289</v>
      </c>
      <c r="E331" s="6">
        <v>1</v>
      </c>
      <c r="F331" s="6" t="s">
        <v>2004</v>
      </c>
      <c r="G331" s="32" t="s">
        <v>2299</v>
      </c>
      <c r="H331" s="32" t="s">
        <v>2300</v>
      </c>
      <c r="I331" s="6" t="str">
        <f t="shared" ref="I331:I394" si="14">IF(ISBLANK(C331),B331,C331)</f>
        <v>ETC</v>
      </c>
      <c r="J331" s="6" t="s">
        <v>173</v>
      </c>
      <c r="K331" s="6">
        <v>1</v>
      </c>
      <c r="L331" s="6">
        <f t="shared" ref="L331:L394" si="15">FLOOR(((M331*100)/85)/10000, 1)*10000</f>
        <v>10000000</v>
      </c>
      <c r="M331" s="6">
        <v>8500000</v>
      </c>
      <c r="N331" s="6" t="s">
        <v>2003</v>
      </c>
      <c r="O331" s="6" t="s">
        <v>792</v>
      </c>
      <c r="P331" s="6">
        <v>2007</v>
      </c>
      <c r="Q331" s="6">
        <v>1</v>
      </c>
      <c r="R331" s="6" t="s">
        <v>45</v>
      </c>
      <c r="S331" s="31" t="s">
        <v>2117</v>
      </c>
      <c r="T331" s="6">
        <v>1</v>
      </c>
      <c r="U331" s="26">
        <v>8000000</v>
      </c>
      <c r="V331" s="26">
        <v>8000000</v>
      </c>
      <c r="W331" s="26">
        <v>8000000</v>
      </c>
      <c r="X331" s="6" t="s">
        <v>2003</v>
      </c>
      <c r="Y331" s="6" t="s">
        <v>1179</v>
      </c>
      <c r="Z331" s="6">
        <v>224558</v>
      </c>
    </row>
    <row r="332" spans="1:26" x14ac:dyDescent="0.3">
      <c r="A332" s="28" t="s">
        <v>42</v>
      </c>
      <c r="B332" s="6" t="s">
        <v>1337</v>
      </c>
      <c r="C332" s="6"/>
      <c r="D332" s="6" t="s">
        <v>2289</v>
      </c>
      <c r="E332" s="6">
        <v>1</v>
      </c>
      <c r="F332" s="6" t="s">
        <v>2004</v>
      </c>
      <c r="G332" s="32" t="s">
        <v>2299</v>
      </c>
      <c r="H332" s="32" t="s">
        <v>2300</v>
      </c>
      <c r="I332" s="6" t="str">
        <f t="shared" si="14"/>
        <v>ETC</v>
      </c>
      <c r="J332" s="6" t="s">
        <v>539</v>
      </c>
      <c r="K332" s="6">
        <v>1</v>
      </c>
      <c r="L332" s="6">
        <f t="shared" si="15"/>
        <v>12350000</v>
      </c>
      <c r="M332" s="6">
        <v>10500000</v>
      </c>
      <c r="N332" s="6" t="s">
        <v>2003</v>
      </c>
      <c r="O332" s="6" t="s">
        <v>949</v>
      </c>
      <c r="P332" s="6">
        <v>2012</v>
      </c>
      <c r="Q332" s="6">
        <v>8</v>
      </c>
      <c r="R332" s="6" t="s">
        <v>45</v>
      </c>
      <c r="S332" s="31" t="s">
        <v>2110</v>
      </c>
      <c r="T332" s="6">
        <v>1</v>
      </c>
      <c r="U332" s="26">
        <v>10000000</v>
      </c>
      <c r="V332" s="26">
        <v>10000000</v>
      </c>
      <c r="W332" s="26">
        <v>10000000</v>
      </c>
      <c r="X332" s="6" t="s">
        <v>2003</v>
      </c>
      <c r="Y332" s="6" t="s">
        <v>1274</v>
      </c>
      <c r="Z332" s="6">
        <v>224559</v>
      </c>
    </row>
    <row r="333" spans="1:26" x14ac:dyDescent="0.3">
      <c r="A333" s="28" t="s">
        <v>42</v>
      </c>
      <c r="B333" s="6" t="s">
        <v>2169</v>
      </c>
      <c r="C333" s="6"/>
      <c r="D333" s="6" t="s">
        <v>2001</v>
      </c>
      <c r="E333" s="6">
        <v>1</v>
      </c>
      <c r="F333" s="6" t="s">
        <v>2004</v>
      </c>
      <c r="G333" s="32" t="s">
        <v>2299</v>
      </c>
      <c r="H333" s="32" t="s">
        <v>2300</v>
      </c>
      <c r="I333" s="6" t="str">
        <f t="shared" si="14"/>
        <v>Ripper</v>
      </c>
      <c r="J333" s="6" t="s">
        <v>540</v>
      </c>
      <c r="K333" s="6">
        <v>1</v>
      </c>
      <c r="L333" s="6">
        <f t="shared" si="15"/>
        <v>2000000</v>
      </c>
      <c r="M333" s="6">
        <v>1700000</v>
      </c>
      <c r="N333" s="6" t="s">
        <v>2003</v>
      </c>
      <c r="O333" s="6" t="s">
        <v>950</v>
      </c>
      <c r="P333" s="6">
        <v>2016</v>
      </c>
      <c r="Q333" s="6">
        <v>1</v>
      </c>
      <c r="R333" s="6" t="s">
        <v>45</v>
      </c>
      <c r="S333" s="31" t="s">
        <v>2121</v>
      </c>
      <c r="T333" s="6">
        <v>1</v>
      </c>
      <c r="U333" s="26">
        <v>1600000</v>
      </c>
      <c r="V333" s="26">
        <v>1600000</v>
      </c>
      <c r="W333" s="26">
        <v>1600000</v>
      </c>
      <c r="X333" s="6" t="s">
        <v>2003</v>
      </c>
      <c r="Y333" s="6" t="s">
        <v>1265</v>
      </c>
      <c r="Z333" s="6">
        <v>224562</v>
      </c>
    </row>
    <row r="334" spans="1:26" x14ac:dyDescent="0.3">
      <c r="A334" s="28" t="s">
        <v>42</v>
      </c>
      <c r="B334" s="6" t="s">
        <v>1337</v>
      </c>
      <c r="C334" s="6"/>
      <c r="D334" s="6" t="s">
        <v>2289</v>
      </c>
      <c r="E334" s="6">
        <v>1</v>
      </c>
      <c r="F334" s="6" t="s">
        <v>2004</v>
      </c>
      <c r="G334" s="32" t="s">
        <v>2299</v>
      </c>
      <c r="H334" s="32" t="s">
        <v>2300</v>
      </c>
      <c r="I334" s="6" t="str">
        <f t="shared" si="14"/>
        <v>ETC</v>
      </c>
      <c r="J334" s="6" t="s">
        <v>126</v>
      </c>
      <c r="K334" s="6">
        <v>1</v>
      </c>
      <c r="L334" s="6">
        <f t="shared" si="15"/>
        <v>13520000</v>
      </c>
      <c r="M334" s="6">
        <v>11500000</v>
      </c>
      <c r="N334" s="6" t="s">
        <v>2003</v>
      </c>
      <c r="O334" s="6" t="s">
        <v>951</v>
      </c>
      <c r="P334" s="6">
        <v>2012</v>
      </c>
      <c r="Q334" s="6">
        <v>4</v>
      </c>
      <c r="R334" s="6" t="s">
        <v>45</v>
      </c>
      <c r="S334" s="31" t="s">
        <v>2111</v>
      </c>
      <c r="T334" s="6">
        <v>1</v>
      </c>
      <c r="U334" s="26">
        <v>11000000</v>
      </c>
      <c r="V334" s="26">
        <v>11000000</v>
      </c>
      <c r="W334" s="26">
        <v>11000000</v>
      </c>
      <c r="X334" s="6" t="s">
        <v>2003</v>
      </c>
      <c r="Y334" s="6" t="s">
        <v>55</v>
      </c>
      <c r="Z334" s="6">
        <v>224568</v>
      </c>
    </row>
    <row r="335" spans="1:26" x14ac:dyDescent="0.3">
      <c r="A335" s="28" t="s">
        <v>42</v>
      </c>
      <c r="B335" s="6" t="s">
        <v>1326</v>
      </c>
      <c r="C335" s="6" t="s">
        <v>1972</v>
      </c>
      <c r="D335" s="6" t="s">
        <v>2292</v>
      </c>
      <c r="E335" s="6">
        <v>1</v>
      </c>
      <c r="F335" s="6" t="s">
        <v>2004</v>
      </c>
      <c r="G335" s="32" t="s">
        <v>2299</v>
      </c>
      <c r="H335" s="32" t="s">
        <v>2300</v>
      </c>
      <c r="I335" s="6" t="str">
        <f t="shared" si="14"/>
        <v>Stone Grapple</v>
      </c>
      <c r="J335" s="6" t="s">
        <v>120</v>
      </c>
      <c r="K335" s="6">
        <v>1</v>
      </c>
      <c r="L335" s="6">
        <f t="shared" si="15"/>
        <v>6580000</v>
      </c>
      <c r="M335" s="6">
        <v>5600000</v>
      </c>
      <c r="N335" s="6" t="s">
        <v>2003</v>
      </c>
      <c r="O335" s="6" t="s">
        <v>2007</v>
      </c>
      <c r="P335" s="6">
        <v>2014</v>
      </c>
      <c r="Q335" s="6">
        <v>1</v>
      </c>
      <c r="R335" s="6" t="s">
        <v>45</v>
      </c>
      <c r="S335" s="31" t="s">
        <v>2113</v>
      </c>
      <c r="T335" s="6">
        <v>1</v>
      </c>
      <c r="U335" s="26">
        <v>5100000</v>
      </c>
      <c r="V335" s="26">
        <v>5100000</v>
      </c>
      <c r="W335" s="26">
        <v>5100000</v>
      </c>
      <c r="X335" s="6" t="s">
        <v>2003</v>
      </c>
      <c r="Y335" s="6" t="s">
        <v>49</v>
      </c>
      <c r="Z335" s="6">
        <v>224569</v>
      </c>
    </row>
    <row r="336" spans="1:26" x14ac:dyDescent="0.3">
      <c r="A336" s="28" t="s">
        <v>42</v>
      </c>
      <c r="B336" s="6" t="s">
        <v>1326</v>
      </c>
      <c r="C336" s="6" t="s">
        <v>1972</v>
      </c>
      <c r="D336" s="6" t="s">
        <v>2292</v>
      </c>
      <c r="E336" s="6">
        <v>1</v>
      </c>
      <c r="F336" s="6" t="s">
        <v>2004</v>
      </c>
      <c r="G336" s="32" t="s">
        <v>2299</v>
      </c>
      <c r="H336" s="32" t="s">
        <v>2300</v>
      </c>
      <c r="I336" s="6" t="str">
        <f t="shared" si="14"/>
        <v>Stone Grapple</v>
      </c>
      <c r="J336" s="6" t="s">
        <v>86</v>
      </c>
      <c r="K336" s="6">
        <v>1</v>
      </c>
      <c r="L336" s="6">
        <f t="shared" si="15"/>
        <v>2110000</v>
      </c>
      <c r="M336" s="6">
        <v>1800000</v>
      </c>
      <c r="N336" s="6" t="s">
        <v>2003</v>
      </c>
      <c r="O336" s="6" t="s">
        <v>800</v>
      </c>
      <c r="P336" s="6">
        <v>2012</v>
      </c>
      <c r="Q336" s="6">
        <v>11</v>
      </c>
      <c r="R336" s="6" t="s">
        <v>45</v>
      </c>
      <c r="S336" s="31" t="s">
        <v>2121</v>
      </c>
      <c r="T336" s="6">
        <v>1</v>
      </c>
      <c r="U336" s="26">
        <v>1700000</v>
      </c>
      <c r="V336" s="26">
        <v>1700000</v>
      </c>
      <c r="W336" s="26">
        <v>1700000</v>
      </c>
      <c r="X336" s="6" t="s">
        <v>2003</v>
      </c>
      <c r="Y336" s="6" t="s">
        <v>87</v>
      </c>
      <c r="Z336" s="6">
        <v>224570</v>
      </c>
    </row>
    <row r="337" spans="1:26" x14ac:dyDescent="0.3">
      <c r="A337" s="28" t="s">
        <v>42</v>
      </c>
      <c r="B337" s="6" t="s">
        <v>1328</v>
      </c>
      <c r="C337" s="6" t="s">
        <v>1975</v>
      </c>
      <c r="D337" s="6" t="s">
        <v>2292</v>
      </c>
      <c r="E337" s="6">
        <v>1</v>
      </c>
      <c r="F337" s="6" t="s">
        <v>2004</v>
      </c>
      <c r="G337" s="32" t="s">
        <v>2299</v>
      </c>
      <c r="H337" s="32" t="s">
        <v>2300</v>
      </c>
      <c r="I337" s="6" t="str">
        <f t="shared" si="14"/>
        <v>Side Breaker</v>
      </c>
      <c r="J337" s="6" t="s">
        <v>541</v>
      </c>
      <c r="K337" s="6">
        <v>1</v>
      </c>
      <c r="L337" s="6">
        <f t="shared" si="15"/>
        <v>4350000</v>
      </c>
      <c r="M337" s="6">
        <v>3700000</v>
      </c>
      <c r="N337" s="6" t="s">
        <v>2003</v>
      </c>
      <c r="O337" s="6" t="s">
        <v>952</v>
      </c>
      <c r="P337" s="6">
        <v>2013</v>
      </c>
      <c r="Q337" s="6">
        <v>1</v>
      </c>
      <c r="R337" s="6" t="s">
        <v>45</v>
      </c>
      <c r="S337" s="31" t="s">
        <v>2118</v>
      </c>
      <c r="T337" s="6">
        <v>1</v>
      </c>
      <c r="U337" s="26">
        <v>3500000</v>
      </c>
      <c r="V337" s="26">
        <v>3500000</v>
      </c>
      <c r="W337" s="26">
        <v>3500000</v>
      </c>
      <c r="X337" s="6" t="s">
        <v>2003</v>
      </c>
      <c r="Y337" s="6" t="s">
        <v>67</v>
      </c>
      <c r="Z337" s="6">
        <v>224575</v>
      </c>
    </row>
    <row r="338" spans="1:26" x14ac:dyDescent="0.3">
      <c r="A338" s="28" t="s">
        <v>42</v>
      </c>
      <c r="B338" s="6" t="s">
        <v>1328</v>
      </c>
      <c r="C338" s="6" t="s">
        <v>1975</v>
      </c>
      <c r="D338" s="6" t="s">
        <v>2001</v>
      </c>
      <c r="E338" s="6">
        <v>1</v>
      </c>
      <c r="F338" s="6" t="s">
        <v>2004</v>
      </c>
      <c r="G338" s="32" t="s">
        <v>2299</v>
      </c>
      <c r="H338" s="32" t="s">
        <v>2300</v>
      </c>
      <c r="I338" s="6" t="str">
        <f t="shared" si="14"/>
        <v>Side Breaker</v>
      </c>
      <c r="J338" s="6" t="s">
        <v>163</v>
      </c>
      <c r="K338" s="6">
        <v>1</v>
      </c>
      <c r="L338" s="6">
        <f t="shared" si="15"/>
        <v>11760000</v>
      </c>
      <c r="M338" s="6">
        <v>10000000</v>
      </c>
      <c r="N338" s="6" t="s">
        <v>2003</v>
      </c>
      <c r="O338" s="6" t="s">
        <v>954</v>
      </c>
      <c r="P338" s="6">
        <v>2013</v>
      </c>
      <c r="Q338" s="6">
        <v>7</v>
      </c>
      <c r="R338" s="6" t="s">
        <v>45</v>
      </c>
      <c r="S338" s="31" t="s">
        <v>2118</v>
      </c>
      <c r="T338" s="6">
        <v>1</v>
      </c>
      <c r="U338" s="26">
        <v>9500000</v>
      </c>
      <c r="V338" s="26">
        <v>9500000</v>
      </c>
      <c r="W338" s="26">
        <v>9500000</v>
      </c>
      <c r="X338" s="6" t="s">
        <v>2003</v>
      </c>
      <c r="Y338" s="6" t="s">
        <v>67</v>
      </c>
      <c r="Z338" s="6">
        <v>224578</v>
      </c>
    </row>
    <row r="339" spans="1:26" x14ac:dyDescent="0.3">
      <c r="A339" s="28" t="s">
        <v>42</v>
      </c>
      <c r="B339" s="6" t="s">
        <v>2163</v>
      </c>
      <c r="C339" s="6"/>
      <c r="D339" s="6" t="s">
        <v>2001</v>
      </c>
      <c r="E339" s="6">
        <v>1</v>
      </c>
      <c r="F339" s="6" t="s">
        <v>2004</v>
      </c>
      <c r="G339" s="32" t="s">
        <v>2299</v>
      </c>
      <c r="H339" s="32" t="s">
        <v>2300</v>
      </c>
      <c r="I339" s="6" t="str">
        <f t="shared" si="14"/>
        <v>Lift Fork</v>
      </c>
      <c r="J339" s="6" t="s">
        <v>277</v>
      </c>
      <c r="K339" s="6">
        <v>1</v>
      </c>
      <c r="L339" s="6">
        <f t="shared" si="15"/>
        <v>2940000</v>
      </c>
      <c r="M339" s="6">
        <v>2500000</v>
      </c>
      <c r="N339" s="6" t="s">
        <v>2003</v>
      </c>
      <c r="O339" s="6" t="s">
        <v>2048</v>
      </c>
      <c r="P339" s="6">
        <v>2017</v>
      </c>
      <c r="Q339" s="6">
        <v>1</v>
      </c>
      <c r="R339" s="6" t="s">
        <v>45</v>
      </c>
      <c r="S339" s="31" t="s">
        <v>2110</v>
      </c>
      <c r="T339" s="6">
        <v>1</v>
      </c>
      <c r="U339" s="26">
        <v>2300000</v>
      </c>
      <c r="V339" s="26">
        <v>2300000</v>
      </c>
      <c r="W339" s="26">
        <v>2300000</v>
      </c>
      <c r="X339" s="6" t="s">
        <v>2003</v>
      </c>
      <c r="Y339" s="6" t="s">
        <v>1155</v>
      </c>
      <c r="Z339" s="6">
        <v>224579</v>
      </c>
    </row>
    <row r="340" spans="1:26" x14ac:dyDescent="0.3">
      <c r="A340" s="28" t="s">
        <v>42</v>
      </c>
      <c r="B340" s="6" t="s">
        <v>1328</v>
      </c>
      <c r="C340" s="6" t="s">
        <v>1975</v>
      </c>
      <c r="D340" s="6" t="s">
        <v>2292</v>
      </c>
      <c r="E340" s="6">
        <v>1</v>
      </c>
      <c r="F340" s="6" t="s">
        <v>2004</v>
      </c>
      <c r="G340" s="32" t="s">
        <v>2299</v>
      </c>
      <c r="H340" s="32" t="s">
        <v>2300</v>
      </c>
      <c r="I340" s="6" t="str">
        <f t="shared" si="14"/>
        <v>Side Breaker</v>
      </c>
      <c r="J340" s="6" t="s">
        <v>119</v>
      </c>
      <c r="K340" s="6">
        <v>1</v>
      </c>
      <c r="L340" s="6">
        <f t="shared" si="15"/>
        <v>3520000</v>
      </c>
      <c r="M340" s="6">
        <v>3000000</v>
      </c>
      <c r="N340" s="6" t="s">
        <v>2003</v>
      </c>
      <c r="O340" s="6" t="s">
        <v>2007</v>
      </c>
      <c r="P340" s="6">
        <v>2012</v>
      </c>
      <c r="Q340" s="6">
        <v>1</v>
      </c>
      <c r="R340" s="6" t="s">
        <v>45</v>
      </c>
      <c r="S340" s="31" t="s">
        <v>2113</v>
      </c>
      <c r="T340" s="6">
        <v>1</v>
      </c>
      <c r="U340" s="26">
        <v>2800000</v>
      </c>
      <c r="V340" s="26">
        <v>2800000</v>
      </c>
      <c r="W340" s="26">
        <v>2800000</v>
      </c>
      <c r="X340" s="6" t="s">
        <v>2003</v>
      </c>
      <c r="Y340" s="6" t="s">
        <v>49</v>
      </c>
      <c r="Z340" s="6">
        <v>224581</v>
      </c>
    </row>
    <row r="341" spans="1:26" x14ac:dyDescent="0.3">
      <c r="A341" s="28" t="s">
        <v>42</v>
      </c>
      <c r="B341" s="6" t="s">
        <v>1328</v>
      </c>
      <c r="C341" s="6" t="s">
        <v>1975</v>
      </c>
      <c r="D341" s="6" t="s">
        <v>2291</v>
      </c>
      <c r="E341" s="6">
        <v>1</v>
      </c>
      <c r="F341" s="6" t="s">
        <v>2004</v>
      </c>
      <c r="G341" s="32" t="s">
        <v>2299</v>
      </c>
      <c r="H341" s="32" t="s">
        <v>2300</v>
      </c>
      <c r="I341" s="6" t="str">
        <f t="shared" si="14"/>
        <v>Side Breaker</v>
      </c>
      <c r="J341" s="6" t="s">
        <v>543</v>
      </c>
      <c r="K341" s="6">
        <v>1</v>
      </c>
      <c r="L341" s="6">
        <f t="shared" si="15"/>
        <v>2350000</v>
      </c>
      <c r="M341" s="6">
        <v>2000000</v>
      </c>
      <c r="N341" s="6" t="s">
        <v>2003</v>
      </c>
      <c r="O341" s="6" t="s">
        <v>2007</v>
      </c>
      <c r="P341" s="6">
        <v>2017</v>
      </c>
      <c r="Q341" s="6">
        <v>1</v>
      </c>
      <c r="R341" s="6" t="s">
        <v>45</v>
      </c>
      <c r="S341" s="31" t="s">
        <v>2113</v>
      </c>
      <c r="T341" s="6">
        <v>1</v>
      </c>
      <c r="U341" s="26">
        <v>1900000</v>
      </c>
      <c r="V341" s="26">
        <v>1900000</v>
      </c>
      <c r="W341" s="26">
        <v>1900000</v>
      </c>
      <c r="X341" s="6" t="s">
        <v>2003</v>
      </c>
      <c r="Y341" s="6" t="s">
        <v>49</v>
      </c>
      <c r="Z341" s="6">
        <v>224586</v>
      </c>
    </row>
    <row r="342" spans="1:26" x14ac:dyDescent="0.3">
      <c r="A342" s="28" t="s">
        <v>42</v>
      </c>
      <c r="B342" s="6" t="s">
        <v>2169</v>
      </c>
      <c r="C342" s="6"/>
      <c r="D342" s="6" t="s">
        <v>2292</v>
      </c>
      <c r="E342" s="6">
        <v>1</v>
      </c>
      <c r="F342" s="6" t="s">
        <v>2004</v>
      </c>
      <c r="G342" s="32" t="s">
        <v>2299</v>
      </c>
      <c r="H342" s="32" t="s">
        <v>2300</v>
      </c>
      <c r="I342" s="6" t="str">
        <f t="shared" si="14"/>
        <v>Ripper</v>
      </c>
      <c r="J342" s="6" t="s">
        <v>313</v>
      </c>
      <c r="K342" s="6">
        <v>1</v>
      </c>
      <c r="L342" s="6">
        <f t="shared" si="15"/>
        <v>940000</v>
      </c>
      <c r="M342" s="6">
        <v>800000</v>
      </c>
      <c r="N342" s="6" t="s">
        <v>2003</v>
      </c>
      <c r="O342" s="6" t="s">
        <v>955</v>
      </c>
      <c r="P342" s="6">
        <v>2014</v>
      </c>
      <c r="Q342" s="6">
        <v>1</v>
      </c>
      <c r="R342" s="6" t="s">
        <v>45</v>
      </c>
      <c r="S342" s="31" t="s">
        <v>2121</v>
      </c>
      <c r="T342" s="6">
        <v>1</v>
      </c>
      <c r="U342" s="26">
        <v>700000</v>
      </c>
      <c r="V342" s="26">
        <v>700000</v>
      </c>
      <c r="W342" s="26">
        <v>700000</v>
      </c>
      <c r="X342" s="6" t="s">
        <v>2003</v>
      </c>
      <c r="Y342" s="6" t="s">
        <v>1265</v>
      </c>
      <c r="Z342" s="6">
        <v>224589</v>
      </c>
    </row>
    <row r="343" spans="1:26" x14ac:dyDescent="0.3">
      <c r="A343" s="28" t="s">
        <v>42</v>
      </c>
      <c r="B343" s="6" t="s">
        <v>1325</v>
      </c>
      <c r="C343" s="19" t="s">
        <v>2156</v>
      </c>
      <c r="D343" s="6" t="s">
        <v>2001</v>
      </c>
      <c r="E343" s="6">
        <v>1</v>
      </c>
      <c r="F343" s="6" t="s">
        <v>2004</v>
      </c>
      <c r="G343" s="32" t="s">
        <v>2299</v>
      </c>
      <c r="H343" s="32" t="s">
        <v>2300</v>
      </c>
      <c r="I343" s="6" t="str">
        <f t="shared" si="14"/>
        <v>Hydraulic Crusher</v>
      </c>
      <c r="J343" s="6" t="s">
        <v>53</v>
      </c>
      <c r="K343" s="6">
        <v>1</v>
      </c>
      <c r="L343" s="6">
        <f t="shared" si="15"/>
        <v>14700000</v>
      </c>
      <c r="M343" s="6">
        <v>12500000</v>
      </c>
      <c r="N343" s="6" t="s">
        <v>2003</v>
      </c>
      <c r="O343" s="6" t="s">
        <v>956</v>
      </c>
      <c r="P343" s="6">
        <v>2014</v>
      </c>
      <c r="Q343" s="6">
        <v>1</v>
      </c>
      <c r="R343" s="6" t="s">
        <v>45</v>
      </c>
      <c r="S343" s="31" t="s">
        <v>2121</v>
      </c>
      <c r="T343" s="6">
        <v>1</v>
      </c>
      <c r="U343" s="26">
        <v>12000000</v>
      </c>
      <c r="V343" s="26">
        <v>12000000</v>
      </c>
      <c r="W343" s="26">
        <v>12000000</v>
      </c>
      <c r="X343" s="6" t="s">
        <v>2003</v>
      </c>
      <c r="Y343" s="6" t="s">
        <v>1265</v>
      </c>
      <c r="Z343" s="6">
        <v>224596</v>
      </c>
    </row>
    <row r="344" spans="1:26" x14ac:dyDescent="0.3">
      <c r="A344" s="28" t="s">
        <v>42</v>
      </c>
      <c r="B344" s="6" t="s">
        <v>1326</v>
      </c>
      <c r="C344" s="6" t="s">
        <v>1973</v>
      </c>
      <c r="D344" s="6" t="s">
        <v>2291</v>
      </c>
      <c r="E344" s="6">
        <v>1</v>
      </c>
      <c r="F344" s="6" t="s">
        <v>2004</v>
      </c>
      <c r="G344" s="32" t="s">
        <v>2299</v>
      </c>
      <c r="H344" s="32" t="s">
        <v>2300</v>
      </c>
      <c r="I344" s="6" t="str">
        <f t="shared" si="14"/>
        <v>Wood Grapple</v>
      </c>
      <c r="J344" s="6" t="s">
        <v>127</v>
      </c>
      <c r="K344" s="6">
        <v>1</v>
      </c>
      <c r="L344" s="6">
        <f t="shared" si="15"/>
        <v>3520000</v>
      </c>
      <c r="M344" s="6">
        <v>3000000</v>
      </c>
      <c r="N344" s="6" t="s">
        <v>2003</v>
      </c>
      <c r="O344" s="6" t="s">
        <v>51</v>
      </c>
      <c r="P344" s="6">
        <v>2014</v>
      </c>
      <c r="Q344" s="6">
        <v>1</v>
      </c>
      <c r="R344" s="6" t="s">
        <v>45</v>
      </c>
      <c r="S344" s="31" t="s">
        <v>2113</v>
      </c>
      <c r="T344" s="6">
        <v>1</v>
      </c>
      <c r="U344" s="26">
        <v>2800000</v>
      </c>
      <c r="V344" s="26">
        <v>2800000</v>
      </c>
      <c r="W344" s="26">
        <v>2800000</v>
      </c>
      <c r="X344" s="6" t="s">
        <v>2003</v>
      </c>
      <c r="Y344" s="6" t="s">
        <v>49</v>
      </c>
      <c r="Z344" s="6">
        <v>224602</v>
      </c>
    </row>
    <row r="345" spans="1:26" x14ac:dyDescent="0.3">
      <c r="A345" s="28" t="s">
        <v>42</v>
      </c>
      <c r="B345" s="6" t="s">
        <v>1327</v>
      </c>
      <c r="C345" s="6" t="s">
        <v>1976</v>
      </c>
      <c r="D345" s="6" t="s">
        <v>2289</v>
      </c>
      <c r="E345" s="6">
        <v>1</v>
      </c>
      <c r="F345" s="6" t="s">
        <v>2004</v>
      </c>
      <c r="G345" s="32" t="s">
        <v>2299</v>
      </c>
      <c r="H345" s="32" t="s">
        <v>2300</v>
      </c>
      <c r="I345" s="6" t="str">
        <f t="shared" si="14"/>
        <v>Skeleton Bucket</v>
      </c>
      <c r="J345" s="6" t="s">
        <v>547</v>
      </c>
      <c r="K345" s="6">
        <v>1</v>
      </c>
      <c r="L345" s="6">
        <f t="shared" si="15"/>
        <v>3410000</v>
      </c>
      <c r="M345" s="6">
        <v>2900000</v>
      </c>
      <c r="N345" s="6" t="s">
        <v>2003</v>
      </c>
      <c r="O345" s="6">
        <v>1</v>
      </c>
      <c r="P345" s="6">
        <v>2014</v>
      </c>
      <c r="Q345" s="6">
        <v>1</v>
      </c>
      <c r="R345" s="6" t="s">
        <v>45</v>
      </c>
      <c r="S345" s="31" t="s">
        <v>2116</v>
      </c>
      <c r="T345" s="6">
        <v>1</v>
      </c>
      <c r="U345" s="26">
        <v>2700000</v>
      </c>
      <c r="V345" s="26">
        <v>2700000</v>
      </c>
      <c r="W345" s="26">
        <v>2700000</v>
      </c>
      <c r="X345" s="6" t="s">
        <v>2003</v>
      </c>
      <c r="Y345" s="6" t="s">
        <v>1185</v>
      </c>
      <c r="Z345" s="6">
        <v>224604</v>
      </c>
    </row>
    <row r="346" spans="1:26" x14ac:dyDescent="0.3">
      <c r="A346" s="28" t="s">
        <v>42</v>
      </c>
      <c r="B346" s="6" t="s">
        <v>1337</v>
      </c>
      <c r="C346" s="6"/>
      <c r="D346" s="6" t="s">
        <v>2289</v>
      </c>
      <c r="E346" s="6">
        <v>1</v>
      </c>
      <c r="F346" s="6" t="s">
        <v>2004</v>
      </c>
      <c r="G346" s="32" t="s">
        <v>2299</v>
      </c>
      <c r="H346" s="32" t="s">
        <v>2300</v>
      </c>
      <c r="I346" s="6" t="str">
        <f t="shared" si="14"/>
        <v>ETC</v>
      </c>
      <c r="J346" s="6" t="s">
        <v>548</v>
      </c>
      <c r="K346" s="6">
        <v>1</v>
      </c>
      <c r="L346" s="6">
        <f t="shared" si="15"/>
        <v>2580000</v>
      </c>
      <c r="M346" s="6">
        <v>2200000</v>
      </c>
      <c r="N346" s="6" t="s">
        <v>2003</v>
      </c>
      <c r="O346" s="6">
        <v>1</v>
      </c>
      <c r="P346" s="6">
        <v>2013</v>
      </c>
      <c r="Q346" s="6">
        <v>1</v>
      </c>
      <c r="R346" s="6" t="s">
        <v>45</v>
      </c>
      <c r="S346" s="31" t="s">
        <v>2116</v>
      </c>
      <c r="T346" s="6">
        <v>1</v>
      </c>
      <c r="U346" s="26">
        <v>2000000</v>
      </c>
      <c r="V346" s="26">
        <v>2000000</v>
      </c>
      <c r="W346" s="26">
        <v>2000000</v>
      </c>
      <c r="X346" s="6" t="s">
        <v>2003</v>
      </c>
      <c r="Y346" s="6" t="s">
        <v>1185</v>
      </c>
      <c r="Z346" s="6">
        <v>224606</v>
      </c>
    </row>
    <row r="347" spans="1:26" x14ac:dyDescent="0.3">
      <c r="A347" s="28" t="s">
        <v>42</v>
      </c>
      <c r="B347" s="6" t="s">
        <v>1326</v>
      </c>
      <c r="C347" s="6" t="s">
        <v>1979</v>
      </c>
      <c r="D347" s="6" t="s">
        <v>2292</v>
      </c>
      <c r="E347" s="6">
        <v>1</v>
      </c>
      <c r="F347" s="6" t="s">
        <v>2004</v>
      </c>
      <c r="G347" s="32" t="s">
        <v>2299</v>
      </c>
      <c r="H347" s="32" t="s">
        <v>2300</v>
      </c>
      <c r="I347" s="6" t="str">
        <f t="shared" si="14"/>
        <v>Thumb Grapple</v>
      </c>
      <c r="J347" s="6" t="s">
        <v>186</v>
      </c>
      <c r="K347" s="6">
        <v>1</v>
      </c>
      <c r="L347" s="6">
        <f t="shared" si="15"/>
        <v>940000</v>
      </c>
      <c r="M347" s="6">
        <v>800000</v>
      </c>
      <c r="N347" s="6" t="s">
        <v>2003</v>
      </c>
      <c r="O347" s="6" t="s">
        <v>813</v>
      </c>
      <c r="P347" s="6">
        <v>2013</v>
      </c>
      <c r="Q347" s="6">
        <v>1</v>
      </c>
      <c r="R347" s="6" t="s">
        <v>45</v>
      </c>
      <c r="S347" s="31" t="s">
        <v>2113</v>
      </c>
      <c r="T347" s="6">
        <v>1</v>
      </c>
      <c r="U347" s="26">
        <v>700000</v>
      </c>
      <c r="V347" s="26">
        <v>700000</v>
      </c>
      <c r="W347" s="26">
        <v>700000</v>
      </c>
      <c r="X347" s="6" t="s">
        <v>2003</v>
      </c>
      <c r="Y347" s="6" t="s">
        <v>80</v>
      </c>
      <c r="Z347" s="6">
        <v>224608</v>
      </c>
    </row>
    <row r="348" spans="1:26" x14ac:dyDescent="0.3">
      <c r="A348" s="28" t="s">
        <v>42</v>
      </c>
      <c r="B348" s="6" t="s">
        <v>1327</v>
      </c>
      <c r="C348" s="6" t="s">
        <v>1976</v>
      </c>
      <c r="D348" s="6" t="s">
        <v>2292</v>
      </c>
      <c r="E348" s="6">
        <v>1</v>
      </c>
      <c r="F348" s="6" t="s">
        <v>2004</v>
      </c>
      <c r="G348" s="32" t="s">
        <v>2299</v>
      </c>
      <c r="H348" s="32" t="s">
        <v>2300</v>
      </c>
      <c r="I348" s="6" t="str">
        <f t="shared" si="14"/>
        <v>Skeleton Bucket</v>
      </c>
      <c r="J348" s="6" t="s">
        <v>62</v>
      </c>
      <c r="K348" s="6">
        <v>1</v>
      </c>
      <c r="L348" s="6">
        <f t="shared" si="15"/>
        <v>1110000</v>
      </c>
      <c r="M348" s="6">
        <v>950000</v>
      </c>
      <c r="N348" s="6" t="s">
        <v>2003</v>
      </c>
      <c r="O348" s="6" t="s">
        <v>813</v>
      </c>
      <c r="P348" s="6">
        <v>2013</v>
      </c>
      <c r="Q348" s="6">
        <v>1</v>
      </c>
      <c r="R348" s="6" t="s">
        <v>45</v>
      </c>
      <c r="S348" s="31" t="s">
        <v>2113</v>
      </c>
      <c r="T348" s="6">
        <v>1</v>
      </c>
      <c r="U348" s="26">
        <v>850000</v>
      </c>
      <c r="V348" s="26">
        <v>850000</v>
      </c>
      <c r="W348" s="26">
        <v>850000</v>
      </c>
      <c r="X348" s="6" t="s">
        <v>2003</v>
      </c>
      <c r="Y348" s="6" t="s">
        <v>79</v>
      </c>
      <c r="Z348" s="6">
        <v>224612</v>
      </c>
    </row>
    <row r="349" spans="1:26" x14ac:dyDescent="0.3">
      <c r="A349" s="28" t="s">
        <v>42</v>
      </c>
      <c r="B349" s="6" t="s">
        <v>1326</v>
      </c>
      <c r="C349" s="19" t="s">
        <v>1974</v>
      </c>
      <c r="D349" s="6" t="s">
        <v>2001</v>
      </c>
      <c r="E349" s="6">
        <v>1</v>
      </c>
      <c r="F349" s="6" t="s">
        <v>2004</v>
      </c>
      <c r="G349" s="32" t="s">
        <v>2299</v>
      </c>
      <c r="H349" s="32" t="s">
        <v>2300</v>
      </c>
      <c r="I349" s="6" t="str">
        <f t="shared" si="14"/>
        <v>Etc Grapple</v>
      </c>
      <c r="J349" s="6" t="s">
        <v>550</v>
      </c>
      <c r="K349" s="6">
        <v>1</v>
      </c>
      <c r="L349" s="6">
        <f t="shared" si="15"/>
        <v>8230000</v>
      </c>
      <c r="M349" s="6">
        <v>7000000</v>
      </c>
      <c r="N349" s="6" t="s">
        <v>2003</v>
      </c>
      <c r="O349" s="6" t="s">
        <v>835</v>
      </c>
      <c r="P349" s="6">
        <v>2012</v>
      </c>
      <c r="Q349" s="6">
        <v>7</v>
      </c>
      <c r="R349" s="6" t="s">
        <v>45</v>
      </c>
      <c r="S349" s="31" t="s">
        <v>2116</v>
      </c>
      <c r="T349" s="6">
        <v>1</v>
      </c>
      <c r="U349" s="26">
        <v>6500000</v>
      </c>
      <c r="V349" s="26">
        <v>6500000</v>
      </c>
      <c r="W349" s="26">
        <v>6500000</v>
      </c>
      <c r="X349" s="6" t="s">
        <v>2003</v>
      </c>
      <c r="Y349" s="6" t="s">
        <v>1173</v>
      </c>
      <c r="Z349" s="6">
        <v>224615</v>
      </c>
    </row>
    <row r="350" spans="1:26" x14ac:dyDescent="0.3">
      <c r="A350" s="28" t="s">
        <v>42</v>
      </c>
      <c r="B350" s="6" t="s">
        <v>1326</v>
      </c>
      <c r="C350" s="6" t="s">
        <v>1972</v>
      </c>
      <c r="D350" s="6" t="s">
        <v>2290</v>
      </c>
      <c r="E350" s="6">
        <v>1</v>
      </c>
      <c r="F350" s="6" t="s">
        <v>2004</v>
      </c>
      <c r="G350" s="32" t="s">
        <v>2299</v>
      </c>
      <c r="H350" s="32" t="s">
        <v>2300</v>
      </c>
      <c r="I350" s="6" t="str">
        <f t="shared" si="14"/>
        <v>Stone Grapple</v>
      </c>
      <c r="J350" s="6" t="s">
        <v>94</v>
      </c>
      <c r="K350" s="6">
        <v>1</v>
      </c>
      <c r="L350" s="6">
        <f t="shared" si="15"/>
        <v>3170000</v>
      </c>
      <c r="M350" s="6">
        <v>2700000</v>
      </c>
      <c r="N350" s="6" t="s">
        <v>2003</v>
      </c>
      <c r="O350" s="6" t="s">
        <v>958</v>
      </c>
      <c r="P350" s="6">
        <v>2010</v>
      </c>
      <c r="Q350" s="6">
        <v>6</v>
      </c>
      <c r="R350" s="6" t="s">
        <v>45</v>
      </c>
      <c r="S350" s="31" t="s">
        <v>2116</v>
      </c>
      <c r="T350" s="6">
        <v>1</v>
      </c>
      <c r="U350" s="26">
        <v>2500000</v>
      </c>
      <c r="V350" s="26">
        <v>2500000</v>
      </c>
      <c r="W350" s="26">
        <v>2500000</v>
      </c>
      <c r="X350" s="6" t="s">
        <v>2003</v>
      </c>
      <c r="Y350" s="6" t="s">
        <v>1276</v>
      </c>
      <c r="Z350" s="6">
        <v>224616</v>
      </c>
    </row>
    <row r="351" spans="1:26" x14ac:dyDescent="0.3">
      <c r="A351" s="28" t="s">
        <v>42</v>
      </c>
      <c r="B351" s="6" t="s">
        <v>2172</v>
      </c>
      <c r="C351" s="6"/>
      <c r="D351" s="6" t="s">
        <v>2292</v>
      </c>
      <c r="E351" s="6">
        <v>1</v>
      </c>
      <c r="F351" s="6" t="s">
        <v>2004</v>
      </c>
      <c r="G351" s="32" t="s">
        <v>2299</v>
      </c>
      <c r="H351" s="32" t="s">
        <v>2300</v>
      </c>
      <c r="I351" s="6" t="str">
        <f t="shared" si="14"/>
        <v>Quick Coupler</v>
      </c>
      <c r="J351" s="6" t="s">
        <v>140</v>
      </c>
      <c r="K351" s="6">
        <v>1</v>
      </c>
      <c r="L351" s="6">
        <f t="shared" si="15"/>
        <v>940000</v>
      </c>
      <c r="M351" s="6">
        <v>800000</v>
      </c>
      <c r="N351" s="6" t="s">
        <v>2003</v>
      </c>
      <c r="O351" s="6" t="s">
        <v>813</v>
      </c>
      <c r="P351" s="6">
        <v>2013</v>
      </c>
      <c r="Q351" s="6">
        <v>1</v>
      </c>
      <c r="R351" s="6" t="s">
        <v>45</v>
      </c>
      <c r="S351" s="31" t="s">
        <v>2113</v>
      </c>
      <c r="T351" s="6">
        <v>1</v>
      </c>
      <c r="U351" s="26">
        <v>700000</v>
      </c>
      <c r="V351" s="26">
        <v>700000</v>
      </c>
      <c r="W351" s="26">
        <v>700000</v>
      </c>
      <c r="X351" s="6" t="s">
        <v>2003</v>
      </c>
      <c r="Y351" s="6" t="s">
        <v>80</v>
      </c>
      <c r="Z351" s="6">
        <v>224618</v>
      </c>
    </row>
    <row r="352" spans="1:26" x14ac:dyDescent="0.3">
      <c r="A352" s="28" t="s">
        <v>42</v>
      </c>
      <c r="B352" s="6" t="s">
        <v>1326</v>
      </c>
      <c r="C352" s="19" t="s">
        <v>1974</v>
      </c>
      <c r="D352" s="6" t="s">
        <v>2002</v>
      </c>
      <c r="E352" s="6">
        <v>1</v>
      </c>
      <c r="F352" s="6" t="s">
        <v>2004</v>
      </c>
      <c r="G352" s="32" t="s">
        <v>2299</v>
      </c>
      <c r="H352" s="32" t="s">
        <v>2300</v>
      </c>
      <c r="I352" s="6" t="str">
        <f t="shared" si="14"/>
        <v>Etc Grapple</v>
      </c>
      <c r="J352" s="6" t="s">
        <v>551</v>
      </c>
      <c r="K352" s="6">
        <v>1</v>
      </c>
      <c r="L352" s="6">
        <f t="shared" si="15"/>
        <v>2580000</v>
      </c>
      <c r="M352" s="6">
        <v>2200000</v>
      </c>
      <c r="N352" s="6" t="s">
        <v>2003</v>
      </c>
      <c r="O352" s="6" t="s">
        <v>959</v>
      </c>
      <c r="P352" s="6">
        <v>2015</v>
      </c>
      <c r="Q352" s="6">
        <v>1</v>
      </c>
      <c r="R352" s="6" t="s">
        <v>45</v>
      </c>
      <c r="S352" s="31" t="s">
        <v>2113</v>
      </c>
      <c r="T352" s="6">
        <v>1</v>
      </c>
      <c r="U352" s="26">
        <v>2000000</v>
      </c>
      <c r="V352" s="26">
        <v>2000000</v>
      </c>
      <c r="W352" s="26">
        <v>2000000</v>
      </c>
      <c r="X352" s="6" t="s">
        <v>2003</v>
      </c>
      <c r="Y352" s="6" t="s">
        <v>49</v>
      </c>
      <c r="Z352" s="6">
        <v>224620</v>
      </c>
    </row>
    <row r="353" spans="1:26" x14ac:dyDescent="0.3">
      <c r="A353" s="28" t="s">
        <v>42</v>
      </c>
      <c r="B353" s="6" t="s">
        <v>2172</v>
      </c>
      <c r="C353" s="6"/>
      <c r="D353" s="6" t="s">
        <v>2292</v>
      </c>
      <c r="E353" s="6">
        <v>1</v>
      </c>
      <c r="F353" s="6" t="s">
        <v>2004</v>
      </c>
      <c r="G353" s="32" t="s">
        <v>2299</v>
      </c>
      <c r="H353" s="32" t="s">
        <v>2300</v>
      </c>
      <c r="I353" s="6" t="str">
        <f t="shared" si="14"/>
        <v>Quick Coupler</v>
      </c>
      <c r="J353" s="6" t="s">
        <v>147</v>
      </c>
      <c r="K353" s="6">
        <v>1</v>
      </c>
      <c r="L353" s="6">
        <f t="shared" si="15"/>
        <v>940000</v>
      </c>
      <c r="M353" s="6">
        <v>800000</v>
      </c>
      <c r="N353" s="6" t="s">
        <v>2003</v>
      </c>
      <c r="O353" s="6" t="s">
        <v>813</v>
      </c>
      <c r="P353" s="6">
        <v>2013</v>
      </c>
      <c r="Q353" s="6">
        <v>1</v>
      </c>
      <c r="R353" s="6" t="s">
        <v>45</v>
      </c>
      <c r="S353" s="31" t="s">
        <v>2113</v>
      </c>
      <c r="T353" s="6">
        <v>1</v>
      </c>
      <c r="U353" s="26">
        <v>700000</v>
      </c>
      <c r="V353" s="26">
        <v>700000</v>
      </c>
      <c r="W353" s="26">
        <v>700000</v>
      </c>
      <c r="X353" s="6" t="s">
        <v>2003</v>
      </c>
      <c r="Y353" s="6" t="s">
        <v>79</v>
      </c>
      <c r="Z353" s="6">
        <v>224624</v>
      </c>
    </row>
    <row r="354" spans="1:26" x14ac:dyDescent="0.3">
      <c r="A354" s="28" t="s">
        <v>42</v>
      </c>
      <c r="B354" s="6" t="s">
        <v>1325</v>
      </c>
      <c r="C354" s="6" t="s">
        <v>2156</v>
      </c>
      <c r="D354" s="6" t="s">
        <v>2292</v>
      </c>
      <c r="E354" s="6">
        <v>1</v>
      </c>
      <c r="F354" s="6" t="s">
        <v>2004</v>
      </c>
      <c r="G354" s="32" t="s">
        <v>2299</v>
      </c>
      <c r="H354" s="32" t="s">
        <v>2300</v>
      </c>
      <c r="I354" s="6" t="str">
        <f t="shared" si="14"/>
        <v>Hydraulic Crusher</v>
      </c>
      <c r="J354" s="6" t="s">
        <v>104</v>
      </c>
      <c r="K354" s="6">
        <v>1</v>
      </c>
      <c r="L354" s="6">
        <f t="shared" si="15"/>
        <v>13520000</v>
      </c>
      <c r="M354" s="6">
        <v>11500000</v>
      </c>
      <c r="N354" s="6" t="s">
        <v>2003</v>
      </c>
      <c r="O354" s="6" t="s">
        <v>2007</v>
      </c>
      <c r="P354" s="6">
        <v>2015</v>
      </c>
      <c r="Q354" s="6">
        <v>1</v>
      </c>
      <c r="R354" s="6" t="s">
        <v>45</v>
      </c>
      <c r="S354" s="31" t="s">
        <v>2113</v>
      </c>
      <c r="T354" s="6">
        <v>1</v>
      </c>
      <c r="U354" s="26">
        <v>11000000</v>
      </c>
      <c r="V354" s="26">
        <v>11000000</v>
      </c>
      <c r="W354" s="26">
        <v>11000000</v>
      </c>
      <c r="X354" s="6" t="s">
        <v>2003</v>
      </c>
      <c r="Y354" s="6" t="s">
        <v>49</v>
      </c>
      <c r="Z354" s="6">
        <v>224633</v>
      </c>
    </row>
    <row r="355" spans="1:26" x14ac:dyDescent="0.3">
      <c r="A355" s="28" t="s">
        <v>42</v>
      </c>
      <c r="B355" s="6" t="s">
        <v>2169</v>
      </c>
      <c r="C355" s="6"/>
      <c r="D355" s="6" t="s">
        <v>2290</v>
      </c>
      <c r="E355" s="6">
        <v>1</v>
      </c>
      <c r="F355" s="6" t="s">
        <v>2004</v>
      </c>
      <c r="G355" s="32" t="s">
        <v>2299</v>
      </c>
      <c r="H355" s="32" t="s">
        <v>2300</v>
      </c>
      <c r="I355" s="6" t="str">
        <f t="shared" si="14"/>
        <v>Ripper</v>
      </c>
      <c r="J355" s="6" t="s">
        <v>576</v>
      </c>
      <c r="K355" s="6">
        <v>1</v>
      </c>
      <c r="L355" s="6">
        <f t="shared" si="15"/>
        <v>1290000</v>
      </c>
      <c r="M355" s="6">
        <v>1100000</v>
      </c>
      <c r="N355" s="6" t="s">
        <v>2003</v>
      </c>
      <c r="O355" s="6" t="s">
        <v>2008</v>
      </c>
      <c r="P355" s="6">
        <v>2017</v>
      </c>
      <c r="Q355" s="6">
        <v>1</v>
      </c>
      <c r="R355" s="6" t="s">
        <v>45</v>
      </c>
      <c r="S355" s="31" t="s">
        <v>2110</v>
      </c>
      <c r="T355" s="6">
        <v>1</v>
      </c>
      <c r="U355" s="26">
        <v>1000000</v>
      </c>
      <c r="V355" s="26">
        <v>1000000</v>
      </c>
      <c r="W355" s="26">
        <v>1000000</v>
      </c>
      <c r="X355" s="6" t="s">
        <v>2003</v>
      </c>
      <c r="Y355" s="6" t="s">
        <v>1155</v>
      </c>
      <c r="Z355" s="6">
        <v>224635</v>
      </c>
    </row>
    <row r="356" spans="1:26" x14ac:dyDescent="0.3">
      <c r="A356" s="28" t="s">
        <v>42</v>
      </c>
      <c r="B356" s="6" t="s">
        <v>2163</v>
      </c>
      <c r="C356" s="6"/>
      <c r="D356" s="6" t="s">
        <v>2292</v>
      </c>
      <c r="E356" s="6">
        <v>1</v>
      </c>
      <c r="F356" s="6" t="s">
        <v>2004</v>
      </c>
      <c r="G356" s="32" t="s">
        <v>2299</v>
      </c>
      <c r="H356" s="32" t="s">
        <v>2300</v>
      </c>
      <c r="I356" s="6" t="str">
        <f t="shared" si="14"/>
        <v>Lift Fork</v>
      </c>
      <c r="J356" s="6" t="s">
        <v>555</v>
      </c>
      <c r="K356" s="6">
        <v>1</v>
      </c>
      <c r="L356" s="6">
        <f t="shared" si="15"/>
        <v>940000</v>
      </c>
      <c r="M356" s="6">
        <v>800000</v>
      </c>
      <c r="N356" s="6" t="s">
        <v>2003</v>
      </c>
      <c r="O356" s="6" t="s">
        <v>961</v>
      </c>
      <c r="P356" s="6">
        <v>2013</v>
      </c>
      <c r="Q356" s="6">
        <v>1</v>
      </c>
      <c r="R356" s="6" t="s">
        <v>45</v>
      </c>
      <c r="S356" s="31" t="s">
        <v>2119</v>
      </c>
      <c r="T356" s="6">
        <v>1</v>
      </c>
      <c r="U356" s="26">
        <v>700000</v>
      </c>
      <c r="V356" s="26">
        <v>700000</v>
      </c>
      <c r="W356" s="26">
        <v>700000</v>
      </c>
      <c r="X356" s="6" t="s">
        <v>2003</v>
      </c>
      <c r="Y356" s="6" t="s">
        <v>1277</v>
      </c>
      <c r="Z356" s="6">
        <v>224636</v>
      </c>
    </row>
    <row r="357" spans="1:26" x14ac:dyDescent="0.3">
      <c r="A357" s="28" t="s">
        <v>42</v>
      </c>
      <c r="B357" s="6" t="s">
        <v>1326</v>
      </c>
      <c r="C357" s="6" t="s">
        <v>1979</v>
      </c>
      <c r="D357" s="6" t="s">
        <v>2292</v>
      </c>
      <c r="E357" s="6">
        <v>1</v>
      </c>
      <c r="F357" s="6" t="s">
        <v>2004</v>
      </c>
      <c r="G357" s="32" t="s">
        <v>2299</v>
      </c>
      <c r="H357" s="32" t="s">
        <v>2300</v>
      </c>
      <c r="I357" s="6" t="str">
        <f t="shared" si="14"/>
        <v>Thumb Grapple</v>
      </c>
      <c r="J357" s="6" t="s">
        <v>96</v>
      </c>
      <c r="K357" s="6">
        <v>1</v>
      </c>
      <c r="L357" s="6">
        <f t="shared" si="15"/>
        <v>940000</v>
      </c>
      <c r="M357" s="6">
        <v>800000</v>
      </c>
      <c r="N357" s="6" t="s">
        <v>2003</v>
      </c>
      <c r="O357" s="6" t="s">
        <v>2007</v>
      </c>
      <c r="P357" s="6">
        <v>2014</v>
      </c>
      <c r="Q357" s="6">
        <v>1</v>
      </c>
      <c r="R357" s="6" t="s">
        <v>45</v>
      </c>
      <c r="S357" s="31" t="s">
        <v>2113</v>
      </c>
      <c r="T357" s="6">
        <v>1</v>
      </c>
      <c r="U357" s="26">
        <v>700000</v>
      </c>
      <c r="V357" s="26">
        <v>700000</v>
      </c>
      <c r="W357" s="26">
        <v>700000</v>
      </c>
      <c r="X357" s="6" t="s">
        <v>2003</v>
      </c>
      <c r="Y357" s="6" t="s">
        <v>49</v>
      </c>
      <c r="Z357" s="6">
        <v>224639</v>
      </c>
    </row>
    <row r="358" spans="1:26" x14ac:dyDescent="0.3">
      <c r="A358" s="28" t="s">
        <v>42</v>
      </c>
      <c r="B358" s="6" t="s">
        <v>1326</v>
      </c>
      <c r="C358" s="6" t="s">
        <v>1985</v>
      </c>
      <c r="D358" s="6" t="s">
        <v>2292</v>
      </c>
      <c r="E358" s="6">
        <v>1</v>
      </c>
      <c r="F358" s="6" t="s">
        <v>2004</v>
      </c>
      <c r="G358" s="32" t="s">
        <v>2299</v>
      </c>
      <c r="H358" s="32" t="s">
        <v>2300</v>
      </c>
      <c r="I358" s="6" t="str">
        <f t="shared" si="14"/>
        <v>Multi Grapple</v>
      </c>
      <c r="J358" s="6" t="s">
        <v>296</v>
      </c>
      <c r="K358" s="6">
        <v>1</v>
      </c>
      <c r="L358" s="6">
        <f t="shared" si="15"/>
        <v>3410000</v>
      </c>
      <c r="M358" s="6">
        <v>2900000</v>
      </c>
      <c r="N358" s="6" t="s">
        <v>2003</v>
      </c>
      <c r="O358" s="6" t="s">
        <v>962</v>
      </c>
      <c r="P358" s="6">
        <v>2014</v>
      </c>
      <c r="Q358" s="6">
        <v>1</v>
      </c>
      <c r="R358" s="6" t="s">
        <v>45</v>
      </c>
      <c r="S358" s="31" t="s">
        <v>2113</v>
      </c>
      <c r="T358" s="6">
        <v>1</v>
      </c>
      <c r="U358" s="26">
        <v>2700000</v>
      </c>
      <c r="V358" s="26">
        <v>2700000</v>
      </c>
      <c r="W358" s="26">
        <v>2700000</v>
      </c>
      <c r="X358" s="6" t="s">
        <v>2003</v>
      </c>
      <c r="Y358" s="6" t="s">
        <v>49</v>
      </c>
      <c r="Z358" s="6">
        <v>224640</v>
      </c>
    </row>
    <row r="359" spans="1:26" x14ac:dyDescent="0.3">
      <c r="A359" s="28" t="s">
        <v>42</v>
      </c>
      <c r="B359" s="6" t="s">
        <v>1337</v>
      </c>
      <c r="C359" s="6"/>
      <c r="D359" s="6" t="s">
        <v>2292</v>
      </c>
      <c r="E359" s="6">
        <v>1</v>
      </c>
      <c r="F359" s="6" t="s">
        <v>2004</v>
      </c>
      <c r="G359" s="32" t="s">
        <v>2299</v>
      </c>
      <c r="H359" s="32" t="s">
        <v>2300</v>
      </c>
      <c r="I359" s="6" t="str">
        <f t="shared" si="14"/>
        <v>ETC</v>
      </c>
      <c r="J359" s="6" t="s">
        <v>405</v>
      </c>
      <c r="K359" s="6">
        <v>1</v>
      </c>
      <c r="L359" s="6">
        <f t="shared" si="15"/>
        <v>14700000</v>
      </c>
      <c r="M359" s="6">
        <v>12500000</v>
      </c>
      <c r="N359" s="6" t="s">
        <v>2003</v>
      </c>
      <c r="O359" s="6" t="s">
        <v>813</v>
      </c>
      <c r="P359" s="6">
        <v>2014</v>
      </c>
      <c r="Q359" s="6">
        <v>1</v>
      </c>
      <c r="R359" s="6" t="s">
        <v>45</v>
      </c>
      <c r="S359" s="31" t="s">
        <v>2113</v>
      </c>
      <c r="T359" s="6">
        <v>1</v>
      </c>
      <c r="U359" s="26">
        <v>12000000</v>
      </c>
      <c r="V359" s="26">
        <v>12000000</v>
      </c>
      <c r="W359" s="26">
        <v>12000000</v>
      </c>
      <c r="X359" s="6" t="s">
        <v>2003</v>
      </c>
      <c r="Y359" s="6" t="s">
        <v>79</v>
      </c>
      <c r="Z359" s="6">
        <v>224645</v>
      </c>
    </row>
    <row r="360" spans="1:26" x14ac:dyDescent="0.3">
      <c r="A360" s="28" t="s">
        <v>42</v>
      </c>
      <c r="B360" s="6" t="s">
        <v>1325</v>
      </c>
      <c r="C360" s="6" t="s">
        <v>2156</v>
      </c>
      <c r="D360" s="6" t="s">
        <v>2292</v>
      </c>
      <c r="E360" s="6">
        <v>1</v>
      </c>
      <c r="F360" s="6" t="s">
        <v>2004</v>
      </c>
      <c r="G360" s="32" t="s">
        <v>2299</v>
      </c>
      <c r="H360" s="32" t="s">
        <v>2300</v>
      </c>
      <c r="I360" s="6" t="str">
        <f t="shared" si="14"/>
        <v>Hydraulic Crusher</v>
      </c>
      <c r="J360" s="6" t="s">
        <v>103</v>
      </c>
      <c r="K360" s="6">
        <v>1</v>
      </c>
      <c r="L360" s="6">
        <f t="shared" si="15"/>
        <v>13520000</v>
      </c>
      <c r="M360" s="6">
        <v>11500000</v>
      </c>
      <c r="N360" s="6" t="s">
        <v>2003</v>
      </c>
      <c r="O360" s="6" t="s">
        <v>813</v>
      </c>
      <c r="P360" s="6">
        <v>2015</v>
      </c>
      <c r="Q360" s="6">
        <v>1</v>
      </c>
      <c r="R360" s="6" t="s">
        <v>45</v>
      </c>
      <c r="S360" s="31" t="s">
        <v>2113</v>
      </c>
      <c r="T360" s="6">
        <v>1</v>
      </c>
      <c r="U360" s="26">
        <v>11000000</v>
      </c>
      <c r="V360" s="26">
        <v>11000000</v>
      </c>
      <c r="W360" s="26">
        <v>11000000</v>
      </c>
      <c r="X360" s="6" t="s">
        <v>2003</v>
      </c>
      <c r="Y360" s="6" t="s">
        <v>80</v>
      </c>
      <c r="Z360" s="6">
        <v>224646</v>
      </c>
    </row>
    <row r="361" spans="1:26" x14ac:dyDescent="0.3">
      <c r="A361" s="28" t="s">
        <v>42</v>
      </c>
      <c r="B361" s="6" t="s">
        <v>1326</v>
      </c>
      <c r="C361" s="6" t="s">
        <v>1979</v>
      </c>
      <c r="D361" s="6" t="s">
        <v>2292</v>
      </c>
      <c r="E361" s="6">
        <v>1</v>
      </c>
      <c r="F361" s="6" t="s">
        <v>2004</v>
      </c>
      <c r="G361" s="32" t="s">
        <v>2299</v>
      </c>
      <c r="H361" s="32" t="s">
        <v>2300</v>
      </c>
      <c r="I361" s="6" t="str">
        <f t="shared" si="14"/>
        <v>Thumb Grapple</v>
      </c>
      <c r="J361" s="6" t="s">
        <v>224</v>
      </c>
      <c r="K361" s="6">
        <v>1</v>
      </c>
      <c r="L361" s="6">
        <f t="shared" si="15"/>
        <v>940000</v>
      </c>
      <c r="M361" s="6">
        <v>800000</v>
      </c>
      <c r="N361" s="6" t="s">
        <v>2003</v>
      </c>
      <c r="O361" s="6" t="s">
        <v>2007</v>
      </c>
      <c r="P361" s="6">
        <v>2014</v>
      </c>
      <c r="Q361" s="6">
        <v>1</v>
      </c>
      <c r="R361" s="6" t="s">
        <v>45</v>
      </c>
      <c r="S361" s="31" t="s">
        <v>2113</v>
      </c>
      <c r="T361" s="6">
        <v>1</v>
      </c>
      <c r="U361" s="26">
        <v>700000</v>
      </c>
      <c r="V361" s="26">
        <v>700000</v>
      </c>
      <c r="W361" s="26">
        <v>700000</v>
      </c>
      <c r="X361" s="6" t="s">
        <v>2003</v>
      </c>
      <c r="Y361" s="6" t="s">
        <v>49</v>
      </c>
      <c r="Z361" s="6">
        <v>224647</v>
      </c>
    </row>
    <row r="362" spans="1:26" x14ac:dyDescent="0.3">
      <c r="A362" s="28" t="s">
        <v>42</v>
      </c>
      <c r="B362" s="6" t="s">
        <v>1327</v>
      </c>
      <c r="C362" s="6" t="s">
        <v>1976</v>
      </c>
      <c r="D362" s="6" t="s">
        <v>2292</v>
      </c>
      <c r="E362" s="6">
        <v>1</v>
      </c>
      <c r="F362" s="6" t="s">
        <v>2004</v>
      </c>
      <c r="G362" s="32" t="s">
        <v>2299</v>
      </c>
      <c r="H362" s="32" t="s">
        <v>2300</v>
      </c>
      <c r="I362" s="6" t="str">
        <f t="shared" si="14"/>
        <v>Skeleton Bucket</v>
      </c>
      <c r="J362" s="6" t="s">
        <v>556</v>
      </c>
      <c r="K362" s="6">
        <v>1</v>
      </c>
      <c r="L362" s="6">
        <f t="shared" si="15"/>
        <v>1050000</v>
      </c>
      <c r="M362" s="6">
        <v>900000</v>
      </c>
      <c r="N362" s="6" t="s">
        <v>2003</v>
      </c>
      <c r="O362" s="6" t="s">
        <v>2007</v>
      </c>
      <c r="P362" s="6">
        <v>2014</v>
      </c>
      <c r="Q362" s="6">
        <v>1</v>
      </c>
      <c r="R362" s="6" t="s">
        <v>45</v>
      </c>
      <c r="S362" s="31" t="s">
        <v>2113</v>
      </c>
      <c r="T362" s="6">
        <v>1</v>
      </c>
      <c r="U362" s="26">
        <v>800000</v>
      </c>
      <c r="V362" s="26">
        <v>800000</v>
      </c>
      <c r="W362" s="26">
        <v>800000</v>
      </c>
      <c r="X362" s="6" t="s">
        <v>2003</v>
      </c>
      <c r="Y362" s="6" t="s">
        <v>49</v>
      </c>
      <c r="Z362" s="6">
        <v>224648</v>
      </c>
    </row>
    <row r="363" spans="1:26" x14ac:dyDescent="0.3">
      <c r="A363" s="28" t="s">
        <v>42</v>
      </c>
      <c r="B363" s="6" t="s">
        <v>2163</v>
      </c>
      <c r="C363" s="6"/>
      <c r="D363" s="6" t="s">
        <v>2291</v>
      </c>
      <c r="E363" s="6">
        <v>1</v>
      </c>
      <c r="F363" s="6" t="s">
        <v>2004</v>
      </c>
      <c r="G363" s="32" t="s">
        <v>2299</v>
      </c>
      <c r="H363" s="32" t="s">
        <v>2300</v>
      </c>
      <c r="I363" s="6" t="str">
        <f t="shared" si="14"/>
        <v>Lift Fork</v>
      </c>
      <c r="J363" s="6" t="s">
        <v>132</v>
      </c>
      <c r="K363" s="6">
        <v>1</v>
      </c>
      <c r="L363" s="6">
        <f t="shared" si="15"/>
        <v>1150000</v>
      </c>
      <c r="M363" s="6">
        <v>980000</v>
      </c>
      <c r="N363" s="6" t="s">
        <v>2003</v>
      </c>
      <c r="O363" s="6" t="s">
        <v>2020</v>
      </c>
      <c r="P363" s="6">
        <v>2017</v>
      </c>
      <c r="Q363" s="6">
        <v>1</v>
      </c>
      <c r="R363" s="6" t="s">
        <v>45</v>
      </c>
      <c r="S363" s="31" t="s">
        <v>2110</v>
      </c>
      <c r="T363" s="6">
        <v>1</v>
      </c>
      <c r="U363" s="26">
        <v>880000</v>
      </c>
      <c r="V363" s="26">
        <v>880000</v>
      </c>
      <c r="W363" s="26">
        <v>880000</v>
      </c>
      <c r="X363" s="6" t="s">
        <v>2003</v>
      </c>
      <c r="Y363" s="6" t="s">
        <v>1155</v>
      </c>
      <c r="Z363" s="6">
        <v>224650</v>
      </c>
    </row>
    <row r="364" spans="1:26" x14ac:dyDescent="0.3">
      <c r="A364" s="28" t="s">
        <v>42</v>
      </c>
      <c r="B364" s="6" t="s">
        <v>1328</v>
      </c>
      <c r="C364" s="6" t="s">
        <v>1975</v>
      </c>
      <c r="D364" s="6" t="s">
        <v>2001</v>
      </c>
      <c r="E364" s="6">
        <v>1</v>
      </c>
      <c r="F364" s="6" t="s">
        <v>2004</v>
      </c>
      <c r="G364" s="32" t="s">
        <v>2299</v>
      </c>
      <c r="H364" s="32" t="s">
        <v>2300</v>
      </c>
      <c r="I364" s="6" t="str">
        <f t="shared" si="14"/>
        <v>Side Breaker</v>
      </c>
      <c r="J364" s="6" t="s">
        <v>558</v>
      </c>
      <c r="K364" s="6">
        <v>1</v>
      </c>
      <c r="L364" s="6">
        <f t="shared" si="15"/>
        <v>18230000</v>
      </c>
      <c r="M364" s="6">
        <v>15500000</v>
      </c>
      <c r="N364" s="6" t="s">
        <v>2003</v>
      </c>
      <c r="O364" s="6" t="s">
        <v>963</v>
      </c>
      <c r="P364" s="6">
        <v>2015</v>
      </c>
      <c r="Q364" s="6">
        <v>1</v>
      </c>
      <c r="R364" s="6" t="s">
        <v>45</v>
      </c>
      <c r="S364" s="31" t="s">
        <v>2110</v>
      </c>
      <c r="T364" s="6">
        <v>1</v>
      </c>
      <c r="U364" s="26">
        <v>15000000</v>
      </c>
      <c r="V364" s="26">
        <v>15000000</v>
      </c>
      <c r="W364" s="26">
        <v>15000000</v>
      </c>
      <c r="X364" s="6" t="s">
        <v>2003</v>
      </c>
      <c r="Y364" s="6" t="s">
        <v>1278</v>
      </c>
      <c r="Z364" s="6">
        <v>224653</v>
      </c>
    </row>
    <row r="365" spans="1:26" x14ac:dyDescent="0.3">
      <c r="A365" s="28" t="s">
        <v>42</v>
      </c>
      <c r="B365" s="6" t="s">
        <v>1327</v>
      </c>
      <c r="C365" s="6" t="s">
        <v>1976</v>
      </c>
      <c r="D365" s="6" t="s">
        <v>2292</v>
      </c>
      <c r="E365" s="6">
        <v>1</v>
      </c>
      <c r="F365" s="6" t="s">
        <v>2004</v>
      </c>
      <c r="G365" s="32" t="s">
        <v>2299</v>
      </c>
      <c r="H365" s="32" t="s">
        <v>2300</v>
      </c>
      <c r="I365" s="6" t="str">
        <f t="shared" si="14"/>
        <v>Skeleton Bucket</v>
      </c>
      <c r="J365" s="6" t="s">
        <v>559</v>
      </c>
      <c r="K365" s="6">
        <v>1</v>
      </c>
      <c r="L365" s="6">
        <f t="shared" si="15"/>
        <v>1110000</v>
      </c>
      <c r="M365" s="6">
        <v>950000</v>
      </c>
      <c r="N365" s="6" t="s">
        <v>2003</v>
      </c>
      <c r="O365" s="6" t="s">
        <v>2007</v>
      </c>
      <c r="P365" s="6">
        <v>2014</v>
      </c>
      <c r="Q365" s="6">
        <v>1</v>
      </c>
      <c r="R365" s="6" t="s">
        <v>45</v>
      </c>
      <c r="S365" s="31" t="s">
        <v>2113</v>
      </c>
      <c r="T365" s="6">
        <v>1</v>
      </c>
      <c r="U365" s="26">
        <v>850000</v>
      </c>
      <c r="V365" s="26">
        <v>850000</v>
      </c>
      <c r="W365" s="26">
        <v>850000</v>
      </c>
      <c r="X365" s="6" t="s">
        <v>2003</v>
      </c>
      <c r="Y365" s="6" t="s">
        <v>49</v>
      </c>
      <c r="Z365" s="6">
        <v>224655</v>
      </c>
    </row>
    <row r="366" spans="1:26" x14ac:dyDescent="0.3">
      <c r="A366" s="28" t="s">
        <v>42</v>
      </c>
      <c r="B366" s="6" t="s">
        <v>2172</v>
      </c>
      <c r="C366" s="6"/>
      <c r="D366" s="6" t="s">
        <v>2292</v>
      </c>
      <c r="E366" s="6">
        <v>1</v>
      </c>
      <c r="F366" s="6" t="s">
        <v>2004</v>
      </c>
      <c r="G366" s="32" t="s">
        <v>2299</v>
      </c>
      <c r="H366" s="32" t="s">
        <v>2300</v>
      </c>
      <c r="I366" s="6" t="str">
        <f t="shared" si="14"/>
        <v>Quick Coupler</v>
      </c>
      <c r="J366" s="6" t="s">
        <v>89</v>
      </c>
      <c r="K366" s="6">
        <v>1</v>
      </c>
      <c r="L366" s="6">
        <f t="shared" si="15"/>
        <v>1000000</v>
      </c>
      <c r="M366" s="6">
        <v>850000</v>
      </c>
      <c r="N366" s="6" t="s">
        <v>2003</v>
      </c>
      <c r="O366" s="6" t="s">
        <v>2007</v>
      </c>
      <c r="P366" s="6">
        <v>2014</v>
      </c>
      <c r="Q366" s="6">
        <v>1</v>
      </c>
      <c r="R366" s="6" t="s">
        <v>45</v>
      </c>
      <c r="S366" s="31" t="s">
        <v>2113</v>
      </c>
      <c r="T366" s="6">
        <v>1</v>
      </c>
      <c r="U366" s="26">
        <v>750000</v>
      </c>
      <c r="V366" s="26">
        <v>750000</v>
      </c>
      <c r="W366" s="26">
        <v>750000</v>
      </c>
      <c r="X366" s="6" t="s">
        <v>2003</v>
      </c>
      <c r="Y366" s="6" t="s">
        <v>49</v>
      </c>
      <c r="Z366" s="6">
        <v>224662</v>
      </c>
    </row>
    <row r="367" spans="1:26" x14ac:dyDescent="0.3">
      <c r="A367" s="28" t="s">
        <v>42</v>
      </c>
      <c r="B367" s="6" t="s">
        <v>1326</v>
      </c>
      <c r="C367" s="6" t="s">
        <v>1985</v>
      </c>
      <c r="D367" s="6" t="s">
        <v>2292</v>
      </c>
      <c r="E367" s="6">
        <v>1</v>
      </c>
      <c r="F367" s="6" t="s">
        <v>2004</v>
      </c>
      <c r="G367" s="32" t="s">
        <v>2299</v>
      </c>
      <c r="H367" s="32" t="s">
        <v>2300</v>
      </c>
      <c r="I367" s="6" t="str">
        <f t="shared" si="14"/>
        <v>Multi Grapple</v>
      </c>
      <c r="J367" s="6" t="s">
        <v>561</v>
      </c>
      <c r="K367" s="6">
        <v>1</v>
      </c>
      <c r="L367" s="6">
        <f t="shared" si="15"/>
        <v>3410000</v>
      </c>
      <c r="M367" s="6">
        <v>2900000</v>
      </c>
      <c r="N367" s="6" t="s">
        <v>2003</v>
      </c>
      <c r="O367" s="6" t="s">
        <v>823</v>
      </c>
      <c r="P367" s="6">
        <v>2014</v>
      </c>
      <c r="Q367" s="6">
        <v>1</v>
      </c>
      <c r="R367" s="6" t="s">
        <v>45</v>
      </c>
      <c r="S367" s="31" t="s">
        <v>2113</v>
      </c>
      <c r="T367" s="6">
        <v>1</v>
      </c>
      <c r="U367" s="26">
        <v>2700000</v>
      </c>
      <c r="V367" s="26">
        <v>2700000</v>
      </c>
      <c r="W367" s="26">
        <v>2700000</v>
      </c>
      <c r="X367" s="6" t="s">
        <v>2003</v>
      </c>
      <c r="Y367" s="6" t="s">
        <v>49</v>
      </c>
      <c r="Z367" s="6">
        <v>224665</v>
      </c>
    </row>
    <row r="368" spans="1:26" x14ac:dyDescent="0.3">
      <c r="A368" s="28" t="s">
        <v>42</v>
      </c>
      <c r="B368" s="6" t="s">
        <v>1328</v>
      </c>
      <c r="C368" s="6" t="s">
        <v>1975</v>
      </c>
      <c r="D368" s="6" t="s">
        <v>2290</v>
      </c>
      <c r="E368" s="6">
        <v>1</v>
      </c>
      <c r="F368" s="6" t="s">
        <v>2004</v>
      </c>
      <c r="G368" s="32" t="s">
        <v>2299</v>
      </c>
      <c r="H368" s="32" t="s">
        <v>2300</v>
      </c>
      <c r="I368" s="6" t="str">
        <f t="shared" si="14"/>
        <v>Side Breaker</v>
      </c>
      <c r="J368" s="6" t="s">
        <v>593</v>
      </c>
      <c r="K368" s="6">
        <v>1</v>
      </c>
      <c r="L368" s="6">
        <f t="shared" si="15"/>
        <v>9410000</v>
      </c>
      <c r="M368" s="6">
        <v>8000000</v>
      </c>
      <c r="N368" s="6" t="s">
        <v>2003</v>
      </c>
      <c r="O368" s="6" t="s">
        <v>810</v>
      </c>
      <c r="P368" s="6">
        <v>2015</v>
      </c>
      <c r="Q368" s="6">
        <v>5</v>
      </c>
      <c r="R368" s="6" t="s">
        <v>45</v>
      </c>
      <c r="S368" s="31" t="s">
        <v>2123</v>
      </c>
      <c r="T368" s="6">
        <v>1</v>
      </c>
      <c r="U368" s="26">
        <v>7500000</v>
      </c>
      <c r="V368" s="26">
        <v>7500000</v>
      </c>
      <c r="W368" s="26">
        <v>7500000</v>
      </c>
      <c r="X368" s="6" t="s">
        <v>2003</v>
      </c>
      <c r="Y368" s="6" t="s">
        <v>1189</v>
      </c>
      <c r="Z368" s="6">
        <v>224668</v>
      </c>
    </row>
    <row r="369" spans="1:26" x14ac:dyDescent="0.3">
      <c r="A369" s="28" t="s">
        <v>42</v>
      </c>
      <c r="B369" s="6" t="s">
        <v>1326</v>
      </c>
      <c r="C369" s="6" t="s">
        <v>1979</v>
      </c>
      <c r="D369" s="6" t="s">
        <v>2292</v>
      </c>
      <c r="E369" s="6">
        <v>1</v>
      </c>
      <c r="F369" s="6" t="s">
        <v>2004</v>
      </c>
      <c r="G369" s="32" t="s">
        <v>2299</v>
      </c>
      <c r="H369" s="32" t="s">
        <v>2300</v>
      </c>
      <c r="I369" s="6" t="str">
        <f t="shared" si="14"/>
        <v>Thumb Grapple</v>
      </c>
      <c r="J369" s="6" t="s">
        <v>61</v>
      </c>
      <c r="K369" s="6">
        <v>1</v>
      </c>
      <c r="L369" s="6">
        <f t="shared" si="15"/>
        <v>1410000</v>
      </c>
      <c r="M369" s="6">
        <v>1200000</v>
      </c>
      <c r="N369" s="6" t="s">
        <v>2003</v>
      </c>
      <c r="O369" s="6" t="s">
        <v>2012</v>
      </c>
      <c r="P369" s="6">
        <v>2013</v>
      </c>
      <c r="Q369" s="6">
        <v>1</v>
      </c>
      <c r="R369" s="6" t="s">
        <v>45</v>
      </c>
      <c r="S369" s="31" t="s">
        <v>2113</v>
      </c>
      <c r="T369" s="6">
        <v>1</v>
      </c>
      <c r="U369" s="26">
        <v>1100000</v>
      </c>
      <c r="V369" s="26">
        <v>1100000</v>
      </c>
      <c r="W369" s="26">
        <v>1100000</v>
      </c>
      <c r="X369" s="6" t="s">
        <v>2003</v>
      </c>
      <c r="Y369" s="6" t="s">
        <v>49</v>
      </c>
      <c r="Z369" s="6">
        <v>224670</v>
      </c>
    </row>
    <row r="370" spans="1:26" x14ac:dyDescent="0.3">
      <c r="A370" s="28" t="s">
        <v>42</v>
      </c>
      <c r="B370" s="6" t="s">
        <v>2245</v>
      </c>
      <c r="C370" s="6" t="s">
        <v>2246</v>
      </c>
      <c r="D370" s="6" t="s">
        <v>2289</v>
      </c>
      <c r="E370" s="6">
        <v>1</v>
      </c>
      <c r="F370" s="6" t="s">
        <v>2004</v>
      </c>
      <c r="G370" s="32" t="s">
        <v>2299</v>
      </c>
      <c r="H370" s="32" t="s">
        <v>2300</v>
      </c>
      <c r="I370" s="6" t="str">
        <f t="shared" si="14"/>
        <v>Side Breaker</v>
      </c>
      <c r="J370" s="6" t="s">
        <v>623</v>
      </c>
      <c r="K370" s="6">
        <v>1</v>
      </c>
      <c r="L370" s="6">
        <f t="shared" si="15"/>
        <v>5520000</v>
      </c>
      <c r="M370" s="6">
        <v>4700000</v>
      </c>
      <c r="N370" s="6" t="s">
        <v>2003</v>
      </c>
      <c r="O370" s="6" t="s">
        <v>1862</v>
      </c>
      <c r="P370" s="6">
        <v>2001</v>
      </c>
      <c r="Q370" s="6">
        <v>1</v>
      </c>
      <c r="R370" s="6" t="s">
        <v>45</v>
      </c>
      <c r="S370" s="31" t="s">
        <v>2118</v>
      </c>
      <c r="T370" s="6">
        <v>1</v>
      </c>
      <c r="U370" s="26">
        <v>4500000</v>
      </c>
      <c r="V370" s="26">
        <v>4500000</v>
      </c>
      <c r="W370" s="26">
        <v>4500000</v>
      </c>
      <c r="X370" s="6" t="s">
        <v>2003</v>
      </c>
      <c r="Y370" s="6" t="s">
        <v>1290</v>
      </c>
      <c r="Z370" s="6">
        <v>224673</v>
      </c>
    </row>
    <row r="371" spans="1:26" x14ac:dyDescent="0.3">
      <c r="A371" s="28" t="s">
        <v>42</v>
      </c>
      <c r="B371" s="6" t="s">
        <v>1327</v>
      </c>
      <c r="C371" s="6" t="s">
        <v>1982</v>
      </c>
      <c r="D371" s="6" t="s">
        <v>2292</v>
      </c>
      <c r="E371" s="6">
        <v>1</v>
      </c>
      <c r="F371" s="6" t="s">
        <v>2004</v>
      </c>
      <c r="G371" s="32" t="s">
        <v>2299</v>
      </c>
      <c r="H371" s="32" t="s">
        <v>2300</v>
      </c>
      <c r="I371" s="6" t="str">
        <f t="shared" si="14"/>
        <v>Standard Bucket</v>
      </c>
      <c r="J371" s="6" t="s">
        <v>563</v>
      </c>
      <c r="K371" s="6">
        <v>1</v>
      </c>
      <c r="L371" s="6">
        <f t="shared" si="15"/>
        <v>1580000</v>
      </c>
      <c r="M371" s="6">
        <v>1350000</v>
      </c>
      <c r="N371" s="6" t="s">
        <v>2003</v>
      </c>
      <c r="O371" s="6" t="s">
        <v>965</v>
      </c>
      <c r="P371" s="6">
        <v>2017</v>
      </c>
      <c r="Q371" s="6">
        <v>1</v>
      </c>
      <c r="R371" s="6" t="s">
        <v>45</v>
      </c>
      <c r="S371" s="31" t="s">
        <v>2122</v>
      </c>
      <c r="T371" s="6">
        <v>1</v>
      </c>
      <c r="U371" s="26">
        <v>1250000</v>
      </c>
      <c r="V371" s="26">
        <v>1250000</v>
      </c>
      <c r="W371" s="26">
        <v>1250000</v>
      </c>
      <c r="X371" s="6" t="s">
        <v>2003</v>
      </c>
      <c r="Y371" s="6" t="s">
        <v>1279</v>
      </c>
      <c r="Z371" s="6">
        <v>224676</v>
      </c>
    </row>
    <row r="372" spans="1:26" x14ac:dyDescent="0.3">
      <c r="A372" s="28" t="s">
        <v>42</v>
      </c>
      <c r="B372" s="6" t="s">
        <v>2245</v>
      </c>
      <c r="C372" s="6" t="s">
        <v>2246</v>
      </c>
      <c r="D372" s="6" t="s">
        <v>2289</v>
      </c>
      <c r="E372" s="6">
        <v>1</v>
      </c>
      <c r="F372" s="6" t="s">
        <v>2004</v>
      </c>
      <c r="G372" s="32" t="s">
        <v>2299</v>
      </c>
      <c r="H372" s="32" t="s">
        <v>2300</v>
      </c>
      <c r="I372" s="6" t="str">
        <f t="shared" si="14"/>
        <v>Side Breaker</v>
      </c>
      <c r="J372" s="6" t="s">
        <v>88</v>
      </c>
      <c r="K372" s="6">
        <v>1</v>
      </c>
      <c r="L372" s="6">
        <f t="shared" si="15"/>
        <v>11170000</v>
      </c>
      <c r="M372" s="6">
        <v>9500000</v>
      </c>
      <c r="N372" s="6" t="s">
        <v>2003</v>
      </c>
      <c r="O372" s="6" t="s">
        <v>966</v>
      </c>
      <c r="P372" s="6">
        <v>2011</v>
      </c>
      <c r="Q372" s="6">
        <v>6</v>
      </c>
      <c r="R372" s="6" t="s">
        <v>45</v>
      </c>
      <c r="S372" s="31" t="s">
        <v>2118</v>
      </c>
      <c r="T372" s="6">
        <v>1</v>
      </c>
      <c r="U372" s="26">
        <v>9000000</v>
      </c>
      <c r="V372" s="26">
        <v>9000000</v>
      </c>
      <c r="W372" s="26">
        <v>9000000</v>
      </c>
      <c r="X372" s="6" t="s">
        <v>2003</v>
      </c>
      <c r="Y372" s="6" t="s">
        <v>1280</v>
      </c>
      <c r="Z372" s="6">
        <v>224680</v>
      </c>
    </row>
    <row r="373" spans="1:26" x14ac:dyDescent="0.3">
      <c r="A373" s="28" t="s">
        <v>42</v>
      </c>
      <c r="B373" s="6" t="s">
        <v>2172</v>
      </c>
      <c r="C373" s="6"/>
      <c r="D373" s="6" t="s">
        <v>2292</v>
      </c>
      <c r="E373" s="6">
        <v>1</v>
      </c>
      <c r="F373" s="6" t="s">
        <v>2004</v>
      </c>
      <c r="G373" s="32" t="s">
        <v>2299</v>
      </c>
      <c r="H373" s="32" t="s">
        <v>2300</v>
      </c>
      <c r="I373" s="6" t="str">
        <f t="shared" si="14"/>
        <v>Quick Coupler</v>
      </c>
      <c r="J373" s="6" t="s">
        <v>564</v>
      </c>
      <c r="K373" s="6">
        <v>1</v>
      </c>
      <c r="L373" s="6">
        <f t="shared" si="15"/>
        <v>940000</v>
      </c>
      <c r="M373" s="6">
        <v>800000</v>
      </c>
      <c r="N373" s="6" t="s">
        <v>2003</v>
      </c>
      <c r="O373" s="6" t="s">
        <v>823</v>
      </c>
      <c r="P373" s="6">
        <v>2014</v>
      </c>
      <c r="Q373" s="6">
        <v>1</v>
      </c>
      <c r="R373" s="6" t="s">
        <v>45</v>
      </c>
      <c r="S373" s="31" t="s">
        <v>2113</v>
      </c>
      <c r="T373" s="6">
        <v>1</v>
      </c>
      <c r="U373" s="26">
        <v>700000</v>
      </c>
      <c r="V373" s="26">
        <v>700000</v>
      </c>
      <c r="W373" s="26">
        <v>700000</v>
      </c>
      <c r="X373" s="6" t="s">
        <v>2003</v>
      </c>
      <c r="Y373" s="6" t="s">
        <v>49</v>
      </c>
      <c r="Z373" s="6">
        <v>224684</v>
      </c>
    </row>
    <row r="374" spans="1:26" x14ac:dyDescent="0.3">
      <c r="A374" s="28" t="s">
        <v>42</v>
      </c>
      <c r="B374" s="6" t="s">
        <v>1326</v>
      </c>
      <c r="C374" s="6" t="s">
        <v>1974</v>
      </c>
      <c r="D374" s="6" t="s">
        <v>2292</v>
      </c>
      <c r="E374" s="6">
        <v>1</v>
      </c>
      <c r="F374" s="6" t="s">
        <v>2004</v>
      </c>
      <c r="G374" s="32" t="s">
        <v>2299</v>
      </c>
      <c r="H374" s="32" t="s">
        <v>2300</v>
      </c>
      <c r="I374" s="6" t="str">
        <f t="shared" si="14"/>
        <v>Etc Grapple</v>
      </c>
      <c r="J374" s="6" t="s">
        <v>125</v>
      </c>
      <c r="K374" s="6">
        <v>1</v>
      </c>
      <c r="L374" s="6">
        <f t="shared" si="15"/>
        <v>6470000</v>
      </c>
      <c r="M374" s="6">
        <v>5500000</v>
      </c>
      <c r="N374" s="6" t="s">
        <v>2003</v>
      </c>
      <c r="O374" s="6" t="s">
        <v>968</v>
      </c>
      <c r="P374" s="6">
        <v>2016</v>
      </c>
      <c r="Q374" s="6">
        <v>2</v>
      </c>
      <c r="R374" s="6" t="s">
        <v>45</v>
      </c>
      <c r="S374" s="31" t="s">
        <v>2122</v>
      </c>
      <c r="T374" s="6">
        <v>1</v>
      </c>
      <c r="U374" s="26">
        <v>5000000</v>
      </c>
      <c r="V374" s="26">
        <v>5000000</v>
      </c>
      <c r="W374" s="26">
        <v>5000000</v>
      </c>
      <c r="X374" s="6" t="s">
        <v>2003</v>
      </c>
      <c r="Y374" s="6" t="s">
        <v>1281</v>
      </c>
      <c r="Z374" s="6">
        <v>224690</v>
      </c>
    </row>
    <row r="375" spans="1:26" x14ac:dyDescent="0.3">
      <c r="A375" s="28" t="s">
        <v>42</v>
      </c>
      <c r="B375" s="6" t="s">
        <v>1327</v>
      </c>
      <c r="C375" s="6" t="s">
        <v>1982</v>
      </c>
      <c r="D375" s="6" t="s">
        <v>2292</v>
      </c>
      <c r="E375" s="6">
        <v>1</v>
      </c>
      <c r="F375" s="6" t="s">
        <v>2004</v>
      </c>
      <c r="G375" s="32" t="s">
        <v>2299</v>
      </c>
      <c r="H375" s="32" t="s">
        <v>2300</v>
      </c>
      <c r="I375" s="6" t="str">
        <f t="shared" si="14"/>
        <v>Standard Bucket</v>
      </c>
      <c r="J375" s="6" t="s">
        <v>2297</v>
      </c>
      <c r="K375" s="6">
        <v>1</v>
      </c>
      <c r="L375" s="6">
        <f t="shared" si="15"/>
        <v>1290000</v>
      </c>
      <c r="M375" s="6">
        <v>1100000</v>
      </c>
      <c r="N375" s="6" t="s">
        <v>2003</v>
      </c>
      <c r="O375" s="6" t="s">
        <v>801</v>
      </c>
      <c r="P375" s="6">
        <v>2013</v>
      </c>
      <c r="Q375" s="6">
        <v>1</v>
      </c>
      <c r="R375" s="6" t="s">
        <v>45</v>
      </c>
      <c r="S375" s="31" t="s">
        <v>2110</v>
      </c>
      <c r="T375" s="6">
        <v>1</v>
      </c>
      <c r="U375" s="26">
        <v>1000000</v>
      </c>
      <c r="V375" s="26">
        <v>1000000</v>
      </c>
      <c r="W375" s="26">
        <v>1000000</v>
      </c>
      <c r="X375" s="6" t="s">
        <v>2003</v>
      </c>
      <c r="Y375" s="6" t="s">
        <v>1182</v>
      </c>
      <c r="Z375" s="6">
        <v>224694</v>
      </c>
    </row>
    <row r="376" spans="1:26" x14ac:dyDescent="0.3">
      <c r="A376" s="28" t="s">
        <v>42</v>
      </c>
      <c r="B376" s="6" t="s">
        <v>1326</v>
      </c>
      <c r="C376" s="6" t="s">
        <v>1974</v>
      </c>
      <c r="D376" s="6" t="s">
        <v>2291</v>
      </c>
      <c r="E376" s="6">
        <v>1</v>
      </c>
      <c r="F376" s="6" t="s">
        <v>2004</v>
      </c>
      <c r="G376" s="32" t="s">
        <v>2299</v>
      </c>
      <c r="H376" s="32" t="s">
        <v>2300</v>
      </c>
      <c r="I376" s="6" t="str">
        <f t="shared" si="14"/>
        <v>Etc Grapple</v>
      </c>
      <c r="J376" s="6" t="s">
        <v>136</v>
      </c>
      <c r="K376" s="6">
        <v>1</v>
      </c>
      <c r="L376" s="6">
        <f t="shared" si="15"/>
        <v>3760000</v>
      </c>
      <c r="M376" s="6">
        <v>3200000</v>
      </c>
      <c r="N376" s="6" t="s">
        <v>2003</v>
      </c>
      <c r="O376" s="6" t="s">
        <v>54</v>
      </c>
      <c r="P376" s="6">
        <v>2011</v>
      </c>
      <c r="Q376" s="6">
        <v>1</v>
      </c>
      <c r="R376" s="6" t="s">
        <v>45</v>
      </c>
      <c r="S376" s="31" t="s">
        <v>2114</v>
      </c>
      <c r="T376" s="6">
        <v>1</v>
      </c>
      <c r="U376" s="26">
        <v>3000000</v>
      </c>
      <c r="V376" s="26">
        <v>3000000</v>
      </c>
      <c r="W376" s="26">
        <v>3000000</v>
      </c>
      <c r="X376" s="6" t="s">
        <v>2003</v>
      </c>
      <c r="Y376" s="6" t="s">
        <v>54</v>
      </c>
      <c r="Z376" s="6">
        <v>224696</v>
      </c>
    </row>
    <row r="377" spans="1:26" x14ac:dyDescent="0.3">
      <c r="A377" s="28" t="s">
        <v>42</v>
      </c>
      <c r="B377" s="6" t="s">
        <v>1326</v>
      </c>
      <c r="C377" s="6" t="s">
        <v>1973</v>
      </c>
      <c r="D377" s="6" t="s">
        <v>2291</v>
      </c>
      <c r="E377" s="6">
        <v>1</v>
      </c>
      <c r="F377" s="6" t="s">
        <v>2004</v>
      </c>
      <c r="G377" s="32" t="s">
        <v>2299</v>
      </c>
      <c r="H377" s="32" t="s">
        <v>2300</v>
      </c>
      <c r="I377" s="6" t="str">
        <f t="shared" si="14"/>
        <v>Wood Grapple</v>
      </c>
      <c r="J377" s="6" t="s">
        <v>127</v>
      </c>
      <c r="K377" s="6">
        <v>1</v>
      </c>
      <c r="L377" s="6">
        <f t="shared" si="15"/>
        <v>3880000</v>
      </c>
      <c r="M377" s="6">
        <v>3300000</v>
      </c>
      <c r="N377" s="6" t="s">
        <v>2003</v>
      </c>
      <c r="O377" s="6" t="s">
        <v>2007</v>
      </c>
      <c r="P377" s="6">
        <v>2017</v>
      </c>
      <c r="Q377" s="6">
        <v>1</v>
      </c>
      <c r="R377" s="6" t="s">
        <v>45</v>
      </c>
      <c r="S377" s="31" t="s">
        <v>2113</v>
      </c>
      <c r="T377" s="6">
        <v>1</v>
      </c>
      <c r="U377" s="26">
        <v>3100000</v>
      </c>
      <c r="V377" s="26">
        <v>3100000</v>
      </c>
      <c r="W377" s="26">
        <v>3100000</v>
      </c>
      <c r="X377" s="6" t="s">
        <v>2003</v>
      </c>
      <c r="Y377" s="6" t="s">
        <v>49</v>
      </c>
      <c r="Z377" s="6">
        <v>224717</v>
      </c>
    </row>
    <row r="378" spans="1:26" x14ac:dyDescent="0.3">
      <c r="A378" s="28" t="s">
        <v>42</v>
      </c>
      <c r="B378" s="6" t="s">
        <v>1328</v>
      </c>
      <c r="C378" s="6" t="s">
        <v>1975</v>
      </c>
      <c r="D378" s="6" t="s">
        <v>2293</v>
      </c>
      <c r="E378" s="6">
        <v>1</v>
      </c>
      <c r="F378" s="6" t="s">
        <v>2004</v>
      </c>
      <c r="G378" s="32" t="s">
        <v>2299</v>
      </c>
      <c r="H378" s="32" t="s">
        <v>2300</v>
      </c>
      <c r="I378" s="6" t="str">
        <f t="shared" si="14"/>
        <v>Side Breaker</v>
      </c>
      <c r="J378" s="6" t="s">
        <v>385</v>
      </c>
      <c r="K378" s="6">
        <v>1</v>
      </c>
      <c r="L378" s="6">
        <f t="shared" si="15"/>
        <v>2000000</v>
      </c>
      <c r="M378" s="6">
        <v>1700000</v>
      </c>
      <c r="N378" s="6" t="s">
        <v>2003</v>
      </c>
      <c r="O378" s="6" t="s">
        <v>70</v>
      </c>
      <c r="P378" s="6">
        <v>2014</v>
      </c>
      <c r="Q378" s="6">
        <v>8</v>
      </c>
      <c r="R378" s="6" t="s">
        <v>45</v>
      </c>
      <c r="S378" s="31" t="s">
        <v>2113</v>
      </c>
      <c r="T378" s="6">
        <v>1</v>
      </c>
      <c r="U378" s="26">
        <v>1600000</v>
      </c>
      <c r="V378" s="26">
        <v>1600000</v>
      </c>
      <c r="W378" s="26">
        <v>1600000</v>
      </c>
      <c r="X378" s="6" t="s">
        <v>2003</v>
      </c>
      <c r="Y378" s="6" t="s">
        <v>71</v>
      </c>
      <c r="Z378" s="6">
        <v>224718</v>
      </c>
    </row>
    <row r="379" spans="1:26" x14ac:dyDescent="0.3">
      <c r="A379" s="28" t="s">
        <v>42</v>
      </c>
      <c r="B379" s="6" t="s">
        <v>2172</v>
      </c>
      <c r="C379" s="6"/>
      <c r="D379" s="6" t="s">
        <v>2292</v>
      </c>
      <c r="E379" s="6">
        <v>1</v>
      </c>
      <c r="F379" s="6" t="s">
        <v>2004</v>
      </c>
      <c r="G379" s="32" t="s">
        <v>2299</v>
      </c>
      <c r="H379" s="32" t="s">
        <v>2300</v>
      </c>
      <c r="I379" s="6" t="str">
        <f t="shared" si="14"/>
        <v>Quick Coupler</v>
      </c>
      <c r="J379" s="6" t="s">
        <v>140</v>
      </c>
      <c r="K379" s="6">
        <v>1</v>
      </c>
      <c r="L379" s="6">
        <f t="shared" si="15"/>
        <v>1050000</v>
      </c>
      <c r="M379" s="6">
        <v>900000</v>
      </c>
      <c r="N379" s="6" t="s">
        <v>2003</v>
      </c>
      <c r="O379" s="6" t="s">
        <v>2007</v>
      </c>
      <c r="P379" s="6">
        <v>2015</v>
      </c>
      <c r="Q379" s="6">
        <v>1</v>
      </c>
      <c r="R379" s="6" t="s">
        <v>45</v>
      </c>
      <c r="S379" s="31" t="s">
        <v>2113</v>
      </c>
      <c r="T379" s="6">
        <v>1</v>
      </c>
      <c r="U379" s="26">
        <v>800000</v>
      </c>
      <c r="V379" s="26">
        <v>800000</v>
      </c>
      <c r="W379" s="26">
        <v>800000</v>
      </c>
      <c r="X379" s="6" t="s">
        <v>2003</v>
      </c>
      <c r="Y379" s="6" t="s">
        <v>49</v>
      </c>
      <c r="Z379" s="6">
        <v>224722</v>
      </c>
    </row>
    <row r="380" spans="1:26" x14ac:dyDescent="0.3">
      <c r="A380" s="28" t="s">
        <v>42</v>
      </c>
      <c r="B380" s="6" t="s">
        <v>1326</v>
      </c>
      <c r="C380" s="6" t="s">
        <v>1972</v>
      </c>
      <c r="D380" s="6" t="s">
        <v>2291</v>
      </c>
      <c r="E380" s="6">
        <v>1</v>
      </c>
      <c r="F380" s="6" t="s">
        <v>2004</v>
      </c>
      <c r="G380" s="32" t="s">
        <v>2299</v>
      </c>
      <c r="H380" s="32" t="s">
        <v>2300</v>
      </c>
      <c r="I380" s="6" t="str">
        <f t="shared" si="14"/>
        <v>Stone Grapple</v>
      </c>
      <c r="J380" s="6" t="s">
        <v>109</v>
      </c>
      <c r="K380" s="6">
        <v>1</v>
      </c>
      <c r="L380" s="6">
        <f t="shared" si="15"/>
        <v>3520000</v>
      </c>
      <c r="M380" s="6">
        <v>3000000</v>
      </c>
      <c r="N380" s="6" t="s">
        <v>2003</v>
      </c>
      <c r="O380" s="6" t="s">
        <v>2007</v>
      </c>
      <c r="P380" s="6">
        <v>2015</v>
      </c>
      <c r="Q380" s="6">
        <v>1</v>
      </c>
      <c r="R380" s="6" t="s">
        <v>45</v>
      </c>
      <c r="S380" s="31" t="s">
        <v>2113</v>
      </c>
      <c r="T380" s="6">
        <v>1</v>
      </c>
      <c r="U380" s="26">
        <v>2800000</v>
      </c>
      <c r="V380" s="26">
        <v>2800000</v>
      </c>
      <c r="W380" s="26">
        <v>2800000</v>
      </c>
      <c r="X380" s="6" t="s">
        <v>2003</v>
      </c>
      <c r="Y380" s="6" t="s">
        <v>49</v>
      </c>
      <c r="Z380" s="6">
        <v>224723</v>
      </c>
    </row>
    <row r="381" spans="1:26" x14ac:dyDescent="0.3">
      <c r="A381" s="28" t="s">
        <v>42</v>
      </c>
      <c r="B381" s="6" t="s">
        <v>1327</v>
      </c>
      <c r="C381" s="6" t="s">
        <v>1976</v>
      </c>
      <c r="D381" s="6" t="s">
        <v>2001</v>
      </c>
      <c r="E381" s="6">
        <v>1</v>
      </c>
      <c r="F381" s="6" t="s">
        <v>2004</v>
      </c>
      <c r="G381" s="32" t="s">
        <v>2299</v>
      </c>
      <c r="H381" s="32" t="s">
        <v>2300</v>
      </c>
      <c r="I381" s="6" t="str">
        <f t="shared" si="14"/>
        <v>Skeleton Bucket</v>
      </c>
      <c r="J381" s="6" t="s">
        <v>566</v>
      </c>
      <c r="K381" s="6">
        <v>1</v>
      </c>
      <c r="L381" s="6">
        <f t="shared" si="15"/>
        <v>2580000</v>
      </c>
      <c r="M381" s="6">
        <v>2200000</v>
      </c>
      <c r="N381" s="6" t="s">
        <v>2003</v>
      </c>
      <c r="O381" s="6" t="s">
        <v>793</v>
      </c>
      <c r="P381" s="6">
        <v>2015</v>
      </c>
      <c r="Q381" s="6">
        <v>1</v>
      </c>
      <c r="R381" s="6" t="s">
        <v>45</v>
      </c>
      <c r="S381" s="31" t="s">
        <v>2116</v>
      </c>
      <c r="T381" s="6">
        <v>1</v>
      </c>
      <c r="U381" s="26">
        <v>2000000</v>
      </c>
      <c r="V381" s="26">
        <v>2000000</v>
      </c>
      <c r="W381" s="26">
        <v>2000000</v>
      </c>
      <c r="X381" s="6" t="s">
        <v>2003</v>
      </c>
      <c r="Y381" s="6" t="s">
        <v>1216</v>
      </c>
      <c r="Z381" s="6">
        <v>224727</v>
      </c>
    </row>
    <row r="382" spans="1:26" x14ac:dyDescent="0.3">
      <c r="A382" s="28" t="s">
        <v>42</v>
      </c>
      <c r="B382" s="6" t="s">
        <v>1327</v>
      </c>
      <c r="C382" s="6" t="s">
        <v>1980</v>
      </c>
      <c r="D382" s="6" t="s">
        <v>2291</v>
      </c>
      <c r="E382" s="6">
        <v>1</v>
      </c>
      <c r="F382" s="6" t="s">
        <v>2004</v>
      </c>
      <c r="G382" s="32" t="s">
        <v>2299</v>
      </c>
      <c r="H382" s="32" t="s">
        <v>2300</v>
      </c>
      <c r="I382" s="6" t="str">
        <f t="shared" si="14"/>
        <v>Small Bucket</v>
      </c>
      <c r="J382" s="6" t="s">
        <v>85</v>
      </c>
      <c r="K382" s="6">
        <v>1</v>
      </c>
      <c r="L382" s="6">
        <f t="shared" si="15"/>
        <v>320000</v>
      </c>
      <c r="M382" s="6">
        <v>280000</v>
      </c>
      <c r="N382" s="6" t="s">
        <v>2003</v>
      </c>
      <c r="O382" s="6" t="s">
        <v>2007</v>
      </c>
      <c r="P382" s="6">
        <v>2014</v>
      </c>
      <c r="Q382" s="6">
        <v>1</v>
      </c>
      <c r="R382" s="6" t="s">
        <v>45</v>
      </c>
      <c r="S382" s="31" t="s">
        <v>2113</v>
      </c>
      <c r="T382" s="6">
        <v>1</v>
      </c>
      <c r="U382" s="26">
        <v>230000</v>
      </c>
      <c r="V382" s="26">
        <v>230000</v>
      </c>
      <c r="W382" s="26">
        <v>230000</v>
      </c>
      <c r="X382" s="6" t="s">
        <v>2003</v>
      </c>
      <c r="Y382" s="6" t="s">
        <v>49</v>
      </c>
      <c r="Z382" s="6">
        <v>224730</v>
      </c>
    </row>
    <row r="383" spans="1:26" x14ac:dyDescent="0.3">
      <c r="A383" s="28" t="s">
        <v>42</v>
      </c>
      <c r="B383" s="6" t="s">
        <v>1327</v>
      </c>
      <c r="C383" s="6" t="s">
        <v>1976</v>
      </c>
      <c r="D383" s="6" t="s">
        <v>2292</v>
      </c>
      <c r="E383" s="6">
        <v>1</v>
      </c>
      <c r="F383" s="6" t="s">
        <v>2004</v>
      </c>
      <c r="G383" s="32" t="s">
        <v>2299</v>
      </c>
      <c r="H383" s="32" t="s">
        <v>2300</v>
      </c>
      <c r="I383" s="6" t="str">
        <f t="shared" si="14"/>
        <v>Skeleton Bucket</v>
      </c>
      <c r="J383" s="6" t="s">
        <v>455</v>
      </c>
      <c r="K383" s="6">
        <v>1</v>
      </c>
      <c r="L383" s="6">
        <f t="shared" si="15"/>
        <v>1110000</v>
      </c>
      <c r="M383" s="6">
        <v>950000</v>
      </c>
      <c r="N383" s="6" t="s">
        <v>2003</v>
      </c>
      <c r="O383" s="6" t="s">
        <v>823</v>
      </c>
      <c r="P383" s="6">
        <v>2013</v>
      </c>
      <c r="Q383" s="6">
        <v>1</v>
      </c>
      <c r="R383" s="6" t="s">
        <v>45</v>
      </c>
      <c r="S383" s="31" t="s">
        <v>2113</v>
      </c>
      <c r="T383" s="6">
        <v>1</v>
      </c>
      <c r="U383" s="26">
        <v>850000</v>
      </c>
      <c r="V383" s="26">
        <v>850000</v>
      </c>
      <c r="W383" s="26">
        <v>850000</v>
      </c>
      <c r="X383" s="6" t="s">
        <v>2003</v>
      </c>
      <c r="Y383" s="6" t="s">
        <v>49</v>
      </c>
      <c r="Z383" s="6">
        <v>224731</v>
      </c>
    </row>
    <row r="384" spans="1:26" x14ac:dyDescent="0.3">
      <c r="A384" s="28" t="s">
        <v>42</v>
      </c>
      <c r="B384" s="6" t="s">
        <v>1325</v>
      </c>
      <c r="C384" s="19" t="s">
        <v>2156</v>
      </c>
      <c r="D384" s="6" t="s">
        <v>2292</v>
      </c>
      <c r="E384" s="6">
        <v>1</v>
      </c>
      <c r="F384" s="6" t="s">
        <v>2004</v>
      </c>
      <c r="G384" s="32" t="s">
        <v>2299</v>
      </c>
      <c r="H384" s="32" t="s">
        <v>2300</v>
      </c>
      <c r="I384" s="6" t="str">
        <f t="shared" si="14"/>
        <v>Hydraulic Crusher</v>
      </c>
      <c r="J384" s="6" t="s">
        <v>103</v>
      </c>
      <c r="K384" s="6">
        <v>1</v>
      </c>
      <c r="L384" s="6">
        <f t="shared" si="15"/>
        <v>8820000</v>
      </c>
      <c r="M384" s="6">
        <v>7500000</v>
      </c>
      <c r="N384" s="6" t="s">
        <v>2003</v>
      </c>
      <c r="O384" s="6" t="s">
        <v>2007</v>
      </c>
      <c r="P384" s="6">
        <v>2013</v>
      </c>
      <c r="Q384" s="6">
        <v>1</v>
      </c>
      <c r="R384" s="6" t="s">
        <v>45</v>
      </c>
      <c r="S384" s="31" t="s">
        <v>2113</v>
      </c>
      <c r="T384" s="6">
        <v>1</v>
      </c>
      <c r="U384" s="26">
        <v>7000000</v>
      </c>
      <c r="V384" s="26">
        <v>7000000</v>
      </c>
      <c r="W384" s="26">
        <v>7000000</v>
      </c>
      <c r="X384" s="6" t="s">
        <v>2003</v>
      </c>
      <c r="Y384" s="6" t="s">
        <v>49</v>
      </c>
      <c r="Z384" s="6">
        <v>224732</v>
      </c>
    </row>
    <row r="385" spans="1:26" x14ac:dyDescent="0.3">
      <c r="A385" s="28" t="s">
        <v>42</v>
      </c>
      <c r="B385" s="6" t="s">
        <v>1328</v>
      </c>
      <c r="C385" s="6" t="s">
        <v>1975</v>
      </c>
      <c r="D385" s="6" t="s">
        <v>2292</v>
      </c>
      <c r="E385" s="6">
        <v>1</v>
      </c>
      <c r="F385" s="6" t="s">
        <v>2004</v>
      </c>
      <c r="G385" s="32" t="s">
        <v>2299</v>
      </c>
      <c r="H385" s="32" t="s">
        <v>2300</v>
      </c>
      <c r="I385" s="6" t="str">
        <f t="shared" si="14"/>
        <v>Side Breaker</v>
      </c>
      <c r="J385" s="6" t="s">
        <v>422</v>
      </c>
      <c r="K385" s="6">
        <v>1</v>
      </c>
      <c r="L385" s="6">
        <f t="shared" si="15"/>
        <v>4000000</v>
      </c>
      <c r="M385" s="6">
        <v>3400000</v>
      </c>
      <c r="N385" s="6" t="s">
        <v>2003</v>
      </c>
      <c r="O385" s="6" t="s">
        <v>970</v>
      </c>
      <c r="P385" s="6">
        <v>2015</v>
      </c>
      <c r="Q385" s="6">
        <v>11</v>
      </c>
      <c r="R385" s="6" t="s">
        <v>45</v>
      </c>
      <c r="S385" s="31" t="s">
        <v>2119</v>
      </c>
      <c r="T385" s="6">
        <v>1</v>
      </c>
      <c r="U385" s="26">
        <v>3200000</v>
      </c>
      <c r="V385" s="26">
        <v>3200000</v>
      </c>
      <c r="W385" s="26">
        <v>3200000</v>
      </c>
      <c r="X385" s="6" t="s">
        <v>2003</v>
      </c>
      <c r="Y385" s="6" t="s">
        <v>1194</v>
      </c>
      <c r="Z385" s="6">
        <v>224735</v>
      </c>
    </row>
    <row r="386" spans="1:26" x14ac:dyDescent="0.3">
      <c r="A386" s="28" t="s">
        <v>42</v>
      </c>
      <c r="B386" s="6" t="s">
        <v>1325</v>
      </c>
      <c r="C386" s="19" t="s">
        <v>2156</v>
      </c>
      <c r="D386" s="6" t="s">
        <v>2292</v>
      </c>
      <c r="E386" s="6">
        <v>1</v>
      </c>
      <c r="F386" s="6" t="s">
        <v>2004</v>
      </c>
      <c r="G386" s="32" t="s">
        <v>2299</v>
      </c>
      <c r="H386" s="32" t="s">
        <v>2300</v>
      </c>
      <c r="I386" s="6" t="str">
        <f t="shared" si="14"/>
        <v>Hydraulic Crusher</v>
      </c>
      <c r="J386" s="6" t="s">
        <v>568</v>
      </c>
      <c r="K386" s="6">
        <v>1</v>
      </c>
      <c r="L386" s="6">
        <f t="shared" si="15"/>
        <v>8820000</v>
      </c>
      <c r="M386" s="6">
        <v>7500000</v>
      </c>
      <c r="N386" s="6" t="s">
        <v>2003</v>
      </c>
      <c r="O386" s="6" t="s">
        <v>2007</v>
      </c>
      <c r="P386" s="6">
        <v>2013</v>
      </c>
      <c r="Q386" s="6">
        <v>1</v>
      </c>
      <c r="R386" s="6" t="s">
        <v>45</v>
      </c>
      <c r="S386" s="31" t="s">
        <v>2113</v>
      </c>
      <c r="T386" s="6">
        <v>1</v>
      </c>
      <c r="U386" s="26">
        <v>7000000</v>
      </c>
      <c r="V386" s="26">
        <v>7000000</v>
      </c>
      <c r="W386" s="26">
        <v>7000000</v>
      </c>
      <c r="X386" s="6" t="s">
        <v>2003</v>
      </c>
      <c r="Y386" s="6" t="s">
        <v>49</v>
      </c>
      <c r="Z386" s="6">
        <v>224739</v>
      </c>
    </row>
    <row r="387" spans="1:26" x14ac:dyDescent="0.3">
      <c r="A387" s="28" t="s">
        <v>42</v>
      </c>
      <c r="B387" s="6" t="s">
        <v>1327</v>
      </c>
      <c r="C387" s="19" t="s">
        <v>1982</v>
      </c>
      <c r="D387" s="6" t="s">
        <v>2291</v>
      </c>
      <c r="E387" s="6">
        <v>1</v>
      </c>
      <c r="F387" s="6" t="s">
        <v>2004</v>
      </c>
      <c r="G387" s="32" t="s">
        <v>2299</v>
      </c>
      <c r="H387" s="32" t="s">
        <v>2300</v>
      </c>
      <c r="I387" s="6" t="str">
        <f t="shared" si="14"/>
        <v>Standard Bucket</v>
      </c>
      <c r="J387" s="6" t="s">
        <v>570</v>
      </c>
      <c r="K387" s="6">
        <v>1</v>
      </c>
      <c r="L387" s="6">
        <f t="shared" si="15"/>
        <v>350000</v>
      </c>
      <c r="M387" s="6">
        <v>300000</v>
      </c>
      <c r="N387" s="6" t="s">
        <v>2003</v>
      </c>
      <c r="O387" s="6" t="s">
        <v>793</v>
      </c>
      <c r="P387" s="6">
        <v>1998</v>
      </c>
      <c r="Q387" s="6">
        <v>1</v>
      </c>
      <c r="R387" s="6" t="s">
        <v>45</v>
      </c>
      <c r="S387" s="31" t="s">
        <v>2116</v>
      </c>
      <c r="T387" s="6">
        <v>1</v>
      </c>
      <c r="U387" s="26">
        <v>250000</v>
      </c>
      <c r="V387" s="26">
        <v>250000</v>
      </c>
      <c r="W387" s="26">
        <v>250000</v>
      </c>
      <c r="X387" s="6" t="s">
        <v>2003</v>
      </c>
      <c r="Y387" s="6" t="s">
        <v>1146</v>
      </c>
      <c r="Z387" s="6">
        <v>224743</v>
      </c>
    </row>
    <row r="388" spans="1:26" x14ac:dyDescent="0.3">
      <c r="A388" s="28" t="s">
        <v>42</v>
      </c>
      <c r="B388" s="6" t="s">
        <v>1328</v>
      </c>
      <c r="C388" s="6" t="s">
        <v>1975</v>
      </c>
      <c r="D388" s="6" t="s">
        <v>2291</v>
      </c>
      <c r="E388" s="6">
        <v>1</v>
      </c>
      <c r="F388" s="6" t="s">
        <v>2004</v>
      </c>
      <c r="G388" s="32" t="s">
        <v>2299</v>
      </c>
      <c r="H388" s="32" t="s">
        <v>2300</v>
      </c>
      <c r="I388" s="6" t="str">
        <f t="shared" si="14"/>
        <v>Side Breaker</v>
      </c>
      <c r="J388" s="6" t="s">
        <v>571</v>
      </c>
      <c r="K388" s="6">
        <v>1</v>
      </c>
      <c r="L388" s="6">
        <f t="shared" si="15"/>
        <v>2230000</v>
      </c>
      <c r="M388" s="6">
        <v>1900000</v>
      </c>
      <c r="N388" s="6" t="s">
        <v>2003</v>
      </c>
      <c r="O388" s="6" t="s">
        <v>971</v>
      </c>
      <c r="P388" s="6">
        <v>2014</v>
      </c>
      <c r="Q388" s="6">
        <v>1</v>
      </c>
      <c r="R388" s="6" t="s">
        <v>45</v>
      </c>
      <c r="S388" s="31" t="s">
        <v>2123</v>
      </c>
      <c r="T388" s="6">
        <v>1</v>
      </c>
      <c r="U388" s="26">
        <v>1800000</v>
      </c>
      <c r="V388" s="26">
        <v>1800000</v>
      </c>
      <c r="W388" s="26">
        <v>1800000</v>
      </c>
      <c r="X388" s="6" t="s">
        <v>2003</v>
      </c>
      <c r="Y388" s="6" t="s">
        <v>1181</v>
      </c>
      <c r="Z388" s="6">
        <v>224744</v>
      </c>
    </row>
    <row r="389" spans="1:26" x14ac:dyDescent="0.3">
      <c r="A389" s="28" t="s">
        <v>42</v>
      </c>
      <c r="B389" s="6" t="s">
        <v>2169</v>
      </c>
      <c r="C389" s="6"/>
      <c r="D389" s="6" t="s">
        <v>2292</v>
      </c>
      <c r="E389" s="6">
        <v>1</v>
      </c>
      <c r="F389" s="6" t="s">
        <v>2004</v>
      </c>
      <c r="G389" s="32" t="s">
        <v>2299</v>
      </c>
      <c r="H389" s="32" t="s">
        <v>2300</v>
      </c>
      <c r="I389" s="6" t="str">
        <f t="shared" si="14"/>
        <v>Ripper</v>
      </c>
      <c r="J389" s="6" t="s">
        <v>313</v>
      </c>
      <c r="K389" s="6">
        <v>1</v>
      </c>
      <c r="L389" s="6">
        <f t="shared" si="15"/>
        <v>940000</v>
      </c>
      <c r="M389" s="6">
        <v>800000</v>
      </c>
      <c r="N389" s="6" t="s">
        <v>2003</v>
      </c>
      <c r="O389" s="6" t="s">
        <v>939</v>
      </c>
      <c r="P389" s="6">
        <v>2014</v>
      </c>
      <c r="Q389" s="6">
        <v>10</v>
      </c>
      <c r="R389" s="6" t="s">
        <v>45</v>
      </c>
      <c r="S389" s="31" t="s">
        <v>2120</v>
      </c>
      <c r="T389" s="6">
        <v>1</v>
      </c>
      <c r="U389" s="26">
        <v>700000</v>
      </c>
      <c r="V389" s="26">
        <v>700000</v>
      </c>
      <c r="W389" s="26">
        <v>700000</v>
      </c>
      <c r="X389" s="6" t="s">
        <v>2003</v>
      </c>
      <c r="Y389" s="6" t="s">
        <v>939</v>
      </c>
      <c r="Z389" s="6">
        <v>224754</v>
      </c>
    </row>
    <row r="390" spans="1:26" x14ac:dyDescent="0.3">
      <c r="A390" s="28" t="s">
        <v>42</v>
      </c>
      <c r="B390" s="6" t="s">
        <v>1328</v>
      </c>
      <c r="C390" s="6" t="s">
        <v>1975</v>
      </c>
      <c r="D390" s="6" t="s">
        <v>2291</v>
      </c>
      <c r="E390" s="6">
        <v>1</v>
      </c>
      <c r="F390" s="6" t="s">
        <v>2004</v>
      </c>
      <c r="G390" s="32" t="s">
        <v>2299</v>
      </c>
      <c r="H390" s="32" t="s">
        <v>2300</v>
      </c>
      <c r="I390" s="6" t="str">
        <f t="shared" si="14"/>
        <v>Side Breaker</v>
      </c>
      <c r="J390" s="6" t="s">
        <v>171</v>
      </c>
      <c r="K390" s="6">
        <v>1</v>
      </c>
      <c r="L390" s="6">
        <f t="shared" si="15"/>
        <v>3170000</v>
      </c>
      <c r="M390" s="6">
        <v>2700000</v>
      </c>
      <c r="N390" s="6" t="s">
        <v>2003</v>
      </c>
      <c r="O390" s="6" t="s">
        <v>2007</v>
      </c>
      <c r="P390" s="6">
        <v>2017</v>
      </c>
      <c r="Q390" s="6">
        <v>1</v>
      </c>
      <c r="R390" s="6" t="s">
        <v>45</v>
      </c>
      <c r="S390" s="31" t="s">
        <v>2113</v>
      </c>
      <c r="T390" s="6">
        <v>1</v>
      </c>
      <c r="U390" s="26">
        <v>2500000</v>
      </c>
      <c r="V390" s="26">
        <v>2500000</v>
      </c>
      <c r="W390" s="26">
        <v>2500000</v>
      </c>
      <c r="X390" s="6" t="s">
        <v>2003</v>
      </c>
      <c r="Y390" s="6" t="s">
        <v>49</v>
      </c>
      <c r="Z390" s="6">
        <v>224759</v>
      </c>
    </row>
    <row r="391" spans="1:26" x14ac:dyDescent="0.3">
      <c r="A391" s="28" t="s">
        <v>42</v>
      </c>
      <c r="B391" s="6" t="s">
        <v>1327</v>
      </c>
      <c r="C391" s="6" t="s">
        <v>1977</v>
      </c>
      <c r="D391" s="6" t="s">
        <v>2291</v>
      </c>
      <c r="E391" s="6">
        <v>1</v>
      </c>
      <c r="F391" s="6" t="s">
        <v>2004</v>
      </c>
      <c r="G391" s="32" t="s">
        <v>2299</v>
      </c>
      <c r="H391" s="32" t="s">
        <v>2300</v>
      </c>
      <c r="I391" s="6" t="str">
        <f t="shared" si="14"/>
        <v>Wide Bucket</v>
      </c>
      <c r="J391" s="6" t="s">
        <v>2144</v>
      </c>
      <c r="K391" s="6">
        <v>1</v>
      </c>
      <c r="L391" s="6">
        <f t="shared" si="15"/>
        <v>520000</v>
      </c>
      <c r="M391" s="6">
        <v>450000</v>
      </c>
      <c r="N391" s="6" t="s">
        <v>2003</v>
      </c>
      <c r="O391" s="6" t="s">
        <v>822</v>
      </c>
      <c r="P391" s="6">
        <v>2014</v>
      </c>
      <c r="Q391" s="6">
        <v>7</v>
      </c>
      <c r="R391" s="6" t="s">
        <v>45</v>
      </c>
      <c r="S391" s="31" t="s">
        <v>2123</v>
      </c>
      <c r="T391" s="6">
        <v>1</v>
      </c>
      <c r="U391" s="26">
        <v>400000</v>
      </c>
      <c r="V391" s="26">
        <v>400000</v>
      </c>
      <c r="W391" s="26">
        <v>400000</v>
      </c>
      <c r="X391" s="6" t="s">
        <v>2003</v>
      </c>
      <c r="Y391" s="6" t="s">
        <v>92</v>
      </c>
      <c r="Z391" s="6">
        <v>224762</v>
      </c>
    </row>
    <row r="392" spans="1:26" x14ac:dyDescent="0.3">
      <c r="A392" s="28" t="s">
        <v>42</v>
      </c>
      <c r="B392" s="6" t="s">
        <v>1326</v>
      </c>
      <c r="C392" s="19" t="s">
        <v>1974</v>
      </c>
      <c r="D392" s="6" t="s">
        <v>2292</v>
      </c>
      <c r="E392" s="6">
        <v>1</v>
      </c>
      <c r="F392" s="6" t="s">
        <v>2004</v>
      </c>
      <c r="G392" s="32" t="s">
        <v>2299</v>
      </c>
      <c r="H392" s="32" t="s">
        <v>2300</v>
      </c>
      <c r="I392" s="6" t="str">
        <f t="shared" si="14"/>
        <v>Etc Grapple</v>
      </c>
      <c r="J392" s="6" t="s">
        <v>572</v>
      </c>
      <c r="K392" s="6">
        <v>1</v>
      </c>
      <c r="L392" s="6">
        <f t="shared" si="15"/>
        <v>2230000</v>
      </c>
      <c r="M392" s="6">
        <v>1900000</v>
      </c>
      <c r="N392" s="6" t="s">
        <v>2003</v>
      </c>
      <c r="O392" s="6" t="s">
        <v>2007</v>
      </c>
      <c r="P392" s="6">
        <v>2013</v>
      </c>
      <c r="Q392" s="6">
        <v>1</v>
      </c>
      <c r="R392" s="6" t="s">
        <v>45</v>
      </c>
      <c r="S392" s="31" t="s">
        <v>2113</v>
      </c>
      <c r="T392" s="6">
        <v>1</v>
      </c>
      <c r="U392" s="26">
        <v>1800000</v>
      </c>
      <c r="V392" s="26">
        <v>1800000</v>
      </c>
      <c r="W392" s="26">
        <v>1800000</v>
      </c>
      <c r="X392" s="6" t="s">
        <v>2003</v>
      </c>
      <c r="Y392" s="6" t="s">
        <v>49</v>
      </c>
      <c r="Z392" s="6">
        <v>224764</v>
      </c>
    </row>
    <row r="393" spans="1:26" x14ac:dyDescent="0.3">
      <c r="A393" s="28" t="s">
        <v>42</v>
      </c>
      <c r="B393" s="6" t="s">
        <v>1327</v>
      </c>
      <c r="C393" s="6" t="s">
        <v>1980</v>
      </c>
      <c r="D393" s="6" t="s">
        <v>2289</v>
      </c>
      <c r="E393" s="6">
        <v>1</v>
      </c>
      <c r="F393" s="6" t="s">
        <v>2004</v>
      </c>
      <c r="G393" s="32" t="s">
        <v>2299</v>
      </c>
      <c r="H393" s="32" t="s">
        <v>2300</v>
      </c>
      <c r="I393" s="6" t="str">
        <f t="shared" si="14"/>
        <v>Small Bucket</v>
      </c>
      <c r="J393" s="6" t="s">
        <v>635</v>
      </c>
      <c r="K393" s="6">
        <v>1</v>
      </c>
      <c r="L393" s="6">
        <f t="shared" si="15"/>
        <v>820000</v>
      </c>
      <c r="M393" s="6">
        <v>700000</v>
      </c>
      <c r="N393" s="6" t="s">
        <v>2003</v>
      </c>
      <c r="O393" s="6" t="s">
        <v>814</v>
      </c>
      <c r="P393" s="6">
        <v>2016</v>
      </c>
      <c r="Q393" s="6">
        <v>3</v>
      </c>
      <c r="R393" s="6" t="s">
        <v>45</v>
      </c>
      <c r="S393" s="31" t="s">
        <v>2119</v>
      </c>
      <c r="T393" s="6">
        <v>1</v>
      </c>
      <c r="U393" s="26">
        <v>600000</v>
      </c>
      <c r="V393" s="26">
        <v>600000</v>
      </c>
      <c r="W393" s="26">
        <v>600000</v>
      </c>
      <c r="X393" s="6" t="s">
        <v>2003</v>
      </c>
      <c r="Y393" s="6" t="s">
        <v>1194</v>
      </c>
      <c r="Z393" s="6">
        <v>224770</v>
      </c>
    </row>
    <row r="394" spans="1:26" x14ac:dyDescent="0.3">
      <c r="A394" s="28" t="s">
        <v>42</v>
      </c>
      <c r="B394" s="6" t="s">
        <v>2245</v>
      </c>
      <c r="C394" s="6" t="s">
        <v>2246</v>
      </c>
      <c r="D394" s="6" t="s">
        <v>2289</v>
      </c>
      <c r="E394" s="6">
        <v>1</v>
      </c>
      <c r="F394" s="6" t="s">
        <v>2004</v>
      </c>
      <c r="G394" s="32" t="s">
        <v>2299</v>
      </c>
      <c r="H394" s="32" t="s">
        <v>2300</v>
      </c>
      <c r="I394" s="6" t="str">
        <f t="shared" si="14"/>
        <v>Side Breaker</v>
      </c>
      <c r="J394" s="6" t="s">
        <v>126</v>
      </c>
      <c r="K394" s="6">
        <v>1</v>
      </c>
      <c r="L394" s="6">
        <f t="shared" si="15"/>
        <v>12350000</v>
      </c>
      <c r="M394" s="6">
        <v>10500000</v>
      </c>
      <c r="N394" s="6" t="s">
        <v>2003</v>
      </c>
      <c r="O394" s="6" t="s">
        <v>813</v>
      </c>
      <c r="P394" s="6">
        <v>2014</v>
      </c>
      <c r="Q394" s="6">
        <v>1</v>
      </c>
      <c r="R394" s="6" t="s">
        <v>45</v>
      </c>
      <c r="S394" s="31" t="s">
        <v>2113</v>
      </c>
      <c r="T394" s="6">
        <v>1</v>
      </c>
      <c r="U394" s="26">
        <v>10000000</v>
      </c>
      <c r="V394" s="26">
        <v>10000000</v>
      </c>
      <c r="W394" s="26">
        <v>10000000</v>
      </c>
      <c r="X394" s="6" t="s">
        <v>2003</v>
      </c>
      <c r="Y394" s="6" t="s">
        <v>79</v>
      </c>
      <c r="Z394" s="6">
        <v>224771</v>
      </c>
    </row>
    <row r="395" spans="1:26" x14ac:dyDescent="0.3">
      <c r="A395" s="28" t="s">
        <v>42</v>
      </c>
      <c r="B395" s="6" t="s">
        <v>1326</v>
      </c>
      <c r="C395" s="6" t="s">
        <v>1972</v>
      </c>
      <c r="D395" s="6" t="s">
        <v>2291</v>
      </c>
      <c r="E395" s="6">
        <v>1</v>
      </c>
      <c r="F395" s="6" t="s">
        <v>2004</v>
      </c>
      <c r="G395" s="32" t="s">
        <v>2299</v>
      </c>
      <c r="H395" s="32" t="s">
        <v>2300</v>
      </c>
      <c r="I395" s="6" t="str">
        <f t="shared" ref="I395:I458" si="16">IF(ISBLANK(C395),B395,C395)</f>
        <v>Stone Grapple</v>
      </c>
      <c r="J395" s="6" t="s">
        <v>149</v>
      </c>
      <c r="K395" s="6">
        <v>1</v>
      </c>
      <c r="L395" s="6">
        <f t="shared" ref="L395:L458" si="17">FLOOR(((M395*100)/85)/10000, 1)*10000</f>
        <v>1760000</v>
      </c>
      <c r="M395" s="6">
        <v>1500000</v>
      </c>
      <c r="N395" s="6" t="s">
        <v>2003</v>
      </c>
      <c r="O395" s="6" t="s">
        <v>2007</v>
      </c>
      <c r="P395" s="6">
        <v>2014</v>
      </c>
      <c r="Q395" s="6">
        <v>1</v>
      </c>
      <c r="R395" s="6" t="s">
        <v>45</v>
      </c>
      <c r="S395" s="31" t="s">
        <v>2113</v>
      </c>
      <c r="T395" s="6">
        <v>1</v>
      </c>
      <c r="U395" s="26">
        <v>1400000</v>
      </c>
      <c r="V395" s="26">
        <v>1400000</v>
      </c>
      <c r="W395" s="26">
        <v>1400000</v>
      </c>
      <c r="X395" s="6" t="s">
        <v>2003</v>
      </c>
      <c r="Y395" s="6" t="s">
        <v>49</v>
      </c>
      <c r="Z395" s="6">
        <v>224774</v>
      </c>
    </row>
    <row r="396" spans="1:26" x14ac:dyDescent="0.3">
      <c r="A396" s="28" t="s">
        <v>42</v>
      </c>
      <c r="B396" s="6" t="s">
        <v>1328</v>
      </c>
      <c r="C396" s="19" t="s">
        <v>1975</v>
      </c>
      <c r="D396" s="6" t="s">
        <v>2292</v>
      </c>
      <c r="E396" s="6">
        <v>1</v>
      </c>
      <c r="F396" s="6" t="s">
        <v>2004</v>
      </c>
      <c r="G396" s="32" t="s">
        <v>2299</v>
      </c>
      <c r="H396" s="32" t="s">
        <v>2300</v>
      </c>
      <c r="I396" s="6" t="str">
        <f t="shared" si="16"/>
        <v>Side Breaker</v>
      </c>
      <c r="J396" s="6" t="s">
        <v>423</v>
      </c>
      <c r="K396" s="6">
        <v>1</v>
      </c>
      <c r="L396" s="6">
        <f t="shared" si="17"/>
        <v>2940000</v>
      </c>
      <c r="M396" s="6">
        <v>2500000</v>
      </c>
      <c r="N396" s="6" t="s">
        <v>2003</v>
      </c>
      <c r="O396" s="6" t="s">
        <v>797</v>
      </c>
      <c r="P396" s="6">
        <v>2015</v>
      </c>
      <c r="Q396" s="6">
        <v>7</v>
      </c>
      <c r="R396" s="6" t="s">
        <v>45</v>
      </c>
      <c r="S396" s="31" t="s">
        <v>2120</v>
      </c>
      <c r="T396" s="6">
        <v>1</v>
      </c>
      <c r="U396" s="26">
        <v>2300000</v>
      </c>
      <c r="V396" s="26">
        <v>2300000</v>
      </c>
      <c r="W396" s="26">
        <v>2300000</v>
      </c>
      <c r="X396" s="6" t="s">
        <v>2003</v>
      </c>
      <c r="Y396" s="6" t="s">
        <v>1162</v>
      </c>
      <c r="Z396" s="6">
        <v>224776</v>
      </c>
    </row>
    <row r="397" spans="1:26" x14ac:dyDescent="0.3">
      <c r="A397" s="28" t="s">
        <v>42</v>
      </c>
      <c r="B397" s="6" t="s">
        <v>1327</v>
      </c>
      <c r="C397" s="19" t="s">
        <v>1982</v>
      </c>
      <c r="D397" s="6" t="s">
        <v>2001</v>
      </c>
      <c r="E397" s="6">
        <v>1</v>
      </c>
      <c r="F397" s="6" t="s">
        <v>2004</v>
      </c>
      <c r="G397" s="32" t="s">
        <v>2299</v>
      </c>
      <c r="H397" s="32" t="s">
        <v>2300</v>
      </c>
      <c r="I397" s="6" t="str">
        <f t="shared" si="16"/>
        <v>Standard Bucket</v>
      </c>
      <c r="J397" s="6" t="s">
        <v>574</v>
      </c>
      <c r="K397" s="6">
        <v>1</v>
      </c>
      <c r="L397" s="6">
        <f t="shared" si="17"/>
        <v>1880000</v>
      </c>
      <c r="M397" s="6">
        <v>1600000</v>
      </c>
      <c r="N397" s="6" t="s">
        <v>2003</v>
      </c>
      <c r="O397" s="6" t="s">
        <v>972</v>
      </c>
      <c r="P397" s="6">
        <v>2009</v>
      </c>
      <c r="Q397" s="6">
        <v>8</v>
      </c>
      <c r="R397" s="6" t="s">
        <v>45</v>
      </c>
      <c r="S397" s="31" t="s">
        <v>2120</v>
      </c>
      <c r="T397" s="6">
        <v>1</v>
      </c>
      <c r="U397" s="26">
        <v>1500000</v>
      </c>
      <c r="V397" s="26">
        <v>1500000</v>
      </c>
      <c r="W397" s="26">
        <v>1500000</v>
      </c>
      <c r="X397" s="6" t="s">
        <v>2003</v>
      </c>
      <c r="Y397" s="6" t="s">
        <v>1205</v>
      </c>
      <c r="Z397" s="6">
        <v>224777</v>
      </c>
    </row>
    <row r="398" spans="1:26" x14ac:dyDescent="0.3">
      <c r="A398" s="28" t="s">
        <v>42</v>
      </c>
      <c r="B398" s="6" t="s">
        <v>1327</v>
      </c>
      <c r="C398" s="19" t="s">
        <v>2209</v>
      </c>
      <c r="D398" s="6" t="s">
        <v>2289</v>
      </c>
      <c r="E398" s="6">
        <v>1</v>
      </c>
      <c r="F398" s="6" t="s">
        <v>2004</v>
      </c>
      <c r="G398" s="32" t="s">
        <v>2299</v>
      </c>
      <c r="H398" s="32" t="s">
        <v>2300</v>
      </c>
      <c r="I398" s="6" t="str">
        <f t="shared" si="16"/>
        <v>Etc Bucket</v>
      </c>
      <c r="J398" s="6" t="s">
        <v>575</v>
      </c>
      <c r="K398" s="6">
        <v>1</v>
      </c>
      <c r="L398" s="6">
        <f t="shared" si="17"/>
        <v>8230000</v>
      </c>
      <c r="M398" s="6">
        <v>7000000</v>
      </c>
      <c r="N398" s="6" t="s">
        <v>2003</v>
      </c>
      <c r="O398" s="6" t="s">
        <v>973</v>
      </c>
      <c r="P398" s="6">
        <v>2012</v>
      </c>
      <c r="Q398" s="6">
        <v>1</v>
      </c>
      <c r="R398" s="6" t="s">
        <v>45</v>
      </c>
      <c r="S398" s="31" t="s">
        <v>2112</v>
      </c>
      <c r="T398" s="6">
        <v>1</v>
      </c>
      <c r="U398" s="26">
        <v>6500000</v>
      </c>
      <c r="V398" s="26">
        <v>6500000</v>
      </c>
      <c r="W398" s="26">
        <v>6500000</v>
      </c>
      <c r="X398" s="6" t="s">
        <v>2003</v>
      </c>
      <c r="Y398" s="6" t="s">
        <v>1213</v>
      </c>
      <c r="Z398" s="6">
        <v>224782</v>
      </c>
    </row>
    <row r="399" spans="1:26" x14ac:dyDescent="0.3">
      <c r="A399" s="28" t="s">
        <v>42</v>
      </c>
      <c r="B399" s="6" t="s">
        <v>1326</v>
      </c>
      <c r="C399" s="6" t="s">
        <v>1972</v>
      </c>
      <c r="D399" s="6" t="s">
        <v>2291</v>
      </c>
      <c r="E399" s="6">
        <v>1</v>
      </c>
      <c r="F399" s="6" t="s">
        <v>2004</v>
      </c>
      <c r="G399" s="32" t="s">
        <v>2299</v>
      </c>
      <c r="H399" s="32" t="s">
        <v>2300</v>
      </c>
      <c r="I399" s="6" t="str">
        <f t="shared" si="16"/>
        <v>Stone Grapple</v>
      </c>
      <c r="J399" s="6" t="s">
        <v>109</v>
      </c>
      <c r="K399" s="6">
        <v>1</v>
      </c>
      <c r="L399" s="6">
        <f t="shared" si="17"/>
        <v>3760000</v>
      </c>
      <c r="M399" s="6">
        <v>3200000</v>
      </c>
      <c r="N399" s="6" t="s">
        <v>2003</v>
      </c>
      <c r="O399" s="6" t="s">
        <v>939</v>
      </c>
      <c r="P399" s="6">
        <v>2015</v>
      </c>
      <c r="Q399" s="6">
        <v>2</v>
      </c>
      <c r="R399" s="6" t="s">
        <v>45</v>
      </c>
      <c r="S399" s="31" t="s">
        <v>2120</v>
      </c>
      <c r="T399" s="6">
        <v>1</v>
      </c>
      <c r="U399" s="26">
        <v>3000000</v>
      </c>
      <c r="V399" s="26">
        <v>3000000</v>
      </c>
      <c r="W399" s="26">
        <v>3000000</v>
      </c>
      <c r="X399" s="6" t="s">
        <v>2003</v>
      </c>
      <c r="Y399" s="6" t="s">
        <v>939</v>
      </c>
      <c r="Z399" s="6">
        <v>224784</v>
      </c>
    </row>
    <row r="400" spans="1:26" x14ac:dyDescent="0.3">
      <c r="A400" s="28" t="s">
        <v>42</v>
      </c>
      <c r="B400" s="6" t="s">
        <v>1337</v>
      </c>
      <c r="C400" s="6"/>
      <c r="D400" s="6" t="s">
        <v>2292</v>
      </c>
      <c r="E400" s="6">
        <v>1</v>
      </c>
      <c r="F400" s="6" t="s">
        <v>2004</v>
      </c>
      <c r="G400" s="32" t="s">
        <v>2299</v>
      </c>
      <c r="H400" s="32" t="s">
        <v>2300</v>
      </c>
      <c r="I400" s="6" t="str">
        <f t="shared" si="16"/>
        <v>ETC</v>
      </c>
      <c r="J400" s="6" t="s">
        <v>405</v>
      </c>
      <c r="K400" s="6">
        <v>1</v>
      </c>
      <c r="L400" s="6">
        <f t="shared" si="17"/>
        <v>14700000</v>
      </c>
      <c r="M400" s="6">
        <v>12500000</v>
      </c>
      <c r="N400" s="6" t="s">
        <v>2003</v>
      </c>
      <c r="O400" s="6" t="s">
        <v>2007</v>
      </c>
      <c r="P400" s="6">
        <v>2014</v>
      </c>
      <c r="Q400" s="6">
        <v>1</v>
      </c>
      <c r="R400" s="6" t="s">
        <v>45</v>
      </c>
      <c r="S400" s="31" t="s">
        <v>2113</v>
      </c>
      <c r="T400" s="6">
        <v>1</v>
      </c>
      <c r="U400" s="26">
        <v>12000000</v>
      </c>
      <c r="V400" s="26">
        <v>12000000</v>
      </c>
      <c r="W400" s="26">
        <v>12000000</v>
      </c>
      <c r="X400" s="6" t="s">
        <v>2003</v>
      </c>
      <c r="Y400" s="6" t="s">
        <v>49</v>
      </c>
      <c r="Z400" s="6">
        <v>224790</v>
      </c>
    </row>
    <row r="401" spans="1:26" x14ac:dyDescent="0.3">
      <c r="A401" s="28" t="s">
        <v>42</v>
      </c>
      <c r="B401" s="6" t="s">
        <v>2169</v>
      </c>
      <c r="C401" s="6"/>
      <c r="D401" s="6" t="s">
        <v>2291</v>
      </c>
      <c r="E401" s="6">
        <v>1</v>
      </c>
      <c r="F401" s="6" t="s">
        <v>2004</v>
      </c>
      <c r="G401" s="32" t="s">
        <v>2299</v>
      </c>
      <c r="H401" s="32" t="s">
        <v>2300</v>
      </c>
      <c r="I401" s="6" t="str">
        <f t="shared" si="16"/>
        <v>Ripper</v>
      </c>
      <c r="J401" s="6" t="s">
        <v>347</v>
      </c>
      <c r="K401" s="6">
        <v>1</v>
      </c>
      <c r="L401" s="6">
        <f t="shared" si="17"/>
        <v>580000</v>
      </c>
      <c r="M401" s="6">
        <v>500000</v>
      </c>
      <c r="N401" s="6" t="s">
        <v>2003</v>
      </c>
      <c r="O401" s="6" t="s">
        <v>2051</v>
      </c>
      <c r="P401" s="6">
        <v>2017</v>
      </c>
      <c r="Q401" s="6">
        <v>1</v>
      </c>
      <c r="R401" s="6" t="s">
        <v>45</v>
      </c>
      <c r="S401" s="31" t="s">
        <v>2113</v>
      </c>
      <c r="T401" s="6">
        <v>1</v>
      </c>
      <c r="U401" s="26">
        <v>450000</v>
      </c>
      <c r="V401" s="26">
        <v>450000</v>
      </c>
      <c r="W401" s="26">
        <v>450000</v>
      </c>
      <c r="X401" s="6" t="s">
        <v>2003</v>
      </c>
      <c r="Y401" s="6" t="s">
        <v>49</v>
      </c>
      <c r="Z401" s="6">
        <v>224791</v>
      </c>
    </row>
    <row r="402" spans="1:26" x14ac:dyDescent="0.3">
      <c r="A402" s="28" t="s">
        <v>42</v>
      </c>
      <c r="B402" s="6" t="s">
        <v>1337</v>
      </c>
      <c r="C402" s="6"/>
      <c r="D402" s="6" t="s">
        <v>2292</v>
      </c>
      <c r="E402" s="6">
        <v>1</v>
      </c>
      <c r="F402" s="6" t="s">
        <v>2004</v>
      </c>
      <c r="G402" s="32" t="s">
        <v>2299</v>
      </c>
      <c r="H402" s="32" t="s">
        <v>2300</v>
      </c>
      <c r="I402" s="6" t="str">
        <f t="shared" si="16"/>
        <v>ETC</v>
      </c>
      <c r="J402" s="6" t="s">
        <v>578</v>
      </c>
      <c r="K402" s="6">
        <v>1</v>
      </c>
      <c r="L402" s="6">
        <f t="shared" si="17"/>
        <v>4940000</v>
      </c>
      <c r="M402" s="6">
        <v>4200000</v>
      </c>
      <c r="N402" s="6" t="s">
        <v>2003</v>
      </c>
      <c r="O402" s="6" t="s">
        <v>2052</v>
      </c>
      <c r="P402" s="6">
        <v>2014</v>
      </c>
      <c r="Q402" s="6">
        <v>1</v>
      </c>
      <c r="R402" s="6" t="s">
        <v>45</v>
      </c>
      <c r="S402" s="31" t="s">
        <v>2112</v>
      </c>
      <c r="T402" s="6">
        <v>1</v>
      </c>
      <c r="U402" s="26">
        <v>4000000</v>
      </c>
      <c r="V402" s="26">
        <v>4000000</v>
      </c>
      <c r="W402" s="26">
        <v>4000000</v>
      </c>
      <c r="X402" s="6" t="s">
        <v>2003</v>
      </c>
      <c r="Y402" s="6" t="s">
        <v>1223</v>
      </c>
      <c r="Z402" s="6">
        <v>224794</v>
      </c>
    </row>
    <row r="403" spans="1:26" x14ac:dyDescent="0.3">
      <c r="A403" s="28" t="s">
        <v>42</v>
      </c>
      <c r="B403" s="6" t="s">
        <v>1328</v>
      </c>
      <c r="C403" s="6" t="s">
        <v>1975</v>
      </c>
      <c r="D403" s="6" t="s">
        <v>2002</v>
      </c>
      <c r="E403" s="6">
        <v>1</v>
      </c>
      <c r="F403" s="6" t="s">
        <v>2004</v>
      </c>
      <c r="G403" s="32" t="s">
        <v>2299</v>
      </c>
      <c r="H403" s="32" t="s">
        <v>2300</v>
      </c>
      <c r="I403" s="6" t="str">
        <f t="shared" si="16"/>
        <v>Side Breaker</v>
      </c>
      <c r="J403" s="6" t="s">
        <v>135</v>
      </c>
      <c r="K403" s="6">
        <v>1</v>
      </c>
      <c r="L403" s="6">
        <f t="shared" si="17"/>
        <v>1640000</v>
      </c>
      <c r="M403" s="6">
        <v>1400000</v>
      </c>
      <c r="N403" s="6" t="s">
        <v>2003</v>
      </c>
      <c r="O403" s="6" t="s">
        <v>2007</v>
      </c>
      <c r="P403" s="6">
        <v>2014</v>
      </c>
      <c r="Q403" s="6">
        <v>1</v>
      </c>
      <c r="R403" s="6" t="s">
        <v>45</v>
      </c>
      <c r="S403" s="31" t="s">
        <v>2113</v>
      </c>
      <c r="T403" s="6">
        <v>1</v>
      </c>
      <c r="U403" s="26">
        <v>1300000</v>
      </c>
      <c r="V403" s="26">
        <v>1300000</v>
      </c>
      <c r="W403" s="26">
        <v>1300000</v>
      </c>
      <c r="X403" s="6" t="s">
        <v>2003</v>
      </c>
      <c r="Y403" s="6" t="s">
        <v>49</v>
      </c>
      <c r="Z403" s="6">
        <v>224797</v>
      </c>
    </row>
    <row r="404" spans="1:26" x14ac:dyDescent="0.3">
      <c r="A404" s="28" t="s">
        <v>42</v>
      </c>
      <c r="B404" s="6" t="s">
        <v>1326</v>
      </c>
      <c r="C404" s="6" t="s">
        <v>1974</v>
      </c>
      <c r="D404" s="6" t="s">
        <v>2292</v>
      </c>
      <c r="E404" s="6">
        <v>1</v>
      </c>
      <c r="F404" s="6" t="s">
        <v>2004</v>
      </c>
      <c r="G404" s="32" t="s">
        <v>2299</v>
      </c>
      <c r="H404" s="32" t="s">
        <v>2300</v>
      </c>
      <c r="I404" s="6" t="str">
        <f t="shared" si="16"/>
        <v>Etc Grapple</v>
      </c>
      <c r="J404" s="6" t="s">
        <v>220</v>
      </c>
      <c r="K404" s="6">
        <v>1</v>
      </c>
      <c r="L404" s="6">
        <f t="shared" si="17"/>
        <v>5640000</v>
      </c>
      <c r="M404" s="6">
        <v>4800000</v>
      </c>
      <c r="N404" s="6" t="s">
        <v>2003</v>
      </c>
      <c r="O404" s="6" t="s">
        <v>2007</v>
      </c>
      <c r="P404" s="6">
        <v>2014</v>
      </c>
      <c r="Q404" s="6">
        <v>1</v>
      </c>
      <c r="R404" s="6" t="s">
        <v>45</v>
      </c>
      <c r="S404" s="31" t="s">
        <v>2113</v>
      </c>
      <c r="T404" s="6">
        <v>1</v>
      </c>
      <c r="U404" s="26">
        <v>4600000</v>
      </c>
      <c r="V404" s="26">
        <v>4600000</v>
      </c>
      <c r="W404" s="26">
        <v>4600000</v>
      </c>
      <c r="X404" s="6" t="s">
        <v>2003</v>
      </c>
      <c r="Y404" s="6" t="s">
        <v>49</v>
      </c>
      <c r="Z404" s="6">
        <v>224801</v>
      </c>
    </row>
    <row r="405" spans="1:26" x14ac:dyDescent="0.3">
      <c r="A405" s="28" t="s">
        <v>42</v>
      </c>
      <c r="B405" s="6" t="s">
        <v>1337</v>
      </c>
      <c r="C405" s="6"/>
      <c r="D405" s="6" t="s">
        <v>2289</v>
      </c>
      <c r="E405" s="6">
        <v>1</v>
      </c>
      <c r="F405" s="6" t="s">
        <v>2004</v>
      </c>
      <c r="G405" s="32" t="s">
        <v>2299</v>
      </c>
      <c r="H405" s="32" t="s">
        <v>2300</v>
      </c>
      <c r="I405" s="6" t="str">
        <f t="shared" si="16"/>
        <v>ETC</v>
      </c>
      <c r="J405" s="6" t="s">
        <v>544</v>
      </c>
      <c r="K405" s="6">
        <v>1</v>
      </c>
      <c r="L405" s="6">
        <f t="shared" si="17"/>
        <v>3170000</v>
      </c>
      <c r="M405" s="6">
        <v>2700000</v>
      </c>
      <c r="N405" s="6" t="s">
        <v>2003</v>
      </c>
      <c r="O405" s="6" t="s">
        <v>2011</v>
      </c>
      <c r="P405" s="6">
        <v>2010</v>
      </c>
      <c r="Q405" s="6">
        <v>6</v>
      </c>
      <c r="R405" s="6" t="s">
        <v>45</v>
      </c>
      <c r="S405" s="31" t="s">
        <v>2123</v>
      </c>
      <c r="T405" s="6">
        <v>1</v>
      </c>
      <c r="U405" s="26">
        <v>2500000</v>
      </c>
      <c r="V405" s="26">
        <v>2500000</v>
      </c>
      <c r="W405" s="26">
        <v>2500000</v>
      </c>
      <c r="X405" s="6" t="s">
        <v>2003</v>
      </c>
      <c r="Y405" s="6" t="s">
        <v>1200</v>
      </c>
      <c r="Z405" s="6">
        <v>224802</v>
      </c>
    </row>
    <row r="406" spans="1:26" x14ac:dyDescent="0.3">
      <c r="A406" s="28" t="s">
        <v>42</v>
      </c>
      <c r="B406" s="6" t="s">
        <v>1326</v>
      </c>
      <c r="C406" s="6" t="s">
        <v>1974</v>
      </c>
      <c r="D406" s="6" t="s">
        <v>2292</v>
      </c>
      <c r="E406" s="6">
        <v>1</v>
      </c>
      <c r="F406" s="6" t="s">
        <v>2004</v>
      </c>
      <c r="G406" s="32" t="s">
        <v>2299</v>
      </c>
      <c r="H406" s="32" t="s">
        <v>2300</v>
      </c>
      <c r="I406" s="6" t="str">
        <f t="shared" si="16"/>
        <v>Etc Grapple</v>
      </c>
      <c r="J406" s="6" t="s">
        <v>484</v>
      </c>
      <c r="K406" s="6">
        <v>1</v>
      </c>
      <c r="L406" s="6">
        <f t="shared" si="17"/>
        <v>2580000</v>
      </c>
      <c r="M406" s="6">
        <v>2200000</v>
      </c>
      <c r="N406" s="6" t="s">
        <v>2003</v>
      </c>
      <c r="O406" s="6" t="s">
        <v>2053</v>
      </c>
      <c r="P406" s="6">
        <v>2015</v>
      </c>
      <c r="Q406" s="6">
        <v>6</v>
      </c>
      <c r="R406" s="6" t="s">
        <v>45</v>
      </c>
      <c r="S406" s="31" t="s">
        <v>2123</v>
      </c>
      <c r="T406" s="6">
        <v>1</v>
      </c>
      <c r="U406" s="26">
        <v>2000000</v>
      </c>
      <c r="V406" s="26">
        <v>2000000</v>
      </c>
      <c r="W406" s="26">
        <v>2000000</v>
      </c>
      <c r="X406" s="6" t="s">
        <v>2003</v>
      </c>
      <c r="Y406" s="6" t="s">
        <v>1151</v>
      </c>
      <c r="Z406" s="6">
        <v>224807</v>
      </c>
    </row>
    <row r="407" spans="1:26" x14ac:dyDescent="0.3">
      <c r="A407" s="28" t="s">
        <v>42</v>
      </c>
      <c r="B407" s="6" t="s">
        <v>1326</v>
      </c>
      <c r="C407" s="6" t="s">
        <v>1979</v>
      </c>
      <c r="D407" s="6" t="s">
        <v>2292</v>
      </c>
      <c r="E407" s="6">
        <v>1</v>
      </c>
      <c r="F407" s="6" t="s">
        <v>2004</v>
      </c>
      <c r="G407" s="32" t="s">
        <v>2299</v>
      </c>
      <c r="H407" s="32" t="s">
        <v>2300</v>
      </c>
      <c r="I407" s="6" t="str">
        <f t="shared" si="16"/>
        <v>Thumb Grapple</v>
      </c>
      <c r="J407" s="6" t="s">
        <v>186</v>
      </c>
      <c r="K407" s="6">
        <v>1</v>
      </c>
      <c r="L407" s="6">
        <f t="shared" si="17"/>
        <v>940000</v>
      </c>
      <c r="M407" s="6">
        <v>800000</v>
      </c>
      <c r="N407" s="6" t="s">
        <v>2003</v>
      </c>
      <c r="O407" s="6" t="s">
        <v>813</v>
      </c>
      <c r="P407" s="6">
        <v>2013</v>
      </c>
      <c r="Q407" s="6">
        <v>1</v>
      </c>
      <c r="R407" s="6" t="s">
        <v>45</v>
      </c>
      <c r="S407" s="31" t="s">
        <v>2113</v>
      </c>
      <c r="T407" s="6">
        <v>1</v>
      </c>
      <c r="U407" s="26">
        <v>700000</v>
      </c>
      <c r="V407" s="26">
        <v>700000</v>
      </c>
      <c r="W407" s="26">
        <v>700000</v>
      </c>
      <c r="X407" s="6" t="s">
        <v>2003</v>
      </c>
      <c r="Y407" s="6" t="s">
        <v>79</v>
      </c>
      <c r="Z407" s="6">
        <v>224813</v>
      </c>
    </row>
    <row r="408" spans="1:26" x14ac:dyDescent="0.3">
      <c r="A408" s="28" t="s">
        <v>42</v>
      </c>
      <c r="B408" s="6" t="s">
        <v>1326</v>
      </c>
      <c r="C408" s="6" t="s">
        <v>1974</v>
      </c>
      <c r="D408" s="6" t="s">
        <v>2291</v>
      </c>
      <c r="E408" s="6">
        <v>1</v>
      </c>
      <c r="F408" s="6" t="s">
        <v>2004</v>
      </c>
      <c r="G408" s="32" t="s">
        <v>2299</v>
      </c>
      <c r="H408" s="32" t="s">
        <v>2300</v>
      </c>
      <c r="I408" s="6" t="str">
        <f t="shared" si="16"/>
        <v>Etc Grapple</v>
      </c>
      <c r="J408" s="6" t="s">
        <v>136</v>
      </c>
      <c r="K408" s="6">
        <v>1</v>
      </c>
      <c r="L408" s="6">
        <f t="shared" si="17"/>
        <v>2230000</v>
      </c>
      <c r="M408" s="6">
        <v>1900000</v>
      </c>
      <c r="N408" s="6" t="s">
        <v>2003</v>
      </c>
      <c r="O408" s="6" t="s">
        <v>2011</v>
      </c>
      <c r="P408" s="6">
        <v>2010</v>
      </c>
      <c r="Q408" s="6">
        <v>6</v>
      </c>
      <c r="R408" s="6" t="s">
        <v>45</v>
      </c>
      <c r="S408" s="31" t="s">
        <v>2123</v>
      </c>
      <c r="T408" s="6">
        <v>1</v>
      </c>
      <c r="U408" s="26">
        <v>1800000</v>
      </c>
      <c r="V408" s="26">
        <v>1800000</v>
      </c>
      <c r="W408" s="26">
        <v>1800000</v>
      </c>
      <c r="X408" s="6" t="s">
        <v>2003</v>
      </c>
      <c r="Y408" s="6" t="s">
        <v>1200</v>
      </c>
      <c r="Z408" s="6">
        <v>224817</v>
      </c>
    </row>
    <row r="409" spans="1:26" x14ac:dyDescent="0.3">
      <c r="A409" s="28" t="s">
        <v>42</v>
      </c>
      <c r="B409" s="6" t="s">
        <v>1337</v>
      </c>
      <c r="C409" s="6"/>
      <c r="D409" s="6" t="s">
        <v>2001</v>
      </c>
      <c r="E409" s="6">
        <v>1</v>
      </c>
      <c r="F409" s="6" t="s">
        <v>2004</v>
      </c>
      <c r="G409" s="32" t="s">
        <v>2299</v>
      </c>
      <c r="H409" s="32" t="s">
        <v>2300</v>
      </c>
      <c r="I409" s="6" t="str">
        <f t="shared" si="16"/>
        <v>ETC</v>
      </c>
      <c r="J409" s="6" t="s">
        <v>580</v>
      </c>
      <c r="K409" s="6">
        <v>1</v>
      </c>
      <c r="L409" s="6">
        <f t="shared" si="17"/>
        <v>24110000</v>
      </c>
      <c r="M409" s="6">
        <v>20500000</v>
      </c>
      <c r="N409" s="6" t="s">
        <v>2003</v>
      </c>
      <c r="O409" s="6" t="s">
        <v>2054</v>
      </c>
      <c r="P409" s="6">
        <v>2010</v>
      </c>
      <c r="Q409" s="6">
        <v>1</v>
      </c>
      <c r="R409" s="6" t="s">
        <v>45</v>
      </c>
      <c r="S409" s="31" t="s">
        <v>2112</v>
      </c>
      <c r="T409" s="6">
        <v>1</v>
      </c>
      <c r="U409" s="26">
        <v>20000000</v>
      </c>
      <c r="V409" s="26">
        <v>20000000</v>
      </c>
      <c r="W409" s="26">
        <v>20000000</v>
      </c>
      <c r="X409" s="6" t="s">
        <v>2003</v>
      </c>
      <c r="Y409" s="6" t="s">
        <v>1268</v>
      </c>
      <c r="Z409" s="6">
        <v>224821</v>
      </c>
    </row>
    <row r="410" spans="1:26" x14ac:dyDescent="0.3">
      <c r="A410" s="28" t="s">
        <v>42</v>
      </c>
      <c r="B410" s="6" t="s">
        <v>1327</v>
      </c>
      <c r="C410" s="6" t="s">
        <v>1977</v>
      </c>
      <c r="D410" s="6" t="s">
        <v>2290</v>
      </c>
      <c r="E410" s="6">
        <v>1</v>
      </c>
      <c r="F410" s="6" t="s">
        <v>2004</v>
      </c>
      <c r="G410" s="32" t="s">
        <v>2299</v>
      </c>
      <c r="H410" s="32" t="s">
        <v>2300</v>
      </c>
      <c r="I410" s="6" t="str">
        <f t="shared" si="16"/>
        <v>Wide Bucket</v>
      </c>
      <c r="J410" s="6" t="s">
        <v>275</v>
      </c>
      <c r="K410" s="6">
        <v>1</v>
      </c>
      <c r="L410" s="6">
        <f t="shared" si="17"/>
        <v>3170000</v>
      </c>
      <c r="M410" s="6">
        <v>2700000</v>
      </c>
      <c r="N410" s="6" t="s">
        <v>2003</v>
      </c>
      <c r="O410" s="6" t="s">
        <v>2011</v>
      </c>
      <c r="P410" s="6">
        <v>2012</v>
      </c>
      <c r="Q410" s="6">
        <v>5</v>
      </c>
      <c r="R410" s="6" t="s">
        <v>45</v>
      </c>
      <c r="S410" s="31" t="s">
        <v>2123</v>
      </c>
      <c r="T410" s="6">
        <v>1</v>
      </c>
      <c r="U410" s="26">
        <v>2500000</v>
      </c>
      <c r="V410" s="26">
        <v>2500000</v>
      </c>
      <c r="W410" s="26">
        <v>2500000</v>
      </c>
      <c r="X410" s="6" t="s">
        <v>2003</v>
      </c>
      <c r="Y410" s="6" t="s">
        <v>1200</v>
      </c>
      <c r="Z410" s="6">
        <v>224826</v>
      </c>
    </row>
    <row r="411" spans="1:26" x14ac:dyDescent="0.3">
      <c r="A411" s="28" t="s">
        <v>42</v>
      </c>
      <c r="B411" s="6" t="s">
        <v>1328</v>
      </c>
      <c r="C411" s="6" t="s">
        <v>1975</v>
      </c>
      <c r="D411" s="6" t="s">
        <v>2290</v>
      </c>
      <c r="E411" s="6">
        <v>1</v>
      </c>
      <c r="F411" s="6" t="s">
        <v>2004</v>
      </c>
      <c r="G411" s="32" t="s">
        <v>2299</v>
      </c>
      <c r="H411" s="32" t="s">
        <v>2300</v>
      </c>
      <c r="I411" s="6" t="str">
        <f t="shared" si="16"/>
        <v>Side Breaker</v>
      </c>
      <c r="J411" s="6" t="s">
        <v>582</v>
      </c>
      <c r="K411" s="6">
        <v>1</v>
      </c>
      <c r="L411" s="6">
        <f t="shared" si="17"/>
        <v>12350000</v>
      </c>
      <c r="M411" s="6">
        <v>10500000</v>
      </c>
      <c r="N411" s="6" t="s">
        <v>2003</v>
      </c>
      <c r="O411" s="6" t="s">
        <v>978</v>
      </c>
      <c r="P411" s="6">
        <v>2015</v>
      </c>
      <c r="Q411" s="6">
        <v>6</v>
      </c>
      <c r="R411" s="6" t="s">
        <v>45</v>
      </c>
      <c r="S411" s="31" t="s">
        <v>2119</v>
      </c>
      <c r="T411" s="6">
        <v>1</v>
      </c>
      <c r="U411" s="26">
        <v>10000000</v>
      </c>
      <c r="V411" s="26">
        <v>10000000</v>
      </c>
      <c r="W411" s="26">
        <v>10000000</v>
      </c>
      <c r="X411" s="6" t="s">
        <v>2003</v>
      </c>
      <c r="Y411" s="6" t="s">
        <v>1276</v>
      </c>
      <c r="Z411" s="6">
        <v>224831</v>
      </c>
    </row>
    <row r="412" spans="1:26" x14ac:dyDescent="0.3">
      <c r="A412" s="28" t="s">
        <v>42</v>
      </c>
      <c r="B412" s="6" t="s">
        <v>1328</v>
      </c>
      <c r="C412" s="6" t="s">
        <v>1975</v>
      </c>
      <c r="D412" s="6" t="s">
        <v>2001</v>
      </c>
      <c r="E412" s="6">
        <v>1</v>
      </c>
      <c r="F412" s="6" t="s">
        <v>2004</v>
      </c>
      <c r="G412" s="32" t="s">
        <v>2299</v>
      </c>
      <c r="H412" s="32" t="s">
        <v>2300</v>
      </c>
      <c r="I412" s="6" t="str">
        <f t="shared" si="16"/>
        <v>Side Breaker</v>
      </c>
      <c r="J412" s="6" t="s">
        <v>413</v>
      </c>
      <c r="K412" s="6">
        <v>1</v>
      </c>
      <c r="L412" s="6">
        <f t="shared" si="17"/>
        <v>11170000</v>
      </c>
      <c r="M412" s="6">
        <v>9500000</v>
      </c>
      <c r="N412" s="6" t="s">
        <v>2003</v>
      </c>
      <c r="O412" s="6" t="s">
        <v>796</v>
      </c>
      <c r="P412" s="6">
        <v>2011</v>
      </c>
      <c r="Q412" s="6">
        <v>1</v>
      </c>
      <c r="R412" s="6" t="s">
        <v>45</v>
      </c>
      <c r="S412" s="31" t="s">
        <v>2112</v>
      </c>
      <c r="T412" s="6">
        <v>1</v>
      </c>
      <c r="U412" s="26">
        <v>9000000</v>
      </c>
      <c r="V412" s="26">
        <v>9000000</v>
      </c>
      <c r="W412" s="26">
        <v>9000000</v>
      </c>
      <c r="X412" s="6" t="s">
        <v>2003</v>
      </c>
      <c r="Y412" s="6" t="s">
        <v>1217</v>
      </c>
      <c r="Z412" s="6">
        <v>224833</v>
      </c>
    </row>
    <row r="413" spans="1:26" x14ac:dyDescent="0.3">
      <c r="A413" s="28" t="s">
        <v>42</v>
      </c>
      <c r="B413" s="6" t="s">
        <v>1328</v>
      </c>
      <c r="C413" s="6" t="s">
        <v>1975</v>
      </c>
      <c r="D413" s="6" t="s">
        <v>2292</v>
      </c>
      <c r="E413" s="6">
        <v>1</v>
      </c>
      <c r="F413" s="6" t="s">
        <v>2004</v>
      </c>
      <c r="G413" s="32" t="s">
        <v>2299</v>
      </c>
      <c r="H413" s="32" t="s">
        <v>2300</v>
      </c>
      <c r="I413" s="6" t="str">
        <f t="shared" si="16"/>
        <v>Side Breaker</v>
      </c>
      <c r="J413" s="6" t="s">
        <v>583</v>
      </c>
      <c r="K413" s="6">
        <v>1</v>
      </c>
      <c r="L413" s="6">
        <f t="shared" si="17"/>
        <v>4000000</v>
      </c>
      <c r="M413" s="6">
        <v>3400000</v>
      </c>
      <c r="N413" s="6" t="s">
        <v>2003</v>
      </c>
      <c r="O413" s="6" t="s">
        <v>979</v>
      </c>
      <c r="P413" s="6">
        <v>2011</v>
      </c>
      <c r="Q413" s="6">
        <v>1</v>
      </c>
      <c r="R413" s="6" t="s">
        <v>45</v>
      </c>
      <c r="S413" s="31" t="s">
        <v>2113</v>
      </c>
      <c r="T413" s="6">
        <v>1</v>
      </c>
      <c r="U413" s="26">
        <v>3200000</v>
      </c>
      <c r="V413" s="26">
        <v>3200000</v>
      </c>
      <c r="W413" s="26">
        <v>3200000</v>
      </c>
      <c r="X413" s="6" t="s">
        <v>2003</v>
      </c>
      <c r="Y413" s="6" t="s">
        <v>1241</v>
      </c>
      <c r="Z413" s="6">
        <v>224837</v>
      </c>
    </row>
    <row r="414" spans="1:26" x14ac:dyDescent="0.3">
      <c r="A414" s="28" t="s">
        <v>42</v>
      </c>
      <c r="B414" s="6" t="s">
        <v>1326</v>
      </c>
      <c r="C414" s="19" t="s">
        <v>1974</v>
      </c>
      <c r="D414" s="6" t="s">
        <v>2293</v>
      </c>
      <c r="E414" s="6">
        <v>1</v>
      </c>
      <c r="F414" s="6" t="s">
        <v>2004</v>
      </c>
      <c r="G414" s="32" t="s">
        <v>2299</v>
      </c>
      <c r="H414" s="32" t="s">
        <v>2300</v>
      </c>
      <c r="I414" s="6" t="str">
        <f t="shared" si="16"/>
        <v>Etc Grapple</v>
      </c>
      <c r="J414" s="6" t="s">
        <v>504</v>
      </c>
      <c r="K414" s="6">
        <v>1</v>
      </c>
      <c r="L414" s="6">
        <f t="shared" si="17"/>
        <v>2640000</v>
      </c>
      <c r="M414" s="6">
        <v>2250000</v>
      </c>
      <c r="N414" s="6" t="s">
        <v>2003</v>
      </c>
      <c r="O414" s="6" t="s">
        <v>2007</v>
      </c>
      <c r="P414" s="6">
        <v>2016</v>
      </c>
      <c r="Q414" s="6">
        <v>1</v>
      </c>
      <c r="R414" s="6" t="s">
        <v>45</v>
      </c>
      <c r="S414" s="31" t="s">
        <v>2113</v>
      </c>
      <c r="T414" s="6">
        <v>1</v>
      </c>
      <c r="U414" s="26">
        <v>2050000</v>
      </c>
      <c r="V414" s="26">
        <v>2050000</v>
      </c>
      <c r="W414" s="26">
        <v>2050000</v>
      </c>
      <c r="X414" s="6" t="s">
        <v>2003</v>
      </c>
      <c r="Y414" s="6" t="s">
        <v>49</v>
      </c>
      <c r="Z414" s="6">
        <v>224842</v>
      </c>
    </row>
    <row r="415" spans="1:26" x14ac:dyDescent="0.3">
      <c r="A415" s="28" t="s">
        <v>42</v>
      </c>
      <c r="B415" s="6" t="s">
        <v>1326</v>
      </c>
      <c r="C415" s="6" t="s">
        <v>1972</v>
      </c>
      <c r="D415" s="6" t="s">
        <v>2291</v>
      </c>
      <c r="E415" s="6">
        <v>1</v>
      </c>
      <c r="F415" s="6" t="s">
        <v>2004</v>
      </c>
      <c r="G415" s="32" t="s">
        <v>2299</v>
      </c>
      <c r="H415" s="32" t="s">
        <v>2300</v>
      </c>
      <c r="I415" s="6" t="str">
        <f t="shared" si="16"/>
        <v>Stone Grapple</v>
      </c>
      <c r="J415" s="6" t="s">
        <v>584</v>
      </c>
      <c r="K415" s="6">
        <v>1</v>
      </c>
      <c r="L415" s="6">
        <f t="shared" si="17"/>
        <v>1640000</v>
      </c>
      <c r="M415" s="6">
        <v>1400000</v>
      </c>
      <c r="N415" s="6" t="s">
        <v>2003</v>
      </c>
      <c r="O415" s="6" t="s">
        <v>2007</v>
      </c>
      <c r="P415" s="6">
        <v>2015</v>
      </c>
      <c r="Q415" s="6">
        <v>1</v>
      </c>
      <c r="R415" s="6" t="s">
        <v>45</v>
      </c>
      <c r="S415" s="31" t="s">
        <v>2113</v>
      </c>
      <c r="T415" s="6">
        <v>1</v>
      </c>
      <c r="U415" s="26">
        <v>1300000</v>
      </c>
      <c r="V415" s="26">
        <v>1300000</v>
      </c>
      <c r="W415" s="26">
        <v>1300000</v>
      </c>
      <c r="X415" s="6" t="s">
        <v>2003</v>
      </c>
      <c r="Y415" s="6" t="s">
        <v>49</v>
      </c>
      <c r="Z415" s="6">
        <v>224844</v>
      </c>
    </row>
    <row r="416" spans="1:26" x14ac:dyDescent="0.3">
      <c r="A416" s="28" t="s">
        <v>42</v>
      </c>
      <c r="B416" s="6" t="s">
        <v>1325</v>
      </c>
      <c r="C416" s="19" t="s">
        <v>2156</v>
      </c>
      <c r="D416" s="6" t="s">
        <v>2292</v>
      </c>
      <c r="E416" s="6">
        <v>1</v>
      </c>
      <c r="F416" s="6" t="s">
        <v>2004</v>
      </c>
      <c r="G416" s="32" t="s">
        <v>2299</v>
      </c>
      <c r="H416" s="32" t="s">
        <v>2300</v>
      </c>
      <c r="I416" s="6" t="str">
        <f t="shared" si="16"/>
        <v>Hydraulic Crusher</v>
      </c>
      <c r="J416" s="6" t="s">
        <v>103</v>
      </c>
      <c r="K416" s="6">
        <v>1</v>
      </c>
      <c r="L416" s="6">
        <f t="shared" si="17"/>
        <v>8820000</v>
      </c>
      <c r="M416" s="6">
        <v>7500000</v>
      </c>
      <c r="N416" s="6" t="s">
        <v>2003</v>
      </c>
      <c r="O416" s="6" t="s">
        <v>813</v>
      </c>
      <c r="P416" s="6">
        <v>2014</v>
      </c>
      <c r="Q416" s="6">
        <v>1</v>
      </c>
      <c r="R416" s="6" t="s">
        <v>45</v>
      </c>
      <c r="S416" s="31" t="s">
        <v>2113</v>
      </c>
      <c r="T416" s="6">
        <v>1</v>
      </c>
      <c r="U416" s="26">
        <v>7000000</v>
      </c>
      <c r="V416" s="26">
        <v>7000000</v>
      </c>
      <c r="W416" s="26">
        <v>7000000</v>
      </c>
      <c r="X416" s="6" t="s">
        <v>2003</v>
      </c>
      <c r="Y416" s="6" t="s">
        <v>80</v>
      </c>
      <c r="Z416" s="6">
        <v>224849</v>
      </c>
    </row>
    <row r="417" spans="1:26" x14ac:dyDescent="0.3">
      <c r="A417" s="28" t="s">
        <v>42</v>
      </c>
      <c r="B417" s="6" t="s">
        <v>1326</v>
      </c>
      <c r="C417" s="6" t="s">
        <v>1972</v>
      </c>
      <c r="D417" s="6" t="s">
        <v>2001</v>
      </c>
      <c r="E417" s="6">
        <v>1</v>
      </c>
      <c r="F417" s="6" t="s">
        <v>2004</v>
      </c>
      <c r="G417" s="32" t="s">
        <v>2299</v>
      </c>
      <c r="H417" s="32" t="s">
        <v>2300</v>
      </c>
      <c r="I417" s="6" t="str">
        <f t="shared" si="16"/>
        <v>Stone Grapple</v>
      </c>
      <c r="J417" s="6" t="s">
        <v>203</v>
      </c>
      <c r="K417" s="6">
        <v>1</v>
      </c>
      <c r="L417" s="6">
        <f t="shared" si="17"/>
        <v>7640000</v>
      </c>
      <c r="M417" s="6">
        <v>6500000</v>
      </c>
      <c r="N417" s="6" t="s">
        <v>2003</v>
      </c>
      <c r="O417" s="6" t="s">
        <v>1031</v>
      </c>
      <c r="P417" s="6">
        <v>2014</v>
      </c>
      <c r="Q417" s="6">
        <v>1</v>
      </c>
      <c r="R417" s="6" t="s">
        <v>45</v>
      </c>
      <c r="S417" s="31" t="s">
        <v>2121</v>
      </c>
      <c r="T417" s="6">
        <v>1</v>
      </c>
      <c r="U417" s="26">
        <v>6000000</v>
      </c>
      <c r="V417" s="26">
        <v>6000000</v>
      </c>
      <c r="W417" s="26">
        <v>6000000</v>
      </c>
      <c r="X417" s="6" t="s">
        <v>2003</v>
      </c>
      <c r="Y417" s="6" t="s">
        <v>1265</v>
      </c>
      <c r="Z417" s="6">
        <v>224852</v>
      </c>
    </row>
    <row r="418" spans="1:26" x14ac:dyDescent="0.3">
      <c r="A418" s="28" t="s">
        <v>42</v>
      </c>
      <c r="B418" s="6" t="s">
        <v>1325</v>
      </c>
      <c r="C418" s="19" t="s">
        <v>2156</v>
      </c>
      <c r="D418" s="6" t="s">
        <v>2292</v>
      </c>
      <c r="E418" s="6">
        <v>1</v>
      </c>
      <c r="F418" s="6" t="s">
        <v>2004</v>
      </c>
      <c r="G418" s="32" t="s">
        <v>2299</v>
      </c>
      <c r="H418" s="32" t="s">
        <v>2300</v>
      </c>
      <c r="I418" s="6" t="str">
        <f t="shared" si="16"/>
        <v>Hydraulic Crusher</v>
      </c>
      <c r="J418" s="6" t="s">
        <v>585</v>
      </c>
      <c r="K418" s="6">
        <v>1</v>
      </c>
      <c r="L418" s="6">
        <f t="shared" si="17"/>
        <v>13520000</v>
      </c>
      <c r="M418" s="6">
        <v>11500000</v>
      </c>
      <c r="N418" s="6" t="s">
        <v>2003</v>
      </c>
      <c r="O418" s="6" t="s">
        <v>813</v>
      </c>
      <c r="P418" s="6">
        <v>2014</v>
      </c>
      <c r="Q418" s="6">
        <v>1</v>
      </c>
      <c r="R418" s="6" t="s">
        <v>45</v>
      </c>
      <c r="S418" s="31" t="s">
        <v>2113</v>
      </c>
      <c r="T418" s="6">
        <v>1</v>
      </c>
      <c r="U418" s="26">
        <v>11000000</v>
      </c>
      <c r="V418" s="26">
        <v>11000000</v>
      </c>
      <c r="W418" s="26">
        <v>11000000</v>
      </c>
      <c r="X418" s="6" t="s">
        <v>2003</v>
      </c>
      <c r="Y418" s="6" t="s">
        <v>80</v>
      </c>
      <c r="Z418" s="6">
        <v>224855</v>
      </c>
    </row>
    <row r="419" spans="1:26" x14ac:dyDescent="0.3">
      <c r="A419" s="28" t="s">
        <v>42</v>
      </c>
      <c r="B419" s="6" t="s">
        <v>1326</v>
      </c>
      <c r="C419" s="6" t="s">
        <v>1972</v>
      </c>
      <c r="D419" s="6" t="s">
        <v>2292</v>
      </c>
      <c r="E419" s="6">
        <v>1</v>
      </c>
      <c r="F419" s="6" t="s">
        <v>2004</v>
      </c>
      <c r="G419" s="32" t="s">
        <v>2299</v>
      </c>
      <c r="H419" s="32" t="s">
        <v>2300</v>
      </c>
      <c r="I419" s="6" t="str">
        <f t="shared" si="16"/>
        <v>Stone Grapple</v>
      </c>
      <c r="J419" s="6" t="s">
        <v>120</v>
      </c>
      <c r="K419" s="6">
        <v>1</v>
      </c>
      <c r="L419" s="6">
        <f t="shared" si="17"/>
        <v>6470000</v>
      </c>
      <c r="M419" s="6">
        <v>5500000</v>
      </c>
      <c r="N419" s="6" t="s">
        <v>2003</v>
      </c>
      <c r="O419" s="6" t="s">
        <v>813</v>
      </c>
      <c r="P419" s="6">
        <v>2014</v>
      </c>
      <c r="Q419" s="6">
        <v>1</v>
      </c>
      <c r="R419" s="6" t="s">
        <v>45</v>
      </c>
      <c r="S419" s="31" t="s">
        <v>2113</v>
      </c>
      <c r="T419" s="6">
        <v>1</v>
      </c>
      <c r="U419" s="26">
        <v>5000000</v>
      </c>
      <c r="V419" s="26">
        <v>5000000</v>
      </c>
      <c r="W419" s="26">
        <v>5000000</v>
      </c>
      <c r="X419" s="6" t="s">
        <v>2003</v>
      </c>
      <c r="Y419" s="6" t="s">
        <v>80</v>
      </c>
      <c r="Z419" s="6">
        <v>224860</v>
      </c>
    </row>
    <row r="420" spans="1:26" x14ac:dyDescent="0.3">
      <c r="A420" s="28" t="s">
        <v>42</v>
      </c>
      <c r="B420" s="6" t="s">
        <v>1328</v>
      </c>
      <c r="C420" s="6" t="s">
        <v>1975</v>
      </c>
      <c r="D420" s="6" t="s">
        <v>2292</v>
      </c>
      <c r="E420" s="6">
        <v>1</v>
      </c>
      <c r="F420" s="6" t="s">
        <v>2004</v>
      </c>
      <c r="G420" s="32" t="s">
        <v>2299</v>
      </c>
      <c r="H420" s="32" t="s">
        <v>2300</v>
      </c>
      <c r="I420" s="6" t="str">
        <f t="shared" si="16"/>
        <v>Side Breaker</v>
      </c>
      <c r="J420" s="6" t="s">
        <v>587</v>
      </c>
      <c r="K420" s="6">
        <v>1</v>
      </c>
      <c r="L420" s="6">
        <f t="shared" si="17"/>
        <v>7050000</v>
      </c>
      <c r="M420" s="6">
        <v>6000000</v>
      </c>
      <c r="N420" s="6" t="s">
        <v>2003</v>
      </c>
      <c r="O420" s="6" t="s">
        <v>2012</v>
      </c>
      <c r="P420" s="6">
        <v>2016</v>
      </c>
      <c r="Q420" s="6">
        <v>1</v>
      </c>
      <c r="R420" s="6" t="s">
        <v>45</v>
      </c>
      <c r="S420" s="31" t="s">
        <v>2113</v>
      </c>
      <c r="T420" s="6">
        <v>1</v>
      </c>
      <c r="U420" s="26">
        <v>5500000</v>
      </c>
      <c r="V420" s="26">
        <v>5500000</v>
      </c>
      <c r="W420" s="26">
        <v>5500000</v>
      </c>
      <c r="X420" s="6" t="s">
        <v>2003</v>
      </c>
      <c r="Y420" s="6" t="s">
        <v>49</v>
      </c>
      <c r="Z420" s="6">
        <v>224869</v>
      </c>
    </row>
    <row r="421" spans="1:26" x14ac:dyDescent="0.3">
      <c r="A421" s="28" t="s">
        <v>42</v>
      </c>
      <c r="B421" s="6" t="s">
        <v>1327</v>
      </c>
      <c r="C421" s="19" t="s">
        <v>2209</v>
      </c>
      <c r="D421" s="6" t="s">
        <v>2289</v>
      </c>
      <c r="E421" s="6">
        <v>1</v>
      </c>
      <c r="F421" s="6" t="s">
        <v>2004</v>
      </c>
      <c r="G421" s="32" t="s">
        <v>2299</v>
      </c>
      <c r="H421" s="32" t="s">
        <v>2300</v>
      </c>
      <c r="I421" s="6" t="str">
        <f t="shared" si="16"/>
        <v>Etc Bucket</v>
      </c>
      <c r="J421" s="6" t="s">
        <v>591</v>
      </c>
      <c r="K421" s="6">
        <v>1</v>
      </c>
      <c r="L421" s="6">
        <f t="shared" si="17"/>
        <v>5520000</v>
      </c>
      <c r="M421" s="6">
        <v>4700000</v>
      </c>
      <c r="N421" s="6" t="s">
        <v>2003</v>
      </c>
      <c r="O421" s="6" t="s">
        <v>981</v>
      </c>
      <c r="P421" s="6">
        <v>2017</v>
      </c>
      <c r="Q421" s="6">
        <v>1</v>
      </c>
      <c r="R421" s="6" t="s">
        <v>45</v>
      </c>
      <c r="S421" s="31" t="s">
        <v>2110</v>
      </c>
      <c r="T421" s="6">
        <v>1</v>
      </c>
      <c r="U421" s="26">
        <v>4500000</v>
      </c>
      <c r="V421" s="26">
        <v>4500000</v>
      </c>
      <c r="W421" s="26">
        <v>4500000</v>
      </c>
      <c r="X421" s="6" t="s">
        <v>2003</v>
      </c>
      <c r="Y421" s="6" t="s">
        <v>1182</v>
      </c>
      <c r="Z421" s="6">
        <v>224894</v>
      </c>
    </row>
    <row r="422" spans="1:26" x14ac:dyDescent="0.3">
      <c r="A422" s="28" t="s">
        <v>42</v>
      </c>
      <c r="B422" s="6" t="s">
        <v>1327</v>
      </c>
      <c r="C422" s="6" t="s">
        <v>1977</v>
      </c>
      <c r="D422" s="6" t="s">
        <v>2292</v>
      </c>
      <c r="E422" s="6">
        <v>1</v>
      </c>
      <c r="F422" s="6" t="s">
        <v>2004</v>
      </c>
      <c r="G422" s="32" t="s">
        <v>2299</v>
      </c>
      <c r="H422" s="32" t="s">
        <v>2300</v>
      </c>
      <c r="I422" s="6" t="str">
        <f t="shared" si="16"/>
        <v>Wide Bucket</v>
      </c>
      <c r="J422" s="6" t="s">
        <v>123</v>
      </c>
      <c r="K422" s="6">
        <v>1</v>
      </c>
      <c r="L422" s="6">
        <f t="shared" si="17"/>
        <v>1470000</v>
      </c>
      <c r="M422" s="6">
        <v>1250000</v>
      </c>
      <c r="N422" s="6" t="s">
        <v>2003</v>
      </c>
      <c r="O422" s="6" t="s">
        <v>789</v>
      </c>
      <c r="P422" s="6">
        <v>2015</v>
      </c>
      <c r="Q422" s="6">
        <v>2</v>
      </c>
      <c r="R422" s="6" t="s">
        <v>45</v>
      </c>
      <c r="S422" s="31" t="s">
        <v>2122</v>
      </c>
      <c r="T422" s="6">
        <v>1</v>
      </c>
      <c r="U422" s="26">
        <v>1150000</v>
      </c>
      <c r="V422" s="26">
        <v>1150000</v>
      </c>
      <c r="W422" s="26">
        <v>1150000</v>
      </c>
      <c r="X422" s="6" t="s">
        <v>2003</v>
      </c>
      <c r="Y422" s="6" t="s">
        <v>65</v>
      </c>
      <c r="Z422" s="6">
        <v>224895</v>
      </c>
    </row>
    <row r="423" spans="1:26" x14ac:dyDescent="0.3">
      <c r="A423" s="28" t="s">
        <v>42</v>
      </c>
      <c r="B423" s="6" t="s">
        <v>1337</v>
      </c>
      <c r="C423" s="6"/>
      <c r="D423" s="6" t="s">
        <v>2291</v>
      </c>
      <c r="E423" s="6">
        <v>1</v>
      </c>
      <c r="F423" s="6" t="s">
        <v>2004</v>
      </c>
      <c r="G423" s="32" t="s">
        <v>2299</v>
      </c>
      <c r="H423" s="32" t="s">
        <v>2300</v>
      </c>
      <c r="I423" s="6" t="str">
        <f t="shared" si="16"/>
        <v>ETC</v>
      </c>
      <c r="J423" s="6" t="s">
        <v>2145</v>
      </c>
      <c r="K423" s="6">
        <v>1</v>
      </c>
      <c r="L423" s="6">
        <f t="shared" si="17"/>
        <v>1290000</v>
      </c>
      <c r="M423" s="6">
        <v>1100000</v>
      </c>
      <c r="N423" s="6" t="s">
        <v>2003</v>
      </c>
      <c r="O423" s="6" t="s">
        <v>2055</v>
      </c>
      <c r="P423" s="6">
        <v>2010</v>
      </c>
      <c r="Q423" s="6">
        <v>1</v>
      </c>
      <c r="R423" s="6" t="s">
        <v>45</v>
      </c>
      <c r="S423" s="31" t="s">
        <v>2120</v>
      </c>
      <c r="T423" s="6">
        <v>1</v>
      </c>
      <c r="U423" s="26">
        <v>1000000</v>
      </c>
      <c r="V423" s="26">
        <v>1000000</v>
      </c>
      <c r="W423" s="26">
        <v>1000000</v>
      </c>
      <c r="X423" s="6" t="s">
        <v>2003</v>
      </c>
      <c r="Y423" s="6" t="s">
        <v>1160</v>
      </c>
      <c r="Z423" s="6">
        <v>224897</v>
      </c>
    </row>
    <row r="424" spans="1:26" x14ac:dyDescent="0.3">
      <c r="A424" s="28" t="s">
        <v>42</v>
      </c>
      <c r="B424" s="6" t="s">
        <v>1325</v>
      </c>
      <c r="C424" s="19" t="s">
        <v>2156</v>
      </c>
      <c r="D424" s="6" t="s">
        <v>2292</v>
      </c>
      <c r="E424" s="6">
        <v>1</v>
      </c>
      <c r="F424" s="6" t="s">
        <v>2004</v>
      </c>
      <c r="G424" s="32" t="s">
        <v>2299</v>
      </c>
      <c r="H424" s="32" t="s">
        <v>2300</v>
      </c>
      <c r="I424" s="6" t="str">
        <f t="shared" si="16"/>
        <v>Hydraulic Crusher</v>
      </c>
      <c r="J424" s="6" t="s">
        <v>585</v>
      </c>
      <c r="K424" s="6">
        <v>1</v>
      </c>
      <c r="L424" s="6">
        <f t="shared" si="17"/>
        <v>13520000</v>
      </c>
      <c r="M424" s="6">
        <v>11500000</v>
      </c>
      <c r="N424" s="6" t="s">
        <v>2003</v>
      </c>
      <c r="O424" s="6" t="s">
        <v>823</v>
      </c>
      <c r="P424" s="6">
        <v>2014</v>
      </c>
      <c r="Q424" s="6">
        <v>1</v>
      </c>
      <c r="R424" s="6" t="s">
        <v>45</v>
      </c>
      <c r="S424" s="31" t="s">
        <v>2113</v>
      </c>
      <c r="T424" s="6">
        <v>1</v>
      </c>
      <c r="U424" s="26">
        <v>11000000</v>
      </c>
      <c r="V424" s="26">
        <v>11000000</v>
      </c>
      <c r="W424" s="26">
        <v>11000000</v>
      </c>
      <c r="X424" s="6" t="s">
        <v>2003</v>
      </c>
      <c r="Y424" s="6" t="s">
        <v>49</v>
      </c>
      <c r="Z424" s="6">
        <v>224901</v>
      </c>
    </row>
    <row r="425" spans="1:26" x14ac:dyDescent="0.3">
      <c r="A425" s="28" t="s">
        <v>42</v>
      </c>
      <c r="B425" s="6" t="s">
        <v>1328</v>
      </c>
      <c r="C425" s="6" t="s">
        <v>1975</v>
      </c>
      <c r="D425" s="6" t="s">
        <v>2293</v>
      </c>
      <c r="E425" s="6">
        <v>1</v>
      </c>
      <c r="F425" s="6" t="s">
        <v>2004</v>
      </c>
      <c r="G425" s="32" t="s">
        <v>2299</v>
      </c>
      <c r="H425" s="32" t="s">
        <v>2300</v>
      </c>
      <c r="I425" s="6" t="str">
        <f t="shared" si="16"/>
        <v>Side Breaker</v>
      </c>
      <c r="J425" s="6" t="s">
        <v>172</v>
      </c>
      <c r="K425" s="6">
        <v>1</v>
      </c>
      <c r="L425" s="6">
        <f t="shared" si="17"/>
        <v>2000000</v>
      </c>
      <c r="M425" s="6">
        <v>1700000</v>
      </c>
      <c r="N425" s="6" t="s">
        <v>2003</v>
      </c>
      <c r="O425" s="6" t="s">
        <v>798</v>
      </c>
      <c r="P425" s="6">
        <v>2014</v>
      </c>
      <c r="Q425" s="6">
        <v>7</v>
      </c>
      <c r="R425" s="6" t="s">
        <v>45</v>
      </c>
      <c r="S425" s="31" t="s">
        <v>2113</v>
      </c>
      <c r="T425" s="6">
        <v>1</v>
      </c>
      <c r="U425" s="26">
        <v>1600000</v>
      </c>
      <c r="V425" s="26">
        <v>1600000</v>
      </c>
      <c r="W425" s="26">
        <v>1600000</v>
      </c>
      <c r="X425" s="6" t="s">
        <v>2003</v>
      </c>
      <c r="Y425" s="6" t="s">
        <v>71</v>
      </c>
      <c r="Z425" s="6">
        <v>224911</v>
      </c>
    </row>
    <row r="426" spans="1:26" x14ac:dyDescent="0.3">
      <c r="A426" s="28" t="s">
        <v>42</v>
      </c>
      <c r="B426" s="6" t="s">
        <v>1326</v>
      </c>
      <c r="C426" s="6" t="s">
        <v>1974</v>
      </c>
      <c r="D426" s="6" t="s">
        <v>2291</v>
      </c>
      <c r="E426" s="6">
        <v>1</v>
      </c>
      <c r="F426" s="6" t="s">
        <v>2004</v>
      </c>
      <c r="G426" s="32" t="s">
        <v>2299</v>
      </c>
      <c r="H426" s="32" t="s">
        <v>2300</v>
      </c>
      <c r="I426" s="6" t="str">
        <f t="shared" si="16"/>
        <v>Etc Grapple</v>
      </c>
      <c r="J426" s="6" t="s">
        <v>136</v>
      </c>
      <c r="K426" s="6">
        <v>1</v>
      </c>
      <c r="L426" s="6">
        <f t="shared" si="17"/>
        <v>2230000</v>
      </c>
      <c r="M426" s="6">
        <v>1900000</v>
      </c>
      <c r="N426" s="6" t="s">
        <v>2003</v>
      </c>
      <c r="O426" s="6" t="s">
        <v>54</v>
      </c>
      <c r="P426" s="6">
        <v>2011</v>
      </c>
      <c r="Q426" s="6">
        <v>1</v>
      </c>
      <c r="R426" s="6" t="s">
        <v>45</v>
      </c>
      <c r="S426" s="31" t="s">
        <v>2114</v>
      </c>
      <c r="T426" s="6">
        <v>1</v>
      </c>
      <c r="U426" s="26">
        <v>1800000</v>
      </c>
      <c r="V426" s="26">
        <v>1800000</v>
      </c>
      <c r="W426" s="26">
        <v>1800000</v>
      </c>
      <c r="X426" s="6" t="s">
        <v>2003</v>
      </c>
      <c r="Y426" s="6" t="s">
        <v>54</v>
      </c>
      <c r="Z426" s="6">
        <v>224913</v>
      </c>
    </row>
    <row r="427" spans="1:26" x14ac:dyDescent="0.3">
      <c r="A427" s="28" t="s">
        <v>42</v>
      </c>
      <c r="B427" s="6" t="s">
        <v>1328</v>
      </c>
      <c r="C427" s="6" t="s">
        <v>1975</v>
      </c>
      <c r="D427" s="6" t="s">
        <v>2292</v>
      </c>
      <c r="E427" s="6">
        <v>1</v>
      </c>
      <c r="F427" s="6" t="s">
        <v>2004</v>
      </c>
      <c r="G427" s="32" t="s">
        <v>2299</v>
      </c>
      <c r="H427" s="32" t="s">
        <v>2300</v>
      </c>
      <c r="I427" s="6" t="str">
        <f t="shared" si="16"/>
        <v>Side Breaker</v>
      </c>
      <c r="J427" s="6" t="s">
        <v>404</v>
      </c>
      <c r="K427" s="6">
        <v>1</v>
      </c>
      <c r="L427" s="6">
        <f t="shared" si="17"/>
        <v>5520000</v>
      </c>
      <c r="M427" s="6">
        <v>4700000</v>
      </c>
      <c r="N427" s="6" t="s">
        <v>2003</v>
      </c>
      <c r="O427" s="6" t="s">
        <v>982</v>
      </c>
      <c r="P427" s="6">
        <v>2015</v>
      </c>
      <c r="Q427" s="6">
        <v>8</v>
      </c>
      <c r="R427" s="6" t="s">
        <v>45</v>
      </c>
      <c r="S427" s="31" t="s">
        <v>2118</v>
      </c>
      <c r="T427" s="6">
        <v>1</v>
      </c>
      <c r="U427" s="26">
        <v>4500000</v>
      </c>
      <c r="V427" s="26">
        <v>4500000</v>
      </c>
      <c r="W427" s="26">
        <v>4500000</v>
      </c>
      <c r="X427" s="6" t="s">
        <v>2003</v>
      </c>
      <c r="Y427" s="6" t="s">
        <v>67</v>
      </c>
      <c r="Z427" s="6">
        <v>224915</v>
      </c>
    </row>
    <row r="428" spans="1:26" x14ac:dyDescent="0.3">
      <c r="A428" s="28" t="s">
        <v>42</v>
      </c>
      <c r="B428" s="6" t="s">
        <v>1326</v>
      </c>
      <c r="C428" s="6" t="s">
        <v>1972</v>
      </c>
      <c r="D428" s="6" t="s">
        <v>2292</v>
      </c>
      <c r="E428" s="6">
        <v>1</v>
      </c>
      <c r="F428" s="6" t="s">
        <v>2004</v>
      </c>
      <c r="G428" s="32" t="s">
        <v>2299</v>
      </c>
      <c r="H428" s="32" t="s">
        <v>2300</v>
      </c>
      <c r="I428" s="6" t="str">
        <f t="shared" si="16"/>
        <v>Stone Grapple</v>
      </c>
      <c r="J428" s="6" t="s">
        <v>194</v>
      </c>
      <c r="K428" s="6">
        <v>1</v>
      </c>
      <c r="L428" s="6">
        <f t="shared" si="17"/>
        <v>3050000</v>
      </c>
      <c r="M428" s="6">
        <v>2600000</v>
      </c>
      <c r="N428" s="6" t="s">
        <v>2003</v>
      </c>
      <c r="O428" s="6" t="s">
        <v>823</v>
      </c>
      <c r="P428" s="6">
        <v>2014</v>
      </c>
      <c r="Q428" s="6">
        <v>1</v>
      </c>
      <c r="R428" s="6" t="s">
        <v>45</v>
      </c>
      <c r="S428" s="31" t="s">
        <v>2113</v>
      </c>
      <c r="T428" s="6">
        <v>1</v>
      </c>
      <c r="U428" s="26">
        <v>2400000</v>
      </c>
      <c r="V428" s="26">
        <v>2400000</v>
      </c>
      <c r="W428" s="26">
        <v>2400000</v>
      </c>
      <c r="X428" s="6" t="s">
        <v>2003</v>
      </c>
      <c r="Y428" s="6" t="s">
        <v>49</v>
      </c>
      <c r="Z428" s="6">
        <v>224924</v>
      </c>
    </row>
    <row r="429" spans="1:26" x14ac:dyDescent="0.3">
      <c r="A429" s="28" t="s">
        <v>42</v>
      </c>
      <c r="B429" s="6" t="s">
        <v>1326</v>
      </c>
      <c r="C429" s="6" t="s">
        <v>1974</v>
      </c>
      <c r="D429" s="6" t="s">
        <v>2292</v>
      </c>
      <c r="E429" s="6">
        <v>1</v>
      </c>
      <c r="F429" s="6" t="s">
        <v>2004</v>
      </c>
      <c r="G429" s="32" t="s">
        <v>2299</v>
      </c>
      <c r="H429" s="32" t="s">
        <v>2300</v>
      </c>
      <c r="I429" s="6" t="str">
        <f t="shared" si="16"/>
        <v>Etc Grapple</v>
      </c>
      <c r="J429" s="6" t="s">
        <v>125</v>
      </c>
      <c r="K429" s="6">
        <v>1</v>
      </c>
      <c r="L429" s="6">
        <f t="shared" si="17"/>
        <v>7050000</v>
      </c>
      <c r="M429" s="6">
        <v>6000000</v>
      </c>
      <c r="N429" s="6" t="s">
        <v>2003</v>
      </c>
      <c r="O429" s="6" t="s">
        <v>800</v>
      </c>
      <c r="P429" s="6">
        <v>2009</v>
      </c>
      <c r="Q429" s="6">
        <v>1</v>
      </c>
      <c r="R429" s="6" t="s">
        <v>45</v>
      </c>
      <c r="S429" s="31" t="s">
        <v>2116</v>
      </c>
      <c r="T429" s="6">
        <v>1</v>
      </c>
      <c r="U429" s="26">
        <v>5500000</v>
      </c>
      <c r="V429" s="26">
        <v>5500000</v>
      </c>
      <c r="W429" s="26">
        <v>5500000</v>
      </c>
      <c r="X429" s="6" t="s">
        <v>2003</v>
      </c>
      <c r="Y429" s="6" t="s">
        <v>830</v>
      </c>
      <c r="Z429" s="6">
        <v>224928</v>
      </c>
    </row>
    <row r="430" spans="1:26" x14ac:dyDescent="0.3">
      <c r="A430" s="28" t="s">
        <v>42</v>
      </c>
      <c r="B430" s="6" t="s">
        <v>2163</v>
      </c>
      <c r="C430" s="6"/>
      <c r="D430" s="6" t="s">
        <v>2292</v>
      </c>
      <c r="E430" s="6">
        <v>1</v>
      </c>
      <c r="F430" s="6" t="s">
        <v>2004</v>
      </c>
      <c r="G430" s="32" t="s">
        <v>2299</v>
      </c>
      <c r="H430" s="32" t="s">
        <v>2300</v>
      </c>
      <c r="I430" s="6" t="str">
        <f t="shared" si="16"/>
        <v>Lift Fork</v>
      </c>
      <c r="J430" s="6" t="s">
        <v>529</v>
      </c>
      <c r="K430" s="6">
        <v>1</v>
      </c>
      <c r="L430" s="6">
        <f t="shared" si="17"/>
        <v>1410000</v>
      </c>
      <c r="M430" s="6">
        <v>1200000</v>
      </c>
      <c r="N430" s="6" t="s">
        <v>2003</v>
      </c>
      <c r="O430" s="6" t="s">
        <v>2056</v>
      </c>
      <c r="P430" s="6">
        <v>2017</v>
      </c>
      <c r="Q430" s="6">
        <v>1</v>
      </c>
      <c r="R430" s="6" t="s">
        <v>45</v>
      </c>
      <c r="S430" s="31" t="s">
        <v>2110</v>
      </c>
      <c r="T430" s="6">
        <v>1</v>
      </c>
      <c r="U430" s="26">
        <v>1100000</v>
      </c>
      <c r="V430" s="26">
        <v>1100000</v>
      </c>
      <c r="W430" s="26">
        <v>1100000</v>
      </c>
      <c r="X430" s="6" t="s">
        <v>2003</v>
      </c>
      <c r="Y430" s="6" t="s">
        <v>1155</v>
      </c>
      <c r="Z430" s="6">
        <v>224931</v>
      </c>
    </row>
    <row r="431" spans="1:26" x14ac:dyDescent="0.3">
      <c r="A431" s="28" t="s">
        <v>42</v>
      </c>
      <c r="B431" s="6" t="s">
        <v>1325</v>
      </c>
      <c r="C431" s="19" t="s">
        <v>2156</v>
      </c>
      <c r="D431" s="6" t="s">
        <v>2293</v>
      </c>
      <c r="E431" s="6">
        <v>1</v>
      </c>
      <c r="F431" s="6" t="s">
        <v>2004</v>
      </c>
      <c r="G431" s="32" t="s">
        <v>2299</v>
      </c>
      <c r="H431" s="32" t="s">
        <v>2300</v>
      </c>
      <c r="I431" s="6" t="str">
        <f t="shared" si="16"/>
        <v>Hydraulic Crusher</v>
      </c>
      <c r="J431" s="6" t="s">
        <v>76</v>
      </c>
      <c r="K431" s="6">
        <v>1</v>
      </c>
      <c r="L431" s="6">
        <f t="shared" si="17"/>
        <v>5290000</v>
      </c>
      <c r="M431" s="6">
        <v>4500000</v>
      </c>
      <c r="N431" s="6" t="s">
        <v>2003</v>
      </c>
      <c r="O431" s="6" t="s">
        <v>70</v>
      </c>
      <c r="P431" s="6">
        <v>2014</v>
      </c>
      <c r="Q431" s="6">
        <v>8</v>
      </c>
      <c r="R431" s="6" t="s">
        <v>45</v>
      </c>
      <c r="S431" s="31" t="s">
        <v>2113</v>
      </c>
      <c r="T431" s="6">
        <v>1</v>
      </c>
      <c r="U431" s="26">
        <v>4300000</v>
      </c>
      <c r="V431" s="26">
        <v>4300000</v>
      </c>
      <c r="W431" s="26">
        <v>4300000</v>
      </c>
      <c r="X431" s="6" t="s">
        <v>2003</v>
      </c>
      <c r="Y431" s="6" t="s">
        <v>71</v>
      </c>
      <c r="Z431" s="6">
        <v>224934</v>
      </c>
    </row>
    <row r="432" spans="1:26" x14ac:dyDescent="0.3">
      <c r="A432" s="28" t="s">
        <v>42</v>
      </c>
      <c r="B432" s="6" t="s">
        <v>1326</v>
      </c>
      <c r="C432" s="6" t="s">
        <v>1979</v>
      </c>
      <c r="D432" s="6" t="s">
        <v>2292</v>
      </c>
      <c r="E432" s="6">
        <v>1</v>
      </c>
      <c r="F432" s="6" t="s">
        <v>2004</v>
      </c>
      <c r="G432" s="32" t="s">
        <v>2299</v>
      </c>
      <c r="H432" s="32" t="s">
        <v>2300</v>
      </c>
      <c r="I432" s="6" t="str">
        <f t="shared" si="16"/>
        <v>Thumb Grapple</v>
      </c>
      <c r="J432" s="6" t="s">
        <v>186</v>
      </c>
      <c r="K432" s="6">
        <v>1</v>
      </c>
      <c r="L432" s="6">
        <f t="shared" si="17"/>
        <v>1410000</v>
      </c>
      <c r="M432" s="6">
        <v>1200000</v>
      </c>
      <c r="N432" s="6" t="s">
        <v>2003</v>
      </c>
      <c r="O432" s="6" t="s">
        <v>823</v>
      </c>
      <c r="P432" s="6">
        <v>2014</v>
      </c>
      <c r="Q432" s="6">
        <v>1</v>
      </c>
      <c r="R432" s="6" t="s">
        <v>45</v>
      </c>
      <c r="S432" s="31" t="s">
        <v>2113</v>
      </c>
      <c r="T432" s="6">
        <v>1</v>
      </c>
      <c r="U432" s="26">
        <v>1100000</v>
      </c>
      <c r="V432" s="26">
        <v>1100000</v>
      </c>
      <c r="W432" s="26">
        <v>1100000</v>
      </c>
      <c r="X432" s="6" t="s">
        <v>2003</v>
      </c>
      <c r="Y432" s="6" t="s">
        <v>49</v>
      </c>
      <c r="Z432" s="6">
        <v>224936</v>
      </c>
    </row>
    <row r="433" spans="1:26" x14ac:dyDescent="0.3">
      <c r="A433" s="28" t="s">
        <v>42</v>
      </c>
      <c r="B433" s="6" t="s">
        <v>1328</v>
      </c>
      <c r="C433" s="6" t="s">
        <v>1975</v>
      </c>
      <c r="D433" s="6" t="s">
        <v>2001</v>
      </c>
      <c r="E433" s="6">
        <v>1</v>
      </c>
      <c r="F433" s="6" t="s">
        <v>2004</v>
      </c>
      <c r="G433" s="32" t="s">
        <v>2299</v>
      </c>
      <c r="H433" s="32" t="s">
        <v>2300</v>
      </c>
      <c r="I433" s="6" t="str">
        <f t="shared" si="16"/>
        <v>Side Breaker</v>
      </c>
      <c r="J433" s="6" t="s">
        <v>595</v>
      </c>
      <c r="K433" s="6">
        <v>1</v>
      </c>
      <c r="L433" s="6">
        <f t="shared" si="17"/>
        <v>5520000</v>
      </c>
      <c r="M433" s="6">
        <v>4700000</v>
      </c>
      <c r="N433" s="6" t="s">
        <v>2003</v>
      </c>
      <c r="O433" s="6" t="s">
        <v>66</v>
      </c>
      <c r="P433" s="6">
        <v>2008</v>
      </c>
      <c r="Q433" s="6">
        <v>1</v>
      </c>
      <c r="R433" s="6" t="s">
        <v>45</v>
      </c>
      <c r="S433" s="31" t="s">
        <v>2118</v>
      </c>
      <c r="T433" s="6">
        <v>1</v>
      </c>
      <c r="U433" s="26">
        <v>4500000</v>
      </c>
      <c r="V433" s="26">
        <v>4500000</v>
      </c>
      <c r="W433" s="26">
        <v>4500000</v>
      </c>
      <c r="X433" s="6" t="s">
        <v>2003</v>
      </c>
      <c r="Y433" s="6" t="s">
        <v>67</v>
      </c>
      <c r="Z433" s="6">
        <v>224937</v>
      </c>
    </row>
    <row r="434" spans="1:26" x14ac:dyDescent="0.3">
      <c r="A434" s="28" t="s">
        <v>42</v>
      </c>
      <c r="B434" s="6" t="s">
        <v>1326</v>
      </c>
      <c r="C434" s="6" t="s">
        <v>1979</v>
      </c>
      <c r="D434" s="6" t="s">
        <v>2292</v>
      </c>
      <c r="E434" s="6">
        <v>1</v>
      </c>
      <c r="F434" s="6" t="s">
        <v>2004</v>
      </c>
      <c r="G434" s="32" t="s">
        <v>2299</v>
      </c>
      <c r="H434" s="32" t="s">
        <v>2300</v>
      </c>
      <c r="I434" s="6" t="str">
        <f t="shared" si="16"/>
        <v>Thumb Grapple</v>
      </c>
      <c r="J434" s="6" t="s">
        <v>152</v>
      </c>
      <c r="K434" s="6">
        <v>1</v>
      </c>
      <c r="L434" s="6">
        <f t="shared" si="17"/>
        <v>940000</v>
      </c>
      <c r="M434" s="6">
        <v>800000</v>
      </c>
      <c r="N434" s="6" t="s">
        <v>2003</v>
      </c>
      <c r="O434" s="6" t="s">
        <v>823</v>
      </c>
      <c r="P434" s="6">
        <v>2013</v>
      </c>
      <c r="Q434" s="6">
        <v>1</v>
      </c>
      <c r="R434" s="6" t="s">
        <v>45</v>
      </c>
      <c r="S434" s="31" t="s">
        <v>2113</v>
      </c>
      <c r="T434" s="6">
        <v>1</v>
      </c>
      <c r="U434" s="26">
        <v>700000</v>
      </c>
      <c r="V434" s="26">
        <v>700000</v>
      </c>
      <c r="W434" s="26">
        <v>700000</v>
      </c>
      <c r="X434" s="6" t="s">
        <v>2003</v>
      </c>
      <c r="Y434" s="6" t="s">
        <v>49</v>
      </c>
      <c r="Z434" s="6">
        <v>224939</v>
      </c>
    </row>
    <row r="435" spans="1:26" x14ac:dyDescent="0.3">
      <c r="A435" s="28" t="s">
        <v>42</v>
      </c>
      <c r="B435" s="6" t="s">
        <v>1326</v>
      </c>
      <c r="C435" s="6" t="s">
        <v>1979</v>
      </c>
      <c r="D435" s="6" t="s">
        <v>2292</v>
      </c>
      <c r="E435" s="6">
        <v>1</v>
      </c>
      <c r="F435" s="6" t="s">
        <v>2004</v>
      </c>
      <c r="G435" s="32" t="s">
        <v>2299</v>
      </c>
      <c r="H435" s="32" t="s">
        <v>2300</v>
      </c>
      <c r="I435" s="6" t="str">
        <f t="shared" si="16"/>
        <v>Thumb Grapple</v>
      </c>
      <c r="J435" s="6" t="s">
        <v>251</v>
      </c>
      <c r="K435" s="6">
        <v>1</v>
      </c>
      <c r="L435" s="6">
        <f t="shared" si="17"/>
        <v>940000</v>
      </c>
      <c r="M435" s="6">
        <v>800000</v>
      </c>
      <c r="N435" s="6" t="s">
        <v>2003</v>
      </c>
      <c r="O435" s="6" t="s">
        <v>823</v>
      </c>
      <c r="P435" s="6">
        <v>2013</v>
      </c>
      <c r="Q435" s="6">
        <v>1</v>
      </c>
      <c r="R435" s="6" t="s">
        <v>45</v>
      </c>
      <c r="S435" s="31" t="s">
        <v>2113</v>
      </c>
      <c r="T435" s="6">
        <v>1</v>
      </c>
      <c r="U435" s="26">
        <v>700000</v>
      </c>
      <c r="V435" s="26">
        <v>700000</v>
      </c>
      <c r="W435" s="26">
        <v>700000</v>
      </c>
      <c r="X435" s="6" t="s">
        <v>2003</v>
      </c>
      <c r="Y435" s="6" t="s">
        <v>49</v>
      </c>
      <c r="Z435" s="6">
        <v>224942</v>
      </c>
    </row>
    <row r="436" spans="1:26" x14ac:dyDescent="0.3">
      <c r="A436" s="28" t="s">
        <v>42</v>
      </c>
      <c r="B436" s="6" t="s">
        <v>1326</v>
      </c>
      <c r="C436" s="6" t="s">
        <v>1972</v>
      </c>
      <c r="D436" s="6" t="s">
        <v>2001</v>
      </c>
      <c r="E436" s="6">
        <v>1</v>
      </c>
      <c r="F436" s="6" t="s">
        <v>2004</v>
      </c>
      <c r="G436" s="32" t="s">
        <v>2299</v>
      </c>
      <c r="H436" s="32" t="s">
        <v>2300</v>
      </c>
      <c r="I436" s="6" t="str">
        <f t="shared" si="16"/>
        <v>Stone Grapple</v>
      </c>
      <c r="J436" s="6" t="s">
        <v>203</v>
      </c>
      <c r="K436" s="6">
        <v>1</v>
      </c>
      <c r="L436" s="6">
        <f t="shared" si="17"/>
        <v>6470000</v>
      </c>
      <c r="M436" s="6">
        <v>5500000</v>
      </c>
      <c r="N436" s="6" t="s">
        <v>2003</v>
      </c>
      <c r="O436" s="6" t="s">
        <v>985</v>
      </c>
      <c r="P436" s="6">
        <v>2013</v>
      </c>
      <c r="Q436" s="6">
        <v>1</v>
      </c>
      <c r="R436" s="6" t="s">
        <v>45</v>
      </c>
      <c r="S436" s="31" t="s">
        <v>2117</v>
      </c>
      <c r="T436" s="6">
        <v>1</v>
      </c>
      <c r="U436" s="26">
        <v>5000000</v>
      </c>
      <c r="V436" s="26">
        <v>5000000</v>
      </c>
      <c r="W436" s="26">
        <v>5000000</v>
      </c>
      <c r="X436" s="6" t="s">
        <v>2003</v>
      </c>
      <c r="Y436" s="6" t="s">
        <v>1240</v>
      </c>
      <c r="Z436" s="6">
        <v>224957</v>
      </c>
    </row>
    <row r="437" spans="1:26" x14ac:dyDescent="0.3">
      <c r="A437" s="28" t="s">
        <v>42</v>
      </c>
      <c r="B437" s="6" t="s">
        <v>1328</v>
      </c>
      <c r="C437" s="6" t="s">
        <v>1975</v>
      </c>
      <c r="D437" s="6" t="s">
        <v>2292</v>
      </c>
      <c r="E437" s="6">
        <v>1</v>
      </c>
      <c r="F437" s="6" t="s">
        <v>2004</v>
      </c>
      <c r="G437" s="32" t="s">
        <v>2299</v>
      </c>
      <c r="H437" s="32" t="s">
        <v>2300</v>
      </c>
      <c r="I437" s="6" t="str">
        <f t="shared" si="16"/>
        <v>Side Breaker</v>
      </c>
      <c r="J437" s="6" t="s">
        <v>440</v>
      </c>
      <c r="K437" s="6">
        <v>1</v>
      </c>
      <c r="L437" s="6">
        <f t="shared" si="17"/>
        <v>7050000</v>
      </c>
      <c r="M437" s="6">
        <v>6000000</v>
      </c>
      <c r="N437" s="6" t="s">
        <v>2003</v>
      </c>
      <c r="O437" s="6" t="s">
        <v>823</v>
      </c>
      <c r="P437" s="6">
        <v>2016</v>
      </c>
      <c r="Q437" s="6">
        <v>1</v>
      </c>
      <c r="R437" s="6" t="s">
        <v>45</v>
      </c>
      <c r="S437" s="31" t="s">
        <v>2113</v>
      </c>
      <c r="T437" s="6">
        <v>1</v>
      </c>
      <c r="U437" s="26">
        <v>5500000</v>
      </c>
      <c r="V437" s="26">
        <v>5500000</v>
      </c>
      <c r="W437" s="26">
        <v>5500000</v>
      </c>
      <c r="X437" s="6" t="s">
        <v>2003</v>
      </c>
      <c r="Y437" s="6" t="s">
        <v>49</v>
      </c>
      <c r="Z437" s="6">
        <v>224960</v>
      </c>
    </row>
    <row r="438" spans="1:26" x14ac:dyDescent="0.3">
      <c r="A438" s="28" t="s">
        <v>42</v>
      </c>
      <c r="B438" s="6" t="s">
        <v>2247</v>
      </c>
      <c r="C438" s="6" t="s">
        <v>2248</v>
      </c>
      <c r="D438" s="6" t="s">
        <v>2290</v>
      </c>
      <c r="E438" s="6">
        <v>1</v>
      </c>
      <c r="F438" s="6" t="s">
        <v>2004</v>
      </c>
      <c r="G438" s="32" t="s">
        <v>2299</v>
      </c>
      <c r="H438" s="32" t="s">
        <v>2300</v>
      </c>
      <c r="I438" s="6" t="str">
        <f t="shared" si="16"/>
        <v>Hydraulic Crusher</v>
      </c>
      <c r="J438" s="6" t="s">
        <v>596</v>
      </c>
      <c r="K438" s="6">
        <v>1</v>
      </c>
      <c r="L438" s="6">
        <f t="shared" si="17"/>
        <v>3760000</v>
      </c>
      <c r="M438" s="6">
        <v>3200000</v>
      </c>
      <c r="N438" s="6" t="s">
        <v>2003</v>
      </c>
      <c r="O438" s="6" t="s">
        <v>986</v>
      </c>
      <c r="P438" s="6">
        <v>2017</v>
      </c>
      <c r="Q438" s="6">
        <v>12</v>
      </c>
      <c r="R438" s="6" t="s">
        <v>45</v>
      </c>
      <c r="S438" s="31" t="s">
        <v>2122</v>
      </c>
      <c r="T438" s="6">
        <v>1</v>
      </c>
      <c r="U438" s="26">
        <v>3000000</v>
      </c>
      <c r="V438" s="26">
        <v>3000000</v>
      </c>
      <c r="W438" s="26">
        <v>3000000</v>
      </c>
      <c r="X438" s="6" t="s">
        <v>2003</v>
      </c>
      <c r="Y438" s="6" t="s">
        <v>1256</v>
      </c>
      <c r="Z438" s="6">
        <v>224964</v>
      </c>
    </row>
    <row r="439" spans="1:26" x14ac:dyDescent="0.3">
      <c r="A439" s="28" t="s">
        <v>42</v>
      </c>
      <c r="B439" s="6" t="s">
        <v>1327</v>
      </c>
      <c r="C439" s="19" t="s">
        <v>1982</v>
      </c>
      <c r="D439" s="6" t="s">
        <v>2291</v>
      </c>
      <c r="E439" s="6">
        <v>1</v>
      </c>
      <c r="F439" s="6" t="s">
        <v>2004</v>
      </c>
      <c r="G439" s="32" t="s">
        <v>2299</v>
      </c>
      <c r="H439" s="32" t="s">
        <v>2300</v>
      </c>
      <c r="I439" s="6" t="str">
        <f t="shared" si="16"/>
        <v>Standard Bucket</v>
      </c>
      <c r="J439" s="6" t="s">
        <v>597</v>
      </c>
      <c r="K439" s="6">
        <v>1</v>
      </c>
      <c r="L439" s="6">
        <f t="shared" si="17"/>
        <v>760000</v>
      </c>
      <c r="M439" s="6">
        <v>650000</v>
      </c>
      <c r="N439" s="6" t="s">
        <v>2003</v>
      </c>
      <c r="O439" s="6" t="s">
        <v>988</v>
      </c>
      <c r="P439" s="6">
        <v>2015</v>
      </c>
      <c r="Q439" s="6">
        <v>1</v>
      </c>
      <c r="R439" s="6" t="s">
        <v>45</v>
      </c>
      <c r="S439" s="31" t="s">
        <v>2123</v>
      </c>
      <c r="T439" s="6">
        <v>1</v>
      </c>
      <c r="U439" s="26">
        <v>550000</v>
      </c>
      <c r="V439" s="26">
        <v>550000</v>
      </c>
      <c r="W439" s="26">
        <v>550000</v>
      </c>
      <c r="X439" s="6" t="s">
        <v>2003</v>
      </c>
      <c r="Y439" s="6" t="s">
        <v>1285</v>
      </c>
      <c r="Z439" s="6">
        <v>224973</v>
      </c>
    </row>
    <row r="440" spans="1:26" x14ac:dyDescent="0.3">
      <c r="A440" s="28" t="s">
        <v>42</v>
      </c>
      <c r="B440" s="6" t="s">
        <v>1326</v>
      </c>
      <c r="C440" s="6" t="s">
        <v>1984</v>
      </c>
      <c r="D440" s="6" t="s">
        <v>2290</v>
      </c>
      <c r="E440" s="6">
        <v>1</v>
      </c>
      <c r="F440" s="6" t="s">
        <v>2004</v>
      </c>
      <c r="G440" s="32" t="s">
        <v>2299</v>
      </c>
      <c r="H440" s="32" t="s">
        <v>2300</v>
      </c>
      <c r="I440" s="6" t="str">
        <f t="shared" si="16"/>
        <v>Scrap Grapple</v>
      </c>
      <c r="J440" s="6" t="s">
        <v>221</v>
      </c>
      <c r="K440" s="6">
        <v>1</v>
      </c>
      <c r="L440" s="6">
        <f t="shared" si="17"/>
        <v>6470000</v>
      </c>
      <c r="M440" s="6">
        <v>5500000</v>
      </c>
      <c r="N440" s="6" t="s">
        <v>2003</v>
      </c>
      <c r="O440" s="6" t="s">
        <v>789</v>
      </c>
      <c r="P440" s="6">
        <v>2009</v>
      </c>
      <c r="Q440" s="6">
        <v>1</v>
      </c>
      <c r="R440" s="6" t="s">
        <v>45</v>
      </c>
      <c r="S440" s="31" t="s">
        <v>2122</v>
      </c>
      <c r="T440" s="6">
        <v>1</v>
      </c>
      <c r="U440" s="26">
        <v>5000000</v>
      </c>
      <c r="V440" s="26">
        <v>5000000</v>
      </c>
      <c r="W440" s="26">
        <v>5000000</v>
      </c>
      <c r="X440" s="6" t="s">
        <v>2003</v>
      </c>
      <c r="Y440" s="6" t="s">
        <v>65</v>
      </c>
      <c r="Z440" s="6">
        <v>224974</v>
      </c>
    </row>
    <row r="441" spans="1:26" x14ac:dyDescent="0.3">
      <c r="A441" s="28" t="s">
        <v>42</v>
      </c>
      <c r="B441" s="6" t="s">
        <v>1328</v>
      </c>
      <c r="C441" s="6" t="s">
        <v>1975</v>
      </c>
      <c r="D441" s="6" t="s">
        <v>2001</v>
      </c>
      <c r="E441" s="6">
        <v>1</v>
      </c>
      <c r="F441" s="6" t="s">
        <v>2004</v>
      </c>
      <c r="G441" s="32" t="s">
        <v>2299</v>
      </c>
      <c r="H441" s="32" t="s">
        <v>2300</v>
      </c>
      <c r="I441" s="6" t="str">
        <f t="shared" si="16"/>
        <v>Side Breaker</v>
      </c>
      <c r="J441" s="6" t="s">
        <v>598</v>
      </c>
      <c r="K441" s="6">
        <v>1</v>
      </c>
      <c r="L441" s="6">
        <f t="shared" si="17"/>
        <v>18230000</v>
      </c>
      <c r="M441" s="6">
        <v>15500000</v>
      </c>
      <c r="N441" s="6" t="s">
        <v>2003</v>
      </c>
      <c r="O441" s="6" t="s">
        <v>963</v>
      </c>
      <c r="P441" s="6">
        <v>2015</v>
      </c>
      <c r="Q441" s="6">
        <v>1</v>
      </c>
      <c r="R441" s="6" t="s">
        <v>45</v>
      </c>
      <c r="S441" s="31" t="s">
        <v>2110</v>
      </c>
      <c r="T441" s="6">
        <v>1</v>
      </c>
      <c r="U441" s="26">
        <v>15000000</v>
      </c>
      <c r="V441" s="26">
        <v>15000000</v>
      </c>
      <c r="W441" s="26">
        <v>15000000</v>
      </c>
      <c r="X441" s="6" t="s">
        <v>2003</v>
      </c>
      <c r="Y441" s="6" t="s">
        <v>1278</v>
      </c>
      <c r="Z441" s="6">
        <v>224982</v>
      </c>
    </row>
    <row r="442" spans="1:26" x14ac:dyDescent="0.3">
      <c r="A442" s="28" t="s">
        <v>42</v>
      </c>
      <c r="B442" s="6" t="s">
        <v>1327</v>
      </c>
      <c r="C442" s="19" t="s">
        <v>1982</v>
      </c>
      <c r="D442" s="6" t="s">
        <v>2001</v>
      </c>
      <c r="E442" s="6">
        <v>1</v>
      </c>
      <c r="F442" s="6" t="s">
        <v>2004</v>
      </c>
      <c r="G442" s="32" t="s">
        <v>2299</v>
      </c>
      <c r="H442" s="32" t="s">
        <v>2300</v>
      </c>
      <c r="I442" s="6" t="str">
        <f t="shared" si="16"/>
        <v>Standard Bucket</v>
      </c>
      <c r="J442" s="6" t="s">
        <v>574</v>
      </c>
      <c r="K442" s="6">
        <v>1</v>
      </c>
      <c r="L442" s="6">
        <f t="shared" si="17"/>
        <v>1880000</v>
      </c>
      <c r="M442" s="6">
        <v>1600000</v>
      </c>
      <c r="N442" s="6" t="s">
        <v>2003</v>
      </c>
      <c r="O442" s="6" t="s">
        <v>989</v>
      </c>
      <c r="P442" s="6">
        <v>2009</v>
      </c>
      <c r="Q442" s="6">
        <v>6</v>
      </c>
      <c r="R442" s="6" t="s">
        <v>45</v>
      </c>
      <c r="S442" s="31" t="s">
        <v>2120</v>
      </c>
      <c r="T442" s="6">
        <v>1</v>
      </c>
      <c r="U442" s="26">
        <v>1500000</v>
      </c>
      <c r="V442" s="26">
        <v>1500000</v>
      </c>
      <c r="W442" s="26">
        <v>1500000</v>
      </c>
      <c r="X442" s="6" t="s">
        <v>2003</v>
      </c>
      <c r="Y442" s="6" t="s">
        <v>1205</v>
      </c>
      <c r="Z442" s="6">
        <v>224983</v>
      </c>
    </row>
    <row r="443" spans="1:26" x14ac:dyDescent="0.3">
      <c r="A443" s="28" t="s">
        <v>42</v>
      </c>
      <c r="B443" s="6" t="s">
        <v>1328</v>
      </c>
      <c r="C443" s="6" t="s">
        <v>1975</v>
      </c>
      <c r="D443" s="6" t="s">
        <v>2001</v>
      </c>
      <c r="E443" s="6">
        <v>1</v>
      </c>
      <c r="F443" s="6" t="s">
        <v>2004</v>
      </c>
      <c r="G443" s="32" t="s">
        <v>2299</v>
      </c>
      <c r="H443" s="32" t="s">
        <v>2300</v>
      </c>
      <c r="I443" s="6" t="str">
        <f t="shared" si="16"/>
        <v>Side Breaker</v>
      </c>
      <c r="J443" s="6" t="s">
        <v>599</v>
      </c>
      <c r="K443" s="6">
        <v>1</v>
      </c>
      <c r="L443" s="6">
        <f t="shared" si="17"/>
        <v>10580000</v>
      </c>
      <c r="M443" s="6">
        <v>9000000</v>
      </c>
      <c r="N443" s="6" t="s">
        <v>2003</v>
      </c>
      <c r="O443" s="6" t="s">
        <v>834</v>
      </c>
      <c r="P443" s="6">
        <v>2010</v>
      </c>
      <c r="Q443" s="6">
        <v>1</v>
      </c>
      <c r="R443" s="6" t="s">
        <v>45</v>
      </c>
      <c r="S443" s="31" t="s">
        <v>2123</v>
      </c>
      <c r="T443" s="6">
        <v>1</v>
      </c>
      <c r="U443" s="26">
        <v>8500000</v>
      </c>
      <c r="V443" s="26">
        <v>8500000</v>
      </c>
      <c r="W443" s="26">
        <v>8500000</v>
      </c>
      <c r="X443" s="6" t="s">
        <v>2003</v>
      </c>
      <c r="Y443" s="6" t="s">
        <v>1167</v>
      </c>
      <c r="Z443" s="6">
        <v>224984</v>
      </c>
    </row>
    <row r="444" spans="1:26" x14ac:dyDescent="0.3">
      <c r="A444" s="28" t="s">
        <v>42</v>
      </c>
      <c r="B444" s="6" t="s">
        <v>1326</v>
      </c>
      <c r="C444" s="6" t="s">
        <v>1972</v>
      </c>
      <c r="D444" s="6" t="s">
        <v>2292</v>
      </c>
      <c r="E444" s="6">
        <v>1</v>
      </c>
      <c r="F444" s="6" t="s">
        <v>2004</v>
      </c>
      <c r="G444" s="32" t="s">
        <v>2299</v>
      </c>
      <c r="H444" s="32" t="s">
        <v>2300</v>
      </c>
      <c r="I444" s="6" t="str">
        <f t="shared" si="16"/>
        <v>Stone Grapple</v>
      </c>
      <c r="J444" s="6" t="s">
        <v>58</v>
      </c>
      <c r="K444" s="6">
        <v>1</v>
      </c>
      <c r="L444" s="6">
        <f t="shared" si="17"/>
        <v>2940000</v>
      </c>
      <c r="M444" s="6">
        <v>2500000</v>
      </c>
      <c r="N444" s="6" t="s">
        <v>2003</v>
      </c>
      <c r="O444" s="6" t="s">
        <v>823</v>
      </c>
      <c r="P444" s="6">
        <v>2014</v>
      </c>
      <c r="Q444" s="6">
        <v>1</v>
      </c>
      <c r="R444" s="6" t="s">
        <v>45</v>
      </c>
      <c r="S444" s="31" t="s">
        <v>2113</v>
      </c>
      <c r="T444" s="6">
        <v>1</v>
      </c>
      <c r="U444" s="26">
        <v>2300000</v>
      </c>
      <c r="V444" s="26">
        <v>2300000</v>
      </c>
      <c r="W444" s="26">
        <v>2300000</v>
      </c>
      <c r="X444" s="6" t="s">
        <v>2003</v>
      </c>
      <c r="Y444" s="6" t="s">
        <v>49</v>
      </c>
      <c r="Z444" s="6">
        <v>224988</v>
      </c>
    </row>
    <row r="445" spans="1:26" x14ac:dyDescent="0.3">
      <c r="A445" s="28" t="s">
        <v>42</v>
      </c>
      <c r="B445" s="6" t="s">
        <v>1326</v>
      </c>
      <c r="C445" s="6" t="s">
        <v>1979</v>
      </c>
      <c r="D445" s="6" t="s">
        <v>2292</v>
      </c>
      <c r="E445" s="6">
        <v>1</v>
      </c>
      <c r="F445" s="6" t="s">
        <v>2004</v>
      </c>
      <c r="G445" s="32" t="s">
        <v>2299</v>
      </c>
      <c r="H445" s="32" t="s">
        <v>2300</v>
      </c>
      <c r="I445" s="6" t="str">
        <f t="shared" si="16"/>
        <v>Thumb Grapple</v>
      </c>
      <c r="J445" s="6" t="s">
        <v>117</v>
      </c>
      <c r="K445" s="6">
        <v>1</v>
      </c>
      <c r="L445" s="6">
        <f t="shared" si="17"/>
        <v>1410000</v>
      </c>
      <c r="M445" s="6">
        <v>1200000</v>
      </c>
      <c r="N445" s="6" t="s">
        <v>2003</v>
      </c>
      <c r="O445" s="6" t="s">
        <v>823</v>
      </c>
      <c r="P445" s="6">
        <v>2014</v>
      </c>
      <c r="Q445" s="6">
        <v>1</v>
      </c>
      <c r="R445" s="6" t="s">
        <v>45</v>
      </c>
      <c r="S445" s="31" t="s">
        <v>2113</v>
      </c>
      <c r="T445" s="6">
        <v>1</v>
      </c>
      <c r="U445" s="26">
        <v>1100000</v>
      </c>
      <c r="V445" s="26">
        <v>1100000</v>
      </c>
      <c r="W445" s="26">
        <v>1100000</v>
      </c>
      <c r="X445" s="6" t="s">
        <v>2003</v>
      </c>
      <c r="Y445" s="6" t="s">
        <v>49</v>
      </c>
      <c r="Z445" s="6">
        <v>224995</v>
      </c>
    </row>
    <row r="446" spans="1:26" x14ac:dyDescent="0.3">
      <c r="A446" s="28" t="s">
        <v>42</v>
      </c>
      <c r="B446" s="6" t="s">
        <v>1337</v>
      </c>
      <c r="C446" s="6"/>
      <c r="D446" s="6" t="s">
        <v>2295</v>
      </c>
      <c r="E446" s="6">
        <v>1</v>
      </c>
      <c r="F446" s="6" t="s">
        <v>2004</v>
      </c>
      <c r="G446" s="32" t="s">
        <v>2299</v>
      </c>
      <c r="H446" s="32" t="s">
        <v>2300</v>
      </c>
      <c r="I446" s="6" t="str">
        <f t="shared" si="16"/>
        <v>ETC</v>
      </c>
      <c r="J446" s="6" t="s">
        <v>378</v>
      </c>
      <c r="K446" s="6">
        <v>1</v>
      </c>
      <c r="L446" s="6">
        <f t="shared" si="17"/>
        <v>2940000</v>
      </c>
      <c r="M446" s="6">
        <v>2500000</v>
      </c>
      <c r="N446" s="6" t="s">
        <v>2003</v>
      </c>
      <c r="O446" s="6" t="s">
        <v>991</v>
      </c>
      <c r="P446" s="6">
        <v>2016</v>
      </c>
      <c r="Q446" s="6">
        <v>5</v>
      </c>
      <c r="R446" s="6" t="s">
        <v>45</v>
      </c>
      <c r="S446" s="31" t="s">
        <v>2113</v>
      </c>
      <c r="T446" s="6">
        <v>1</v>
      </c>
      <c r="U446" s="26">
        <v>2300000</v>
      </c>
      <c r="V446" s="26">
        <v>2300000</v>
      </c>
      <c r="W446" s="26">
        <v>2300000</v>
      </c>
      <c r="X446" s="6" t="s">
        <v>2003</v>
      </c>
      <c r="Y446" s="6" t="s">
        <v>71</v>
      </c>
      <c r="Z446" s="6">
        <v>225000</v>
      </c>
    </row>
    <row r="447" spans="1:26" x14ac:dyDescent="0.3">
      <c r="A447" s="28" t="s">
        <v>42</v>
      </c>
      <c r="B447" s="6" t="s">
        <v>2245</v>
      </c>
      <c r="C447" s="6" t="s">
        <v>2246</v>
      </c>
      <c r="D447" s="6" t="s">
        <v>2289</v>
      </c>
      <c r="E447" s="6">
        <v>1</v>
      </c>
      <c r="F447" s="6" t="s">
        <v>2004</v>
      </c>
      <c r="G447" s="32" t="s">
        <v>2299</v>
      </c>
      <c r="H447" s="32" t="s">
        <v>2300</v>
      </c>
      <c r="I447" s="6" t="str">
        <f t="shared" si="16"/>
        <v>Side Breaker</v>
      </c>
      <c r="J447" s="6" t="s">
        <v>126</v>
      </c>
      <c r="K447" s="6">
        <v>1</v>
      </c>
      <c r="L447" s="6">
        <f t="shared" si="17"/>
        <v>10000000</v>
      </c>
      <c r="M447" s="6">
        <v>8500000</v>
      </c>
      <c r="N447" s="6" t="s">
        <v>2003</v>
      </c>
      <c r="O447" s="6" t="s">
        <v>992</v>
      </c>
      <c r="P447" s="6">
        <v>2011</v>
      </c>
      <c r="Q447" s="6">
        <v>1</v>
      </c>
      <c r="R447" s="6" t="s">
        <v>45</v>
      </c>
      <c r="S447" s="31" t="s">
        <v>2118</v>
      </c>
      <c r="T447" s="6">
        <v>1</v>
      </c>
      <c r="U447" s="26">
        <v>8000000</v>
      </c>
      <c r="V447" s="26">
        <v>8000000</v>
      </c>
      <c r="W447" s="26">
        <v>8000000</v>
      </c>
      <c r="X447" s="6" t="s">
        <v>2003</v>
      </c>
      <c r="Y447" s="6" t="s">
        <v>63</v>
      </c>
      <c r="Z447" s="6">
        <v>225001</v>
      </c>
    </row>
    <row r="448" spans="1:26" x14ac:dyDescent="0.3">
      <c r="A448" s="28" t="s">
        <v>42</v>
      </c>
      <c r="B448" s="6" t="s">
        <v>1326</v>
      </c>
      <c r="C448" s="6" t="s">
        <v>1972</v>
      </c>
      <c r="D448" s="6" t="s">
        <v>2291</v>
      </c>
      <c r="E448" s="6">
        <v>1</v>
      </c>
      <c r="F448" s="6" t="s">
        <v>2004</v>
      </c>
      <c r="G448" s="32" t="s">
        <v>2299</v>
      </c>
      <c r="H448" s="32" t="s">
        <v>2300</v>
      </c>
      <c r="I448" s="6" t="str">
        <f t="shared" si="16"/>
        <v>Stone Grapple</v>
      </c>
      <c r="J448" s="6" t="s">
        <v>149</v>
      </c>
      <c r="K448" s="6">
        <v>1</v>
      </c>
      <c r="L448" s="6">
        <f t="shared" si="17"/>
        <v>1640000</v>
      </c>
      <c r="M448" s="6">
        <v>1400000</v>
      </c>
      <c r="N448" s="6" t="s">
        <v>2003</v>
      </c>
      <c r="O448" s="6" t="s">
        <v>2007</v>
      </c>
      <c r="P448" s="6">
        <v>2015</v>
      </c>
      <c r="Q448" s="6">
        <v>1</v>
      </c>
      <c r="R448" s="6" t="s">
        <v>45</v>
      </c>
      <c r="S448" s="31" t="s">
        <v>2113</v>
      </c>
      <c r="T448" s="6">
        <v>1</v>
      </c>
      <c r="U448" s="26">
        <v>1300000</v>
      </c>
      <c r="V448" s="26">
        <v>1300000</v>
      </c>
      <c r="W448" s="26">
        <v>1300000</v>
      </c>
      <c r="X448" s="6" t="s">
        <v>2003</v>
      </c>
      <c r="Y448" s="6" t="s">
        <v>49</v>
      </c>
      <c r="Z448" s="6">
        <v>225018</v>
      </c>
    </row>
    <row r="449" spans="1:26" x14ac:dyDescent="0.3">
      <c r="A449" s="28" t="s">
        <v>42</v>
      </c>
      <c r="B449" s="6" t="s">
        <v>1328</v>
      </c>
      <c r="C449" s="6" t="s">
        <v>1975</v>
      </c>
      <c r="D449" s="6" t="s">
        <v>2291</v>
      </c>
      <c r="E449" s="6">
        <v>1</v>
      </c>
      <c r="F449" s="6" t="s">
        <v>2004</v>
      </c>
      <c r="G449" s="32" t="s">
        <v>2299</v>
      </c>
      <c r="H449" s="32" t="s">
        <v>2300</v>
      </c>
      <c r="I449" s="6" t="str">
        <f t="shared" si="16"/>
        <v>Side Breaker</v>
      </c>
      <c r="J449" s="6" t="s">
        <v>664</v>
      </c>
      <c r="K449" s="6">
        <v>1</v>
      </c>
      <c r="L449" s="6">
        <f t="shared" si="17"/>
        <v>2230000</v>
      </c>
      <c r="M449" s="6">
        <v>1900000</v>
      </c>
      <c r="N449" s="6" t="s">
        <v>2003</v>
      </c>
      <c r="O449" s="6" t="s">
        <v>1866</v>
      </c>
      <c r="P449" s="6">
        <v>2014</v>
      </c>
      <c r="Q449" s="6">
        <v>1</v>
      </c>
      <c r="R449" s="6" t="s">
        <v>45</v>
      </c>
      <c r="S449" s="31" t="s">
        <v>2118</v>
      </c>
      <c r="T449" s="6">
        <v>1</v>
      </c>
      <c r="U449" s="26">
        <v>1800000</v>
      </c>
      <c r="V449" s="26">
        <v>1800000</v>
      </c>
      <c r="W449" s="26">
        <v>1800000</v>
      </c>
      <c r="X449" s="6" t="s">
        <v>2003</v>
      </c>
      <c r="Y449" s="6" t="s">
        <v>1211</v>
      </c>
      <c r="Z449" s="6">
        <v>225033</v>
      </c>
    </row>
    <row r="450" spans="1:26" x14ac:dyDescent="0.3">
      <c r="A450" s="28" t="s">
        <v>42</v>
      </c>
      <c r="B450" s="6" t="s">
        <v>1327</v>
      </c>
      <c r="C450" s="19" t="s">
        <v>1982</v>
      </c>
      <c r="D450" s="6" t="s">
        <v>2289</v>
      </c>
      <c r="E450" s="6">
        <v>1</v>
      </c>
      <c r="F450" s="6" t="s">
        <v>2004</v>
      </c>
      <c r="G450" s="32" t="s">
        <v>2299</v>
      </c>
      <c r="H450" s="32" t="s">
        <v>2300</v>
      </c>
      <c r="I450" s="6" t="str">
        <f t="shared" si="16"/>
        <v>Standard Bucket</v>
      </c>
      <c r="J450" s="6" t="s">
        <v>376</v>
      </c>
      <c r="K450" s="6">
        <v>1</v>
      </c>
      <c r="L450" s="6">
        <f t="shared" si="17"/>
        <v>1880000</v>
      </c>
      <c r="M450" s="6">
        <v>1600000</v>
      </c>
      <c r="N450" s="6" t="s">
        <v>2003</v>
      </c>
      <c r="O450" s="6" t="s">
        <v>813</v>
      </c>
      <c r="P450" s="6">
        <v>2013</v>
      </c>
      <c r="Q450" s="6">
        <v>1</v>
      </c>
      <c r="R450" s="6" t="s">
        <v>45</v>
      </c>
      <c r="S450" s="31" t="s">
        <v>2113</v>
      </c>
      <c r="T450" s="6">
        <v>1</v>
      </c>
      <c r="U450" s="26">
        <v>1500000</v>
      </c>
      <c r="V450" s="26">
        <v>1500000</v>
      </c>
      <c r="W450" s="26">
        <v>1500000</v>
      </c>
      <c r="X450" s="6" t="s">
        <v>2003</v>
      </c>
      <c r="Y450" s="6" t="s">
        <v>79</v>
      </c>
      <c r="Z450" s="6">
        <v>225039</v>
      </c>
    </row>
    <row r="451" spans="1:26" x14ac:dyDescent="0.3">
      <c r="A451" s="28" t="s">
        <v>42</v>
      </c>
      <c r="B451" s="6" t="s">
        <v>1328</v>
      </c>
      <c r="C451" s="6" t="s">
        <v>1975</v>
      </c>
      <c r="D451" s="6" t="s">
        <v>2292</v>
      </c>
      <c r="E451" s="6">
        <v>1</v>
      </c>
      <c r="F451" s="6" t="s">
        <v>2004</v>
      </c>
      <c r="G451" s="32" t="s">
        <v>2299</v>
      </c>
      <c r="H451" s="32" t="s">
        <v>2300</v>
      </c>
      <c r="I451" s="6" t="str">
        <f t="shared" si="16"/>
        <v>Side Breaker</v>
      </c>
      <c r="J451" s="6" t="s">
        <v>592</v>
      </c>
      <c r="K451" s="6">
        <v>1</v>
      </c>
      <c r="L451" s="6">
        <f t="shared" si="17"/>
        <v>5520000</v>
      </c>
      <c r="M451" s="6">
        <v>4700000</v>
      </c>
      <c r="N451" s="6" t="s">
        <v>2003</v>
      </c>
      <c r="O451" s="6" t="s">
        <v>70</v>
      </c>
      <c r="P451" s="6">
        <v>2015</v>
      </c>
      <c r="Q451" s="6">
        <v>1</v>
      </c>
      <c r="R451" s="6" t="s">
        <v>45</v>
      </c>
      <c r="S451" s="31" t="s">
        <v>2113</v>
      </c>
      <c r="T451" s="6">
        <v>1</v>
      </c>
      <c r="U451" s="26">
        <v>4500000</v>
      </c>
      <c r="V451" s="26">
        <v>4500000</v>
      </c>
      <c r="W451" s="26">
        <v>4500000</v>
      </c>
      <c r="X451" s="6" t="s">
        <v>2003</v>
      </c>
      <c r="Y451" s="6" t="s">
        <v>71</v>
      </c>
      <c r="Z451" s="6">
        <v>225040</v>
      </c>
    </row>
    <row r="452" spans="1:26" x14ac:dyDescent="0.3">
      <c r="A452" s="28" t="s">
        <v>42</v>
      </c>
      <c r="B452" s="6" t="s">
        <v>2200</v>
      </c>
      <c r="C452" s="6"/>
      <c r="D452" s="6" t="s">
        <v>2001</v>
      </c>
      <c r="E452" s="6">
        <v>1</v>
      </c>
      <c r="F452" s="6" t="s">
        <v>2004</v>
      </c>
      <c r="G452" s="32" t="s">
        <v>2299</v>
      </c>
      <c r="H452" s="32" t="s">
        <v>2300</v>
      </c>
      <c r="I452" s="6" t="str">
        <f t="shared" si="16"/>
        <v>Core Drill</v>
      </c>
      <c r="J452" s="6" t="s">
        <v>603</v>
      </c>
      <c r="K452" s="6">
        <v>1</v>
      </c>
      <c r="L452" s="6">
        <f t="shared" si="17"/>
        <v>8820000</v>
      </c>
      <c r="M452" s="6">
        <v>7500000</v>
      </c>
      <c r="N452" s="6" t="s">
        <v>2003</v>
      </c>
      <c r="O452" s="6" t="s">
        <v>994</v>
      </c>
      <c r="P452" s="6">
        <v>2010</v>
      </c>
      <c r="Q452" s="6">
        <v>6</v>
      </c>
      <c r="R452" s="6" t="s">
        <v>45</v>
      </c>
      <c r="S452" s="31" t="s">
        <v>2122</v>
      </c>
      <c r="T452" s="6">
        <v>1</v>
      </c>
      <c r="U452" s="26">
        <v>7000000</v>
      </c>
      <c r="V452" s="26">
        <v>7000000</v>
      </c>
      <c r="W452" s="26">
        <v>7000000</v>
      </c>
      <c r="X452" s="6" t="s">
        <v>2003</v>
      </c>
      <c r="Y452" s="6" t="s">
        <v>1227</v>
      </c>
      <c r="Z452" s="6">
        <v>225046</v>
      </c>
    </row>
    <row r="453" spans="1:26" x14ac:dyDescent="0.3">
      <c r="A453" s="28" t="s">
        <v>42</v>
      </c>
      <c r="B453" s="6" t="s">
        <v>1326</v>
      </c>
      <c r="C453" s="6" t="s">
        <v>1981</v>
      </c>
      <c r="D453" s="6" t="s">
        <v>2291</v>
      </c>
      <c r="E453" s="6">
        <v>1</v>
      </c>
      <c r="F453" s="6" t="s">
        <v>2004</v>
      </c>
      <c r="G453" s="32" t="s">
        <v>2299</v>
      </c>
      <c r="H453" s="32" t="s">
        <v>2300</v>
      </c>
      <c r="I453" s="6" t="str">
        <f t="shared" si="16"/>
        <v>Orange Grapple</v>
      </c>
      <c r="J453" s="6" t="s">
        <v>330</v>
      </c>
      <c r="K453" s="6">
        <v>1</v>
      </c>
      <c r="L453" s="6">
        <f t="shared" si="17"/>
        <v>1760000</v>
      </c>
      <c r="M453" s="6">
        <v>1500000</v>
      </c>
      <c r="N453" s="6" t="s">
        <v>2003</v>
      </c>
      <c r="O453" s="6" t="s">
        <v>797</v>
      </c>
      <c r="P453" s="6">
        <v>2015</v>
      </c>
      <c r="Q453" s="6">
        <v>7</v>
      </c>
      <c r="R453" s="6" t="s">
        <v>45</v>
      </c>
      <c r="S453" s="31" t="s">
        <v>2120</v>
      </c>
      <c r="T453" s="6">
        <v>1</v>
      </c>
      <c r="U453" s="26">
        <v>1400000</v>
      </c>
      <c r="V453" s="26">
        <v>1400000</v>
      </c>
      <c r="W453" s="26">
        <v>1400000</v>
      </c>
      <c r="X453" s="6" t="s">
        <v>2003</v>
      </c>
      <c r="Y453" s="6" t="s">
        <v>1162</v>
      </c>
      <c r="Z453" s="6">
        <v>225047</v>
      </c>
    </row>
    <row r="454" spans="1:26" x14ac:dyDescent="0.3">
      <c r="A454" s="28" t="s">
        <v>42</v>
      </c>
      <c r="B454" s="6" t="s">
        <v>1327</v>
      </c>
      <c r="C454" s="6" t="s">
        <v>1971</v>
      </c>
      <c r="D454" s="6" t="s">
        <v>2289</v>
      </c>
      <c r="E454" s="6">
        <v>1</v>
      </c>
      <c r="F454" s="6" t="s">
        <v>2004</v>
      </c>
      <c r="G454" s="32" t="s">
        <v>2299</v>
      </c>
      <c r="H454" s="32" t="s">
        <v>2300</v>
      </c>
      <c r="I454" s="6" t="str">
        <f t="shared" si="16"/>
        <v>Special Bucket</v>
      </c>
      <c r="J454" s="6" t="s">
        <v>604</v>
      </c>
      <c r="K454" s="6">
        <v>1</v>
      </c>
      <c r="L454" s="6">
        <f t="shared" si="17"/>
        <v>9410000</v>
      </c>
      <c r="M454" s="6">
        <v>8000000</v>
      </c>
      <c r="N454" s="6" t="s">
        <v>2003</v>
      </c>
      <c r="O454" s="6" t="s">
        <v>995</v>
      </c>
      <c r="P454" s="6">
        <v>2014</v>
      </c>
      <c r="Q454" s="6">
        <v>1</v>
      </c>
      <c r="R454" s="6" t="s">
        <v>45</v>
      </c>
      <c r="S454" s="31" t="s">
        <v>2112</v>
      </c>
      <c r="T454" s="6">
        <v>1</v>
      </c>
      <c r="U454" s="26">
        <v>7500000</v>
      </c>
      <c r="V454" s="26">
        <v>7500000</v>
      </c>
      <c r="W454" s="26">
        <v>7500000</v>
      </c>
      <c r="X454" s="6" t="s">
        <v>2003</v>
      </c>
      <c r="Y454" s="6" t="s">
        <v>1213</v>
      </c>
      <c r="Z454" s="6">
        <v>225048</v>
      </c>
    </row>
    <row r="455" spans="1:26" x14ac:dyDescent="0.3">
      <c r="A455" s="28" t="s">
        <v>42</v>
      </c>
      <c r="B455" s="6" t="s">
        <v>1328</v>
      </c>
      <c r="C455" s="6" t="s">
        <v>1975</v>
      </c>
      <c r="D455" s="6" t="s">
        <v>2001</v>
      </c>
      <c r="E455" s="6">
        <v>1</v>
      </c>
      <c r="F455" s="6" t="s">
        <v>2004</v>
      </c>
      <c r="G455" s="32" t="s">
        <v>2299</v>
      </c>
      <c r="H455" s="32" t="s">
        <v>2300</v>
      </c>
      <c r="I455" s="6" t="str">
        <f t="shared" si="16"/>
        <v>Side Breaker</v>
      </c>
      <c r="J455" s="6" t="s">
        <v>233</v>
      </c>
      <c r="K455" s="6">
        <v>1</v>
      </c>
      <c r="L455" s="6">
        <f t="shared" si="17"/>
        <v>13520000</v>
      </c>
      <c r="M455" s="6">
        <v>11500000</v>
      </c>
      <c r="N455" s="6" t="s">
        <v>2003</v>
      </c>
      <c r="O455" s="6" t="s">
        <v>1121</v>
      </c>
      <c r="P455" s="6">
        <v>2013</v>
      </c>
      <c r="Q455" s="6">
        <v>1</v>
      </c>
      <c r="R455" s="6" t="s">
        <v>45</v>
      </c>
      <c r="S455" s="31" t="s">
        <v>2125</v>
      </c>
      <c r="T455" s="6">
        <v>1</v>
      </c>
      <c r="U455" s="26">
        <v>11000000</v>
      </c>
      <c r="V455" s="26">
        <v>11000000</v>
      </c>
      <c r="W455" s="26">
        <v>11000000</v>
      </c>
      <c r="X455" s="6" t="s">
        <v>2003</v>
      </c>
      <c r="Y455" s="6" t="s">
        <v>1161</v>
      </c>
      <c r="Z455" s="6">
        <v>225049</v>
      </c>
    </row>
    <row r="456" spans="1:26" x14ac:dyDescent="0.3">
      <c r="A456" s="28" t="s">
        <v>42</v>
      </c>
      <c r="B456" s="6" t="s">
        <v>1327</v>
      </c>
      <c r="C456" s="19" t="s">
        <v>2209</v>
      </c>
      <c r="D456" s="6" t="s">
        <v>2289</v>
      </c>
      <c r="E456" s="6">
        <v>1</v>
      </c>
      <c r="F456" s="6" t="s">
        <v>2004</v>
      </c>
      <c r="G456" s="32" t="s">
        <v>2299</v>
      </c>
      <c r="H456" s="32" t="s">
        <v>2300</v>
      </c>
      <c r="I456" s="6" t="str">
        <f t="shared" si="16"/>
        <v>Etc Bucket</v>
      </c>
      <c r="J456" s="6" t="s">
        <v>575</v>
      </c>
      <c r="K456" s="6">
        <v>1</v>
      </c>
      <c r="L456" s="6">
        <f t="shared" si="17"/>
        <v>9410000</v>
      </c>
      <c r="M456" s="6">
        <v>8000000</v>
      </c>
      <c r="N456" s="6" t="s">
        <v>2003</v>
      </c>
      <c r="O456" s="6" t="s">
        <v>796</v>
      </c>
      <c r="P456" s="6">
        <v>2012</v>
      </c>
      <c r="Q456" s="6">
        <v>1</v>
      </c>
      <c r="R456" s="6" t="s">
        <v>45</v>
      </c>
      <c r="S456" s="31" t="s">
        <v>2112</v>
      </c>
      <c r="T456" s="6">
        <v>1</v>
      </c>
      <c r="U456" s="26">
        <v>7500000</v>
      </c>
      <c r="V456" s="26">
        <v>7500000</v>
      </c>
      <c r="W456" s="26">
        <v>7500000</v>
      </c>
      <c r="X456" s="6" t="s">
        <v>2003</v>
      </c>
      <c r="Y456" s="6" t="s">
        <v>1213</v>
      </c>
      <c r="Z456" s="6">
        <v>225053</v>
      </c>
    </row>
    <row r="457" spans="1:26" x14ac:dyDescent="0.3">
      <c r="A457" s="28" t="s">
        <v>42</v>
      </c>
      <c r="B457" s="6" t="s">
        <v>1328</v>
      </c>
      <c r="C457" s="6" t="s">
        <v>1975</v>
      </c>
      <c r="D457" s="6" t="s">
        <v>2001</v>
      </c>
      <c r="E457" s="6">
        <v>1</v>
      </c>
      <c r="F457" s="6" t="s">
        <v>2004</v>
      </c>
      <c r="G457" s="32" t="s">
        <v>2299</v>
      </c>
      <c r="H457" s="32" t="s">
        <v>2300</v>
      </c>
      <c r="I457" s="6" t="str">
        <f t="shared" si="16"/>
        <v>Side Breaker</v>
      </c>
      <c r="J457" s="6" t="s">
        <v>483</v>
      </c>
      <c r="K457" s="6">
        <v>1</v>
      </c>
      <c r="L457" s="6">
        <f t="shared" si="17"/>
        <v>7640000</v>
      </c>
      <c r="M457" s="6">
        <v>6500000</v>
      </c>
      <c r="N457" s="6" t="s">
        <v>2003</v>
      </c>
      <c r="O457" s="6" t="s">
        <v>822</v>
      </c>
      <c r="P457" s="6">
        <v>2013</v>
      </c>
      <c r="Q457" s="6">
        <v>7</v>
      </c>
      <c r="R457" s="6" t="s">
        <v>45</v>
      </c>
      <c r="S457" s="31" t="s">
        <v>2123</v>
      </c>
      <c r="T457" s="6">
        <v>1</v>
      </c>
      <c r="U457" s="26">
        <v>6000000</v>
      </c>
      <c r="V457" s="26">
        <v>6000000</v>
      </c>
      <c r="W457" s="26">
        <v>6000000</v>
      </c>
      <c r="X457" s="6" t="s">
        <v>2003</v>
      </c>
      <c r="Y457" s="6" t="s">
        <v>92</v>
      </c>
      <c r="Z457" s="6">
        <v>225055</v>
      </c>
    </row>
    <row r="458" spans="1:26" x14ac:dyDescent="0.3">
      <c r="A458" s="28" t="s">
        <v>42</v>
      </c>
      <c r="B458" s="6" t="s">
        <v>1327</v>
      </c>
      <c r="C458" s="19" t="s">
        <v>1982</v>
      </c>
      <c r="D458" s="6" t="s">
        <v>2292</v>
      </c>
      <c r="E458" s="6">
        <v>1</v>
      </c>
      <c r="F458" s="6" t="s">
        <v>2004</v>
      </c>
      <c r="G458" s="32" t="s">
        <v>2299</v>
      </c>
      <c r="H458" s="32" t="s">
        <v>2300</v>
      </c>
      <c r="I458" s="6" t="str">
        <f t="shared" si="16"/>
        <v>Standard Bucket</v>
      </c>
      <c r="J458" s="6" t="s">
        <v>308</v>
      </c>
      <c r="K458" s="6">
        <v>1</v>
      </c>
      <c r="L458" s="6">
        <f t="shared" si="17"/>
        <v>1290000</v>
      </c>
      <c r="M458" s="6">
        <v>1100000</v>
      </c>
      <c r="N458" s="6" t="s">
        <v>2003</v>
      </c>
      <c r="O458" s="6" t="s">
        <v>2057</v>
      </c>
      <c r="P458" s="6">
        <v>2017</v>
      </c>
      <c r="Q458" s="6">
        <v>2</v>
      </c>
      <c r="R458" s="6" t="s">
        <v>45</v>
      </c>
      <c r="S458" s="31" t="s">
        <v>2124</v>
      </c>
      <c r="T458" s="6">
        <v>1</v>
      </c>
      <c r="U458" s="26">
        <v>1000000</v>
      </c>
      <c r="V458" s="26">
        <v>1000000</v>
      </c>
      <c r="W458" s="26">
        <v>1000000</v>
      </c>
      <c r="X458" s="6" t="s">
        <v>2003</v>
      </c>
      <c r="Y458" s="6" t="s">
        <v>1144</v>
      </c>
      <c r="Z458" s="6">
        <v>225058</v>
      </c>
    </row>
    <row r="459" spans="1:26" x14ac:dyDescent="0.3">
      <c r="A459" s="28" t="s">
        <v>42</v>
      </c>
      <c r="B459" s="6" t="s">
        <v>1326</v>
      </c>
      <c r="C459" s="6" t="s">
        <v>1984</v>
      </c>
      <c r="D459" s="6" t="s">
        <v>2290</v>
      </c>
      <c r="E459" s="6">
        <v>1</v>
      </c>
      <c r="F459" s="6" t="s">
        <v>2004</v>
      </c>
      <c r="G459" s="32" t="s">
        <v>2299</v>
      </c>
      <c r="H459" s="32" t="s">
        <v>2300</v>
      </c>
      <c r="I459" s="6" t="str">
        <f t="shared" ref="I459:I522" si="18">IF(ISBLANK(C459),B459,C459)</f>
        <v>Scrap Grapple</v>
      </c>
      <c r="J459" s="6" t="s">
        <v>221</v>
      </c>
      <c r="K459" s="6">
        <v>1</v>
      </c>
      <c r="L459" s="6">
        <f t="shared" ref="L459:L522" si="19">FLOOR(((M459*100)/85)/10000, 1)*10000</f>
        <v>3170000</v>
      </c>
      <c r="M459" s="6">
        <v>2700000</v>
      </c>
      <c r="N459" s="6" t="s">
        <v>2003</v>
      </c>
      <c r="O459" s="6">
        <v>1</v>
      </c>
      <c r="P459" s="6">
        <v>2014</v>
      </c>
      <c r="Q459" s="6">
        <v>1</v>
      </c>
      <c r="R459" s="6" t="s">
        <v>45</v>
      </c>
      <c r="S459" s="31" t="s">
        <v>2116</v>
      </c>
      <c r="T459" s="6">
        <v>1</v>
      </c>
      <c r="U459" s="26">
        <v>2500000</v>
      </c>
      <c r="V459" s="26">
        <v>2500000</v>
      </c>
      <c r="W459" s="26">
        <v>2500000</v>
      </c>
      <c r="X459" s="6" t="s">
        <v>2003</v>
      </c>
      <c r="Y459" s="6" t="s">
        <v>1185</v>
      </c>
      <c r="Z459" s="6">
        <v>225060</v>
      </c>
    </row>
    <row r="460" spans="1:26" x14ac:dyDescent="0.3">
      <c r="A460" s="28" t="s">
        <v>42</v>
      </c>
      <c r="B460" s="6" t="s">
        <v>1326</v>
      </c>
      <c r="C460" s="6" t="s">
        <v>1984</v>
      </c>
      <c r="D460" s="6" t="s">
        <v>2292</v>
      </c>
      <c r="E460" s="6">
        <v>1</v>
      </c>
      <c r="F460" s="6" t="s">
        <v>2004</v>
      </c>
      <c r="G460" s="32" t="s">
        <v>2299</v>
      </c>
      <c r="H460" s="32" t="s">
        <v>2300</v>
      </c>
      <c r="I460" s="6" t="str">
        <f t="shared" si="18"/>
        <v>Scrap Grapple</v>
      </c>
      <c r="J460" s="6" t="s">
        <v>337</v>
      </c>
      <c r="K460" s="6">
        <v>1</v>
      </c>
      <c r="L460" s="6">
        <f t="shared" si="19"/>
        <v>2820000</v>
      </c>
      <c r="M460" s="6">
        <v>2400000</v>
      </c>
      <c r="N460" s="6" t="s">
        <v>2003</v>
      </c>
      <c r="O460" s="6">
        <v>1</v>
      </c>
      <c r="P460" s="6">
        <v>2014</v>
      </c>
      <c r="Q460" s="6">
        <v>1</v>
      </c>
      <c r="R460" s="6" t="s">
        <v>45</v>
      </c>
      <c r="S460" s="31" t="s">
        <v>2116</v>
      </c>
      <c r="T460" s="6">
        <v>1</v>
      </c>
      <c r="U460" s="26">
        <v>2200000</v>
      </c>
      <c r="V460" s="26">
        <v>2200000</v>
      </c>
      <c r="W460" s="26">
        <v>2200000</v>
      </c>
      <c r="X460" s="6" t="s">
        <v>2003</v>
      </c>
      <c r="Y460" s="6" t="s">
        <v>1185</v>
      </c>
      <c r="Z460" s="6">
        <v>225065</v>
      </c>
    </row>
    <row r="461" spans="1:26" x14ac:dyDescent="0.3">
      <c r="A461" s="28" t="s">
        <v>42</v>
      </c>
      <c r="B461" s="6" t="s">
        <v>1328</v>
      </c>
      <c r="C461" s="6" t="s">
        <v>1975</v>
      </c>
      <c r="D461" s="6" t="s">
        <v>2001</v>
      </c>
      <c r="E461" s="6">
        <v>1</v>
      </c>
      <c r="F461" s="6" t="s">
        <v>2004</v>
      </c>
      <c r="G461" s="32" t="s">
        <v>2299</v>
      </c>
      <c r="H461" s="32" t="s">
        <v>2300</v>
      </c>
      <c r="I461" s="6" t="str">
        <f t="shared" si="18"/>
        <v>Side Breaker</v>
      </c>
      <c r="J461" s="6" t="s">
        <v>150</v>
      </c>
      <c r="K461" s="6">
        <v>1</v>
      </c>
      <c r="L461" s="6">
        <f t="shared" si="19"/>
        <v>7050000</v>
      </c>
      <c r="M461" s="6">
        <v>6000000</v>
      </c>
      <c r="N461" s="6" t="s">
        <v>2003</v>
      </c>
      <c r="O461" s="6" t="s">
        <v>996</v>
      </c>
      <c r="P461" s="6">
        <v>2005</v>
      </c>
      <c r="Q461" s="6">
        <v>1</v>
      </c>
      <c r="R461" s="6" t="s">
        <v>45</v>
      </c>
      <c r="S461" s="31" t="s">
        <v>2114</v>
      </c>
      <c r="T461" s="6">
        <v>1</v>
      </c>
      <c r="U461" s="26">
        <v>5500000</v>
      </c>
      <c r="V461" s="26">
        <v>5500000</v>
      </c>
      <c r="W461" s="26">
        <v>5500000</v>
      </c>
      <c r="X461" s="6" t="s">
        <v>2003</v>
      </c>
      <c r="Y461" s="6" t="s">
        <v>830</v>
      </c>
      <c r="Z461" s="6">
        <v>225066</v>
      </c>
    </row>
    <row r="462" spans="1:26" x14ac:dyDescent="0.3">
      <c r="A462" s="28" t="s">
        <v>42</v>
      </c>
      <c r="B462" s="6" t="s">
        <v>1326</v>
      </c>
      <c r="C462" s="6" t="s">
        <v>1984</v>
      </c>
      <c r="D462" s="6" t="s">
        <v>2291</v>
      </c>
      <c r="E462" s="6">
        <v>1</v>
      </c>
      <c r="F462" s="6" t="s">
        <v>2004</v>
      </c>
      <c r="G462" s="32" t="s">
        <v>2299</v>
      </c>
      <c r="H462" s="32" t="s">
        <v>2300</v>
      </c>
      <c r="I462" s="6" t="str">
        <f t="shared" si="18"/>
        <v>Scrap Grapple</v>
      </c>
      <c r="J462" s="6" t="s">
        <v>607</v>
      </c>
      <c r="K462" s="6">
        <v>1</v>
      </c>
      <c r="L462" s="6">
        <f t="shared" si="19"/>
        <v>1520000</v>
      </c>
      <c r="M462" s="6">
        <v>1300000</v>
      </c>
      <c r="N462" s="6" t="s">
        <v>2003</v>
      </c>
      <c r="O462" s="6">
        <v>1</v>
      </c>
      <c r="P462" s="6">
        <v>2014</v>
      </c>
      <c r="Q462" s="6">
        <v>1</v>
      </c>
      <c r="R462" s="6" t="s">
        <v>45</v>
      </c>
      <c r="S462" s="31" t="s">
        <v>2116</v>
      </c>
      <c r="T462" s="6">
        <v>1</v>
      </c>
      <c r="U462" s="26">
        <v>1200000</v>
      </c>
      <c r="V462" s="26">
        <v>1200000</v>
      </c>
      <c r="W462" s="26">
        <v>1200000</v>
      </c>
      <c r="X462" s="6" t="s">
        <v>2003</v>
      </c>
      <c r="Y462" s="6" t="s">
        <v>1185</v>
      </c>
      <c r="Z462" s="6">
        <v>225073</v>
      </c>
    </row>
    <row r="463" spans="1:26" x14ac:dyDescent="0.3">
      <c r="A463" s="28" t="s">
        <v>42</v>
      </c>
      <c r="B463" s="6" t="s">
        <v>1326</v>
      </c>
      <c r="C463" s="6" t="s">
        <v>1972</v>
      </c>
      <c r="D463" s="6" t="s">
        <v>2290</v>
      </c>
      <c r="E463" s="6">
        <v>1</v>
      </c>
      <c r="F463" s="6" t="s">
        <v>2004</v>
      </c>
      <c r="G463" s="32" t="s">
        <v>2299</v>
      </c>
      <c r="H463" s="32" t="s">
        <v>2300</v>
      </c>
      <c r="I463" s="6" t="str">
        <f t="shared" si="18"/>
        <v>Stone Grapple</v>
      </c>
      <c r="J463" s="6" t="s">
        <v>608</v>
      </c>
      <c r="K463" s="6">
        <v>1</v>
      </c>
      <c r="L463" s="6">
        <f t="shared" si="19"/>
        <v>4000000</v>
      </c>
      <c r="M463" s="6">
        <v>3400000</v>
      </c>
      <c r="N463" s="6" t="s">
        <v>2003</v>
      </c>
      <c r="O463" s="6" t="s">
        <v>813</v>
      </c>
      <c r="P463" s="6">
        <v>2013</v>
      </c>
      <c r="Q463" s="6">
        <v>1</v>
      </c>
      <c r="R463" s="6" t="s">
        <v>45</v>
      </c>
      <c r="S463" s="31" t="s">
        <v>2113</v>
      </c>
      <c r="T463" s="6">
        <v>1</v>
      </c>
      <c r="U463" s="26">
        <v>3200000</v>
      </c>
      <c r="V463" s="26">
        <v>3200000</v>
      </c>
      <c r="W463" s="26">
        <v>3200000</v>
      </c>
      <c r="X463" s="6" t="s">
        <v>2003</v>
      </c>
      <c r="Y463" s="6" t="s">
        <v>80</v>
      </c>
      <c r="Z463" s="6">
        <v>225076</v>
      </c>
    </row>
    <row r="464" spans="1:26" x14ac:dyDescent="0.3">
      <c r="A464" s="28" t="s">
        <v>42</v>
      </c>
      <c r="B464" s="6" t="s">
        <v>1325</v>
      </c>
      <c r="C464" s="19" t="s">
        <v>2156</v>
      </c>
      <c r="D464" s="6" t="s">
        <v>2292</v>
      </c>
      <c r="E464" s="6">
        <v>1</v>
      </c>
      <c r="F464" s="6" t="s">
        <v>2004</v>
      </c>
      <c r="G464" s="32" t="s">
        <v>2299</v>
      </c>
      <c r="H464" s="32" t="s">
        <v>2300</v>
      </c>
      <c r="I464" s="6" t="str">
        <f t="shared" si="18"/>
        <v>Hydraulic Crusher</v>
      </c>
      <c r="J464" s="6" t="s">
        <v>283</v>
      </c>
      <c r="K464" s="6">
        <v>1</v>
      </c>
      <c r="L464" s="6">
        <f t="shared" si="19"/>
        <v>13520000</v>
      </c>
      <c r="M464" s="6">
        <v>11500000</v>
      </c>
      <c r="N464" s="6" t="s">
        <v>2003</v>
      </c>
      <c r="O464" s="6" t="s">
        <v>2007</v>
      </c>
      <c r="P464" s="6">
        <v>2015</v>
      </c>
      <c r="Q464" s="6">
        <v>1</v>
      </c>
      <c r="R464" s="6" t="s">
        <v>45</v>
      </c>
      <c r="S464" s="31" t="s">
        <v>2113</v>
      </c>
      <c r="T464" s="6">
        <v>1</v>
      </c>
      <c r="U464" s="26">
        <v>11000000</v>
      </c>
      <c r="V464" s="26">
        <v>11000000</v>
      </c>
      <c r="W464" s="26">
        <v>11000000</v>
      </c>
      <c r="X464" s="6" t="s">
        <v>2003</v>
      </c>
      <c r="Y464" s="6" t="s">
        <v>49</v>
      </c>
      <c r="Z464" s="6">
        <v>225080</v>
      </c>
    </row>
    <row r="465" spans="1:26" x14ac:dyDescent="0.3">
      <c r="A465" s="28" t="s">
        <v>42</v>
      </c>
      <c r="B465" s="6" t="s">
        <v>1326</v>
      </c>
      <c r="C465" s="19" t="s">
        <v>1974</v>
      </c>
      <c r="D465" s="6" t="s">
        <v>2002</v>
      </c>
      <c r="E465" s="6">
        <v>1</v>
      </c>
      <c r="F465" s="6" t="s">
        <v>2004</v>
      </c>
      <c r="G465" s="32" t="s">
        <v>2299</v>
      </c>
      <c r="H465" s="32" t="s">
        <v>2300</v>
      </c>
      <c r="I465" s="6" t="str">
        <f t="shared" si="18"/>
        <v>Etc Grapple</v>
      </c>
      <c r="J465" s="6" t="s">
        <v>374</v>
      </c>
      <c r="K465" s="6">
        <v>1</v>
      </c>
      <c r="L465" s="6">
        <f t="shared" si="19"/>
        <v>2640000</v>
      </c>
      <c r="M465" s="6">
        <v>2250000</v>
      </c>
      <c r="N465" s="6" t="s">
        <v>2003</v>
      </c>
      <c r="O465" s="6" t="s">
        <v>2007</v>
      </c>
      <c r="P465" s="6">
        <v>2016</v>
      </c>
      <c r="Q465" s="6">
        <v>1</v>
      </c>
      <c r="R465" s="6" t="s">
        <v>45</v>
      </c>
      <c r="S465" s="31" t="s">
        <v>2113</v>
      </c>
      <c r="T465" s="6">
        <v>1</v>
      </c>
      <c r="U465" s="26">
        <v>2050000</v>
      </c>
      <c r="V465" s="26">
        <v>2050000</v>
      </c>
      <c r="W465" s="26">
        <v>2050000</v>
      </c>
      <c r="X465" s="6" t="s">
        <v>2003</v>
      </c>
      <c r="Y465" s="6" t="s">
        <v>49</v>
      </c>
      <c r="Z465" s="6">
        <v>225081</v>
      </c>
    </row>
    <row r="466" spans="1:26" x14ac:dyDescent="0.3">
      <c r="A466" s="28" t="s">
        <v>42</v>
      </c>
      <c r="B466" s="6" t="s">
        <v>1326</v>
      </c>
      <c r="C466" s="6" t="s">
        <v>1972</v>
      </c>
      <c r="D466" s="6" t="s">
        <v>2292</v>
      </c>
      <c r="E466" s="6">
        <v>1</v>
      </c>
      <c r="F466" s="6" t="s">
        <v>2004</v>
      </c>
      <c r="G466" s="32" t="s">
        <v>2299</v>
      </c>
      <c r="H466" s="32" t="s">
        <v>2300</v>
      </c>
      <c r="I466" s="6" t="str">
        <f t="shared" si="18"/>
        <v>Stone Grapple</v>
      </c>
      <c r="J466" s="6" t="s">
        <v>197</v>
      </c>
      <c r="K466" s="6">
        <v>1</v>
      </c>
      <c r="L466" s="6">
        <f t="shared" si="19"/>
        <v>2700000</v>
      </c>
      <c r="M466" s="6">
        <v>2300000</v>
      </c>
      <c r="N466" s="6" t="s">
        <v>2003</v>
      </c>
      <c r="O466" s="6" t="s">
        <v>2007</v>
      </c>
      <c r="P466" s="6">
        <v>2014</v>
      </c>
      <c r="Q466" s="6">
        <v>1</v>
      </c>
      <c r="R466" s="6" t="s">
        <v>45</v>
      </c>
      <c r="S466" s="31" t="s">
        <v>2113</v>
      </c>
      <c r="T466" s="6">
        <v>1</v>
      </c>
      <c r="U466" s="26">
        <v>2100000</v>
      </c>
      <c r="V466" s="26">
        <v>2100000</v>
      </c>
      <c r="W466" s="26">
        <v>2100000</v>
      </c>
      <c r="X466" s="6" t="s">
        <v>2003</v>
      </c>
      <c r="Y466" s="6" t="s">
        <v>49</v>
      </c>
      <c r="Z466" s="6">
        <v>225086</v>
      </c>
    </row>
    <row r="467" spans="1:26" x14ac:dyDescent="0.3">
      <c r="A467" s="28" t="s">
        <v>42</v>
      </c>
      <c r="B467" s="6" t="s">
        <v>1326</v>
      </c>
      <c r="C467" s="19" t="s">
        <v>1974</v>
      </c>
      <c r="D467" s="6" t="s">
        <v>2002</v>
      </c>
      <c r="E467" s="6">
        <v>1</v>
      </c>
      <c r="F467" s="6" t="s">
        <v>2004</v>
      </c>
      <c r="G467" s="32" t="s">
        <v>2299</v>
      </c>
      <c r="H467" s="32" t="s">
        <v>2300</v>
      </c>
      <c r="I467" s="6" t="str">
        <f t="shared" si="18"/>
        <v>Etc Grapple</v>
      </c>
      <c r="J467" s="6" t="s">
        <v>609</v>
      </c>
      <c r="K467" s="6">
        <v>1</v>
      </c>
      <c r="L467" s="6">
        <f t="shared" si="19"/>
        <v>2290000</v>
      </c>
      <c r="M467" s="6">
        <v>1950000</v>
      </c>
      <c r="N467" s="6" t="s">
        <v>2003</v>
      </c>
      <c r="O467" s="6" t="s">
        <v>2007</v>
      </c>
      <c r="P467" s="6">
        <v>2014</v>
      </c>
      <c r="Q467" s="6">
        <v>1</v>
      </c>
      <c r="R467" s="6" t="s">
        <v>45</v>
      </c>
      <c r="S467" s="31" t="s">
        <v>2113</v>
      </c>
      <c r="T467" s="6">
        <v>1</v>
      </c>
      <c r="U467" s="26">
        <v>1850000</v>
      </c>
      <c r="V467" s="26">
        <v>1850000</v>
      </c>
      <c r="W467" s="26">
        <v>1850000</v>
      </c>
      <c r="X467" s="6" t="s">
        <v>2003</v>
      </c>
      <c r="Y467" s="6" t="s">
        <v>49</v>
      </c>
      <c r="Z467" s="6">
        <v>225089</v>
      </c>
    </row>
    <row r="468" spans="1:26" x14ac:dyDescent="0.3">
      <c r="A468" s="28" t="s">
        <v>42</v>
      </c>
      <c r="B468" s="6" t="s">
        <v>2169</v>
      </c>
      <c r="C468" s="6"/>
      <c r="D468" s="6" t="s">
        <v>2001</v>
      </c>
      <c r="E468" s="6">
        <v>1</v>
      </c>
      <c r="F468" s="6" t="s">
        <v>2004</v>
      </c>
      <c r="G468" s="32" t="s">
        <v>2299</v>
      </c>
      <c r="H468" s="32" t="s">
        <v>2300</v>
      </c>
      <c r="I468" s="6" t="str">
        <f t="shared" si="18"/>
        <v>Ripper</v>
      </c>
      <c r="J468" s="6" t="s">
        <v>189</v>
      </c>
      <c r="K468" s="6">
        <v>1</v>
      </c>
      <c r="L468" s="6">
        <f t="shared" si="19"/>
        <v>32350000</v>
      </c>
      <c r="M468" s="6">
        <v>27500000</v>
      </c>
      <c r="N468" s="6" t="s">
        <v>2003</v>
      </c>
      <c r="O468" s="6" t="s">
        <v>997</v>
      </c>
      <c r="P468" s="6">
        <v>2015</v>
      </c>
      <c r="Q468" s="6">
        <v>7</v>
      </c>
      <c r="R468" s="6" t="s">
        <v>45</v>
      </c>
      <c r="S468" s="31" t="s">
        <v>2111</v>
      </c>
      <c r="T468" s="6">
        <v>1</v>
      </c>
      <c r="U468" s="26">
        <v>27000000</v>
      </c>
      <c r="V468" s="26">
        <v>27000000</v>
      </c>
      <c r="W468" s="26">
        <v>27000000</v>
      </c>
      <c r="X468" s="6" t="s">
        <v>2003</v>
      </c>
      <c r="Y468" s="6" t="s">
        <v>1177</v>
      </c>
      <c r="Z468" s="6">
        <v>225094</v>
      </c>
    </row>
    <row r="469" spans="1:26" x14ac:dyDescent="0.3">
      <c r="A469" s="28" t="s">
        <v>42</v>
      </c>
      <c r="B469" s="6" t="s">
        <v>1326</v>
      </c>
      <c r="C469" s="6" t="s">
        <v>1985</v>
      </c>
      <c r="D469" s="6" t="s">
        <v>2292</v>
      </c>
      <c r="E469" s="6">
        <v>1</v>
      </c>
      <c r="F469" s="6" t="s">
        <v>2004</v>
      </c>
      <c r="G469" s="32" t="s">
        <v>2299</v>
      </c>
      <c r="H469" s="32" t="s">
        <v>2300</v>
      </c>
      <c r="I469" s="6" t="str">
        <f t="shared" si="18"/>
        <v>Multi Grapple</v>
      </c>
      <c r="J469" s="6" t="s">
        <v>296</v>
      </c>
      <c r="K469" s="6">
        <v>1</v>
      </c>
      <c r="L469" s="6">
        <f t="shared" si="19"/>
        <v>3410000</v>
      </c>
      <c r="M469" s="6">
        <v>2900000</v>
      </c>
      <c r="N469" s="6" t="s">
        <v>2003</v>
      </c>
      <c r="O469" s="6" t="s">
        <v>813</v>
      </c>
      <c r="P469" s="6">
        <v>2014</v>
      </c>
      <c r="Q469" s="6">
        <v>1</v>
      </c>
      <c r="R469" s="6" t="s">
        <v>45</v>
      </c>
      <c r="S469" s="31" t="s">
        <v>2113</v>
      </c>
      <c r="T469" s="6">
        <v>1</v>
      </c>
      <c r="U469" s="26">
        <v>2700000</v>
      </c>
      <c r="V469" s="26">
        <v>2700000</v>
      </c>
      <c r="W469" s="26">
        <v>2700000</v>
      </c>
      <c r="X469" s="6" t="s">
        <v>2003</v>
      </c>
      <c r="Y469" s="6" t="s">
        <v>80</v>
      </c>
      <c r="Z469" s="6">
        <v>225098</v>
      </c>
    </row>
    <row r="470" spans="1:26" x14ac:dyDescent="0.3">
      <c r="A470" s="28" t="s">
        <v>42</v>
      </c>
      <c r="B470" s="6" t="s">
        <v>1326</v>
      </c>
      <c r="C470" s="6" t="s">
        <v>1972</v>
      </c>
      <c r="D470" s="6" t="s">
        <v>2292</v>
      </c>
      <c r="E470" s="6">
        <v>1</v>
      </c>
      <c r="F470" s="6" t="s">
        <v>2004</v>
      </c>
      <c r="G470" s="32" t="s">
        <v>2299</v>
      </c>
      <c r="H470" s="32" t="s">
        <v>2300</v>
      </c>
      <c r="I470" s="6" t="str">
        <f t="shared" si="18"/>
        <v>Stone Grapple</v>
      </c>
      <c r="J470" s="6" t="s">
        <v>232</v>
      </c>
      <c r="K470" s="6">
        <v>1</v>
      </c>
      <c r="L470" s="6">
        <f t="shared" si="19"/>
        <v>2230000</v>
      </c>
      <c r="M470" s="6">
        <v>1900000</v>
      </c>
      <c r="N470" s="6" t="s">
        <v>2003</v>
      </c>
      <c r="O470" s="6" t="s">
        <v>2007</v>
      </c>
      <c r="P470" s="6">
        <v>2010</v>
      </c>
      <c r="Q470" s="6">
        <v>1</v>
      </c>
      <c r="R470" s="6" t="s">
        <v>45</v>
      </c>
      <c r="S470" s="31" t="s">
        <v>2113</v>
      </c>
      <c r="T470" s="6">
        <v>1</v>
      </c>
      <c r="U470" s="26">
        <v>1800000</v>
      </c>
      <c r="V470" s="26">
        <v>1800000</v>
      </c>
      <c r="W470" s="26">
        <v>1800000</v>
      </c>
      <c r="X470" s="6" t="s">
        <v>2003</v>
      </c>
      <c r="Y470" s="6" t="s">
        <v>49</v>
      </c>
      <c r="Z470" s="6">
        <v>225112</v>
      </c>
    </row>
    <row r="471" spans="1:26" x14ac:dyDescent="0.3">
      <c r="A471" s="28" t="s">
        <v>42</v>
      </c>
      <c r="B471" s="6" t="s">
        <v>1326</v>
      </c>
      <c r="C471" s="6" t="s">
        <v>1972</v>
      </c>
      <c r="D471" s="6" t="s">
        <v>2001</v>
      </c>
      <c r="E471" s="6">
        <v>1</v>
      </c>
      <c r="F471" s="6" t="s">
        <v>2004</v>
      </c>
      <c r="G471" s="32" t="s">
        <v>2299</v>
      </c>
      <c r="H471" s="32" t="s">
        <v>2300</v>
      </c>
      <c r="I471" s="6" t="str">
        <f t="shared" si="18"/>
        <v>Stone Grapple</v>
      </c>
      <c r="J471" s="6" t="s">
        <v>611</v>
      </c>
      <c r="K471" s="6">
        <v>1</v>
      </c>
      <c r="L471" s="6">
        <f t="shared" si="19"/>
        <v>8000000</v>
      </c>
      <c r="M471" s="6">
        <v>6800000</v>
      </c>
      <c r="N471" s="6" t="s">
        <v>2003</v>
      </c>
      <c r="O471" s="6" t="s">
        <v>2058</v>
      </c>
      <c r="P471" s="6">
        <v>2017</v>
      </c>
      <c r="Q471" s="6">
        <v>1</v>
      </c>
      <c r="R471" s="6" t="s">
        <v>45</v>
      </c>
      <c r="S471" s="31" t="s">
        <v>2110</v>
      </c>
      <c r="T471" s="6">
        <v>1</v>
      </c>
      <c r="U471" s="26">
        <v>6300000</v>
      </c>
      <c r="V471" s="26">
        <v>6300000</v>
      </c>
      <c r="W471" s="26">
        <v>6300000</v>
      </c>
      <c r="X471" s="6" t="s">
        <v>2003</v>
      </c>
      <c r="Y471" s="6" t="s">
        <v>1155</v>
      </c>
      <c r="Z471" s="6">
        <v>225116</v>
      </c>
    </row>
    <row r="472" spans="1:26" x14ac:dyDescent="0.3">
      <c r="A472" s="28" t="s">
        <v>42</v>
      </c>
      <c r="B472" s="6" t="s">
        <v>2172</v>
      </c>
      <c r="C472" s="6"/>
      <c r="D472" s="6" t="s">
        <v>2292</v>
      </c>
      <c r="E472" s="6">
        <v>1</v>
      </c>
      <c r="F472" s="6" t="s">
        <v>2004</v>
      </c>
      <c r="G472" s="32" t="s">
        <v>2299</v>
      </c>
      <c r="H472" s="32" t="s">
        <v>2300</v>
      </c>
      <c r="I472" s="6" t="str">
        <f t="shared" si="18"/>
        <v>Quick Coupler</v>
      </c>
      <c r="J472" s="6" t="s">
        <v>147</v>
      </c>
      <c r="K472" s="6">
        <v>1</v>
      </c>
      <c r="L472" s="6">
        <f t="shared" si="19"/>
        <v>940000</v>
      </c>
      <c r="M472" s="6">
        <v>800000</v>
      </c>
      <c r="N472" s="6" t="s">
        <v>2003</v>
      </c>
      <c r="O472" s="6" t="s">
        <v>813</v>
      </c>
      <c r="P472" s="6">
        <v>2013</v>
      </c>
      <c r="Q472" s="6">
        <v>1</v>
      </c>
      <c r="R472" s="6" t="s">
        <v>45</v>
      </c>
      <c r="S472" s="31" t="s">
        <v>2113</v>
      </c>
      <c r="T472" s="6">
        <v>1</v>
      </c>
      <c r="U472" s="26">
        <v>700000</v>
      </c>
      <c r="V472" s="26">
        <v>700000</v>
      </c>
      <c r="W472" s="26">
        <v>700000</v>
      </c>
      <c r="X472" s="6" t="s">
        <v>2003</v>
      </c>
      <c r="Y472" s="6" t="s">
        <v>80</v>
      </c>
      <c r="Z472" s="6">
        <v>225121</v>
      </c>
    </row>
    <row r="473" spans="1:26" x14ac:dyDescent="0.3">
      <c r="A473" s="28" t="s">
        <v>42</v>
      </c>
      <c r="B473" s="6" t="s">
        <v>2172</v>
      </c>
      <c r="C473" s="6"/>
      <c r="D473" s="6" t="s">
        <v>2001</v>
      </c>
      <c r="E473" s="6">
        <v>1</v>
      </c>
      <c r="F473" s="6" t="s">
        <v>2004</v>
      </c>
      <c r="G473" s="32" t="s">
        <v>2299</v>
      </c>
      <c r="H473" s="32" t="s">
        <v>2300</v>
      </c>
      <c r="I473" s="6" t="str">
        <f t="shared" si="18"/>
        <v>Quick Coupler</v>
      </c>
      <c r="J473" s="6" t="s">
        <v>95</v>
      </c>
      <c r="K473" s="6">
        <v>1</v>
      </c>
      <c r="L473" s="6">
        <f t="shared" si="19"/>
        <v>1640000</v>
      </c>
      <c r="M473" s="6">
        <v>1400000</v>
      </c>
      <c r="N473" s="6" t="s">
        <v>2003</v>
      </c>
      <c r="O473" s="6" t="s">
        <v>1867</v>
      </c>
      <c r="P473" s="6">
        <v>2014</v>
      </c>
      <c r="Q473" s="6">
        <v>1</v>
      </c>
      <c r="R473" s="6" t="s">
        <v>45</v>
      </c>
      <c r="S473" s="31" t="s">
        <v>2121</v>
      </c>
      <c r="T473" s="6">
        <v>1</v>
      </c>
      <c r="U473" s="26">
        <v>1300000</v>
      </c>
      <c r="V473" s="26">
        <v>1300000</v>
      </c>
      <c r="W473" s="26">
        <v>1300000</v>
      </c>
      <c r="X473" s="6" t="s">
        <v>2003</v>
      </c>
      <c r="Y473" s="6" t="s">
        <v>1265</v>
      </c>
      <c r="Z473" s="6">
        <v>225122</v>
      </c>
    </row>
    <row r="474" spans="1:26" x14ac:dyDescent="0.3">
      <c r="A474" s="28" t="s">
        <v>42</v>
      </c>
      <c r="B474" s="6" t="s">
        <v>2169</v>
      </c>
      <c r="C474" s="6"/>
      <c r="D474" s="6" t="s">
        <v>2001</v>
      </c>
      <c r="E474" s="6">
        <v>1</v>
      </c>
      <c r="F474" s="6" t="s">
        <v>2004</v>
      </c>
      <c r="G474" s="32" t="s">
        <v>2299</v>
      </c>
      <c r="H474" s="32" t="s">
        <v>2300</v>
      </c>
      <c r="I474" s="6" t="str">
        <f t="shared" si="18"/>
        <v>Ripper</v>
      </c>
      <c r="J474" s="6" t="s">
        <v>612</v>
      </c>
      <c r="K474" s="6">
        <v>1</v>
      </c>
      <c r="L474" s="6">
        <f t="shared" si="19"/>
        <v>2110000</v>
      </c>
      <c r="M474" s="6">
        <v>1800000</v>
      </c>
      <c r="N474" s="6" t="s">
        <v>2003</v>
      </c>
      <c r="O474" s="6" t="s">
        <v>2059</v>
      </c>
      <c r="P474" s="6">
        <v>2017</v>
      </c>
      <c r="Q474" s="6">
        <v>1</v>
      </c>
      <c r="R474" s="6" t="s">
        <v>45</v>
      </c>
      <c r="S474" s="31" t="s">
        <v>2110</v>
      </c>
      <c r="T474" s="6">
        <v>1</v>
      </c>
      <c r="U474" s="26">
        <v>1700000</v>
      </c>
      <c r="V474" s="26">
        <v>1700000</v>
      </c>
      <c r="W474" s="26">
        <v>1700000</v>
      </c>
      <c r="X474" s="6" t="s">
        <v>2003</v>
      </c>
      <c r="Y474" s="6" t="s">
        <v>1155</v>
      </c>
      <c r="Z474" s="6">
        <v>225123</v>
      </c>
    </row>
    <row r="475" spans="1:26" x14ac:dyDescent="0.3">
      <c r="A475" s="28" t="s">
        <v>42</v>
      </c>
      <c r="B475" s="6" t="s">
        <v>1328</v>
      </c>
      <c r="C475" s="6" t="s">
        <v>1975</v>
      </c>
      <c r="D475" s="6" t="s">
        <v>2002</v>
      </c>
      <c r="E475" s="6">
        <v>1</v>
      </c>
      <c r="F475" s="6" t="s">
        <v>2004</v>
      </c>
      <c r="G475" s="32" t="s">
        <v>2299</v>
      </c>
      <c r="H475" s="32" t="s">
        <v>2300</v>
      </c>
      <c r="I475" s="6" t="str">
        <f t="shared" si="18"/>
        <v>Side Breaker</v>
      </c>
      <c r="J475" s="6" t="s">
        <v>364</v>
      </c>
      <c r="K475" s="6">
        <v>1</v>
      </c>
      <c r="L475" s="6">
        <f t="shared" si="19"/>
        <v>1520000</v>
      </c>
      <c r="M475" s="6">
        <v>1300000</v>
      </c>
      <c r="N475" s="6" t="s">
        <v>2003</v>
      </c>
      <c r="O475" s="6" t="s">
        <v>2007</v>
      </c>
      <c r="P475" s="6">
        <v>2013</v>
      </c>
      <c r="Q475" s="6">
        <v>1</v>
      </c>
      <c r="R475" s="6" t="s">
        <v>45</v>
      </c>
      <c r="S475" s="31" t="s">
        <v>2113</v>
      </c>
      <c r="T475" s="6">
        <v>1</v>
      </c>
      <c r="U475" s="26">
        <v>1200000</v>
      </c>
      <c r="V475" s="26">
        <v>1200000</v>
      </c>
      <c r="W475" s="26">
        <v>1200000</v>
      </c>
      <c r="X475" s="6" t="s">
        <v>2003</v>
      </c>
      <c r="Y475" s="6" t="s">
        <v>49</v>
      </c>
      <c r="Z475" s="6">
        <v>225126</v>
      </c>
    </row>
    <row r="476" spans="1:26" x14ac:dyDescent="0.3">
      <c r="A476" s="28" t="s">
        <v>42</v>
      </c>
      <c r="B476" s="6" t="s">
        <v>1326</v>
      </c>
      <c r="C476" s="6" t="s">
        <v>1972</v>
      </c>
      <c r="D476" s="6" t="s">
        <v>2291</v>
      </c>
      <c r="E476" s="6">
        <v>1</v>
      </c>
      <c r="F476" s="6" t="s">
        <v>2004</v>
      </c>
      <c r="G476" s="32" t="s">
        <v>2299</v>
      </c>
      <c r="H476" s="32" t="s">
        <v>2300</v>
      </c>
      <c r="I476" s="6" t="str">
        <f t="shared" si="18"/>
        <v>Stone Grapple</v>
      </c>
      <c r="J476" s="6" t="s">
        <v>149</v>
      </c>
      <c r="K476" s="6">
        <v>1</v>
      </c>
      <c r="L476" s="6">
        <f t="shared" si="19"/>
        <v>1820000</v>
      </c>
      <c r="M476" s="6">
        <v>1550000</v>
      </c>
      <c r="N476" s="6" t="s">
        <v>2003</v>
      </c>
      <c r="O476" s="6" t="s">
        <v>825</v>
      </c>
      <c r="P476" s="6">
        <v>2015</v>
      </c>
      <c r="Q476" s="6">
        <v>6</v>
      </c>
      <c r="R476" s="6" t="s">
        <v>45</v>
      </c>
      <c r="S476" s="31" t="s">
        <v>2112</v>
      </c>
      <c r="T476" s="6">
        <v>1</v>
      </c>
      <c r="U476" s="26">
        <v>1450000</v>
      </c>
      <c r="V476" s="26">
        <v>1450000</v>
      </c>
      <c r="W476" s="26">
        <v>1450000</v>
      </c>
      <c r="X476" s="6" t="s">
        <v>2003</v>
      </c>
      <c r="Y476" s="6" t="s">
        <v>1286</v>
      </c>
      <c r="Z476" s="6">
        <v>225132</v>
      </c>
    </row>
    <row r="477" spans="1:26" x14ac:dyDescent="0.3">
      <c r="A477" s="28" t="s">
        <v>42</v>
      </c>
      <c r="B477" s="6" t="s">
        <v>2272</v>
      </c>
      <c r="C477" s="6" t="s">
        <v>2271</v>
      </c>
      <c r="D477" s="6" t="s">
        <v>2292</v>
      </c>
      <c r="E477" s="6">
        <v>1</v>
      </c>
      <c r="F477" s="6" t="s">
        <v>2004</v>
      </c>
      <c r="G477" s="32" t="s">
        <v>2299</v>
      </c>
      <c r="H477" s="32" t="s">
        <v>2300</v>
      </c>
      <c r="I477" s="6" t="str">
        <f t="shared" si="18"/>
        <v>Skeleton Bucket</v>
      </c>
      <c r="J477" s="6" t="s">
        <v>278</v>
      </c>
      <c r="K477" s="6">
        <v>1</v>
      </c>
      <c r="L477" s="6">
        <f t="shared" si="19"/>
        <v>1700000</v>
      </c>
      <c r="M477" s="6">
        <v>1450000</v>
      </c>
      <c r="N477" s="6" t="s">
        <v>2003</v>
      </c>
      <c r="O477" s="6" t="s">
        <v>2060</v>
      </c>
      <c r="P477" s="6">
        <v>2017</v>
      </c>
      <c r="Q477" s="6">
        <v>2</v>
      </c>
      <c r="R477" s="6" t="s">
        <v>45</v>
      </c>
      <c r="S477" s="31" t="s">
        <v>2124</v>
      </c>
      <c r="T477" s="6">
        <v>1</v>
      </c>
      <c r="U477" s="26">
        <v>1350000</v>
      </c>
      <c r="V477" s="26">
        <v>1350000</v>
      </c>
      <c r="W477" s="26">
        <v>1350000</v>
      </c>
      <c r="X477" s="6" t="s">
        <v>2003</v>
      </c>
      <c r="Y477" s="6" t="s">
        <v>1144</v>
      </c>
      <c r="Z477" s="6">
        <v>225135</v>
      </c>
    </row>
    <row r="478" spans="1:26" x14ac:dyDescent="0.3">
      <c r="A478" s="28" t="s">
        <v>42</v>
      </c>
      <c r="B478" s="6" t="s">
        <v>1325</v>
      </c>
      <c r="C478" s="19" t="s">
        <v>2156</v>
      </c>
      <c r="D478" s="6" t="s">
        <v>2001</v>
      </c>
      <c r="E478" s="6">
        <v>1</v>
      </c>
      <c r="F478" s="6" t="s">
        <v>2004</v>
      </c>
      <c r="G478" s="32" t="s">
        <v>2299</v>
      </c>
      <c r="H478" s="32" t="s">
        <v>2300</v>
      </c>
      <c r="I478" s="6" t="str">
        <f t="shared" si="18"/>
        <v>Hydraulic Crusher</v>
      </c>
      <c r="J478" s="6" t="s">
        <v>181</v>
      </c>
      <c r="K478" s="6">
        <v>1</v>
      </c>
      <c r="L478" s="6">
        <f t="shared" si="19"/>
        <v>13520000</v>
      </c>
      <c r="M478" s="6">
        <v>11500000</v>
      </c>
      <c r="N478" s="6" t="s">
        <v>2003</v>
      </c>
      <c r="O478" s="6" t="s">
        <v>813</v>
      </c>
      <c r="P478" s="6">
        <v>2014</v>
      </c>
      <c r="Q478" s="6">
        <v>1</v>
      </c>
      <c r="R478" s="6" t="s">
        <v>45</v>
      </c>
      <c r="S478" s="31" t="s">
        <v>2113</v>
      </c>
      <c r="T478" s="6">
        <v>1</v>
      </c>
      <c r="U478" s="26">
        <v>11000000</v>
      </c>
      <c r="V478" s="26">
        <v>11000000</v>
      </c>
      <c r="W478" s="26">
        <v>11000000</v>
      </c>
      <c r="X478" s="6" t="s">
        <v>2003</v>
      </c>
      <c r="Y478" s="6" t="s">
        <v>80</v>
      </c>
      <c r="Z478" s="6">
        <v>225139</v>
      </c>
    </row>
    <row r="479" spans="1:26" x14ac:dyDescent="0.3">
      <c r="A479" s="28" t="s">
        <v>42</v>
      </c>
      <c r="B479" s="6" t="s">
        <v>2172</v>
      </c>
      <c r="C479" s="6"/>
      <c r="D479" s="6" t="s">
        <v>2292</v>
      </c>
      <c r="E479" s="6">
        <v>1</v>
      </c>
      <c r="F479" s="6" t="s">
        <v>2004</v>
      </c>
      <c r="G479" s="32" t="s">
        <v>2299</v>
      </c>
      <c r="H479" s="32" t="s">
        <v>2300</v>
      </c>
      <c r="I479" s="6" t="str">
        <f t="shared" si="18"/>
        <v>Quick Coupler</v>
      </c>
      <c r="J479" s="6" t="s">
        <v>614</v>
      </c>
      <c r="K479" s="6">
        <v>1</v>
      </c>
      <c r="L479" s="6">
        <f t="shared" si="19"/>
        <v>940000</v>
      </c>
      <c r="M479" s="6">
        <v>800000</v>
      </c>
      <c r="N479" s="6" t="s">
        <v>2003</v>
      </c>
      <c r="O479" s="6" t="s">
        <v>823</v>
      </c>
      <c r="P479" s="6">
        <v>2014</v>
      </c>
      <c r="Q479" s="6">
        <v>1</v>
      </c>
      <c r="R479" s="6" t="s">
        <v>45</v>
      </c>
      <c r="S479" s="31" t="s">
        <v>2113</v>
      </c>
      <c r="T479" s="6">
        <v>1</v>
      </c>
      <c r="U479" s="26">
        <v>700000</v>
      </c>
      <c r="V479" s="26">
        <v>700000</v>
      </c>
      <c r="W479" s="26">
        <v>700000</v>
      </c>
      <c r="X479" s="6" t="s">
        <v>2003</v>
      </c>
      <c r="Y479" s="6" t="s">
        <v>49</v>
      </c>
      <c r="Z479" s="6">
        <v>225147</v>
      </c>
    </row>
    <row r="480" spans="1:26" x14ac:dyDescent="0.3">
      <c r="A480" s="28" t="s">
        <v>42</v>
      </c>
      <c r="B480" s="6" t="s">
        <v>2172</v>
      </c>
      <c r="C480" s="6"/>
      <c r="D480" s="6" t="s">
        <v>2292</v>
      </c>
      <c r="E480" s="6">
        <v>1</v>
      </c>
      <c r="F480" s="6" t="s">
        <v>2004</v>
      </c>
      <c r="G480" s="32" t="s">
        <v>2299</v>
      </c>
      <c r="H480" s="32" t="s">
        <v>2300</v>
      </c>
      <c r="I480" s="6" t="str">
        <f t="shared" si="18"/>
        <v>Quick Coupler</v>
      </c>
      <c r="J480" s="6" t="s">
        <v>615</v>
      </c>
      <c r="K480" s="6">
        <v>1</v>
      </c>
      <c r="L480" s="6">
        <f t="shared" si="19"/>
        <v>1000000</v>
      </c>
      <c r="M480" s="6">
        <v>850000</v>
      </c>
      <c r="N480" s="6" t="s">
        <v>2003</v>
      </c>
      <c r="O480" s="6" t="s">
        <v>2012</v>
      </c>
      <c r="P480" s="6">
        <v>2014</v>
      </c>
      <c r="Q480" s="6">
        <v>1</v>
      </c>
      <c r="R480" s="6" t="s">
        <v>45</v>
      </c>
      <c r="S480" s="31" t="s">
        <v>2113</v>
      </c>
      <c r="T480" s="6">
        <v>1</v>
      </c>
      <c r="U480" s="26">
        <v>750000</v>
      </c>
      <c r="V480" s="26">
        <v>750000</v>
      </c>
      <c r="W480" s="26">
        <v>750000</v>
      </c>
      <c r="X480" s="6" t="s">
        <v>2003</v>
      </c>
      <c r="Y480" s="6" t="s">
        <v>49</v>
      </c>
      <c r="Z480" s="6">
        <v>225148</v>
      </c>
    </row>
    <row r="481" spans="1:26" x14ac:dyDescent="0.3">
      <c r="A481" s="28" t="s">
        <v>42</v>
      </c>
      <c r="B481" s="6" t="s">
        <v>1328</v>
      </c>
      <c r="C481" s="6" t="s">
        <v>1975</v>
      </c>
      <c r="D481" s="6" t="s">
        <v>2292</v>
      </c>
      <c r="E481" s="6">
        <v>1</v>
      </c>
      <c r="F481" s="6" t="s">
        <v>2004</v>
      </c>
      <c r="G481" s="32" t="s">
        <v>2299</v>
      </c>
      <c r="H481" s="32" t="s">
        <v>2300</v>
      </c>
      <c r="I481" s="6" t="str">
        <f t="shared" si="18"/>
        <v>Side Breaker</v>
      </c>
      <c r="J481" s="6" t="s">
        <v>218</v>
      </c>
      <c r="K481" s="6">
        <v>1</v>
      </c>
      <c r="L481" s="6">
        <f t="shared" si="19"/>
        <v>3760000</v>
      </c>
      <c r="M481" s="6">
        <v>3200000</v>
      </c>
      <c r="N481" s="6" t="s">
        <v>2003</v>
      </c>
      <c r="O481" s="6" t="s">
        <v>1001</v>
      </c>
      <c r="P481" s="6">
        <v>2010</v>
      </c>
      <c r="Q481" s="6">
        <v>1</v>
      </c>
      <c r="R481" s="6" t="s">
        <v>45</v>
      </c>
      <c r="S481" s="31" t="s">
        <v>2111</v>
      </c>
      <c r="T481" s="6">
        <v>1</v>
      </c>
      <c r="U481" s="26">
        <v>3000000</v>
      </c>
      <c r="V481" s="26">
        <v>3000000</v>
      </c>
      <c r="W481" s="26">
        <v>3000000</v>
      </c>
      <c r="X481" s="6" t="s">
        <v>2003</v>
      </c>
      <c r="Y481" s="6" t="s">
        <v>1287</v>
      </c>
      <c r="Z481" s="6">
        <v>225151</v>
      </c>
    </row>
    <row r="482" spans="1:26" x14ac:dyDescent="0.3">
      <c r="A482" s="28" t="s">
        <v>42</v>
      </c>
      <c r="B482" s="6" t="s">
        <v>1325</v>
      </c>
      <c r="C482" s="6" t="s">
        <v>2156</v>
      </c>
      <c r="D482" s="6" t="s">
        <v>2001</v>
      </c>
      <c r="E482" s="6">
        <v>1</v>
      </c>
      <c r="F482" s="6" t="s">
        <v>2004</v>
      </c>
      <c r="G482" s="32" t="s">
        <v>2299</v>
      </c>
      <c r="H482" s="32" t="s">
        <v>2300</v>
      </c>
      <c r="I482" s="6" t="str">
        <f t="shared" si="18"/>
        <v>Hydraulic Crusher</v>
      </c>
      <c r="J482" s="6" t="s">
        <v>616</v>
      </c>
      <c r="K482" s="6">
        <v>1</v>
      </c>
      <c r="L482" s="6">
        <f t="shared" si="19"/>
        <v>14700000</v>
      </c>
      <c r="M482" s="6">
        <v>12500000</v>
      </c>
      <c r="N482" s="6" t="s">
        <v>2003</v>
      </c>
      <c r="O482" s="6" t="s">
        <v>1002</v>
      </c>
      <c r="P482" s="6">
        <v>2014</v>
      </c>
      <c r="Q482" s="6">
        <v>1</v>
      </c>
      <c r="R482" s="6" t="s">
        <v>45</v>
      </c>
      <c r="S482" s="31" t="s">
        <v>2121</v>
      </c>
      <c r="T482" s="6">
        <v>1</v>
      </c>
      <c r="U482" s="26">
        <v>12000000</v>
      </c>
      <c r="V482" s="26">
        <v>12000000</v>
      </c>
      <c r="W482" s="26">
        <v>12000000</v>
      </c>
      <c r="X482" s="6" t="s">
        <v>2003</v>
      </c>
      <c r="Y482" s="6" t="s">
        <v>1265</v>
      </c>
      <c r="Z482" s="6">
        <v>225152</v>
      </c>
    </row>
    <row r="483" spans="1:26" x14ac:dyDescent="0.3">
      <c r="A483" s="28" t="s">
        <v>42</v>
      </c>
      <c r="B483" s="6" t="s">
        <v>2163</v>
      </c>
      <c r="C483" s="6"/>
      <c r="D483" s="6" t="s">
        <v>2292</v>
      </c>
      <c r="E483" s="6">
        <v>1</v>
      </c>
      <c r="F483" s="6" t="s">
        <v>2004</v>
      </c>
      <c r="G483" s="32" t="s">
        <v>2299</v>
      </c>
      <c r="H483" s="32" t="s">
        <v>2300</v>
      </c>
      <c r="I483" s="6" t="str">
        <f t="shared" si="18"/>
        <v>Lift Fork</v>
      </c>
      <c r="J483" s="6" t="s">
        <v>618</v>
      </c>
      <c r="K483" s="6">
        <v>1</v>
      </c>
      <c r="L483" s="6">
        <f t="shared" si="19"/>
        <v>880000</v>
      </c>
      <c r="M483" s="6">
        <v>750000</v>
      </c>
      <c r="N483" s="6" t="s">
        <v>2003</v>
      </c>
      <c r="O483" s="6" t="s">
        <v>2012</v>
      </c>
      <c r="P483" s="6">
        <v>2013</v>
      </c>
      <c r="Q483" s="6">
        <v>1</v>
      </c>
      <c r="R483" s="6" t="s">
        <v>45</v>
      </c>
      <c r="S483" s="31" t="s">
        <v>2113</v>
      </c>
      <c r="T483" s="6">
        <v>1</v>
      </c>
      <c r="U483" s="26">
        <v>650000</v>
      </c>
      <c r="V483" s="26">
        <v>650000</v>
      </c>
      <c r="W483" s="26">
        <v>650000</v>
      </c>
      <c r="X483" s="6" t="s">
        <v>2003</v>
      </c>
      <c r="Y483" s="6" t="s">
        <v>49</v>
      </c>
      <c r="Z483" s="6">
        <v>225161</v>
      </c>
    </row>
    <row r="484" spans="1:26" x14ac:dyDescent="0.3">
      <c r="A484" s="28" t="s">
        <v>42</v>
      </c>
      <c r="B484" s="6" t="s">
        <v>1328</v>
      </c>
      <c r="C484" s="6" t="s">
        <v>1975</v>
      </c>
      <c r="D484" s="6" t="s">
        <v>2292</v>
      </c>
      <c r="E484" s="6">
        <v>1</v>
      </c>
      <c r="F484" s="6" t="s">
        <v>2004</v>
      </c>
      <c r="G484" s="32" t="s">
        <v>2299</v>
      </c>
      <c r="H484" s="32" t="s">
        <v>2300</v>
      </c>
      <c r="I484" s="6" t="str">
        <f t="shared" si="18"/>
        <v>Side Breaker</v>
      </c>
      <c r="J484" s="6" t="s">
        <v>619</v>
      </c>
      <c r="K484" s="6">
        <v>1</v>
      </c>
      <c r="L484" s="6">
        <f t="shared" si="19"/>
        <v>1880000</v>
      </c>
      <c r="M484" s="6">
        <v>1600000</v>
      </c>
      <c r="N484" s="6" t="s">
        <v>2003</v>
      </c>
      <c r="O484" s="6" t="s">
        <v>1003</v>
      </c>
      <c r="P484" s="6">
        <v>2011</v>
      </c>
      <c r="Q484" s="6">
        <v>1</v>
      </c>
      <c r="R484" s="6" t="s">
        <v>45</v>
      </c>
      <c r="S484" s="31" t="s">
        <v>2116</v>
      </c>
      <c r="T484" s="6">
        <v>1</v>
      </c>
      <c r="U484" s="26">
        <v>1500000</v>
      </c>
      <c r="V484" s="26">
        <v>1500000</v>
      </c>
      <c r="W484" s="26">
        <v>1500000</v>
      </c>
      <c r="X484" s="6" t="s">
        <v>2003</v>
      </c>
      <c r="Y484" s="6" t="s">
        <v>1288</v>
      </c>
      <c r="Z484" s="6">
        <v>225163</v>
      </c>
    </row>
    <row r="485" spans="1:26" x14ac:dyDescent="0.3">
      <c r="A485" s="28" t="s">
        <v>42</v>
      </c>
      <c r="B485" s="6" t="s">
        <v>1328</v>
      </c>
      <c r="C485" s="6" t="s">
        <v>1975</v>
      </c>
      <c r="D485" s="6" t="s">
        <v>2290</v>
      </c>
      <c r="E485" s="6">
        <v>1</v>
      </c>
      <c r="F485" s="6" t="s">
        <v>2004</v>
      </c>
      <c r="G485" s="32" t="s">
        <v>2299</v>
      </c>
      <c r="H485" s="32" t="s">
        <v>2300</v>
      </c>
      <c r="I485" s="6" t="str">
        <f t="shared" si="18"/>
        <v>Side Breaker</v>
      </c>
      <c r="J485" s="6" t="s">
        <v>155</v>
      </c>
      <c r="K485" s="6">
        <v>1</v>
      </c>
      <c r="L485" s="6">
        <f t="shared" si="19"/>
        <v>5520000</v>
      </c>
      <c r="M485" s="6">
        <v>4700000</v>
      </c>
      <c r="N485" s="6" t="s">
        <v>2003</v>
      </c>
      <c r="O485" s="6" t="s">
        <v>2014</v>
      </c>
      <c r="P485" s="6">
        <v>2010</v>
      </c>
      <c r="Q485" s="6">
        <v>7</v>
      </c>
      <c r="R485" s="6" t="s">
        <v>45</v>
      </c>
      <c r="S485" s="31" t="s">
        <v>2123</v>
      </c>
      <c r="T485" s="6">
        <v>1</v>
      </c>
      <c r="U485" s="26">
        <v>4500000</v>
      </c>
      <c r="V485" s="26">
        <v>4500000</v>
      </c>
      <c r="W485" s="26">
        <v>4500000</v>
      </c>
      <c r="X485" s="6" t="s">
        <v>2003</v>
      </c>
      <c r="Y485" s="6" t="s">
        <v>1166</v>
      </c>
      <c r="Z485" s="6">
        <v>225166</v>
      </c>
    </row>
    <row r="486" spans="1:26" x14ac:dyDescent="0.3">
      <c r="A486" s="28" t="s">
        <v>42</v>
      </c>
      <c r="B486" s="6" t="s">
        <v>2172</v>
      </c>
      <c r="C486" s="6"/>
      <c r="D486" s="6" t="s">
        <v>2001</v>
      </c>
      <c r="E486" s="6">
        <v>1</v>
      </c>
      <c r="F486" s="6" t="s">
        <v>2004</v>
      </c>
      <c r="G486" s="32" t="s">
        <v>2299</v>
      </c>
      <c r="H486" s="32" t="s">
        <v>2300</v>
      </c>
      <c r="I486" s="6" t="str">
        <f t="shared" si="18"/>
        <v>Quick Coupler</v>
      </c>
      <c r="J486" s="6" t="s">
        <v>620</v>
      </c>
      <c r="K486" s="6">
        <v>1</v>
      </c>
      <c r="L486" s="6">
        <f t="shared" si="19"/>
        <v>1290000</v>
      </c>
      <c r="M486" s="6">
        <v>1100000</v>
      </c>
      <c r="N486" s="6" t="s">
        <v>2003</v>
      </c>
      <c r="O486" s="6" t="s">
        <v>861</v>
      </c>
      <c r="P486" s="6">
        <v>2011</v>
      </c>
      <c r="Q486" s="6">
        <v>1</v>
      </c>
      <c r="R486" s="6" t="s">
        <v>45</v>
      </c>
      <c r="S486" s="31" t="s">
        <v>2113</v>
      </c>
      <c r="T486" s="6">
        <v>1</v>
      </c>
      <c r="U486" s="26">
        <v>1000000</v>
      </c>
      <c r="V486" s="26">
        <v>1000000</v>
      </c>
      <c r="W486" s="26">
        <v>1000000</v>
      </c>
      <c r="X486" s="6" t="s">
        <v>2003</v>
      </c>
      <c r="Y486" s="6" t="s">
        <v>49</v>
      </c>
      <c r="Z486" s="6">
        <v>225180</v>
      </c>
    </row>
    <row r="487" spans="1:26" x14ac:dyDescent="0.3">
      <c r="A487" s="28" t="s">
        <v>42</v>
      </c>
      <c r="B487" s="6" t="s">
        <v>1328</v>
      </c>
      <c r="C487" s="6" t="s">
        <v>1975</v>
      </c>
      <c r="D487" s="6" t="s">
        <v>2293</v>
      </c>
      <c r="E487" s="6">
        <v>1</v>
      </c>
      <c r="F487" s="6" t="s">
        <v>2004</v>
      </c>
      <c r="G487" s="32" t="s">
        <v>2299</v>
      </c>
      <c r="H487" s="32" t="s">
        <v>2300</v>
      </c>
      <c r="I487" s="6" t="str">
        <f t="shared" si="18"/>
        <v>Side Breaker</v>
      </c>
      <c r="J487" s="6" t="s">
        <v>295</v>
      </c>
      <c r="K487" s="6">
        <v>1</v>
      </c>
      <c r="L487" s="6">
        <f t="shared" si="19"/>
        <v>1700000</v>
      </c>
      <c r="M487" s="6">
        <v>1450000</v>
      </c>
      <c r="N487" s="6" t="s">
        <v>2003</v>
      </c>
      <c r="O487" s="6" t="s">
        <v>2007</v>
      </c>
      <c r="P487" s="6">
        <v>2014</v>
      </c>
      <c r="Q487" s="6">
        <v>1</v>
      </c>
      <c r="R487" s="6" t="s">
        <v>45</v>
      </c>
      <c r="S487" s="31" t="s">
        <v>2113</v>
      </c>
      <c r="T487" s="6">
        <v>1</v>
      </c>
      <c r="U487" s="26">
        <v>1350000</v>
      </c>
      <c r="V487" s="26">
        <v>1350000</v>
      </c>
      <c r="W487" s="26">
        <v>1350000</v>
      </c>
      <c r="X487" s="6" t="s">
        <v>2003</v>
      </c>
      <c r="Y487" s="6" t="s">
        <v>49</v>
      </c>
      <c r="Z487" s="6">
        <v>225182</v>
      </c>
    </row>
    <row r="488" spans="1:26" x14ac:dyDescent="0.3">
      <c r="A488" s="28" t="s">
        <v>42</v>
      </c>
      <c r="B488" s="6" t="s">
        <v>1325</v>
      </c>
      <c r="C488" s="19" t="s">
        <v>2156</v>
      </c>
      <c r="D488" s="6" t="s">
        <v>2292</v>
      </c>
      <c r="E488" s="6">
        <v>1</v>
      </c>
      <c r="F488" s="6" t="s">
        <v>2004</v>
      </c>
      <c r="G488" s="32" t="s">
        <v>2299</v>
      </c>
      <c r="H488" s="32" t="s">
        <v>2300</v>
      </c>
      <c r="I488" s="6" t="str">
        <f t="shared" si="18"/>
        <v>Hydraulic Crusher</v>
      </c>
      <c r="J488" s="6" t="s">
        <v>621</v>
      </c>
      <c r="K488" s="6">
        <v>1</v>
      </c>
      <c r="L488" s="6">
        <f t="shared" si="19"/>
        <v>13520000</v>
      </c>
      <c r="M488" s="6">
        <v>11500000</v>
      </c>
      <c r="N488" s="6" t="s">
        <v>2003</v>
      </c>
      <c r="O488" s="6" t="s">
        <v>823</v>
      </c>
      <c r="P488" s="6">
        <v>2014</v>
      </c>
      <c r="Q488" s="6">
        <v>1</v>
      </c>
      <c r="R488" s="6" t="s">
        <v>45</v>
      </c>
      <c r="S488" s="31" t="s">
        <v>2113</v>
      </c>
      <c r="T488" s="6">
        <v>1</v>
      </c>
      <c r="U488" s="26">
        <v>11000000</v>
      </c>
      <c r="V488" s="26">
        <v>11000000</v>
      </c>
      <c r="W488" s="26">
        <v>11000000</v>
      </c>
      <c r="X488" s="6" t="s">
        <v>2003</v>
      </c>
      <c r="Y488" s="6" t="s">
        <v>49</v>
      </c>
      <c r="Z488" s="6">
        <v>225183</v>
      </c>
    </row>
    <row r="489" spans="1:26" x14ac:dyDescent="0.3">
      <c r="A489" s="28" t="s">
        <v>42</v>
      </c>
      <c r="B489" s="6" t="s">
        <v>1328</v>
      </c>
      <c r="C489" s="6" t="s">
        <v>1975</v>
      </c>
      <c r="D489" s="6" t="s">
        <v>2291</v>
      </c>
      <c r="E489" s="6">
        <v>1</v>
      </c>
      <c r="F489" s="6" t="s">
        <v>2004</v>
      </c>
      <c r="G489" s="32" t="s">
        <v>2299</v>
      </c>
      <c r="H489" s="32" t="s">
        <v>2300</v>
      </c>
      <c r="I489" s="6" t="str">
        <f t="shared" si="18"/>
        <v>Side Breaker</v>
      </c>
      <c r="J489" s="6" t="s">
        <v>183</v>
      </c>
      <c r="K489" s="6">
        <v>1</v>
      </c>
      <c r="L489" s="6">
        <f t="shared" si="19"/>
        <v>2350000</v>
      </c>
      <c r="M489" s="6">
        <v>2000000</v>
      </c>
      <c r="N489" s="6" t="s">
        <v>2003</v>
      </c>
      <c r="O489" s="6" t="s">
        <v>1004</v>
      </c>
      <c r="P489" s="6">
        <v>2017</v>
      </c>
      <c r="Q489" s="6">
        <v>1</v>
      </c>
      <c r="R489" s="6" t="s">
        <v>45</v>
      </c>
      <c r="S489" s="31" t="s">
        <v>2113</v>
      </c>
      <c r="T489" s="6">
        <v>1</v>
      </c>
      <c r="U489" s="26">
        <v>1900000</v>
      </c>
      <c r="V489" s="26">
        <v>1900000</v>
      </c>
      <c r="W489" s="26">
        <v>1900000</v>
      </c>
      <c r="X489" s="6" t="s">
        <v>2003</v>
      </c>
      <c r="Y489" s="6" t="s">
        <v>49</v>
      </c>
      <c r="Z489" s="6">
        <v>225186</v>
      </c>
    </row>
    <row r="490" spans="1:26" x14ac:dyDescent="0.3">
      <c r="A490" s="28" t="s">
        <v>42</v>
      </c>
      <c r="B490" s="6" t="s">
        <v>2163</v>
      </c>
      <c r="C490" s="6"/>
      <c r="D490" s="6" t="s">
        <v>2292</v>
      </c>
      <c r="E490" s="6">
        <v>1</v>
      </c>
      <c r="F490" s="6" t="s">
        <v>2004</v>
      </c>
      <c r="G490" s="32" t="s">
        <v>2299</v>
      </c>
      <c r="H490" s="32" t="s">
        <v>2300</v>
      </c>
      <c r="I490" s="6" t="str">
        <f t="shared" si="18"/>
        <v>Lift Fork</v>
      </c>
      <c r="J490" s="6" t="s">
        <v>102</v>
      </c>
      <c r="K490" s="6">
        <v>1</v>
      </c>
      <c r="L490" s="6">
        <f t="shared" si="19"/>
        <v>1050000</v>
      </c>
      <c r="M490" s="6">
        <v>900000</v>
      </c>
      <c r="N490" s="6" t="s">
        <v>2003</v>
      </c>
      <c r="O490" s="6" t="s">
        <v>1005</v>
      </c>
      <c r="P490" s="6">
        <v>2016</v>
      </c>
      <c r="Q490" s="6">
        <v>1</v>
      </c>
      <c r="R490" s="6" t="s">
        <v>45</v>
      </c>
      <c r="S490" s="31" t="s">
        <v>2116</v>
      </c>
      <c r="T490" s="6">
        <v>1</v>
      </c>
      <c r="U490" s="26">
        <v>800000</v>
      </c>
      <c r="V490" s="26">
        <v>800000</v>
      </c>
      <c r="W490" s="26">
        <v>800000</v>
      </c>
      <c r="X490" s="6" t="s">
        <v>2003</v>
      </c>
      <c r="Y490" s="6" t="s">
        <v>1289</v>
      </c>
      <c r="Z490" s="6">
        <v>225187</v>
      </c>
    </row>
    <row r="491" spans="1:26" x14ac:dyDescent="0.3">
      <c r="A491" s="28" t="s">
        <v>42</v>
      </c>
      <c r="B491" s="6" t="s">
        <v>1327</v>
      </c>
      <c r="C491" s="6" t="s">
        <v>1976</v>
      </c>
      <c r="D491" s="6" t="s">
        <v>2001</v>
      </c>
      <c r="E491" s="6">
        <v>1</v>
      </c>
      <c r="F491" s="6" t="s">
        <v>2004</v>
      </c>
      <c r="G491" s="32" t="s">
        <v>2299</v>
      </c>
      <c r="H491" s="32" t="s">
        <v>2300</v>
      </c>
      <c r="I491" s="6" t="str">
        <f t="shared" si="18"/>
        <v>Skeleton Bucket</v>
      </c>
      <c r="J491" s="6" t="s">
        <v>210</v>
      </c>
      <c r="K491" s="6">
        <v>1</v>
      </c>
      <c r="L491" s="6">
        <f t="shared" si="19"/>
        <v>3290000</v>
      </c>
      <c r="M491" s="6">
        <v>2800000</v>
      </c>
      <c r="N491" s="6" t="s">
        <v>2003</v>
      </c>
      <c r="O491" s="6" t="s">
        <v>1006</v>
      </c>
      <c r="P491" s="6">
        <v>2017</v>
      </c>
      <c r="Q491" s="6">
        <v>1</v>
      </c>
      <c r="R491" s="6" t="s">
        <v>45</v>
      </c>
      <c r="S491" s="31" t="s">
        <v>2120</v>
      </c>
      <c r="T491" s="6">
        <v>1</v>
      </c>
      <c r="U491" s="26">
        <v>2600000</v>
      </c>
      <c r="V491" s="26">
        <v>2600000</v>
      </c>
      <c r="W491" s="26">
        <v>2600000</v>
      </c>
      <c r="X491" s="6" t="s">
        <v>2003</v>
      </c>
      <c r="Y491" s="6" t="s">
        <v>74</v>
      </c>
      <c r="Z491" s="6">
        <v>225195</v>
      </c>
    </row>
    <row r="492" spans="1:26" x14ac:dyDescent="0.3">
      <c r="A492" s="28" t="s">
        <v>42</v>
      </c>
      <c r="B492" s="6" t="s">
        <v>1327</v>
      </c>
      <c r="C492" s="19" t="s">
        <v>1982</v>
      </c>
      <c r="D492" s="6" t="s">
        <v>2001</v>
      </c>
      <c r="E492" s="6">
        <v>1</v>
      </c>
      <c r="F492" s="6" t="s">
        <v>2004</v>
      </c>
      <c r="G492" s="32" t="s">
        <v>2299</v>
      </c>
      <c r="H492" s="32" t="s">
        <v>2300</v>
      </c>
      <c r="I492" s="6" t="str">
        <f t="shared" si="18"/>
        <v>Standard Bucket</v>
      </c>
      <c r="J492" s="6" t="s">
        <v>114</v>
      </c>
      <c r="K492" s="6">
        <v>1</v>
      </c>
      <c r="L492" s="6">
        <f t="shared" si="19"/>
        <v>2700000</v>
      </c>
      <c r="M492" s="6">
        <v>2300000</v>
      </c>
      <c r="N492" s="6" t="s">
        <v>2003</v>
      </c>
      <c r="O492" s="27" t="s">
        <v>2061</v>
      </c>
      <c r="P492" s="6">
        <v>2015</v>
      </c>
      <c r="Q492" s="6">
        <v>1</v>
      </c>
      <c r="R492" s="6" t="s">
        <v>45</v>
      </c>
      <c r="S492" s="31" t="s">
        <v>2116</v>
      </c>
      <c r="T492" s="6">
        <v>1</v>
      </c>
      <c r="U492" s="26">
        <v>2100000</v>
      </c>
      <c r="V492" s="26">
        <v>2100000</v>
      </c>
      <c r="W492" s="26">
        <v>2100000</v>
      </c>
      <c r="X492" s="6" t="s">
        <v>2003</v>
      </c>
      <c r="Y492" s="6" t="s">
        <v>1174</v>
      </c>
      <c r="Z492" s="6">
        <v>225197</v>
      </c>
    </row>
    <row r="493" spans="1:26" x14ac:dyDescent="0.3">
      <c r="A493" s="28" t="s">
        <v>42</v>
      </c>
      <c r="B493" s="6" t="s">
        <v>1326</v>
      </c>
      <c r="C493" s="6" t="s">
        <v>1972</v>
      </c>
      <c r="D493" s="6" t="s">
        <v>2291</v>
      </c>
      <c r="E493" s="6">
        <v>1</v>
      </c>
      <c r="F493" s="6" t="s">
        <v>2004</v>
      </c>
      <c r="G493" s="32" t="s">
        <v>2299</v>
      </c>
      <c r="H493" s="32" t="s">
        <v>2300</v>
      </c>
      <c r="I493" s="6" t="str">
        <f t="shared" si="18"/>
        <v>Stone Grapple</v>
      </c>
      <c r="J493" s="6" t="s">
        <v>624</v>
      </c>
      <c r="K493" s="6">
        <v>1</v>
      </c>
      <c r="L493" s="6">
        <f t="shared" si="19"/>
        <v>7050000</v>
      </c>
      <c r="M493" s="6">
        <v>6000000</v>
      </c>
      <c r="N493" s="6" t="s">
        <v>2003</v>
      </c>
      <c r="O493" s="6" t="s">
        <v>789</v>
      </c>
      <c r="P493" s="6">
        <v>2014</v>
      </c>
      <c r="Q493" s="6">
        <v>1</v>
      </c>
      <c r="R493" s="6" t="s">
        <v>45</v>
      </c>
      <c r="S493" s="31" t="s">
        <v>2122</v>
      </c>
      <c r="T493" s="6">
        <v>1</v>
      </c>
      <c r="U493" s="26">
        <v>5500000</v>
      </c>
      <c r="V493" s="26">
        <v>5500000</v>
      </c>
      <c r="W493" s="26">
        <v>5500000</v>
      </c>
      <c r="X493" s="6" t="s">
        <v>2003</v>
      </c>
      <c r="Y493" s="6" t="s">
        <v>65</v>
      </c>
      <c r="Z493" s="6">
        <v>225198</v>
      </c>
    </row>
    <row r="494" spans="1:26" x14ac:dyDescent="0.3">
      <c r="A494" s="28" t="s">
        <v>42</v>
      </c>
      <c r="B494" s="6" t="s">
        <v>1326</v>
      </c>
      <c r="C494" s="6" t="s">
        <v>1972</v>
      </c>
      <c r="D494" s="6" t="s">
        <v>2291</v>
      </c>
      <c r="E494" s="6">
        <v>1</v>
      </c>
      <c r="F494" s="6" t="s">
        <v>2004</v>
      </c>
      <c r="G494" s="32" t="s">
        <v>2299</v>
      </c>
      <c r="H494" s="32" t="s">
        <v>2300</v>
      </c>
      <c r="I494" s="6" t="str">
        <f t="shared" si="18"/>
        <v>Stone Grapple</v>
      </c>
      <c r="J494" s="6" t="s">
        <v>168</v>
      </c>
      <c r="K494" s="6">
        <v>1</v>
      </c>
      <c r="L494" s="6">
        <f t="shared" si="19"/>
        <v>1640000</v>
      </c>
      <c r="M494" s="6">
        <v>1400000</v>
      </c>
      <c r="N494" s="6" t="s">
        <v>2003</v>
      </c>
      <c r="O494" s="6" t="s">
        <v>51</v>
      </c>
      <c r="P494" s="6">
        <v>2015</v>
      </c>
      <c r="Q494" s="6">
        <v>1</v>
      </c>
      <c r="R494" s="6" t="s">
        <v>45</v>
      </c>
      <c r="S494" s="31" t="s">
        <v>2113</v>
      </c>
      <c r="T494" s="6">
        <v>1</v>
      </c>
      <c r="U494" s="26">
        <v>1300000</v>
      </c>
      <c r="V494" s="26">
        <v>1300000</v>
      </c>
      <c r="W494" s="26">
        <v>1300000</v>
      </c>
      <c r="X494" s="6" t="s">
        <v>2003</v>
      </c>
      <c r="Y494" s="6" t="s">
        <v>49</v>
      </c>
      <c r="Z494" s="6">
        <v>225216</v>
      </c>
    </row>
    <row r="495" spans="1:26" x14ac:dyDescent="0.3">
      <c r="A495" s="28" t="s">
        <v>42</v>
      </c>
      <c r="B495" s="6" t="s">
        <v>1326</v>
      </c>
      <c r="C495" s="6" t="s">
        <v>1979</v>
      </c>
      <c r="D495" s="6" t="s">
        <v>2292</v>
      </c>
      <c r="E495" s="6">
        <v>1</v>
      </c>
      <c r="F495" s="6" t="s">
        <v>2004</v>
      </c>
      <c r="G495" s="32" t="s">
        <v>2299</v>
      </c>
      <c r="H495" s="32" t="s">
        <v>2300</v>
      </c>
      <c r="I495" s="6" t="str">
        <f t="shared" si="18"/>
        <v>Thumb Grapple</v>
      </c>
      <c r="J495" s="6" t="s">
        <v>117</v>
      </c>
      <c r="K495" s="6">
        <v>1</v>
      </c>
      <c r="L495" s="6">
        <f t="shared" si="19"/>
        <v>940000</v>
      </c>
      <c r="M495" s="6">
        <v>800000</v>
      </c>
      <c r="N495" s="6" t="s">
        <v>2003</v>
      </c>
      <c r="O495" s="6" t="s">
        <v>2012</v>
      </c>
      <c r="P495" s="6">
        <v>2013</v>
      </c>
      <c r="Q495" s="6">
        <v>1</v>
      </c>
      <c r="R495" s="6" t="s">
        <v>45</v>
      </c>
      <c r="S495" s="31" t="s">
        <v>2113</v>
      </c>
      <c r="T495" s="6">
        <v>1</v>
      </c>
      <c r="U495" s="26">
        <v>700000</v>
      </c>
      <c r="V495" s="26">
        <v>700000</v>
      </c>
      <c r="W495" s="26">
        <v>700000</v>
      </c>
      <c r="X495" s="6" t="s">
        <v>2003</v>
      </c>
      <c r="Y495" s="6" t="s">
        <v>49</v>
      </c>
      <c r="Z495" s="6">
        <v>225218</v>
      </c>
    </row>
    <row r="496" spans="1:26" x14ac:dyDescent="0.3">
      <c r="A496" s="28" t="s">
        <v>42</v>
      </c>
      <c r="B496" s="6" t="s">
        <v>1327</v>
      </c>
      <c r="C496" s="19" t="s">
        <v>1982</v>
      </c>
      <c r="D496" s="6" t="s">
        <v>2289</v>
      </c>
      <c r="E496" s="6">
        <v>1</v>
      </c>
      <c r="F496" s="6" t="s">
        <v>2004</v>
      </c>
      <c r="G496" s="32" t="s">
        <v>2299</v>
      </c>
      <c r="H496" s="32" t="s">
        <v>2300</v>
      </c>
      <c r="I496" s="6" t="str">
        <f t="shared" si="18"/>
        <v>Standard Bucket</v>
      </c>
      <c r="J496" s="6" t="s">
        <v>112</v>
      </c>
      <c r="K496" s="6">
        <v>1</v>
      </c>
      <c r="L496" s="6">
        <f t="shared" si="19"/>
        <v>5170000</v>
      </c>
      <c r="M496" s="6">
        <v>4400000</v>
      </c>
      <c r="N496" s="6" t="s">
        <v>2003</v>
      </c>
      <c r="O496" s="6" t="s">
        <v>1008</v>
      </c>
      <c r="P496" s="6">
        <v>2016</v>
      </c>
      <c r="Q496" s="6">
        <v>1</v>
      </c>
      <c r="R496" s="6" t="s">
        <v>45</v>
      </c>
      <c r="S496" s="31" t="s">
        <v>2120</v>
      </c>
      <c r="T496" s="6">
        <v>1</v>
      </c>
      <c r="U496" s="26">
        <v>4200000</v>
      </c>
      <c r="V496" s="26">
        <v>4200000</v>
      </c>
      <c r="W496" s="26">
        <v>4200000</v>
      </c>
      <c r="X496" s="6" t="s">
        <v>2003</v>
      </c>
      <c r="Y496" s="6" t="s">
        <v>74</v>
      </c>
      <c r="Z496" s="6">
        <v>225228</v>
      </c>
    </row>
    <row r="497" spans="1:26" x14ac:dyDescent="0.3">
      <c r="A497" s="28" t="s">
        <v>42</v>
      </c>
      <c r="B497" s="6" t="s">
        <v>1327</v>
      </c>
      <c r="C497" s="19" t="s">
        <v>1982</v>
      </c>
      <c r="D497" s="6" t="s">
        <v>2001</v>
      </c>
      <c r="E497" s="6">
        <v>1</v>
      </c>
      <c r="F497" s="6" t="s">
        <v>2004</v>
      </c>
      <c r="G497" s="32" t="s">
        <v>2299</v>
      </c>
      <c r="H497" s="32" t="s">
        <v>2300</v>
      </c>
      <c r="I497" s="6" t="str">
        <f t="shared" si="18"/>
        <v>Standard Bucket</v>
      </c>
      <c r="J497" s="6" t="s">
        <v>114</v>
      </c>
      <c r="K497" s="6">
        <v>1</v>
      </c>
      <c r="L497" s="6">
        <f t="shared" si="19"/>
        <v>2940000</v>
      </c>
      <c r="M497" s="6">
        <v>2500000</v>
      </c>
      <c r="N497" s="6" t="s">
        <v>2003</v>
      </c>
      <c r="O497" s="6" t="s">
        <v>1009</v>
      </c>
      <c r="P497" s="6">
        <v>2016</v>
      </c>
      <c r="Q497" s="6">
        <v>1</v>
      </c>
      <c r="R497" s="6" t="s">
        <v>45</v>
      </c>
      <c r="S497" s="31" t="s">
        <v>2120</v>
      </c>
      <c r="T497" s="6">
        <v>1</v>
      </c>
      <c r="U497" s="26">
        <v>2300000</v>
      </c>
      <c r="V497" s="26">
        <v>2300000</v>
      </c>
      <c r="W497" s="26">
        <v>2300000</v>
      </c>
      <c r="X497" s="6" t="s">
        <v>2003</v>
      </c>
      <c r="Y497" s="6" t="s">
        <v>74</v>
      </c>
      <c r="Z497" s="6">
        <v>225235</v>
      </c>
    </row>
    <row r="498" spans="1:26" x14ac:dyDescent="0.3">
      <c r="A498" s="28" t="s">
        <v>42</v>
      </c>
      <c r="B498" s="6" t="s">
        <v>1328</v>
      </c>
      <c r="C498" s="6" t="s">
        <v>1975</v>
      </c>
      <c r="D498" s="6" t="s">
        <v>2001</v>
      </c>
      <c r="E498" s="6">
        <v>1</v>
      </c>
      <c r="F498" s="6" t="s">
        <v>2004</v>
      </c>
      <c r="G498" s="32" t="s">
        <v>2299</v>
      </c>
      <c r="H498" s="32" t="s">
        <v>2300</v>
      </c>
      <c r="I498" s="6" t="str">
        <f t="shared" si="18"/>
        <v>Side Breaker</v>
      </c>
      <c r="J498" s="6" t="s">
        <v>777</v>
      </c>
      <c r="K498" s="6">
        <v>1</v>
      </c>
      <c r="L498" s="6">
        <f t="shared" si="19"/>
        <v>14700000</v>
      </c>
      <c r="M498" s="6">
        <v>12500000</v>
      </c>
      <c r="N498" s="6" t="s">
        <v>2003</v>
      </c>
      <c r="O498" s="6" t="s">
        <v>70</v>
      </c>
      <c r="P498" s="6">
        <v>2016</v>
      </c>
      <c r="Q498" s="6">
        <v>1</v>
      </c>
      <c r="R498" s="6" t="s">
        <v>45</v>
      </c>
      <c r="S498" s="31" t="s">
        <v>2113</v>
      </c>
      <c r="T498" s="6">
        <v>1</v>
      </c>
      <c r="U498" s="26">
        <v>12000000</v>
      </c>
      <c r="V498" s="26">
        <v>12000000</v>
      </c>
      <c r="W498" s="26">
        <v>12000000</v>
      </c>
      <c r="X498" s="6" t="s">
        <v>2003</v>
      </c>
      <c r="Y498" s="6" t="s">
        <v>71</v>
      </c>
      <c r="Z498" s="6">
        <v>225245</v>
      </c>
    </row>
    <row r="499" spans="1:26" x14ac:dyDescent="0.3">
      <c r="A499" s="28" t="s">
        <v>42</v>
      </c>
      <c r="B499" s="6" t="s">
        <v>1328</v>
      </c>
      <c r="C499" s="6" t="s">
        <v>1975</v>
      </c>
      <c r="D499" s="6" t="s">
        <v>2293</v>
      </c>
      <c r="E499" s="6">
        <v>1</v>
      </c>
      <c r="F499" s="6" t="s">
        <v>2004</v>
      </c>
      <c r="G499" s="32" t="s">
        <v>2299</v>
      </c>
      <c r="H499" s="32" t="s">
        <v>2300</v>
      </c>
      <c r="I499" s="6" t="str">
        <f t="shared" si="18"/>
        <v>Side Breaker</v>
      </c>
      <c r="J499" s="6" t="s">
        <v>742</v>
      </c>
      <c r="K499" s="6">
        <v>1</v>
      </c>
      <c r="L499" s="6">
        <f t="shared" si="19"/>
        <v>2000000</v>
      </c>
      <c r="M499" s="6">
        <v>1700000</v>
      </c>
      <c r="N499" s="6" t="s">
        <v>2003</v>
      </c>
      <c r="O499" s="6" t="s">
        <v>837</v>
      </c>
      <c r="P499" s="6">
        <v>2015</v>
      </c>
      <c r="Q499" s="6">
        <v>1</v>
      </c>
      <c r="R499" s="6" t="s">
        <v>45</v>
      </c>
      <c r="S499" s="31" t="s">
        <v>2113</v>
      </c>
      <c r="T499" s="6">
        <v>1</v>
      </c>
      <c r="U499" s="26">
        <v>1600000</v>
      </c>
      <c r="V499" s="26">
        <v>1600000</v>
      </c>
      <c r="W499" s="26">
        <v>1600000</v>
      </c>
      <c r="X499" s="6" t="s">
        <v>2003</v>
      </c>
      <c r="Y499" s="6" t="s">
        <v>71</v>
      </c>
      <c r="Z499" s="6">
        <v>225246</v>
      </c>
    </row>
    <row r="500" spans="1:26" x14ac:dyDescent="0.3">
      <c r="A500" s="28" t="s">
        <v>42</v>
      </c>
      <c r="B500" s="6" t="s">
        <v>2239</v>
      </c>
      <c r="C500" s="19" t="s">
        <v>1973</v>
      </c>
      <c r="D500" s="6" t="s">
        <v>2291</v>
      </c>
      <c r="E500" s="6">
        <v>1</v>
      </c>
      <c r="F500" s="6" t="s">
        <v>2004</v>
      </c>
      <c r="G500" s="32" t="s">
        <v>2299</v>
      </c>
      <c r="H500" s="32" t="s">
        <v>2300</v>
      </c>
      <c r="I500" s="6" t="str">
        <f t="shared" si="18"/>
        <v>Wood Grapple</v>
      </c>
      <c r="J500" s="6" t="s">
        <v>398</v>
      </c>
      <c r="K500" s="6">
        <v>1</v>
      </c>
      <c r="L500" s="6">
        <f t="shared" si="19"/>
        <v>2580000</v>
      </c>
      <c r="M500" s="6">
        <v>2200000</v>
      </c>
      <c r="N500" s="6" t="s">
        <v>2003</v>
      </c>
      <c r="O500" s="6" t="s">
        <v>1010</v>
      </c>
      <c r="P500" s="6">
        <v>2010</v>
      </c>
      <c r="Q500" s="6">
        <v>1</v>
      </c>
      <c r="R500" s="6" t="s">
        <v>45</v>
      </c>
      <c r="S500" s="31" t="s">
        <v>2114</v>
      </c>
      <c r="T500" s="6">
        <v>1</v>
      </c>
      <c r="U500" s="26">
        <v>2000000</v>
      </c>
      <c r="V500" s="26">
        <v>2000000</v>
      </c>
      <c r="W500" s="26">
        <v>2000000</v>
      </c>
      <c r="X500" s="6" t="s">
        <v>2003</v>
      </c>
      <c r="Y500" s="6" t="s">
        <v>830</v>
      </c>
      <c r="Z500" s="6">
        <v>225254</v>
      </c>
    </row>
    <row r="501" spans="1:26" x14ac:dyDescent="0.3">
      <c r="A501" s="28" t="s">
        <v>42</v>
      </c>
      <c r="B501" s="6" t="s">
        <v>1327</v>
      </c>
      <c r="C501" s="6" t="s">
        <v>1980</v>
      </c>
      <c r="D501" s="6" t="s">
        <v>2001</v>
      </c>
      <c r="E501" s="6">
        <v>1</v>
      </c>
      <c r="F501" s="6" t="s">
        <v>2004</v>
      </c>
      <c r="G501" s="32" t="s">
        <v>2299</v>
      </c>
      <c r="H501" s="32" t="s">
        <v>2300</v>
      </c>
      <c r="I501" s="6" t="str">
        <f t="shared" si="18"/>
        <v>Small Bucket</v>
      </c>
      <c r="J501" s="6" t="s">
        <v>626</v>
      </c>
      <c r="K501" s="6">
        <v>1</v>
      </c>
      <c r="L501" s="6">
        <f t="shared" si="19"/>
        <v>2350000</v>
      </c>
      <c r="M501" s="6">
        <v>2000000</v>
      </c>
      <c r="N501" s="6" t="s">
        <v>2003</v>
      </c>
      <c r="O501" s="6" t="s">
        <v>1011</v>
      </c>
      <c r="P501" s="6">
        <v>2016</v>
      </c>
      <c r="Q501" s="6">
        <v>1</v>
      </c>
      <c r="R501" s="6" t="s">
        <v>45</v>
      </c>
      <c r="S501" s="31" t="s">
        <v>2120</v>
      </c>
      <c r="T501" s="6">
        <v>1</v>
      </c>
      <c r="U501" s="26">
        <v>1900000</v>
      </c>
      <c r="V501" s="26">
        <v>1900000</v>
      </c>
      <c r="W501" s="26">
        <v>1900000</v>
      </c>
      <c r="X501" s="6" t="s">
        <v>2003</v>
      </c>
      <c r="Y501" s="6" t="s">
        <v>74</v>
      </c>
      <c r="Z501" s="6">
        <v>225261</v>
      </c>
    </row>
    <row r="502" spans="1:26" x14ac:dyDescent="0.3">
      <c r="A502" s="28" t="s">
        <v>42</v>
      </c>
      <c r="B502" s="6" t="s">
        <v>1328</v>
      </c>
      <c r="C502" s="6" t="s">
        <v>1975</v>
      </c>
      <c r="D502" s="6" t="s">
        <v>2289</v>
      </c>
      <c r="E502" s="6">
        <v>1</v>
      </c>
      <c r="F502" s="6" t="s">
        <v>2004</v>
      </c>
      <c r="G502" s="32" t="s">
        <v>2299</v>
      </c>
      <c r="H502" s="32" t="s">
        <v>2300</v>
      </c>
      <c r="I502" s="6" t="str">
        <f t="shared" si="18"/>
        <v>Side Breaker</v>
      </c>
      <c r="J502" s="6" t="s">
        <v>627</v>
      </c>
      <c r="K502" s="6">
        <v>1</v>
      </c>
      <c r="L502" s="6">
        <f t="shared" si="19"/>
        <v>18230000</v>
      </c>
      <c r="M502" s="6">
        <v>15500000</v>
      </c>
      <c r="N502" s="6" t="s">
        <v>2003</v>
      </c>
      <c r="O502" s="6" t="s">
        <v>54</v>
      </c>
      <c r="P502" s="6">
        <v>2011</v>
      </c>
      <c r="Q502" s="6">
        <v>1</v>
      </c>
      <c r="R502" s="6" t="s">
        <v>45</v>
      </c>
      <c r="S502" s="31" t="s">
        <v>2114</v>
      </c>
      <c r="T502" s="6">
        <v>1</v>
      </c>
      <c r="U502" s="26">
        <v>15000000</v>
      </c>
      <c r="V502" s="26">
        <v>15000000</v>
      </c>
      <c r="W502" s="26">
        <v>15000000</v>
      </c>
      <c r="X502" s="6" t="s">
        <v>2003</v>
      </c>
      <c r="Y502" s="6" t="s">
        <v>54</v>
      </c>
      <c r="Z502" s="6">
        <v>225267</v>
      </c>
    </row>
    <row r="503" spans="1:26" x14ac:dyDescent="0.3">
      <c r="A503" s="28" t="s">
        <v>42</v>
      </c>
      <c r="B503" s="6" t="s">
        <v>1337</v>
      </c>
      <c r="C503" s="6"/>
      <c r="D503" s="6" t="s">
        <v>2292</v>
      </c>
      <c r="E503" s="6">
        <v>1</v>
      </c>
      <c r="F503" s="6" t="s">
        <v>2004</v>
      </c>
      <c r="G503" s="32" t="s">
        <v>2299</v>
      </c>
      <c r="H503" s="32" t="s">
        <v>2300</v>
      </c>
      <c r="I503" s="6" t="str">
        <f t="shared" si="18"/>
        <v>ETC</v>
      </c>
      <c r="J503" s="6" t="s">
        <v>115</v>
      </c>
      <c r="K503" s="6">
        <v>1</v>
      </c>
      <c r="L503" s="6">
        <f t="shared" si="19"/>
        <v>1760000</v>
      </c>
      <c r="M503" s="6">
        <v>1500000</v>
      </c>
      <c r="N503" s="6" t="s">
        <v>2003</v>
      </c>
      <c r="O503" s="6" t="s">
        <v>2062</v>
      </c>
      <c r="P503" s="6">
        <v>2017</v>
      </c>
      <c r="Q503" s="6">
        <v>2</v>
      </c>
      <c r="R503" s="6" t="s">
        <v>45</v>
      </c>
      <c r="S503" s="31" t="s">
        <v>2124</v>
      </c>
      <c r="T503" s="6">
        <v>1</v>
      </c>
      <c r="U503" s="26">
        <v>1400000</v>
      </c>
      <c r="V503" s="26">
        <v>1400000</v>
      </c>
      <c r="W503" s="26">
        <v>1400000</v>
      </c>
      <c r="X503" s="6" t="s">
        <v>2003</v>
      </c>
      <c r="Y503" s="6" t="s">
        <v>1144</v>
      </c>
      <c r="Z503" s="6">
        <v>225272</v>
      </c>
    </row>
    <row r="504" spans="1:26" x14ac:dyDescent="0.3">
      <c r="A504" s="28" t="s">
        <v>42</v>
      </c>
      <c r="B504" s="6" t="s">
        <v>1326</v>
      </c>
      <c r="C504" s="6" t="s">
        <v>1979</v>
      </c>
      <c r="D504" s="6" t="s">
        <v>2001</v>
      </c>
      <c r="E504" s="6">
        <v>1</v>
      </c>
      <c r="F504" s="6" t="s">
        <v>2004</v>
      </c>
      <c r="G504" s="32" t="s">
        <v>2299</v>
      </c>
      <c r="H504" s="32" t="s">
        <v>2300</v>
      </c>
      <c r="I504" s="6" t="str">
        <f t="shared" si="18"/>
        <v>Thumb Grapple</v>
      </c>
      <c r="J504" s="6" t="s">
        <v>628</v>
      </c>
      <c r="K504" s="6">
        <v>1</v>
      </c>
      <c r="L504" s="6">
        <f t="shared" si="19"/>
        <v>5520000</v>
      </c>
      <c r="M504" s="6">
        <v>4700000</v>
      </c>
      <c r="N504" s="6" t="s">
        <v>2003</v>
      </c>
      <c r="O504" s="6" t="s">
        <v>54</v>
      </c>
      <c r="P504" s="6">
        <v>2014</v>
      </c>
      <c r="Q504" s="6">
        <v>1</v>
      </c>
      <c r="R504" s="6" t="s">
        <v>45</v>
      </c>
      <c r="S504" s="31" t="s">
        <v>2114</v>
      </c>
      <c r="T504" s="6">
        <v>1</v>
      </c>
      <c r="U504" s="26">
        <v>4500000</v>
      </c>
      <c r="V504" s="26">
        <v>4500000</v>
      </c>
      <c r="W504" s="26">
        <v>4500000</v>
      </c>
      <c r="X504" s="6" t="s">
        <v>2003</v>
      </c>
      <c r="Y504" s="6" t="s">
        <v>54</v>
      </c>
      <c r="Z504" s="6">
        <v>225276</v>
      </c>
    </row>
    <row r="505" spans="1:26" x14ac:dyDescent="0.3">
      <c r="A505" s="28" t="s">
        <v>42</v>
      </c>
      <c r="B505" s="6" t="s">
        <v>1326</v>
      </c>
      <c r="C505" s="6" t="s">
        <v>1979</v>
      </c>
      <c r="D505" s="6" t="s">
        <v>2292</v>
      </c>
      <c r="E505" s="6">
        <v>1</v>
      </c>
      <c r="F505" s="6" t="s">
        <v>2004</v>
      </c>
      <c r="G505" s="32" t="s">
        <v>2299</v>
      </c>
      <c r="H505" s="32" t="s">
        <v>2300</v>
      </c>
      <c r="I505" s="6" t="str">
        <f t="shared" si="18"/>
        <v>Thumb Grapple</v>
      </c>
      <c r="J505" s="6" t="s">
        <v>117</v>
      </c>
      <c r="K505" s="6">
        <v>1</v>
      </c>
      <c r="L505" s="6">
        <f t="shared" si="19"/>
        <v>700000</v>
      </c>
      <c r="M505" s="6">
        <v>600000</v>
      </c>
      <c r="N505" s="6" t="s">
        <v>2003</v>
      </c>
      <c r="O505" s="6" t="s">
        <v>54</v>
      </c>
      <c r="P505" s="6">
        <v>2009</v>
      </c>
      <c r="Q505" s="6">
        <v>1</v>
      </c>
      <c r="R505" s="6" t="s">
        <v>45</v>
      </c>
      <c r="S505" s="31" t="s">
        <v>2114</v>
      </c>
      <c r="T505" s="6">
        <v>1</v>
      </c>
      <c r="U505" s="26">
        <v>500000</v>
      </c>
      <c r="V505" s="26">
        <v>500000</v>
      </c>
      <c r="W505" s="26">
        <v>500000</v>
      </c>
      <c r="X505" s="6" t="s">
        <v>2003</v>
      </c>
      <c r="Y505" s="6" t="s">
        <v>54</v>
      </c>
      <c r="Z505" s="6">
        <v>225283</v>
      </c>
    </row>
    <row r="506" spans="1:26" x14ac:dyDescent="0.3">
      <c r="A506" s="28" t="s">
        <v>42</v>
      </c>
      <c r="B506" s="6" t="s">
        <v>2163</v>
      </c>
      <c r="C506" s="6"/>
      <c r="D506" s="6" t="s">
        <v>2292</v>
      </c>
      <c r="E506" s="6">
        <v>1</v>
      </c>
      <c r="F506" s="6" t="s">
        <v>2004</v>
      </c>
      <c r="G506" s="32" t="s">
        <v>2299</v>
      </c>
      <c r="H506" s="32" t="s">
        <v>2300</v>
      </c>
      <c r="I506" s="6" t="str">
        <f t="shared" si="18"/>
        <v>Lift Fork</v>
      </c>
      <c r="J506" s="6" t="s">
        <v>178</v>
      </c>
      <c r="K506" s="6">
        <v>1</v>
      </c>
      <c r="L506" s="6">
        <f t="shared" si="19"/>
        <v>1050000</v>
      </c>
      <c r="M506" s="6">
        <v>900000</v>
      </c>
      <c r="N506" s="6" t="s">
        <v>2003</v>
      </c>
      <c r="O506" s="6" t="s">
        <v>794</v>
      </c>
      <c r="P506" s="6">
        <v>2015</v>
      </c>
      <c r="Q506" s="6">
        <v>1</v>
      </c>
      <c r="R506" s="6" t="s">
        <v>45</v>
      </c>
      <c r="S506" s="31" t="s">
        <v>2122</v>
      </c>
      <c r="T506" s="6">
        <v>1</v>
      </c>
      <c r="U506" s="26">
        <v>800000</v>
      </c>
      <c r="V506" s="26">
        <v>800000</v>
      </c>
      <c r="W506" s="26">
        <v>800000</v>
      </c>
      <c r="X506" s="6" t="s">
        <v>2003</v>
      </c>
      <c r="Y506" s="6" t="s">
        <v>1154</v>
      </c>
      <c r="Z506" s="6">
        <v>225284</v>
      </c>
    </row>
    <row r="507" spans="1:26" x14ac:dyDescent="0.3">
      <c r="A507" s="28" t="s">
        <v>42</v>
      </c>
      <c r="B507" s="6" t="s">
        <v>1328</v>
      </c>
      <c r="C507" s="6" t="s">
        <v>1975</v>
      </c>
      <c r="D507" s="6" t="s">
        <v>2291</v>
      </c>
      <c r="E507" s="6">
        <v>1</v>
      </c>
      <c r="F507" s="6" t="s">
        <v>2004</v>
      </c>
      <c r="G507" s="32" t="s">
        <v>2299</v>
      </c>
      <c r="H507" s="32" t="s">
        <v>2300</v>
      </c>
      <c r="I507" s="6" t="str">
        <f t="shared" si="18"/>
        <v>Side Breaker</v>
      </c>
      <c r="J507" s="6" t="s">
        <v>171</v>
      </c>
      <c r="K507" s="6">
        <v>1</v>
      </c>
      <c r="L507" s="6">
        <f t="shared" si="19"/>
        <v>2350000</v>
      </c>
      <c r="M507" s="6">
        <v>2000000</v>
      </c>
      <c r="N507" s="6" t="s">
        <v>2003</v>
      </c>
      <c r="O507" s="6" t="s">
        <v>846</v>
      </c>
      <c r="P507" s="6">
        <v>2017</v>
      </c>
      <c r="Q507" s="6">
        <v>1</v>
      </c>
      <c r="R507" s="6" t="s">
        <v>45</v>
      </c>
      <c r="S507" s="31" t="s">
        <v>2113</v>
      </c>
      <c r="T507" s="6">
        <v>1</v>
      </c>
      <c r="U507" s="26">
        <v>1900000</v>
      </c>
      <c r="V507" s="26">
        <v>1900000</v>
      </c>
      <c r="W507" s="26">
        <v>1900000</v>
      </c>
      <c r="X507" s="6" t="s">
        <v>2003</v>
      </c>
      <c r="Y507" s="6" t="s">
        <v>49</v>
      </c>
      <c r="Z507" s="6">
        <v>225285</v>
      </c>
    </row>
    <row r="508" spans="1:26" x14ac:dyDescent="0.3">
      <c r="A508" s="28" t="s">
        <v>42</v>
      </c>
      <c r="B508" s="6" t="s">
        <v>1325</v>
      </c>
      <c r="C508" s="19" t="s">
        <v>2156</v>
      </c>
      <c r="D508" s="6" t="s">
        <v>2001</v>
      </c>
      <c r="E508" s="6">
        <v>1</v>
      </c>
      <c r="F508" s="6" t="s">
        <v>2004</v>
      </c>
      <c r="G508" s="32" t="s">
        <v>2299</v>
      </c>
      <c r="H508" s="32" t="s">
        <v>2300</v>
      </c>
      <c r="I508" s="6" t="str">
        <f t="shared" si="18"/>
        <v>Hydraulic Crusher</v>
      </c>
      <c r="J508" s="6" t="s">
        <v>273</v>
      </c>
      <c r="K508" s="6">
        <v>1</v>
      </c>
      <c r="L508" s="6">
        <f t="shared" si="19"/>
        <v>20000000</v>
      </c>
      <c r="M508" s="6">
        <v>17000000</v>
      </c>
      <c r="N508" s="6" t="s">
        <v>2003</v>
      </c>
      <c r="O508" s="6" t="s">
        <v>813</v>
      </c>
      <c r="P508" s="6">
        <v>2014</v>
      </c>
      <c r="Q508" s="6">
        <v>1</v>
      </c>
      <c r="R508" s="6" t="s">
        <v>45</v>
      </c>
      <c r="S508" s="31" t="s">
        <v>2113</v>
      </c>
      <c r="T508" s="6">
        <v>1</v>
      </c>
      <c r="U508" s="26">
        <v>16500000</v>
      </c>
      <c r="V508" s="26">
        <v>16500000</v>
      </c>
      <c r="W508" s="26">
        <v>16500000</v>
      </c>
      <c r="X508" s="6" t="s">
        <v>2003</v>
      </c>
      <c r="Y508" s="6" t="s">
        <v>79</v>
      </c>
      <c r="Z508" s="6">
        <v>225297</v>
      </c>
    </row>
    <row r="509" spans="1:26" x14ac:dyDescent="0.3">
      <c r="A509" s="28" t="s">
        <v>42</v>
      </c>
      <c r="B509" s="6" t="s">
        <v>1326</v>
      </c>
      <c r="C509" s="6" t="s">
        <v>1972</v>
      </c>
      <c r="D509" s="6" t="s">
        <v>2290</v>
      </c>
      <c r="E509" s="6">
        <v>1</v>
      </c>
      <c r="F509" s="6" t="s">
        <v>2004</v>
      </c>
      <c r="G509" s="32" t="s">
        <v>2299</v>
      </c>
      <c r="H509" s="32" t="s">
        <v>2300</v>
      </c>
      <c r="I509" s="6" t="str">
        <f t="shared" si="18"/>
        <v>Stone Grapple</v>
      </c>
      <c r="J509" s="6" t="s">
        <v>94</v>
      </c>
      <c r="K509" s="6">
        <v>1</v>
      </c>
      <c r="L509" s="6">
        <f t="shared" si="19"/>
        <v>4000000</v>
      </c>
      <c r="M509" s="6">
        <v>3400000</v>
      </c>
      <c r="N509" s="6" t="s">
        <v>2003</v>
      </c>
      <c r="O509" s="6" t="s">
        <v>813</v>
      </c>
      <c r="P509" s="6">
        <v>2013</v>
      </c>
      <c r="Q509" s="6">
        <v>1</v>
      </c>
      <c r="R509" s="6" t="s">
        <v>45</v>
      </c>
      <c r="S509" s="31" t="s">
        <v>2113</v>
      </c>
      <c r="T509" s="6">
        <v>1</v>
      </c>
      <c r="U509" s="26">
        <v>3200000</v>
      </c>
      <c r="V509" s="26">
        <v>3200000</v>
      </c>
      <c r="W509" s="26">
        <v>3200000</v>
      </c>
      <c r="X509" s="6" t="s">
        <v>2003</v>
      </c>
      <c r="Y509" s="6" t="s">
        <v>80</v>
      </c>
      <c r="Z509" s="6">
        <v>225298</v>
      </c>
    </row>
    <row r="510" spans="1:26" x14ac:dyDescent="0.3">
      <c r="A510" s="28" t="s">
        <v>42</v>
      </c>
      <c r="B510" s="6" t="s">
        <v>1326</v>
      </c>
      <c r="C510" s="6" t="s">
        <v>1979</v>
      </c>
      <c r="D510" s="6" t="s">
        <v>2290</v>
      </c>
      <c r="E510" s="6">
        <v>1</v>
      </c>
      <c r="F510" s="6" t="s">
        <v>2004</v>
      </c>
      <c r="G510" s="32" t="s">
        <v>2299</v>
      </c>
      <c r="H510" s="32" t="s">
        <v>2300</v>
      </c>
      <c r="I510" s="6" t="str">
        <f t="shared" si="18"/>
        <v>Thumb Grapple</v>
      </c>
      <c r="J510" s="6" t="s">
        <v>631</v>
      </c>
      <c r="K510" s="6">
        <v>1</v>
      </c>
      <c r="L510" s="6">
        <f t="shared" si="19"/>
        <v>2580000</v>
      </c>
      <c r="M510" s="6">
        <v>2200000</v>
      </c>
      <c r="N510" s="6" t="s">
        <v>2003</v>
      </c>
      <c r="O510" s="6" t="s">
        <v>813</v>
      </c>
      <c r="P510" s="6">
        <v>2013</v>
      </c>
      <c r="Q510" s="6">
        <v>1</v>
      </c>
      <c r="R510" s="6" t="s">
        <v>45</v>
      </c>
      <c r="S510" s="31" t="s">
        <v>2113</v>
      </c>
      <c r="T510" s="6">
        <v>1</v>
      </c>
      <c r="U510" s="26">
        <v>2000000</v>
      </c>
      <c r="V510" s="26">
        <v>2000000</v>
      </c>
      <c r="W510" s="26">
        <v>2000000</v>
      </c>
      <c r="X510" s="6" t="s">
        <v>2003</v>
      </c>
      <c r="Y510" s="6" t="s">
        <v>79</v>
      </c>
      <c r="Z510" s="6">
        <v>225303</v>
      </c>
    </row>
    <row r="511" spans="1:26" x14ac:dyDescent="0.3">
      <c r="A511" s="28" t="s">
        <v>42</v>
      </c>
      <c r="B511" s="6" t="s">
        <v>1327</v>
      </c>
      <c r="C511" s="6" t="s">
        <v>1976</v>
      </c>
      <c r="D511" s="6" t="s">
        <v>2290</v>
      </c>
      <c r="E511" s="6">
        <v>1</v>
      </c>
      <c r="F511" s="6" t="s">
        <v>2004</v>
      </c>
      <c r="G511" s="32" t="s">
        <v>2299</v>
      </c>
      <c r="H511" s="32" t="s">
        <v>2300</v>
      </c>
      <c r="I511" s="6" t="str">
        <f t="shared" si="18"/>
        <v>Skeleton Bucket</v>
      </c>
      <c r="J511" s="6" t="s">
        <v>486</v>
      </c>
      <c r="K511" s="6">
        <v>1</v>
      </c>
      <c r="L511" s="6">
        <f t="shared" si="19"/>
        <v>2940000</v>
      </c>
      <c r="M511" s="6">
        <v>2500000</v>
      </c>
      <c r="N511" s="6" t="s">
        <v>2003</v>
      </c>
      <c r="O511" s="6" t="s">
        <v>813</v>
      </c>
      <c r="P511" s="6">
        <v>2013</v>
      </c>
      <c r="Q511" s="6">
        <v>1</v>
      </c>
      <c r="R511" s="6" t="s">
        <v>45</v>
      </c>
      <c r="S511" s="31" t="s">
        <v>2113</v>
      </c>
      <c r="T511" s="6">
        <v>1</v>
      </c>
      <c r="U511" s="26">
        <v>2300000</v>
      </c>
      <c r="V511" s="26">
        <v>2300000</v>
      </c>
      <c r="W511" s="26">
        <v>2300000</v>
      </c>
      <c r="X511" s="6" t="s">
        <v>2003</v>
      </c>
      <c r="Y511" s="6" t="s">
        <v>79</v>
      </c>
      <c r="Z511" s="6">
        <v>225307</v>
      </c>
    </row>
    <row r="512" spans="1:26" x14ac:dyDescent="0.3">
      <c r="A512" s="28" t="s">
        <v>42</v>
      </c>
      <c r="B512" s="6" t="s">
        <v>1325</v>
      </c>
      <c r="C512" s="19" t="s">
        <v>2156</v>
      </c>
      <c r="D512" s="6" t="s">
        <v>2290</v>
      </c>
      <c r="E512" s="6">
        <v>1</v>
      </c>
      <c r="F512" s="6" t="s">
        <v>2004</v>
      </c>
      <c r="G512" s="32" t="s">
        <v>2299</v>
      </c>
      <c r="H512" s="32" t="s">
        <v>2300</v>
      </c>
      <c r="I512" s="6" t="str">
        <f t="shared" si="18"/>
        <v>Hydraulic Crusher</v>
      </c>
      <c r="J512" s="6" t="s">
        <v>223</v>
      </c>
      <c r="K512" s="6">
        <v>1</v>
      </c>
      <c r="L512" s="6">
        <f t="shared" si="19"/>
        <v>12350000</v>
      </c>
      <c r="M512" s="6">
        <v>10500000</v>
      </c>
      <c r="N512" s="6" t="s">
        <v>2003</v>
      </c>
      <c r="O512" s="6" t="s">
        <v>813</v>
      </c>
      <c r="P512" s="6">
        <v>2014</v>
      </c>
      <c r="Q512" s="6">
        <v>1</v>
      </c>
      <c r="R512" s="6" t="s">
        <v>45</v>
      </c>
      <c r="S512" s="31" t="s">
        <v>2113</v>
      </c>
      <c r="T512" s="6">
        <v>1</v>
      </c>
      <c r="U512" s="26">
        <v>10000000</v>
      </c>
      <c r="V512" s="26">
        <v>10000000</v>
      </c>
      <c r="W512" s="26">
        <v>10000000</v>
      </c>
      <c r="X512" s="6" t="s">
        <v>2003</v>
      </c>
      <c r="Y512" s="6" t="s">
        <v>80</v>
      </c>
      <c r="Z512" s="6">
        <v>225308</v>
      </c>
    </row>
    <row r="513" spans="1:26" x14ac:dyDescent="0.3">
      <c r="A513" s="28" t="s">
        <v>42</v>
      </c>
      <c r="B513" s="6" t="s">
        <v>1328</v>
      </c>
      <c r="C513" s="19" t="s">
        <v>1975</v>
      </c>
      <c r="D513" s="6" t="s">
        <v>2292</v>
      </c>
      <c r="E513" s="6">
        <v>1</v>
      </c>
      <c r="F513" s="6" t="s">
        <v>2004</v>
      </c>
      <c r="G513" s="32" t="s">
        <v>2299</v>
      </c>
      <c r="H513" s="32" t="s">
        <v>2300</v>
      </c>
      <c r="I513" s="6" t="str">
        <f t="shared" si="18"/>
        <v>Side Breaker</v>
      </c>
      <c r="J513" s="6" t="s">
        <v>423</v>
      </c>
      <c r="K513" s="6">
        <v>1</v>
      </c>
      <c r="L513" s="6">
        <f t="shared" si="19"/>
        <v>5170000</v>
      </c>
      <c r="M513" s="6">
        <v>4400000</v>
      </c>
      <c r="N513" s="6" t="s">
        <v>2003</v>
      </c>
      <c r="O513" s="6" t="s">
        <v>797</v>
      </c>
      <c r="P513" s="6">
        <v>2015</v>
      </c>
      <c r="Q513" s="6">
        <v>7</v>
      </c>
      <c r="R513" s="6" t="s">
        <v>45</v>
      </c>
      <c r="S513" s="31" t="s">
        <v>2120</v>
      </c>
      <c r="T513" s="6">
        <v>1</v>
      </c>
      <c r="U513" s="26">
        <v>4200000</v>
      </c>
      <c r="V513" s="26">
        <v>4200000</v>
      </c>
      <c r="W513" s="26">
        <v>4200000</v>
      </c>
      <c r="X513" s="6" t="s">
        <v>2003</v>
      </c>
      <c r="Y513" s="6" t="s">
        <v>1162</v>
      </c>
      <c r="Z513" s="6">
        <v>225311</v>
      </c>
    </row>
    <row r="514" spans="1:26" x14ac:dyDescent="0.3">
      <c r="A514" s="28" t="s">
        <v>42</v>
      </c>
      <c r="B514" s="6" t="s">
        <v>1326</v>
      </c>
      <c r="C514" s="6" t="s">
        <v>1979</v>
      </c>
      <c r="D514" s="6" t="s">
        <v>2292</v>
      </c>
      <c r="E514" s="6">
        <v>1</v>
      </c>
      <c r="F514" s="6" t="s">
        <v>2004</v>
      </c>
      <c r="G514" s="32" t="s">
        <v>2299</v>
      </c>
      <c r="H514" s="32" t="s">
        <v>2300</v>
      </c>
      <c r="I514" s="6" t="str">
        <f t="shared" si="18"/>
        <v>Thumb Grapple</v>
      </c>
      <c r="J514" s="6" t="s">
        <v>117</v>
      </c>
      <c r="K514" s="6">
        <v>1</v>
      </c>
      <c r="L514" s="6">
        <f t="shared" si="19"/>
        <v>940000</v>
      </c>
      <c r="M514" s="6">
        <v>800000</v>
      </c>
      <c r="N514" s="6" t="s">
        <v>2003</v>
      </c>
      <c r="O514" s="6" t="s">
        <v>813</v>
      </c>
      <c r="P514" s="6">
        <v>2013</v>
      </c>
      <c r="Q514" s="6">
        <v>1</v>
      </c>
      <c r="R514" s="6" t="s">
        <v>45</v>
      </c>
      <c r="S514" s="31" t="s">
        <v>2113</v>
      </c>
      <c r="T514" s="6">
        <v>1</v>
      </c>
      <c r="U514" s="26">
        <v>700000</v>
      </c>
      <c r="V514" s="26">
        <v>700000</v>
      </c>
      <c r="W514" s="26">
        <v>700000</v>
      </c>
      <c r="X514" s="6" t="s">
        <v>2003</v>
      </c>
      <c r="Y514" s="6" t="s">
        <v>79</v>
      </c>
      <c r="Z514" s="6">
        <v>225312</v>
      </c>
    </row>
    <row r="515" spans="1:26" x14ac:dyDescent="0.3">
      <c r="A515" s="28" t="s">
        <v>42</v>
      </c>
      <c r="B515" s="6" t="s">
        <v>1326</v>
      </c>
      <c r="C515" s="6" t="s">
        <v>1979</v>
      </c>
      <c r="D515" s="6" t="s">
        <v>2292</v>
      </c>
      <c r="E515" s="6">
        <v>1</v>
      </c>
      <c r="F515" s="6" t="s">
        <v>2004</v>
      </c>
      <c r="G515" s="32" t="s">
        <v>2299</v>
      </c>
      <c r="H515" s="32" t="s">
        <v>2300</v>
      </c>
      <c r="I515" s="6" t="str">
        <f t="shared" si="18"/>
        <v>Thumb Grapple</v>
      </c>
      <c r="J515" s="6" t="s">
        <v>59</v>
      </c>
      <c r="K515" s="6">
        <v>1</v>
      </c>
      <c r="L515" s="6">
        <f t="shared" si="19"/>
        <v>940000</v>
      </c>
      <c r="M515" s="6">
        <v>800000</v>
      </c>
      <c r="N515" s="6" t="s">
        <v>2003</v>
      </c>
      <c r="O515" s="6" t="s">
        <v>813</v>
      </c>
      <c r="P515" s="6">
        <v>2013</v>
      </c>
      <c r="Q515" s="6">
        <v>1</v>
      </c>
      <c r="R515" s="6" t="s">
        <v>45</v>
      </c>
      <c r="S515" s="31" t="s">
        <v>2113</v>
      </c>
      <c r="T515" s="6">
        <v>1</v>
      </c>
      <c r="U515" s="26">
        <v>700000</v>
      </c>
      <c r="V515" s="26">
        <v>700000</v>
      </c>
      <c r="W515" s="26">
        <v>700000</v>
      </c>
      <c r="X515" s="6" t="s">
        <v>2003</v>
      </c>
      <c r="Y515" s="6" t="s">
        <v>80</v>
      </c>
      <c r="Z515" s="6">
        <v>225313</v>
      </c>
    </row>
    <row r="516" spans="1:26" x14ac:dyDescent="0.3">
      <c r="A516" s="28" t="s">
        <v>42</v>
      </c>
      <c r="B516" s="6" t="s">
        <v>1327</v>
      </c>
      <c r="C516" s="6" t="s">
        <v>1980</v>
      </c>
      <c r="D516" s="6" t="s">
        <v>2292</v>
      </c>
      <c r="E516" s="6">
        <v>1</v>
      </c>
      <c r="F516" s="6" t="s">
        <v>2004</v>
      </c>
      <c r="G516" s="32" t="s">
        <v>2299</v>
      </c>
      <c r="H516" s="32" t="s">
        <v>2300</v>
      </c>
      <c r="I516" s="6" t="str">
        <f t="shared" si="18"/>
        <v>Small Bucket</v>
      </c>
      <c r="J516" s="6" t="s">
        <v>97</v>
      </c>
      <c r="K516" s="6">
        <v>1</v>
      </c>
      <c r="L516" s="6">
        <f t="shared" si="19"/>
        <v>880000</v>
      </c>
      <c r="M516" s="6">
        <v>750000</v>
      </c>
      <c r="N516" s="6" t="s">
        <v>2003</v>
      </c>
      <c r="O516" s="6" t="s">
        <v>797</v>
      </c>
      <c r="P516" s="6">
        <v>2015</v>
      </c>
      <c r="Q516" s="6">
        <v>7</v>
      </c>
      <c r="R516" s="6" t="s">
        <v>45</v>
      </c>
      <c r="S516" s="31" t="s">
        <v>2120</v>
      </c>
      <c r="T516" s="6">
        <v>1</v>
      </c>
      <c r="U516" s="26">
        <v>650000</v>
      </c>
      <c r="V516" s="26">
        <v>650000</v>
      </c>
      <c r="W516" s="26">
        <v>650000</v>
      </c>
      <c r="X516" s="6" t="s">
        <v>2003</v>
      </c>
      <c r="Y516" s="6" t="s">
        <v>1162</v>
      </c>
      <c r="Z516" s="6">
        <v>225315</v>
      </c>
    </row>
    <row r="517" spans="1:26" x14ac:dyDescent="0.3">
      <c r="A517" s="28" t="s">
        <v>42</v>
      </c>
      <c r="B517" s="6" t="s">
        <v>2172</v>
      </c>
      <c r="C517" s="6"/>
      <c r="D517" s="6" t="s">
        <v>2292</v>
      </c>
      <c r="E517" s="6">
        <v>1</v>
      </c>
      <c r="F517" s="6" t="s">
        <v>2004</v>
      </c>
      <c r="G517" s="32" t="s">
        <v>2299</v>
      </c>
      <c r="H517" s="32" t="s">
        <v>2300</v>
      </c>
      <c r="I517" s="6" t="str">
        <f t="shared" si="18"/>
        <v>Quick Coupler</v>
      </c>
      <c r="J517" s="6" t="s">
        <v>140</v>
      </c>
      <c r="K517" s="6">
        <v>1</v>
      </c>
      <c r="L517" s="6">
        <f t="shared" si="19"/>
        <v>940000</v>
      </c>
      <c r="M517" s="6">
        <v>800000</v>
      </c>
      <c r="N517" s="6" t="s">
        <v>2003</v>
      </c>
      <c r="O517" s="6" t="s">
        <v>813</v>
      </c>
      <c r="P517" s="6">
        <v>2014</v>
      </c>
      <c r="Q517" s="6">
        <v>1</v>
      </c>
      <c r="R517" s="6" t="s">
        <v>45</v>
      </c>
      <c r="S517" s="31" t="s">
        <v>2113</v>
      </c>
      <c r="T517" s="6">
        <v>1</v>
      </c>
      <c r="U517" s="26">
        <v>700000</v>
      </c>
      <c r="V517" s="26">
        <v>700000</v>
      </c>
      <c r="W517" s="26">
        <v>700000</v>
      </c>
      <c r="X517" s="6" t="s">
        <v>2003</v>
      </c>
      <c r="Y517" s="6" t="s">
        <v>79</v>
      </c>
      <c r="Z517" s="6">
        <v>225323</v>
      </c>
    </row>
    <row r="518" spans="1:26" x14ac:dyDescent="0.3">
      <c r="A518" s="28" t="s">
        <v>42</v>
      </c>
      <c r="B518" s="6" t="s">
        <v>2172</v>
      </c>
      <c r="C518" s="6"/>
      <c r="D518" s="6" t="s">
        <v>2292</v>
      </c>
      <c r="E518" s="6">
        <v>1</v>
      </c>
      <c r="F518" s="6" t="s">
        <v>2004</v>
      </c>
      <c r="G518" s="32" t="s">
        <v>2299</v>
      </c>
      <c r="H518" s="32" t="s">
        <v>2300</v>
      </c>
      <c r="I518" s="6" t="str">
        <f t="shared" si="18"/>
        <v>Quick Coupler</v>
      </c>
      <c r="J518" s="6" t="s">
        <v>249</v>
      </c>
      <c r="K518" s="6">
        <v>1</v>
      </c>
      <c r="L518" s="6">
        <f t="shared" si="19"/>
        <v>1050000</v>
      </c>
      <c r="M518" s="6">
        <v>900000</v>
      </c>
      <c r="N518" s="6" t="s">
        <v>2003</v>
      </c>
      <c r="O518" s="6" t="s">
        <v>813</v>
      </c>
      <c r="P518" s="6">
        <v>2014</v>
      </c>
      <c r="Q518" s="6">
        <v>1</v>
      </c>
      <c r="R518" s="6" t="s">
        <v>45</v>
      </c>
      <c r="S518" s="31" t="s">
        <v>2113</v>
      </c>
      <c r="T518" s="6">
        <v>1</v>
      </c>
      <c r="U518" s="26">
        <v>800000</v>
      </c>
      <c r="V518" s="26">
        <v>800000</v>
      </c>
      <c r="W518" s="26">
        <v>800000</v>
      </c>
      <c r="X518" s="6" t="s">
        <v>2003</v>
      </c>
      <c r="Y518" s="6" t="s">
        <v>80</v>
      </c>
      <c r="Z518" s="6">
        <v>225324</v>
      </c>
    </row>
    <row r="519" spans="1:26" x14ac:dyDescent="0.3">
      <c r="A519" s="28" t="s">
        <v>42</v>
      </c>
      <c r="B519" s="6" t="s">
        <v>1328</v>
      </c>
      <c r="C519" s="6" t="s">
        <v>1975</v>
      </c>
      <c r="D519" s="6" t="s">
        <v>2001</v>
      </c>
      <c r="E519" s="6">
        <v>1</v>
      </c>
      <c r="F519" s="6" t="s">
        <v>2004</v>
      </c>
      <c r="G519" s="32" t="s">
        <v>2299</v>
      </c>
      <c r="H519" s="32" t="s">
        <v>2300</v>
      </c>
      <c r="I519" s="6" t="str">
        <f t="shared" si="18"/>
        <v>Side Breaker</v>
      </c>
      <c r="J519" s="6" t="s">
        <v>632</v>
      </c>
      <c r="K519" s="6">
        <v>1</v>
      </c>
      <c r="L519" s="6">
        <f t="shared" si="19"/>
        <v>7640000</v>
      </c>
      <c r="M519" s="6">
        <v>6500000</v>
      </c>
      <c r="N519" s="6" t="s">
        <v>2003</v>
      </c>
      <c r="O519" s="6" t="s">
        <v>1015</v>
      </c>
      <c r="P519" s="6">
        <v>2010</v>
      </c>
      <c r="Q519" s="6">
        <v>1</v>
      </c>
      <c r="R519" s="6" t="s">
        <v>45</v>
      </c>
      <c r="S519" s="31" t="s">
        <v>2118</v>
      </c>
      <c r="T519" s="6">
        <v>1</v>
      </c>
      <c r="U519" s="26">
        <v>6000000</v>
      </c>
      <c r="V519" s="26">
        <v>6000000</v>
      </c>
      <c r="W519" s="26">
        <v>6000000</v>
      </c>
      <c r="X519" s="6" t="s">
        <v>2003</v>
      </c>
      <c r="Y519" s="6" t="s">
        <v>1292</v>
      </c>
      <c r="Z519" s="6">
        <v>225326</v>
      </c>
    </row>
    <row r="520" spans="1:26" x14ac:dyDescent="0.3">
      <c r="A520" s="28" t="s">
        <v>42</v>
      </c>
      <c r="B520" s="6" t="s">
        <v>1326</v>
      </c>
      <c r="C520" s="6" t="s">
        <v>1974</v>
      </c>
      <c r="D520" s="6" t="s">
        <v>2001</v>
      </c>
      <c r="E520" s="6">
        <v>1</v>
      </c>
      <c r="F520" s="6" t="s">
        <v>2004</v>
      </c>
      <c r="G520" s="32" t="s">
        <v>2299</v>
      </c>
      <c r="H520" s="32" t="s">
        <v>2300</v>
      </c>
      <c r="I520" s="6" t="str">
        <f t="shared" si="18"/>
        <v>Etc Grapple</v>
      </c>
      <c r="J520" s="6" t="s">
        <v>633</v>
      </c>
      <c r="K520" s="6">
        <v>1</v>
      </c>
      <c r="L520" s="6">
        <f t="shared" si="19"/>
        <v>8820000</v>
      </c>
      <c r="M520" s="6">
        <v>7500000</v>
      </c>
      <c r="N520" s="6" t="s">
        <v>2003</v>
      </c>
      <c r="O520" s="6" t="s">
        <v>1016</v>
      </c>
      <c r="P520" s="6">
        <v>2010</v>
      </c>
      <c r="Q520" s="6">
        <v>1</v>
      </c>
      <c r="R520" s="6" t="s">
        <v>45</v>
      </c>
      <c r="S520" s="31" t="s">
        <v>2118</v>
      </c>
      <c r="T520" s="6">
        <v>1</v>
      </c>
      <c r="U520" s="26">
        <v>7000000</v>
      </c>
      <c r="V520" s="26">
        <v>7000000</v>
      </c>
      <c r="W520" s="26">
        <v>7000000</v>
      </c>
      <c r="X520" s="6" t="s">
        <v>2003</v>
      </c>
      <c r="Y520" s="6" t="s">
        <v>1292</v>
      </c>
      <c r="Z520" s="6">
        <v>225327</v>
      </c>
    </row>
    <row r="521" spans="1:26" x14ac:dyDescent="0.3">
      <c r="A521" s="28" t="s">
        <v>42</v>
      </c>
      <c r="B521" s="6" t="s">
        <v>1327</v>
      </c>
      <c r="C521" s="6" t="s">
        <v>1976</v>
      </c>
      <c r="D521" s="6" t="s">
        <v>2291</v>
      </c>
      <c r="E521" s="6">
        <v>1</v>
      </c>
      <c r="F521" s="6" t="s">
        <v>2004</v>
      </c>
      <c r="G521" s="32" t="s">
        <v>2299</v>
      </c>
      <c r="H521" s="32" t="s">
        <v>2300</v>
      </c>
      <c r="I521" s="6" t="str">
        <f t="shared" si="18"/>
        <v>Skeleton Bucket</v>
      </c>
      <c r="J521" s="6" t="s">
        <v>634</v>
      </c>
      <c r="K521" s="6">
        <v>1</v>
      </c>
      <c r="L521" s="6">
        <f t="shared" si="19"/>
        <v>820000</v>
      </c>
      <c r="M521" s="6">
        <v>700000</v>
      </c>
      <c r="N521" s="6" t="s">
        <v>2003</v>
      </c>
      <c r="O521" s="6" t="s">
        <v>2007</v>
      </c>
      <c r="P521" s="6">
        <v>2017</v>
      </c>
      <c r="Q521" s="6">
        <v>1</v>
      </c>
      <c r="R521" s="6" t="s">
        <v>45</v>
      </c>
      <c r="S521" s="31" t="s">
        <v>2113</v>
      </c>
      <c r="T521" s="6">
        <v>1</v>
      </c>
      <c r="U521" s="26">
        <v>600000</v>
      </c>
      <c r="V521" s="26">
        <v>600000</v>
      </c>
      <c r="W521" s="26">
        <v>600000</v>
      </c>
      <c r="X521" s="6" t="s">
        <v>2003</v>
      </c>
      <c r="Y521" s="6" t="s">
        <v>49</v>
      </c>
      <c r="Z521" s="6">
        <v>225330</v>
      </c>
    </row>
    <row r="522" spans="1:26" x14ac:dyDescent="0.3">
      <c r="A522" s="28" t="s">
        <v>42</v>
      </c>
      <c r="B522" s="6" t="s">
        <v>1327</v>
      </c>
      <c r="C522" s="19" t="s">
        <v>1982</v>
      </c>
      <c r="D522" s="6" t="s">
        <v>2289</v>
      </c>
      <c r="E522" s="6">
        <v>1</v>
      </c>
      <c r="F522" s="6" t="s">
        <v>2004</v>
      </c>
      <c r="G522" s="32" t="s">
        <v>2299</v>
      </c>
      <c r="H522" s="32" t="s">
        <v>2300</v>
      </c>
      <c r="I522" s="6" t="str">
        <f t="shared" si="18"/>
        <v>Standard Bucket</v>
      </c>
      <c r="J522" s="6" t="s">
        <v>236</v>
      </c>
      <c r="K522" s="6">
        <v>1</v>
      </c>
      <c r="L522" s="6">
        <f t="shared" si="19"/>
        <v>4940000</v>
      </c>
      <c r="M522" s="6">
        <v>4200000</v>
      </c>
      <c r="N522" s="6" t="s">
        <v>2003</v>
      </c>
      <c r="O522" s="6" t="s">
        <v>54</v>
      </c>
      <c r="P522" s="6">
        <v>2011</v>
      </c>
      <c r="Q522" s="6">
        <v>1</v>
      </c>
      <c r="R522" s="6" t="s">
        <v>45</v>
      </c>
      <c r="S522" s="31" t="s">
        <v>2114</v>
      </c>
      <c r="T522" s="6">
        <v>1</v>
      </c>
      <c r="U522" s="26">
        <v>4000000</v>
      </c>
      <c r="V522" s="26">
        <v>4000000</v>
      </c>
      <c r="W522" s="26">
        <v>4000000</v>
      </c>
      <c r="X522" s="6" t="s">
        <v>2003</v>
      </c>
      <c r="Y522" s="6" t="s">
        <v>54</v>
      </c>
      <c r="Z522" s="6">
        <v>225331</v>
      </c>
    </row>
    <row r="523" spans="1:26" x14ac:dyDescent="0.3">
      <c r="A523" s="28" t="s">
        <v>42</v>
      </c>
      <c r="B523" s="6" t="s">
        <v>2172</v>
      </c>
      <c r="C523" s="6"/>
      <c r="D523" s="6" t="s">
        <v>2292</v>
      </c>
      <c r="E523" s="6">
        <v>1</v>
      </c>
      <c r="F523" s="6" t="s">
        <v>2004</v>
      </c>
      <c r="G523" s="32" t="s">
        <v>2299</v>
      </c>
      <c r="H523" s="32" t="s">
        <v>2300</v>
      </c>
      <c r="I523" s="6" t="str">
        <f t="shared" ref="I523:I586" si="20">IF(ISBLANK(C523),B523,C523)</f>
        <v>Quick Coupler</v>
      </c>
      <c r="J523" s="6" t="s">
        <v>147</v>
      </c>
      <c r="K523" s="6">
        <v>1</v>
      </c>
      <c r="L523" s="6">
        <f t="shared" ref="L523:L586" si="21">FLOOR(((M523*100)/85)/10000, 1)*10000</f>
        <v>1000000</v>
      </c>
      <c r="M523" s="6">
        <v>850000</v>
      </c>
      <c r="N523" s="6" t="s">
        <v>2003</v>
      </c>
      <c r="O523" s="6" t="s">
        <v>813</v>
      </c>
      <c r="P523" s="6">
        <v>2014</v>
      </c>
      <c r="Q523" s="6">
        <v>1</v>
      </c>
      <c r="R523" s="6" t="s">
        <v>45</v>
      </c>
      <c r="S523" s="31" t="s">
        <v>2113</v>
      </c>
      <c r="T523" s="6">
        <v>1</v>
      </c>
      <c r="U523" s="26">
        <v>750000</v>
      </c>
      <c r="V523" s="26">
        <v>750000</v>
      </c>
      <c r="W523" s="26">
        <v>750000</v>
      </c>
      <c r="X523" s="6" t="s">
        <v>2003</v>
      </c>
      <c r="Y523" s="6" t="s">
        <v>79</v>
      </c>
      <c r="Z523" s="6">
        <v>225332</v>
      </c>
    </row>
    <row r="524" spans="1:26" x14ac:dyDescent="0.3">
      <c r="A524" s="28" t="s">
        <v>42</v>
      </c>
      <c r="B524" s="6" t="s">
        <v>1337</v>
      </c>
      <c r="C524" s="6"/>
      <c r="D524" s="6" t="s">
        <v>2292</v>
      </c>
      <c r="E524" s="6">
        <v>1</v>
      </c>
      <c r="F524" s="6" t="s">
        <v>2004</v>
      </c>
      <c r="G524" s="32" t="s">
        <v>2299</v>
      </c>
      <c r="H524" s="32" t="s">
        <v>2300</v>
      </c>
      <c r="I524" s="6" t="str">
        <f t="shared" si="20"/>
        <v>ETC</v>
      </c>
      <c r="J524" s="6" t="s">
        <v>418</v>
      </c>
      <c r="K524" s="6">
        <v>1</v>
      </c>
      <c r="L524" s="6">
        <f t="shared" si="21"/>
        <v>7050000</v>
      </c>
      <c r="M524" s="6">
        <v>6000000</v>
      </c>
      <c r="N524" s="6" t="s">
        <v>2003</v>
      </c>
      <c r="O524" s="6" t="s">
        <v>813</v>
      </c>
      <c r="P524" s="6">
        <v>2016</v>
      </c>
      <c r="Q524" s="6">
        <v>1</v>
      </c>
      <c r="R524" s="6" t="s">
        <v>45</v>
      </c>
      <c r="S524" s="31" t="s">
        <v>2113</v>
      </c>
      <c r="T524" s="6">
        <v>1</v>
      </c>
      <c r="U524" s="26">
        <v>5500000</v>
      </c>
      <c r="V524" s="26">
        <v>5500000</v>
      </c>
      <c r="W524" s="26">
        <v>5500000</v>
      </c>
      <c r="X524" s="6" t="s">
        <v>2003</v>
      </c>
      <c r="Y524" s="6" t="s">
        <v>80</v>
      </c>
      <c r="Z524" s="6">
        <v>225335</v>
      </c>
    </row>
    <row r="525" spans="1:26" x14ac:dyDescent="0.3">
      <c r="A525" s="28" t="s">
        <v>42</v>
      </c>
      <c r="B525" s="6" t="s">
        <v>1327</v>
      </c>
      <c r="C525" s="19" t="s">
        <v>1982</v>
      </c>
      <c r="D525" s="6" t="s">
        <v>2001</v>
      </c>
      <c r="E525" s="6">
        <v>1</v>
      </c>
      <c r="F525" s="6" t="s">
        <v>2004</v>
      </c>
      <c r="G525" s="32" t="s">
        <v>2299</v>
      </c>
      <c r="H525" s="32" t="s">
        <v>2300</v>
      </c>
      <c r="I525" s="6" t="str">
        <f t="shared" si="20"/>
        <v>Standard Bucket</v>
      </c>
      <c r="J525" s="6" t="s">
        <v>354</v>
      </c>
      <c r="K525" s="6">
        <v>1</v>
      </c>
      <c r="L525" s="6">
        <f t="shared" si="21"/>
        <v>1880000</v>
      </c>
      <c r="M525" s="6">
        <v>1600000</v>
      </c>
      <c r="N525" s="6" t="s">
        <v>2003</v>
      </c>
      <c r="O525" s="6" t="s">
        <v>964</v>
      </c>
      <c r="P525" s="6">
        <v>2015</v>
      </c>
      <c r="Q525" s="6">
        <v>10</v>
      </c>
      <c r="R525" s="6" t="s">
        <v>45</v>
      </c>
      <c r="S525" s="31" t="s">
        <v>2122</v>
      </c>
      <c r="T525" s="6">
        <v>1</v>
      </c>
      <c r="U525" s="26">
        <v>1500000</v>
      </c>
      <c r="V525" s="26">
        <v>1500000</v>
      </c>
      <c r="W525" s="26">
        <v>1500000</v>
      </c>
      <c r="X525" s="6" t="s">
        <v>2003</v>
      </c>
      <c r="Y525" s="6" t="s">
        <v>1238</v>
      </c>
      <c r="Z525" s="6">
        <v>225336</v>
      </c>
    </row>
    <row r="526" spans="1:26" x14ac:dyDescent="0.3">
      <c r="A526" s="28" t="s">
        <v>42</v>
      </c>
      <c r="B526" s="6" t="s">
        <v>2163</v>
      </c>
      <c r="C526" s="6"/>
      <c r="D526" s="6" t="s">
        <v>2292</v>
      </c>
      <c r="E526" s="6">
        <v>1</v>
      </c>
      <c r="F526" s="6" t="s">
        <v>2004</v>
      </c>
      <c r="G526" s="32" t="s">
        <v>2299</v>
      </c>
      <c r="H526" s="32" t="s">
        <v>2300</v>
      </c>
      <c r="I526" s="6" t="str">
        <f t="shared" si="20"/>
        <v>Lift Fork</v>
      </c>
      <c r="J526" s="6" t="s">
        <v>555</v>
      </c>
      <c r="K526" s="6">
        <v>1</v>
      </c>
      <c r="L526" s="6">
        <f t="shared" si="21"/>
        <v>820000</v>
      </c>
      <c r="M526" s="6">
        <v>700000</v>
      </c>
      <c r="N526" s="6" t="s">
        <v>2003</v>
      </c>
      <c r="O526" s="6" t="s">
        <v>1017</v>
      </c>
      <c r="P526" s="6">
        <v>2013</v>
      </c>
      <c r="Q526" s="6">
        <v>1</v>
      </c>
      <c r="R526" s="6" t="s">
        <v>45</v>
      </c>
      <c r="S526" s="31" t="s">
        <v>2119</v>
      </c>
      <c r="T526" s="6">
        <v>1</v>
      </c>
      <c r="U526" s="26">
        <v>600000</v>
      </c>
      <c r="V526" s="26">
        <v>600000</v>
      </c>
      <c r="W526" s="26">
        <v>600000</v>
      </c>
      <c r="X526" s="6" t="s">
        <v>2003</v>
      </c>
      <c r="Y526" s="6" t="s">
        <v>1277</v>
      </c>
      <c r="Z526" s="6">
        <v>225337</v>
      </c>
    </row>
    <row r="527" spans="1:26" x14ac:dyDescent="0.3">
      <c r="A527" s="28" t="s">
        <v>42</v>
      </c>
      <c r="B527" s="6" t="s">
        <v>2163</v>
      </c>
      <c r="C527" s="6"/>
      <c r="D527" s="6" t="s">
        <v>2291</v>
      </c>
      <c r="E527" s="6">
        <v>1</v>
      </c>
      <c r="F527" s="6" t="s">
        <v>2004</v>
      </c>
      <c r="G527" s="32" t="s">
        <v>2299</v>
      </c>
      <c r="H527" s="32" t="s">
        <v>2300</v>
      </c>
      <c r="I527" s="6" t="str">
        <f t="shared" si="20"/>
        <v>Lift Fork</v>
      </c>
      <c r="J527" s="6" t="s">
        <v>617</v>
      </c>
      <c r="K527" s="6">
        <v>1</v>
      </c>
      <c r="L527" s="6">
        <f t="shared" si="21"/>
        <v>1050000</v>
      </c>
      <c r="M527" s="6">
        <v>900000</v>
      </c>
      <c r="N527" s="6" t="s">
        <v>2003</v>
      </c>
      <c r="O527" s="6" t="s">
        <v>2011</v>
      </c>
      <c r="P527" s="6">
        <v>2017</v>
      </c>
      <c r="Q527" s="6">
        <v>2</v>
      </c>
      <c r="R527" s="6" t="s">
        <v>45</v>
      </c>
      <c r="S527" s="31" t="s">
        <v>2123</v>
      </c>
      <c r="T527" s="6">
        <v>1</v>
      </c>
      <c r="U527" s="26">
        <v>800000</v>
      </c>
      <c r="V527" s="26">
        <v>800000</v>
      </c>
      <c r="W527" s="26">
        <v>800000</v>
      </c>
      <c r="X527" s="6" t="s">
        <v>2003</v>
      </c>
      <c r="Y527" s="6" t="s">
        <v>1200</v>
      </c>
      <c r="Z527" s="6">
        <v>225338</v>
      </c>
    </row>
    <row r="528" spans="1:26" x14ac:dyDescent="0.3">
      <c r="A528" s="28" t="s">
        <v>42</v>
      </c>
      <c r="B528" s="6" t="s">
        <v>1325</v>
      </c>
      <c r="C528" s="6" t="s">
        <v>2156</v>
      </c>
      <c r="D528" s="6" t="s">
        <v>2292</v>
      </c>
      <c r="E528" s="6">
        <v>1</v>
      </c>
      <c r="F528" s="6" t="s">
        <v>2004</v>
      </c>
      <c r="G528" s="32" t="s">
        <v>2299</v>
      </c>
      <c r="H528" s="32" t="s">
        <v>2300</v>
      </c>
      <c r="I528" s="6" t="str">
        <f t="shared" si="20"/>
        <v>Hydraulic Crusher</v>
      </c>
      <c r="J528" s="6" t="s">
        <v>103</v>
      </c>
      <c r="K528" s="6">
        <v>1</v>
      </c>
      <c r="L528" s="6">
        <f t="shared" si="21"/>
        <v>11760000</v>
      </c>
      <c r="M528" s="6">
        <v>10000000</v>
      </c>
      <c r="N528" s="6" t="s">
        <v>2003</v>
      </c>
      <c r="O528" s="6" t="s">
        <v>814</v>
      </c>
      <c r="P528" s="6">
        <v>2016</v>
      </c>
      <c r="Q528" s="6">
        <v>4</v>
      </c>
      <c r="R528" s="6" t="s">
        <v>45</v>
      </c>
      <c r="S528" s="31" t="s">
        <v>2119</v>
      </c>
      <c r="T528" s="6">
        <v>1</v>
      </c>
      <c r="U528" s="26">
        <v>9500000</v>
      </c>
      <c r="V528" s="26">
        <v>9500000</v>
      </c>
      <c r="W528" s="26">
        <v>9500000</v>
      </c>
      <c r="X528" s="6" t="s">
        <v>2003</v>
      </c>
      <c r="Y528" s="6" t="s">
        <v>1194</v>
      </c>
      <c r="Z528" s="6">
        <v>225339</v>
      </c>
    </row>
    <row r="529" spans="1:26" x14ac:dyDescent="0.3">
      <c r="A529" s="28" t="s">
        <v>42</v>
      </c>
      <c r="B529" s="6" t="s">
        <v>2163</v>
      </c>
      <c r="C529" s="6"/>
      <c r="D529" s="6" t="s">
        <v>2292</v>
      </c>
      <c r="E529" s="6">
        <v>1</v>
      </c>
      <c r="F529" s="6" t="s">
        <v>2004</v>
      </c>
      <c r="G529" s="32" t="s">
        <v>2299</v>
      </c>
      <c r="H529" s="32" t="s">
        <v>2300</v>
      </c>
      <c r="I529" s="6" t="str">
        <f t="shared" si="20"/>
        <v>Lift Fork</v>
      </c>
      <c r="J529" s="6" t="s">
        <v>102</v>
      </c>
      <c r="K529" s="6">
        <v>1</v>
      </c>
      <c r="L529" s="6">
        <f t="shared" si="21"/>
        <v>880000</v>
      </c>
      <c r="M529" s="6">
        <v>750000</v>
      </c>
      <c r="N529" s="6" t="s">
        <v>2003</v>
      </c>
      <c r="O529" s="6" t="s">
        <v>813</v>
      </c>
      <c r="P529" s="6">
        <v>2013</v>
      </c>
      <c r="Q529" s="6">
        <v>1</v>
      </c>
      <c r="R529" s="6" t="s">
        <v>45</v>
      </c>
      <c r="S529" s="31" t="s">
        <v>2113</v>
      </c>
      <c r="T529" s="6">
        <v>1</v>
      </c>
      <c r="U529" s="26">
        <v>650000</v>
      </c>
      <c r="V529" s="26">
        <v>650000</v>
      </c>
      <c r="W529" s="26">
        <v>650000</v>
      </c>
      <c r="X529" s="6" t="s">
        <v>2003</v>
      </c>
      <c r="Y529" s="6" t="s">
        <v>80</v>
      </c>
      <c r="Z529" s="6">
        <v>225344</v>
      </c>
    </row>
    <row r="530" spans="1:26" x14ac:dyDescent="0.3">
      <c r="A530" s="28" t="s">
        <v>42</v>
      </c>
      <c r="B530" s="6" t="s">
        <v>1326</v>
      </c>
      <c r="C530" s="6" t="s">
        <v>1972</v>
      </c>
      <c r="D530" s="6" t="s">
        <v>2001</v>
      </c>
      <c r="E530" s="6">
        <v>1</v>
      </c>
      <c r="F530" s="6" t="s">
        <v>2004</v>
      </c>
      <c r="G530" s="32" t="s">
        <v>2299</v>
      </c>
      <c r="H530" s="32" t="s">
        <v>2300</v>
      </c>
      <c r="I530" s="6" t="str">
        <f t="shared" si="20"/>
        <v>Stone Grapple</v>
      </c>
      <c r="J530" s="6" t="s">
        <v>472</v>
      </c>
      <c r="K530" s="6">
        <v>1</v>
      </c>
      <c r="L530" s="6">
        <f t="shared" si="21"/>
        <v>12350000</v>
      </c>
      <c r="M530" s="6">
        <v>10500000</v>
      </c>
      <c r="N530" s="6" t="s">
        <v>2003</v>
      </c>
      <c r="O530" s="6" t="s">
        <v>814</v>
      </c>
      <c r="P530" s="6">
        <v>2016</v>
      </c>
      <c r="Q530" s="6">
        <v>5</v>
      </c>
      <c r="R530" s="6" t="s">
        <v>45</v>
      </c>
      <c r="S530" s="31" t="s">
        <v>2119</v>
      </c>
      <c r="T530" s="6">
        <v>1</v>
      </c>
      <c r="U530" s="26">
        <v>10000000</v>
      </c>
      <c r="V530" s="26">
        <v>10000000</v>
      </c>
      <c r="W530" s="26">
        <v>10000000</v>
      </c>
      <c r="X530" s="6" t="s">
        <v>2003</v>
      </c>
      <c r="Y530" s="6" t="s">
        <v>1194</v>
      </c>
      <c r="Z530" s="6">
        <v>225346</v>
      </c>
    </row>
    <row r="531" spans="1:26" x14ac:dyDescent="0.3">
      <c r="A531" s="28" t="s">
        <v>42</v>
      </c>
      <c r="B531" s="6" t="s">
        <v>1328</v>
      </c>
      <c r="C531" s="6" t="s">
        <v>1975</v>
      </c>
      <c r="D531" s="6" t="s">
        <v>2001</v>
      </c>
      <c r="E531" s="6">
        <v>1</v>
      </c>
      <c r="F531" s="6" t="s">
        <v>2004</v>
      </c>
      <c r="G531" s="32" t="s">
        <v>2299</v>
      </c>
      <c r="H531" s="32" t="s">
        <v>2300</v>
      </c>
      <c r="I531" s="6" t="str">
        <f t="shared" si="20"/>
        <v>Side Breaker</v>
      </c>
      <c r="J531" s="6" t="s">
        <v>150</v>
      </c>
      <c r="K531" s="6">
        <v>1</v>
      </c>
      <c r="L531" s="6">
        <f t="shared" si="21"/>
        <v>7050000</v>
      </c>
      <c r="M531" s="6">
        <v>6000000</v>
      </c>
      <c r="N531" s="6" t="s">
        <v>2003</v>
      </c>
      <c r="O531" s="6" t="s">
        <v>1018</v>
      </c>
      <c r="P531" s="6">
        <v>2005</v>
      </c>
      <c r="Q531" s="6">
        <v>1</v>
      </c>
      <c r="R531" s="6" t="s">
        <v>45</v>
      </c>
      <c r="S531" s="31" t="s">
        <v>2114</v>
      </c>
      <c r="T531" s="6">
        <v>1</v>
      </c>
      <c r="U531" s="26">
        <v>5500000</v>
      </c>
      <c r="V531" s="26">
        <v>5500000</v>
      </c>
      <c r="W531" s="26">
        <v>5500000</v>
      </c>
      <c r="X531" s="6" t="s">
        <v>2003</v>
      </c>
      <c r="Y531" s="6" t="s">
        <v>830</v>
      </c>
      <c r="Z531" s="6">
        <v>225348</v>
      </c>
    </row>
    <row r="532" spans="1:26" x14ac:dyDescent="0.3">
      <c r="A532" s="28" t="s">
        <v>42</v>
      </c>
      <c r="B532" s="6" t="s">
        <v>1327</v>
      </c>
      <c r="C532" s="6" t="s">
        <v>1980</v>
      </c>
      <c r="D532" s="6" t="s">
        <v>2292</v>
      </c>
      <c r="E532" s="6">
        <v>1</v>
      </c>
      <c r="F532" s="6" t="s">
        <v>2004</v>
      </c>
      <c r="G532" s="32" t="s">
        <v>2299</v>
      </c>
      <c r="H532" s="32" t="s">
        <v>2300</v>
      </c>
      <c r="I532" s="6" t="str">
        <f t="shared" si="20"/>
        <v>Small Bucket</v>
      </c>
      <c r="J532" s="6" t="s">
        <v>309</v>
      </c>
      <c r="K532" s="6">
        <v>1</v>
      </c>
      <c r="L532" s="6">
        <f t="shared" si="21"/>
        <v>880000</v>
      </c>
      <c r="M532" s="6">
        <v>750000</v>
      </c>
      <c r="N532" s="6" t="s">
        <v>2003</v>
      </c>
      <c r="O532" s="6" t="s">
        <v>2007</v>
      </c>
      <c r="P532" s="6">
        <v>2014</v>
      </c>
      <c r="Q532" s="6">
        <v>1</v>
      </c>
      <c r="R532" s="6" t="s">
        <v>45</v>
      </c>
      <c r="S532" s="31" t="s">
        <v>2113</v>
      </c>
      <c r="T532" s="6">
        <v>1</v>
      </c>
      <c r="U532" s="26">
        <v>650000</v>
      </c>
      <c r="V532" s="26">
        <v>650000</v>
      </c>
      <c r="W532" s="26">
        <v>650000</v>
      </c>
      <c r="X532" s="6" t="s">
        <v>2003</v>
      </c>
      <c r="Y532" s="6" t="s">
        <v>49</v>
      </c>
      <c r="Z532" s="6">
        <v>225355</v>
      </c>
    </row>
    <row r="533" spans="1:26" x14ac:dyDescent="0.3">
      <c r="A533" s="28" t="s">
        <v>42</v>
      </c>
      <c r="B533" s="6" t="s">
        <v>1327</v>
      </c>
      <c r="C533" s="19" t="s">
        <v>2209</v>
      </c>
      <c r="D533" s="6" t="s">
        <v>2289</v>
      </c>
      <c r="E533" s="6">
        <v>1</v>
      </c>
      <c r="F533" s="6" t="s">
        <v>2004</v>
      </c>
      <c r="G533" s="32" t="s">
        <v>2299</v>
      </c>
      <c r="H533" s="32" t="s">
        <v>2300</v>
      </c>
      <c r="I533" s="6" t="str">
        <f t="shared" si="20"/>
        <v>Etc Bucket</v>
      </c>
      <c r="J533" s="6" t="s">
        <v>372</v>
      </c>
      <c r="K533" s="6">
        <v>1</v>
      </c>
      <c r="L533" s="6">
        <f t="shared" si="21"/>
        <v>4700000</v>
      </c>
      <c r="M533" s="6">
        <v>4000000</v>
      </c>
      <c r="N533" s="6" t="s">
        <v>2003</v>
      </c>
      <c r="O533" s="6" t="s">
        <v>1044</v>
      </c>
      <c r="P533" s="6">
        <v>2015</v>
      </c>
      <c r="Q533" s="6">
        <v>10</v>
      </c>
      <c r="R533" s="6" t="s">
        <v>45</v>
      </c>
      <c r="S533" s="31" t="s">
        <v>2122</v>
      </c>
      <c r="T533" s="6">
        <v>1</v>
      </c>
      <c r="U533" s="26">
        <v>3800000</v>
      </c>
      <c r="V533" s="26">
        <v>3800000</v>
      </c>
      <c r="W533" s="26">
        <v>3800000</v>
      </c>
      <c r="X533" s="6" t="s">
        <v>2003</v>
      </c>
      <c r="Y533" s="6" t="s">
        <v>1238</v>
      </c>
      <c r="Z533" s="6">
        <v>225361</v>
      </c>
    </row>
    <row r="534" spans="1:26" x14ac:dyDescent="0.3">
      <c r="A534" s="28" t="s">
        <v>42</v>
      </c>
      <c r="B534" s="6" t="s">
        <v>1327</v>
      </c>
      <c r="C534" s="6" t="s">
        <v>1977</v>
      </c>
      <c r="D534" s="6" t="s">
        <v>2291</v>
      </c>
      <c r="E534" s="6">
        <v>1</v>
      </c>
      <c r="F534" s="6" t="s">
        <v>2004</v>
      </c>
      <c r="G534" s="32" t="s">
        <v>2299</v>
      </c>
      <c r="H534" s="32" t="s">
        <v>2300</v>
      </c>
      <c r="I534" s="6" t="str">
        <f t="shared" si="20"/>
        <v>Wide Bucket</v>
      </c>
      <c r="J534" s="6" t="s">
        <v>271</v>
      </c>
      <c r="K534" s="6">
        <v>1</v>
      </c>
      <c r="L534" s="6">
        <f t="shared" si="21"/>
        <v>410000</v>
      </c>
      <c r="M534" s="6">
        <v>350000</v>
      </c>
      <c r="N534" s="6" t="s">
        <v>2003</v>
      </c>
      <c r="O534" s="6" t="s">
        <v>1065</v>
      </c>
      <c r="P534" s="6">
        <v>2013</v>
      </c>
      <c r="Q534" s="6">
        <v>1</v>
      </c>
      <c r="R534" s="6" t="s">
        <v>45</v>
      </c>
      <c r="S534" s="31" t="s">
        <v>2122</v>
      </c>
      <c r="T534" s="6">
        <v>1</v>
      </c>
      <c r="U534" s="26">
        <v>300000</v>
      </c>
      <c r="V534" s="26">
        <v>300000</v>
      </c>
      <c r="W534" s="26">
        <v>300000</v>
      </c>
      <c r="X534" s="6" t="s">
        <v>2003</v>
      </c>
      <c r="Y534" s="6" t="s">
        <v>1305</v>
      </c>
      <c r="Z534" s="6">
        <v>225363</v>
      </c>
    </row>
    <row r="535" spans="1:26" x14ac:dyDescent="0.3">
      <c r="A535" s="28" t="s">
        <v>42</v>
      </c>
      <c r="B535" s="6" t="s">
        <v>1326</v>
      </c>
      <c r="C535" s="6" t="s">
        <v>1972</v>
      </c>
      <c r="D535" s="6" t="s">
        <v>2291</v>
      </c>
      <c r="E535" s="6">
        <v>1</v>
      </c>
      <c r="F535" s="6" t="s">
        <v>2004</v>
      </c>
      <c r="G535" s="32" t="s">
        <v>2299</v>
      </c>
      <c r="H535" s="32" t="s">
        <v>2300</v>
      </c>
      <c r="I535" s="6" t="str">
        <f t="shared" si="20"/>
        <v>Stone Grapple</v>
      </c>
      <c r="J535" s="6" t="s">
        <v>294</v>
      </c>
      <c r="K535" s="6">
        <v>1</v>
      </c>
      <c r="L535" s="6">
        <f t="shared" si="21"/>
        <v>4350000</v>
      </c>
      <c r="M535" s="6">
        <v>3700000</v>
      </c>
      <c r="N535" s="6" t="s">
        <v>2003</v>
      </c>
      <c r="O535" s="6" t="s">
        <v>2064</v>
      </c>
      <c r="P535" s="6">
        <v>2016</v>
      </c>
      <c r="Q535" s="6">
        <v>1</v>
      </c>
      <c r="R535" s="6" t="s">
        <v>45</v>
      </c>
      <c r="S535" s="31" t="s">
        <v>2113</v>
      </c>
      <c r="T535" s="6">
        <v>1</v>
      </c>
      <c r="U535" s="26">
        <v>3500000</v>
      </c>
      <c r="V535" s="26">
        <v>3500000</v>
      </c>
      <c r="W535" s="26">
        <v>3500000</v>
      </c>
      <c r="X535" s="6" t="s">
        <v>2003</v>
      </c>
      <c r="Y535" s="6" t="s">
        <v>49</v>
      </c>
      <c r="Z535" s="6">
        <v>225368</v>
      </c>
    </row>
    <row r="536" spans="1:26" x14ac:dyDescent="0.3">
      <c r="A536" s="28" t="s">
        <v>42</v>
      </c>
      <c r="B536" s="6" t="s">
        <v>1326</v>
      </c>
      <c r="C536" s="6" t="s">
        <v>1972</v>
      </c>
      <c r="D536" s="6" t="s">
        <v>2292</v>
      </c>
      <c r="E536" s="6">
        <v>1</v>
      </c>
      <c r="F536" s="6" t="s">
        <v>2004</v>
      </c>
      <c r="G536" s="32" t="s">
        <v>2299</v>
      </c>
      <c r="H536" s="32" t="s">
        <v>2300</v>
      </c>
      <c r="I536" s="6" t="str">
        <f t="shared" si="20"/>
        <v>Stone Grapple</v>
      </c>
      <c r="J536" s="6" t="s">
        <v>44</v>
      </c>
      <c r="K536" s="6">
        <v>1</v>
      </c>
      <c r="L536" s="6">
        <f t="shared" si="21"/>
        <v>2940000</v>
      </c>
      <c r="M536" s="6">
        <v>2500000</v>
      </c>
      <c r="N536" s="6" t="s">
        <v>2003</v>
      </c>
      <c r="O536" s="6" t="s">
        <v>2065</v>
      </c>
      <c r="P536" s="6">
        <v>2013</v>
      </c>
      <c r="Q536" s="6">
        <v>1</v>
      </c>
      <c r="R536" s="6" t="s">
        <v>45</v>
      </c>
      <c r="S536" s="31" t="s">
        <v>2113</v>
      </c>
      <c r="T536" s="6">
        <v>1</v>
      </c>
      <c r="U536" s="26">
        <v>2300000</v>
      </c>
      <c r="V536" s="26">
        <v>2300000</v>
      </c>
      <c r="W536" s="26">
        <v>2300000</v>
      </c>
      <c r="X536" s="6" t="s">
        <v>2003</v>
      </c>
      <c r="Y536" s="6" t="s">
        <v>49</v>
      </c>
      <c r="Z536" s="6">
        <v>225369</v>
      </c>
    </row>
    <row r="537" spans="1:26" x14ac:dyDescent="0.3">
      <c r="A537" s="28" t="s">
        <v>42</v>
      </c>
      <c r="B537" s="6" t="s">
        <v>1328</v>
      </c>
      <c r="C537" s="6" t="s">
        <v>1975</v>
      </c>
      <c r="D537" s="6" t="s">
        <v>2292</v>
      </c>
      <c r="E537" s="6">
        <v>1</v>
      </c>
      <c r="F537" s="6" t="s">
        <v>2004</v>
      </c>
      <c r="G537" s="32" t="s">
        <v>2299</v>
      </c>
      <c r="H537" s="32" t="s">
        <v>2300</v>
      </c>
      <c r="I537" s="6" t="str">
        <f t="shared" si="20"/>
        <v>Side Breaker</v>
      </c>
      <c r="J537" s="6" t="s">
        <v>119</v>
      </c>
      <c r="K537" s="6">
        <v>1</v>
      </c>
      <c r="L537" s="6">
        <f t="shared" si="21"/>
        <v>2230000</v>
      </c>
      <c r="M537" s="6">
        <v>1900000</v>
      </c>
      <c r="N537" s="6" t="s">
        <v>2003</v>
      </c>
      <c r="O537" s="6" t="s">
        <v>830</v>
      </c>
      <c r="P537" s="6">
        <v>2007</v>
      </c>
      <c r="Q537" s="6">
        <v>1</v>
      </c>
      <c r="R537" s="6" t="s">
        <v>45</v>
      </c>
      <c r="S537" s="31" t="s">
        <v>2114</v>
      </c>
      <c r="T537" s="6">
        <v>1</v>
      </c>
      <c r="U537" s="26">
        <v>1800000</v>
      </c>
      <c r="V537" s="26">
        <v>1800000</v>
      </c>
      <c r="W537" s="26">
        <v>1800000</v>
      </c>
      <c r="X537" s="6" t="s">
        <v>2003</v>
      </c>
      <c r="Y537" s="6" t="s">
        <v>830</v>
      </c>
      <c r="Z537" s="6">
        <v>225375</v>
      </c>
    </row>
    <row r="538" spans="1:26" x14ac:dyDescent="0.3">
      <c r="A538" s="28" t="s">
        <v>42</v>
      </c>
      <c r="B538" s="6" t="s">
        <v>1337</v>
      </c>
      <c r="C538" s="6"/>
      <c r="D538" s="6" t="s">
        <v>2291</v>
      </c>
      <c r="E538" s="6">
        <v>1</v>
      </c>
      <c r="F538" s="6" t="s">
        <v>2004</v>
      </c>
      <c r="G538" s="32" t="s">
        <v>2299</v>
      </c>
      <c r="H538" s="32" t="s">
        <v>2300</v>
      </c>
      <c r="I538" s="6" t="str">
        <f t="shared" si="20"/>
        <v>ETC</v>
      </c>
      <c r="J538" s="6" t="s">
        <v>640</v>
      </c>
      <c r="K538" s="6">
        <v>1</v>
      </c>
      <c r="L538" s="6">
        <f t="shared" si="21"/>
        <v>350000</v>
      </c>
      <c r="M538" s="6">
        <v>300000</v>
      </c>
      <c r="N538" s="6" t="s">
        <v>2003</v>
      </c>
      <c r="O538" s="6" t="s">
        <v>2011</v>
      </c>
      <c r="P538" s="6">
        <v>2015</v>
      </c>
      <c r="Q538" s="6">
        <v>6</v>
      </c>
      <c r="R538" s="6" t="s">
        <v>45</v>
      </c>
      <c r="S538" s="31" t="s">
        <v>2123</v>
      </c>
      <c r="T538" s="6">
        <v>1</v>
      </c>
      <c r="U538" s="26">
        <v>250000</v>
      </c>
      <c r="V538" s="26">
        <v>250000</v>
      </c>
      <c r="W538" s="26">
        <v>250000</v>
      </c>
      <c r="X538" s="6" t="s">
        <v>2003</v>
      </c>
      <c r="Y538" s="6" t="s">
        <v>1200</v>
      </c>
      <c r="Z538" s="6">
        <v>225377</v>
      </c>
    </row>
    <row r="539" spans="1:26" x14ac:dyDescent="0.3">
      <c r="A539" s="28" t="s">
        <v>42</v>
      </c>
      <c r="B539" s="6" t="s">
        <v>2200</v>
      </c>
      <c r="C539" s="6"/>
      <c r="D539" s="6" t="s">
        <v>2001</v>
      </c>
      <c r="E539" s="6">
        <v>1</v>
      </c>
      <c r="F539" s="6" t="s">
        <v>2004</v>
      </c>
      <c r="G539" s="32" t="s">
        <v>2299</v>
      </c>
      <c r="H539" s="32" t="s">
        <v>2300</v>
      </c>
      <c r="I539" s="6" t="str">
        <f t="shared" si="20"/>
        <v>Core Drill</v>
      </c>
      <c r="J539" s="6" t="s">
        <v>641</v>
      </c>
      <c r="K539" s="6">
        <v>1</v>
      </c>
      <c r="L539" s="6">
        <f t="shared" si="21"/>
        <v>8820000</v>
      </c>
      <c r="M539" s="6">
        <v>7500000</v>
      </c>
      <c r="N539" s="6" t="s">
        <v>2003</v>
      </c>
      <c r="O539" s="6" t="s">
        <v>1020</v>
      </c>
      <c r="P539" s="6">
        <v>2010</v>
      </c>
      <c r="Q539" s="6">
        <v>6</v>
      </c>
      <c r="R539" s="6" t="s">
        <v>45</v>
      </c>
      <c r="S539" s="31" t="s">
        <v>2122</v>
      </c>
      <c r="T539" s="6">
        <v>1</v>
      </c>
      <c r="U539" s="26">
        <v>7000000</v>
      </c>
      <c r="V539" s="26">
        <v>7000000</v>
      </c>
      <c r="W539" s="26">
        <v>7000000</v>
      </c>
      <c r="X539" s="6" t="s">
        <v>2003</v>
      </c>
      <c r="Y539" s="6" t="s">
        <v>1227</v>
      </c>
      <c r="Z539" s="6">
        <v>225379</v>
      </c>
    </row>
    <row r="540" spans="1:26" x14ac:dyDescent="0.3">
      <c r="A540" s="28" t="s">
        <v>42</v>
      </c>
      <c r="B540" s="6" t="s">
        <v>1337</v>
      </c>
      <c r="C540" s="6"/>
      <c r="D540" s="6" t="s">
        <v>2289</v>
      </c>
      <c r="E540" s="6">
        <v>1</v>
      </c>
      <c r="F540" s="6" t="s">
        <v>2004</v>
      </c>
      <c r="G540" s="32" t="s">
        <v>2299</v>
      </c>
      <c r="H540" s="32" t="s">
        <v>2300</v>
      </c>
      <c r="I540" s="6" t="str">
        <f t="shared" si="20"/>
        <v>ETC</v>
      </c>
      <c r="J540" s="6" t="s">
        <v>342</v>
      </c>
      <c r="K540" s="6">
        <v>1</v>
      </c>
      <c r="L540" s="6">
        <f t="shared" si="21"/>
        <v>4940000</v>
      </c>
      <c r="M540" s="6">
        <v>4200000</v>
      </c>
      <c r="N540" s="6" t="s">
        <v>2003</v>
      </c>
      <c r="O540" s="6" t="s">
        <v>1021</v>
      </c>
      <c r="P540" s="6">
        <v>2008</v>
      </c>
      <c r="Q540" s="6">
        <v>1</v>
      </c>
      <c r="R540" s="6" t="s">
        <v>45</v>
      </c>
      <c r="S540" s="31" t="s">
        <v>2118</v>
      </c>
      <c r="T540" s="6">
        <v>1</v>
      </c>
      <c r="U540" s="26">
        <v>4000000</v>
      </c>
      <c r="V540" s="26">
        <v>4000000</v>
      </c>
      <c r="W540" s="26">
        <v>4000000</v>
      </c>
      <c r="X540" s="6" t="s">
        <v>2003</v>
      </c>
      <c r="Y540" s="6" t="s">
        <v>67</v>
      </c>
      <c r="Z540" s="6">
        <v>225380</v>
      </c>
    </row>
    <row r="541" spans="1:26" x14ac:dyDescent="0.3">
      <c r="A541" s="28" t="s">
        <v>42</v>
      </c>
      <c r="B541" s="6" t="s">
        <v>1328</v>
      </c>
      <c r="C541" s="6" t="s">
        <v>1975</v>
      </c>
      <c r="D541" s="6" t="s">
        <v>2291</v>
      </c>
      <c r="E541" s="6">
        <v>1</v>
      </c>
      <c r="F541" s="6" t="s">
        <v>2004</v>
      </c>
      <c r="G541" s="32" t="s">
        <v>2299</v>
      </c>
      <c r="H541" s="32" t="s">
        <v>2300</v>
      </c>
      <c r="I541" s="6" t="str">
        <f t="shared" si="20"/>
        <v>Side Breaker</v>
      </c>
      <c r="J541" s="6" t="s">
        <v>571</v>
      </c>
      <c r="K541" s="6">
        <v>1</v>
      </c>
      <c r="L541" s="6">
        <f t="shared" si="21"/>
        <v>1640000</v>
      </c>
      <c r="M541" s="6">
        <v>1400000</v>
      </c>
      <c r="N541" s="6" t="s">
        <v>2003</v>
      </c>
      <c r="O541" s="6" t="s">
        <v>803</v>
      </c>
      <c r="P541" s="6">
        <v>2002</v>
      </c>
      <c r="Q541" s="6">
        <v>1</v>
      </c>
      <c r="R541" s="6" t="s">
        <v>45</v>
      </c>
      <c r="S541" s="31" t="s">
        <v>2123</v>
      </c>
      <c r="T541" s="6">
        <v>1</v>
      </c>
      <c r="U541" s="26">
        <v>1300000</v>
      </c>
      <c r="V541" s="26">
        <v>1300000</v>
      </c>
      <c r="W541" s="26">
        <v>1300000</v>
      </c>
      <c r="X541" s="6" t="s">
        <v>2003</v>
      </c>
      <c r="Y541" s="6" t="s">
        <v>1181</v>
      </c>
      <c r="Z541" s="6">
        <v>225381</v>
      </c>
    </row>
    <row r="542" spans="1:26" x14ac:dyDescent="0.3">
      <c r="A542" s="28" t="s">
        <v>42</v>
      </c>
      <c r="B542" s="6" t="s">
        <v>1328</v>
      </c>
      <c r="C542" s="6" t="s">
        <v>1975</v>
      </c>
      <c r="D542" s="6" t="s">
        <v>2001</v>
      </c>
      <c r="E542" s="6">
        <v>1</v>
      </c>
      <c r="F542" s="6" t="s">
        <v>2004</v>
      </c>
      <c r="G542" s="32" t="s">
        <v>2299</v>
      </c>
      <c r="H542" s="32" t="s">
        <v>2300</v>
      </c>
      <c r="I542" s="6" t="str">
        <f t="shared" si="20"/>
        <v>Side Breaker</v>
      </c>
      <c r="J542" s="6" t="s">
        <v>164</v>
      </c>
      <c r="K542" s="6">
        <v>1</v>
      </c>
      <c r="L542" s="6">
        <f t="shared" si="21"/>
        <v>7050000</v>
      </c>
      <c r="M542" s="6">
        <v>6000000</v>
      </c>
      <c r="N542" s="6" t="s">
        <v>2003</v>
      </c>
      <c r="O542" s="6" t="s">
        <v>54</v>
      </c>
      <c r="P542" s="6">
        <v>2009</v>
      </c>
      <c r="Q542" s="6">
        <v>1</v>
      </c>
      <c r="R542" s="6" t="s">
        <v>45</v>
      </c>
      <c r="S542" s="31" t="s">
        <v>2114</v>
      </c>
      <c r="T542" s="6">
        <v>1</v>
      </c>
      <c r="U542" s="26">
        <v>5500000</v>
      </c>
      <c r="V542" s="26">
        <v>5500000</v>
      </c>
      <c r="W542" s="26">
        <v>5500000</v>
      </c>
      <c r="X542" s="6" t="s">
        <v>2003</v>
      </c>
      <c r="Y542" s="6" t="s">
        <v>54</v>
      </c>
      <c r="Z542" s="6">
        <v>225382</v>
      </c>
    </row>
    <row r="543" spans="1:26" x14ac:dyDescent="0.3">
      <c r="A543" s="28" t="s">
        <v>42</v>
      </c>
      <c r="B543" s="6" t="s">
        <v>1326</v>
      </c>
      <c r="C543" s="6" t="s">
        <v>1973</v>
      </c>
      <c r="D543" s="6" t="s">
        <v>2291</v>
      </c>
      <c r="E543" s="6">
        <v>1</v>
      </c>
      <c r="F543" s="6" t="s">
        <v>2004</v>
      </c>
      <c r="G543" s="32" t="s">
        <v>2299</v>
      </c>
      <c r="H543" s="32" t="s">
        <v>2300</v>
      </c>
      <c r="I543" s="6" t="str">
        <f t="shared" si="20"/>
        <v>Wood Grapple</v>
      </c>
      <c r="J543" s="6" t="s">
        <v>127</v>
      </c>
      <c r="K543" s="6">
        <v>1</v>
      </c>
      <c r="L543" s="6">
        <f t="shared" si="21"/>
        <v>2580000</v>
      </c>
      <c r="M543" s="6">
        <v>2200000</v>
      </c>
      <c r="N543" s="6" t="s">
        <v>2003</v>
      </c>
      <c r="O543" s="6" t="s">
        <v>830</v>
      </c>
      <c r="P543" s="6">
        <v>2009</v>
      </c>
      <c r="Q543" s="6">
        <v>1</v>
      </c>
      <c r="R543" s="6" t="s">
        <v>45</v>
      </c>
      <c r="S543" s="31" t="s">
        <v>2114</v>
      </c>
      <c r="T543" s="6">
        <v>1</v>
      </c>
      <c r="U543" s="26">
        <v>2000000</v>
      </c>
      <c r="V543" s="26">
        <v>2000000</v>
      </c>
      <c r="W543" s="26">
        <v>2000000</v>
      </c>
      <c r="X543" s="6" t="s">
        <v>2003</v>
      </c>
      <c r="Y543" s="6" t="s">
        <v>830</v>
      </c>
      <c r="Z543" s="6">
        <v>225384</v>
      </c>
    </row>
    <row r="544" spans="1:26" x14ac:dyDescent="0.3">
      <c r="A544" s="28" t="s">
        <v>42</v>
      </c>
      <c r="B544" s="6" t="s">
        <v>1325</v>
      </c>
      <c r="C544" s="19" t="s">
        <v>2156</v>
      </c>
      <c r="D544" s="6" t="s">
        <v>2291</v>
      </c>
      <c r="E544" s="6">
        <v>1</v>
      </c>
      <c r="F544" s="6" t="s">
        <v>2004</v>
      </c>
      <c r="G544" s="32" t="s">
        <v>2299</v>
      </c>
      <c r="H544" s="32" t="s">
        <v>2300</v>
      </c>
      <c r="I544" s="6" t="str">
        <f t="shared" si="20"/>
        <v>Hydraulic Crusher</v>
      </c>
      <c r="J544" s="6" t="s">
        <v>642</v>
      </c>
      <c r="K544" s="6">
        <v>1</v>
      </c>
      <c r="L544" s="6">
        <f t="shared" si="21"/>
        <v>10000000</v>
      </c>
      <c r="M544" s="6">
        <v>8500000</v>
      </c>
      <c r="N544" s="6" t="s">
        <v>2003</v>
      </c>
      <c r="O544" s="6" t="s">
        <v>1022</v>
      </c>
      <c r="P544" s="6">
        <v>2014</v>
      </c>
      <c r="Q544" s="6">
        <v>1</v>
      </c>
      <c r="R544" s="6" t="s">
        <v>45</v>
      </c>
      <c r="S544" s="31" t="s">
        <v>2111</v>
      </c>
      <c r="T544" s="6">
        <v>1</v>
      </c>
      <c r="U544" s="26">
        <v>8000000</v>
      </c>
      <c r="V544" s="26">
        <v>8000000</v>
      </c>
      <c r="W544" s="26">
        <v>8000000</v>
      </c>
      <c r="X544" s="6" t="s">
        <v>2003</v>
      </c>
      <c r="Y544" s="6" t="s">
        <v>54</v>
      </c>
      <c r="Z544" s="6">
        <v>225389</v>
      </c>
    </row>
    <row r="545" spans="1:26" x14ac:dyDescent="0.3">
      <c r="A545" s="28" t="s">
        <v>42</v>
      </c>
      <c r="B545" s="6" t="s">
        <v>2169</v>
      </c>
      <c r="C545" s="6"/>
      <c r="D545" s="6" t="s">
        <v>2292</v>
      </c>
      <c r="E545" s="6">
        <v>1</v>
      </c>
      <c r="F545" s="6" t="s">
        <v>2004</v>
      </c>
      <c r="G545" s="32" t="s">
        <v>2299</v>
      </c>
      <c r="H545" s="32" t="s">
        <v>2300</v>
      </c>
      <c r="I545" s="6" t="str">
        <f t="shared" si="20"/>
        <v>Ripper</v>
      </c>
      <c r="J545" s="6" t="s">
        <v>643</v>
      </c>
      <c r="K545" s="6">
        <v>1</v>
      </c>
      <c r="L545" s="6">
        <f t="shared" si="21"/>
        <v>880000</v>
      </c>
      <c r="M545" s="6">
        <v>750000</v>
      </c>
      <c r="N545" s="6" t="s">
        <v>2003</v>
      </c>
      <c r="O545" s="6" t="s">
        <v>2009</v>
      </c>
      <c r="P545" s="6">
        <v>2010</v>
      </c>
      <c r="Q545" s="6">
        <v>1</v>
      </c>
      <c r="R545" s="6" t="s">
        <v>45</v>
      </c>
      <c r="S545" s="31" t="s">
        <v>2110</v>
      </c>
      <c r="T545" s="6">
        <v>1</v>
      </c>
      <c r="U545" s="26">
        <v>650000</v>
      </c>
      <c r="V545" s="26">
        <v>650000</v>
      </c>
      <c r="W545" s="26">
        <v>650000</v>
      </c>
      <c r="X545" s="6" t="s">
        <v>2003</v>
      </c>
      <c r="Y545" s="6" t="s">
        <v>1152</v>
      </c>
      <c r="Z545" s="6">
        <v>225392</v>
      </c>
    </row>
    <row r="546" spans="1:26" x14ac:dyDescent="0.3">
      <c r="A546" s="28" t="s">
        <v>42</v>
      </c>
      <c r="B546" s="6" t="s">
        <v>1328</v>
      </c>
      <c r="C546" s="6" t="s">
        <v>1975</v>
      </c>
      <c r="D546" s="6" t="s">
        <v>2292</v>
      </c>
      <c r="E546" s="6">
        <v>1</v>
      </c>
      <c r="F546" s="6" t="s">
        <v>2004</v>
      </c>
      <c r="G546" s="32" t="s">
        <v>2299</v>
      </c>
      <c r="H546" s="32" t="s">
        <v>2300</v>
      </c>
      <c r="I546" s="6" t="str">
        <f t="shared" si="20"/>
        <v>Side Breaker</v>
      </c>
      <c r="J546" s="6" t="s">
        <v>644</v>
      </c>
      <c r="K546" s="6">
        <v>1</v>
      </c>
      <c r="L546" s="6">
        <f t="shared" si="21"/>
        <v>3410000</v>
      </c>
      <c r="M546" s="6">
        <v>2900000</v>
      </c>
      <c r="N546" s="6" t="s">
        <v>2003</v>
      </c>
      <c r="O546" s="6" t="s">
        <v>806</v>
      </c>
      <c r="P546" s="6">
        <v>2010</v>
      </c>
      <c r="Q546" s="6">
        <v>1</v>
      </c>
      <c r="R546" s="6" t="s">
        <v>45</v>
      </c>
      <c r="S546" s="31" t="s">
        <v>2110</v>
      </c>
      <c r="T546" s="6">
        <v>1</v>
      </c>
      <c r="U546" s="26">
        <v>2700000</v>
      </c>
      <c r="V546" s="26">
        <v>2700000</v>
      </c>
      <c r="W546" s="26">
        <v>2700000</v>
      </c>
      <c r="X546" s="6" t="s">
        <v>2003</v>
      </c>
      <c r="Y546" s="6" t="s">
        <v>1171</v>
      </c>
      <c r="Z546" s="6">
        <v>225400</v>
      </c>
    </row>
    <row r="547" spans="1:26" x14ac:dyDescent="0.3">
      <c r="A547" s="28" t="s">
        <v>42</v>
      </c>
      <c r="B547" s="6" t="s">
        <v>1327</v>
      </c>
      <c r="C547" s="6" t="s">
        <v>1982</v>
      </c>
      <c r="D547" s="6" t="s">
        <v>2292</v>
      </c>
      <c r="E547" s="6">
        <v>1</v>
      </c>
      <c r="F547" s="6" t="s">
        <v>2004</v>
      </c>
      <c r="G547" s="32" t="s">
        <v>2299</v>
      </c>
      <c r="H547" s="32" t="s">
        <v>2300</v>
      </c>
      <c r="I547" s="6" t="str">
        <f t="shared" si="20"/>
        <v>Standard Bucket</v>
      </c>
      <c r="J547" s="6" t="s">
        <v>324</v>
      </c>
      <c r="K547" s="6">
        <v>1</v>
      </c>
      <c r="L547" s="6">
        <f t="shared" si="21"/>
        <v>1290000</v>
      </c>
      <c r="M547" s="6">
        <v>1100000</v>
      </c>
      <c r="N547" s="6" t="s">
        <v>2003</v>
      </c>
      <c r="O547" s="6" t="s">
        <v>801</v>
      </c>
      <c r="P547" s="6">
        <v>2013</v>
      </c>
      <c r="Q547" s="6">
        <v>1</v>
      </c>
      <c r="R547" s="6" t="s">
        <v>45</v>
      </c>
      <c r="S547" s="31" t="s">
        <v>2110</v>
      </c>
      <c r="T547" s="6">
        <v>1</v>
      </c>
      <c r="U547" s="26">
        <v>1000000</v>
      </c>
      <c r="V547" s="26">
        <v>1000000</v>
      </c>
      <c r="W547" s="26">
        <v>1000000</v>
      </c>
      <c r="X547" s="6" t="s">
        <v>2003</v>
      </c>
      <c r="Y547" s="6" t="s">
        <v>1182</v>
      </c>
      <c r="Z547" s="6">
        <v>225405</v>
      </c>
    </row>
    <row r="548" spans="1:26" x14ac:dyDescent="0.3">
      <c r="A548" s="28" t="s">
        <v>42</v>
      </c>
      <c r="B548" s="6" t="s">
        <v>1337</v>
      </c>
      <c r="C548" s="6"/>
      <c r="D548" s="6" t="s">
        <v>2002</v>
      </c>
      <c r="E548" s="6">
        <v>1</v>
      </c>
      <c r="F548" s="6" t="s">
        <v>2004</v>
      </c>
      <c r="G548" s="32" t="s">
        <v>2299</v>
      </c>
      <c r="H548" s="32" t="s">
        <v>2300</v>
      </c>
      <c r="I548" s="6" t="str">
        <f t="shared" si="20"/>
        <v>ETC</v>
      </c>
      <c r="J548" s="6" t="s">
        <v>647</v>
      </c>
      <c r="K548" s="6">
        <v>1</v>
      </c>
      <c r="L548" s="6">
        <f t="shared" si="21"/>
        <v>410000</v>
      </c>
      <c r="M548" s="6">
        <v>350000</v>
      </c>
      <c r="N548" s="6" t="s">
        <v>2003</v>
      </c>
      <c r="O548" s="6" t="s">
        <v>1025</v>
      </c>
      <c r="P548" s="6">
        <v>2016</v>
      </c>
      <c r="Q548" s="6">
        <v>1</v>
      </c>
      <c r="R548" s="6" t="s">
        <v>45</v>
      </c>
      <c r="S548" s="31" t="s">
        <v>2123</v>
      </c>
      <c r="T548" s="6">
        <v>1</v>
      </c>
      <c r="U548" s="26">
        <v>300000</v>
      </c>
      <c r="V548" s="26">
        <v>300000</v>
      </c>
      <c r="W548" s="26">
        <v>300000</v>
      </c>
      <c r="X548" s="6" t="s">
        <v>2003</v>
      </c>
      <c r="Y548" s="6" t="s">
        <v>69</v>
      </c>
      <c r="Z548" s="6">
        <v>225407</v>
      </c>
    </row>
    <row r="549" spans="1:26" x14ac:dyDescent="0.3">
      <c r="A549" s="28" t="s">
        <v>42</v>
      </c>
      <c r="B549" s="6" t="s">
        <v>1328</v>
      </c>
      <c r="C549" s="6" t="s">
        <v>1975</v>
      </c>
      <c r="D549" s="6" t="s">
        <v>2291</v>
      </c>
      <c r="E549" s="6">
        <v>1</v>
      </c>
      <c r="F549" s="6" t="s">
        <v>2004</v>
      </c>
      <c r="G549" s="32" t="s">
        <v>2299</v>
      </c>
      <c r="H549" s="32" t="s">
        <v>2300</v>
      </c>
      <c r="I549" s="6" t="str">
        <f t="shared" si="20"/>
        <v>Side Breaker</v>
      </c>
      <c r="J549" s="6" t="s">
        <v>649</v>
      </c>
      <c r="K549" s="6">
        <v>1</v>
      </c>
      <c r="L549" s="6">
        <f t="shared" si="21"/>
        <v>21760000</v>
      </c>
      <c r="M549" s="6">
        <v>18500000</v>
      </c>
      <c r="N549" s="6" t="s">
        <v>2003</v>
      </c>
      <c r="O549" s="6" t="s">
        <v>107</v>
      </c>
      <c r="P549" s="6">
        <v>2015</v>
      </c>
      <c r="Q549" s="6">
        <v>5</v>
      </c>
      <c r="R549" s="6" t="s">
        <v>45</v>
      </c>
      <c r="S549" s="31" t="s">
        <v>2120</v>
      </c>
      <c r="T549" s="6">
        <v>1</v>
      </c>
      <c r="U549" s="26">
        <v>18000000</v>
      </c>
      <c r="V549" s="26">
        <v>18000000</v>
      </c>
      <c r="W549" s="26">
        <v>18000000</v>
      </c>
      <c r="X549" s="6" t="s">
        <v>2003</v>
      </c>
      <c r="Y549" s="6" t="s">
        <v>1294</v>
      </c>
      <c r="Z549" s="6">
        <v>225415</v>
      </c>
    </row>
    <row r="550" spans="1:26" x14ac:dyDescent="0.3">
      <c r="A550" s="28" t="s">
        <v>42</v>
      </c>
      <c r="B550" s="6" t="s">
        <v>1327</v>
      </c>
      <c r="C550" s="6" t="s">
        <v>1980</v>
      </c>
      <c r="D550" s="6" t="s">
        <v>2001</v>
      </c>
      <c r="E550" s="6">
        <v>1</v>
      </c>
      <c r="F550" s="6" t="s">
        <v>2004</v>
      </c>
      <c r="G550" s="32" t="s">
        <v>2299</v>
      </c>
      <c r="H550" s="32" t="s">
        <v>2300</v>
      </c>
      <c r="I550" s="6" t="str">
        <f t="shared" si="20"/>
        <v>Small Bucket</v>
      </c>
      <c r="J550" s="6" t="s">
        <v>650</v>
      </c>
      <c r="K550" s="6">
        <v>1</v>
      </c>
      <c r="L550" s="6">
        <f t="shared" si="21"/>
        <v>1410000</v>
      </c>
      <c r="M550" s="6">
        <v>1200000</v>
      </c>
      <c r="N550" s="6" t="s">
        <v>2003</v>
      </c>
      <c r="O550" s="6" t="s">
        <v>1027</v>
      </c>
      <c r="P550" s="6">
        <v>2010</v>
      </c>
      <c r="Q550" s="6">
        <v>1</v>
      </c>
      <c r="R550" s="6" t="s">
        <v>45</v>
      </c>
      <c r="S550" s="31" t="s">
        <v>2122</v>
      </c>
      <c r="T550" s="6">
        <v>1</v>
      </c>
      <c r="U550" s="26">
        <v>1100000</v>
      </c>
      <c r="V550" s="26">
        <v>1100000</v>
      </c>
      <c r="W550" s="26">
        <v>1100000</v>
      </c>
      <c r="X550" s="6" t="s">
        <v>2003</v>
      </c>
      <c r="Y550" s="6" t="s">
        <v>1202</v>
      </c>
      <c r="Z550" s="6">
        <v>225416</v>
      </c>
    </row>
    <row r="551" spans="1:26" x14ac:dyDescent="0.3">
      <c r="A551" s="28" t="s">
        <v>42</v>
      </c>
      <c r="B551" s="6" t="s">
        <v>1326</v>
      </c>
      <c r="C551" s="6" t="s">
        <v>1974</v>
      </c>
      <c r="D551" s="6" t="s">
        <v>2292</v>
      </c>
      <c r="E551" s="6">
        <v>1</v>
      </c>
      <c r="F551" s="6" t="s">
        <v>2004</v>
      </c>
      <c r="G551" s="32" t="s">
        <v>2299</v>
      </c>
      <c r="H551" s="32" t="s">
        <v>2300</v>
      </c>
      <c r="I551" s="6" t="str">
        <f t="shared" si="20"/>
        <v>Etc Grapple</v>
      </c>
      <c r="J551" s="6" t="s">
        <v>125</v>
      </c>
      <c r="K551" s="6">
        <v>1</v>
      </c>
      <c r="L551" s="6">
        <f t="shared" si="21"/>
        <v>6470000</v>
      </c>
      <c r="M551" s="6">
        <v>5500000</v>
      </c>
      <c r="N551" s="6" t="s">
        <v>2003</v>
      </c>
      <c r="O551" s="6" t="s">
        <v>1870</v>
      </c>
      <c r="P551" s="6">
        <v>2016</v>
      </c>
      <c r="Q551" s="6">
        <v>2</v>
      </c>
      <c r="R551" s="6" t="s">
        <v>45</v>
      </c>
      <c r="S551" s="31" t="s">
        <v>2122</v>
      </c>
      <c r="T551" s="6">
        <v>1</v>
      </c>
      <c r="U551" s="26">
        <v>5000000</v>
      </c>
      <c r="V551" s="26">
        <v>5000000</v>
      </c>
      <c r="W551" s="26">
        <v>5000000</v>
      </c>
      <c r="X551" s="6" t="s">
        <v>2003</v>
      </c>
      <c r="Y551" s="6" t="s">
        <v>1283</v>
      </c>
      <c r="Z551" s="6">
        <v>225419</v>
      </c>
    </row>
    <row r="552" spans="1:26" x14ac:dyDescent="0.3">
      <c r="A552" s="28" t="s">
        <v>42</v>
      </c>
      <c r="B552" s="6" t="s">
        <v>1326</v>
      </c>
      <c r="C552" s="6" t="s">
        <v>1979</v>
      </c>
      <c r="D552" s="6" t="s">
        <v>2292</v>
      </c>
      <c r="E552" s="6">
        <v>1</v>
      </c>
      <c r="F552" s="6" t="s">
        <v>2004</v>
      </c>
      <c r="G552" s="32" t="s">
        <v>2299</v>
      </c>
      <c r="H552" s="32" t="s">
        <v>2300</v>
      </c>
      <c r="I552" s="6" t="str">
        <f t="shared" si="20"/>
        <v>Thumb Grapple</v>
      </c>
      <c r="J552" s="6" t="s">
        <v>59</v>
      </c>
      <c r="K552" s="6">
        <v>1</v>
      </c>
      <c r="L552" s="6">
        <f t="shared" si="21"/>
        <v>940000</v>
      </c>
      <c r="M552" s="6">
        <v>800000</v>
      </c>
      <c r="N552" s="6" t="s">
        <v>2003</v>
      </c>
      <c r="O552" s="6" t="s">
        <v>2012</v>
      </c>
      <c r="P552" s="6">
        <v>2013</v>
      </c>
      <c r="Q552" s="6">
        <v>1</v>
      </c>
      <c r="R552" s="6" t="s">
        <v>45</v>
      </c>
      <c r="S552" s="31" t="s">
        <v>2113</v>
      </c>
      <c r="T552" s="6">
        <v>1</v>
      </c>
      <c r="U552" s="26">
        <v>700000</v>
      </c>
      <c r="V552" s="26">
        <v>700000</v>
      </c>
      <c r="W552" s="26">
        <v>700000</v>
      </c>
      <c r="X552" s="6" t="s">
        <v>2003</v>
      </c>
      <c r="Y552" s="6" t="s">
        <v>49</v>
      </c>
      <c r="Z552" s="6">
        <v>225430</v>
      </c>
    </row>
    <row r="553" spans="1:26" x14ac:dyDescent="0.3">
      <c r="A553" s="28" t="s">
        <v>42</v>
      </c>
      <c r="B553" s="6" t="s">
        <v>1326</v>
      </c>
      <c r="C553" s="6" t="s">
        <v>1972</v>
      </c>
      <c r="D553" s="6" t="s">
        <v>2291</v>
      </c>
      <c r="E553" s="6">
        <v>1</v>
      </c>
      <c r="F553" s="6" t="s">
        <v>2004</v>
      </c>
      <c r="G553" s="32" t="s">
        <v>2299</v>
      </c>
      <c r="H553" s="32" t="s">
        <v>2300</v>
      </c>
      <c r="I553" s="6" t="str">
        <f t="shared" si="20"/>
        <v>Stone Grapple</v>
      </c>
      <c r="J553" s="6" t="s">
        <v>252</v>
      </c>
      <c r="K553" s="6">
        <v>1</v>
      </c>
      <c r="L553" s="6">
        <f t="shared" si="21"/>
        <v>3520000</v>
      </c>
      <c r="M553" s="6">
        <v>3000000</v>
      </c>
      <c r="N553" s="6" t="s">
        <v>2003</v>
      </c>
      <c r="O553" s="6" t="s">
        <v>2007</v>
      </c>
      <c r="P553" s="6">
        <v>2014</v>
      </c>
      <c r="Q553" s="6">
        <v>1</v>
      </c>
      <c r="R553" s="6" t="s">
        <v>45</v>
      </c>
      <c r="S553" s="31" t="s">
        <v>2113</v>
      </c>
      <c r="T553" s="6">
        <v>1</v>
      </c>
      <c r="U553" s="26">
        <v>2800000</v>
      </c>
      <c r="V553" s="26">
        <v>2800000</v>
      </c>
      <c r="W553" s="26">
        <v>2800000</v>
      </c>
      <c r="X553" s="6" t="s">
        <v>2003</v>
      </c>
      <c r="Y553" s="6" t="s">
        <v>49</v>
      </c>
      <c r="Z553" s="6">
        <v>225431</v>
      </c>
    </row>
    <row r="554" spans="1:26" x14ac:dyDescent="0.3">
      <c r="A554" s="28" t="s">
        <v>42</v>
      </c>
      <c r="B554" s="6" t="s">
        <v>1326</v>
      </c>
      <c r="C554" s="6" t="s">
        <v>1979</v>
      </c>
      <c r="D554" s="6" t="s">
        <v>2292</v>
      </c>
      <c r="E554" s="6">
        <v>1</v>
      </c>
      <c r="F554" s="6" t="s">
        <v>2004</v>
      </c>
      <c r="G554" s="32" t="s">
        <v>2299</v>
      </c>
      <c r="H554" s="32" t="s">
        <v>2300</v>
      </c>
      <c r="I554" s="6" t="str">
        <f t="shared" si="20"/>
        <v>Thumb Grapple</v>
      </c>
      <c r="J554" s="6" t="s">
        <v>251</v>
      </c>
      <c r="K554" s="6">
        <v>1</v>
      </c>
      <c r="L554" s="6">
        <f t="shared" si="21"/>
        <v>1410000</v>
      </c>
      <c r="M554" s="6">
        <v>1200000</v>
      </c>
      <c r="N554" s="6" t="s">
        <v>2003</v>
      </c>
      <c r="O554" s="6" t="s">
        <v>2012</v>
      </c>
      <c r="P554" s="6">
        <v>2014</v>
      </c>
      <c r="Q554" s="6">
        <v>1</v>
      </c>
      <c r="R554" s="6" t="s">
        <v>45</v>
      </c>
      <c r="S554" s="31" t="s">
        <v>2116</v>
      </c>
      <c r="T554" s="6">
        <v>1</v>
      </c>
      <c r="U554" s="26">
        <v>1100000</v>
      </c>
      <c r="V554" s="26">
        <v>1100000</v>
      </c>
      <c r="W554" s="26">
        <v>1100000</v>
      </c>
      <c r="X554" s="6" t="s">
        <v>2003</v>
      </c>
      <c r="Y554" s="6" t="s">
        <v>49</v>
      </c>
      <c r="Z554" s="6">
        <v>225433</v>
      </c>
    </row>
    <row r="555" spans="1:26" x14ac:dyDescent="0.3">
      <c r="A555" s="28" t="s">
        <v>42</v>
      </c>
      <c r="B555" s="6" t="s">
        <v>1326</v>
      </c>
      <c r="C555" s="6" t="s">
        <v>1972</v>
      </c>
      <c r="D555" s="6" t="s">
        <v>2291</v>
      </c>
      <c r="E555" s="6">
        <v>1</v>
      </c>
      <c r="F555" s="6" t="s">
        <v>2004</v>
      </c>
      <c r="G555" s="32" t="s">
        <v>2299</v>
      </c>
      <c r="H555" s="32" t="s">
        <v>2300</v>
      </c>
      <c r="I555" s="6" t="str">
        <f t="shared" si="20"/>
        <v>Stone Grapple</v>
      </c>
      <c r="J555" s="6" t="s">
        <v>415</v>
      </c>
      <c r="K555" s="6">
        <v>1</v>
      </c>
      <c r="L555" s="6">
        <f t="shared" si="21"/>
        <v>1640000</v>
      </c>
      <c r="M555" s="6">
        <v>1400000</v>
      </c>
      <c r="N555" s="6" t="s">
        <v>2003</v>
      </c>
      <c r="O555" s="6" t="s">
        <v>2007</v>
      </c>
      <c r="P555" s="6">
        <v>2015</v>
      </c>
      <c r="Q555" s="6">
        <v>1</v>
      </c>
      <c r="R555" s="6" t="s">
        <v>45</v>
      </c>
      <c r="S555" s="31" t="s">
        <v>2113</v>
      </c>
      <c r="T555" s="6">
        <v>1</v>
      </c>
      <c r="U555" s="26">
        <v>1300000</v>
      </c>
      <c r="V555" s="26">
        <v>1300000</v>
      </c>
      <c r="W555" s="26">
        <v>1300000</v>
      </c>
      <c r="X555" s="6" t="s">
        <v>2003</v>
      </c>
      <c r="Y555" s="6" t="s">
        <v>49</v>
      </c>
      <c r="Z555" s="6">
        <v>225437</v>
      </c>
    </row>
    <row r="556" spans="1:26" x14ac:dyDescent="0.3">
      <c r="A556" s="28" t="s">
        <v>42</v>
      </c>
      <c r="B556" s="6" t="s">
        <v>1327</v>
      </c>
      <c r="C556" s="6" t="s">
        <v>1980</v>
      </c>
      <c r="D556" s="6" t="s">
        <v>2291</v>
      </c>
      <c r="E556" s="6">
        <v>1</v>
      </c>
      <c r="F556" s="6" t="s">
        <v>2004</v>
      </c>
      <c r="G556" s="32" t="s">
        <v>2299</v>
      </c>
      <c r="H556" s="32" t="s">
        <v>2300</v>
      </c>
      <c r="I556" s="6" t="str">
        <f t="shared" si="20"/>
        <v>Small Bucket</v>
      </c>
      <c r="J556" s="6" t="s">
        <v>85</v>
      </c>
      <c r="K556" s="6">
        <v>1</v>
      </c>
      <c r="L556" s="6">
        <f t="shared" si="21"/>
        <v>340000</v>
      </c>
      <c r="M556" s="6">
        <v>290000</v>
      </c>
      <c r="N556" s="6" t="s">
        <v>2003</v>
      </c>
      <c r="O556" s="6" t="s">
        <v>2007</v>
      </c>
      <c r="P556" s="6">
        <v>2013</v>
      </c>
      <c r="Q556" s="6">
        <v>1</v>
      </c>
      <c r="R556" s="6" t="s">
        <v>45</v>
      </c>
      <c r="S556" s="31" t="s">
        <v>2113</v>
      </c>
      <c r="T556" s="6">
        <v>1</v>
      </c>
      <c r="U556" s="26">
        <v>240000</v>
      </c>
      <c r="V556" s="26">
        <v>240000</v>
      </c>
      <c r="W556" s="26">
        <v>240000</v>
      </c>
      <c r="X556" s="6" t="s">
        <v>2003</v>
      </c>
      <c r="Y556" s="6" t="s">
        <v>49</v>
      </c>
      <c r="Z556" s="6">
        <v>225442</v>
      </c>
    </row>
    <row r="557" spans="1:26" x14ac:dyDescent="0.3">
      <c r="A557" s="28" t="s">
        <v>42</v>
      </c>
      <c r="B557" s="6" t="s">
        <v>1328</v>
      </c>
      <c r="C557" s="6" t="s">
        <v>1975</v>
      </c>
      <c r="D557" s="6" t="s">
        <v>2293</v>
      </c>
      <c r="E557" s="6">
        <v>1</v>
      </c>
      <c r="F557" s="6" t="s">
        <v>2004</v>
      </c>
      <c r="G557" s="32" t="s">
        <v>2299</v>
      </c>
      <c r="H557" s="32" t="s">
        <v>2300</v>
      </c>
      <c r="I557" s="6" t="str">
        <f t="shared" si="20"/>
        <v>Side Breaker</v>
      </c>
      <c r="J557" s="6" t="s">
        <v>172</v>
      </c>
      <c r="K557" s="6">
        <v>1</v>
      </c>
      <c r="L557" s="6">
        <f t="shared" si="21"/>
        <v>2000000</v>
      </c>
      <c r="M557" s="6">
        <v>1700000</v>
      </c>
      <c r="N557" s="6" t="s">
        <v>2003</v>
      </c>
      <c r="O557" s="6" t="s">
        <v>1028</v>
      </c>
      <c r="P557" s="6">
        <v>2014</v>
      </c>
      <c r="Q557" s="6">
        <v>5</v>
      </c>
      <c r="R557" s="6" t="s">
        <v>45</v>
      </c>
      <c r="S557" s="31" t="s">
        <v>2113</v>
      </c>
      <c r="T557" s="6">
        <v>1</v>
      </c>
      <c r="U557" s="26">
        <v>1600000</v>
      </c>
      <c r="V557" s="26">
        <v>1600000</v>
      </c>
      <c r="W557" s="26">
        <v>1600000</v>
      </c>
      <c r="X557" s="6" t="s">
        <v>2003</v>
      </c>
      <c r="Y557" s="6" t="s">
        <v>71</v>
      </c>
      <c r="Z557" s="6">
        <v>225450</v>
      </c>
    </row>
    <row r="558" spans="1:26" x14ac:dyDescent="0.3">
      <c r="A558" s="28" t="s">
        <v>42</v>
      </c>
      <c r="B558" s="6" t="s">
        <v>1326</v>
      </c>
      <c r="C558" s="6" t="s">
        <v>1973</v>
      </c>
      <c r="D558" s="6" t="s">
        <v>2291</v>
      </c>
      <c r="E558" s="6">
        <v>1</v>
      </c>
      <c r="F558" s="6" t="s">
        <v>2004</v>
      </c>
      <c r="G558" s="32" t="s">
        <v>2299</v>
      </c>
      <c r="H558" s="32" t="s">
        <v>2300</v>
      </c>
      <c r="I558" s="6" t="str">
        <f t="shared" si="20"/>
        <v>Wood Grapple</v>
      </c>
      <c r="J558" s="6" t="s">
        <v>127</v>
      </c>
      <c r="K558" s="6">
        <v>1</v>
      </c>
      <c r="L558" s="6">
        <f t="shared" si="21"/>
        <v>2580000</v>
      </c>
      <c r="M558" s="6">
        <v>2200000</v>
      </c>
      <c r="N558" s="6" t="s">
        <v>2003</v>
      </c>
      <c r="O558" s="6" t="s">
        <v>830</v>
      </c>
      <c r="P558" s="6">
        <v>2010</v>
      </c>
      <c r="Q558" s="6">
        <v>1</v>
      </c>
      <c r="R558" s="6" t="s">
        <v>45</v>
      </c>
      <c r="S558" s="31" t="s">
        <v>2114</v>
      </c>
      <c r="T558" s="6">
        <v>1</v>
      </c>
      <c r="U558" s="26">
        <v>2000000</v>
      </c>
      <c r="V558" s="26">
        <v>2000000</v>
      </c>
      <c r="W558" s="26">
        <v>2000000</v>
      </c>
      <c r="X558" s="6" t="s">
        <v>2003</v>
      </c>
      <c r="Y558" s="6" t="s">
        <v>830</v>
      </c>
      <c r="Z558" s="6">
        <v>225453</v>
      </c>
    </row>
    <row r="559" spans="1:26" x14ac:dyDescent="0.3">
      <c r="A559" s="28" t="s">
        <v>42</v>
      </c>
      <c r="B559" s="6" t="s">
        <v>2172</v>
      </c>
      <c r="C559" s="6"/>
      <c r="D559" s="6" t="s">
        <v>2292</v>
      </c>
      <c r="E559" s="6">
        <v>1</v>
      </c>
      <c r="F559" s="6" t="s">
        <v>2004</v>
      </c>
      <c r="G559" s="32" t="s">
        <v>2299</v>
      </c>
      <c r="H559" s="32" t="s">
        <v>2300</v>
      </c>
      <c r="I559" s="6" t="str">
        <f t="shared" si="20"/>
        <v>Quick Coupler</v>
      </c>
      <c r="J559" s="6" t="s">
        <v>147</v>
      </c>
      <c r="K559" s="6">
        <v>1</v>
      </c>
      <c r="L559" s="6">
        <f t="shared" si="21"/>
        <v>1000000</v>
      </c>
      <c r="M559" s="6">
        <v>850000</v>
      </c>
      <c r="N559" s="6" t="s">
        <v>2003</v>
      </c>
      <c r="O559" s="6" t="s">
        <v>2012</v>
      </c>
      <c r="P559" s="6">
        <v>2014</v>
      </c>
      <c r="Q559" s="6">
        <v>1</v>
      </c>
      <c r="R559" s="6" t="s">
        <v>45</v>
      </c>
      <c r="S559" s="31" t="s">
        <v>2113</v>
      </c>
      <c r="T559" s="6">
        <v>1</v>
      </c>
      <c r="U559" s="26">
        <v>750000</v>
      </c>
      <c r="V559" s="26">
        <v>750000</v>
      </c>
      <c r="W559" s="26">
        <v>750000</v>
      </c>
      <c r="X559" s="6" t="s">
        <v>2003</v>
      </c>
      <c r="Y559" s="6" t="s">
        <v>49</v>
      </c>
      <c r="Z559" s="6">
        <v>225455</v>
      </c>
    </row>
    <row r="560" spans="1:26" x14ac:dyDescent="0.3">
      <c r="A560" s="28" t="s">
        <v>42</v>
      </c>
      <c r="B560" s="6" t="s">
        <v>2172</v>
      </c>
      <c r="C560" s="6"/>
      <c r="D560" s="6" t="s">
        <v>2292</v>
      </c>
      <c r="E560" s="6">
        <v>1</v>
      </c>
      <c r="F560" s="6" t="s">
        <v>2004</v>
      </c>
      <c r="G560" s="32" t="s">
        <v>2299</v>
      </c>
      <c r="H560" s="32" t="s">
        <v>2300</v>
      </c>
      <c r="I560" s="6" t="str">
        <f t="shared" si="20"/>
        <v>Quick Coupler</v>
      </c>
      <c r="J560" s="6" t="s">
        <v>140</v>
      </c>
      <c r="K560" s="6">
        <v>1</v>
      </c>
      <c r="L560" s="6">
        <f t="shared" si="21"/>
        <v>940000</v>
      </c>
      <c r="M560" s="6">
        <v>800000</v>
      </c>
      <c r="N560" s="6" t="s">
        <v>2003</v>
      </c>
      <c r="O560" s="6" t="s">
        <v>823</v>
      </c>
      <c r="P560" s="6">
        <v>2014</v>
      </c>
      <c r="Q560" s="6">
        <v>1</v>
      </c>
      <c r="R560" s="6" t="s">
        <v>45</v>
      </c>
      <c r="S560" s="31" t="s">
        <v>2113</v>
      </c>
      <c r="T560" s="6">
        <v>1</v>
      </c>
      <c r="U560" s="26">
        <v>700000</v>
      </c>
      <c r="V560" s="26">
        <v>700000</v>
      </c>
      <c r="W560" s="26">
        <v>700000</v>
      </c>
      <c r="X560" s="6" t="s">
        <v>2003</v>
      </c>
      <c r="Y560" s="6" t="s">
        <v>49</v>
      </c>
      <c r="Z560" s="6">
        <v>225456</v>
      </c>
    </row>
    <row r="561" spans="1:26" x14ac:dyDescent="0.3">
      <c r="A561" s="28" t="s">
        <v>42</v>
      </c>
      <c r="B561" s="6" t="s">
        <v>1325</v>
      </c>
      <c r="C561" s="19" t="s">
        <v>2156</v>
      </c>
      <c r="D561" s="6" t="s">
        <v>2293</v>
      </c>
      <c r="E561" s="6">
        <v>1</v>
      </c>
      <c r="F561" s="6" t="s">
        <v>2004</v>
      </c>
      <c r="G561" s="32" t="s">
        <v>2299</v>
      </c>
      <c r="H561" s="32" t="s">
        <v>2300</v>
      </c>
      <c r="I561" s="6" t="str">
        <f t="shared" si="20"/>
        <v>Hydraulic Crusher</v>
      </c>
      <c r="J561" s="6" t="s">
        <v>76</v>
      </c>
      <c r="K561" s="6">
        <v>1</v>
      </c>
      <c r="L561" s="6">
        <f t="shared" si="21"/>
        <v>6820000</v>
      </c>
      <c r="M561" s="6">
        <v>5800000</v>
      </c>
      <c r="N561" s="6" t="s">
        <v>2003</v>
      </c>
      <c r="O561" s="6" t="s">
        <v>70</v>
      </c>
      <c r="P561" s="6">
        <v>2016</v>
      </c>
      <c r="Q561" s="6">
        <v>1</v>
      </c>
      <c r="R561" s="6" t="s">
        <v>45</v>
      </c>
      <c r="S561" s="31" t="s">
        <v>2113</v>
      </c>
      <c r="T561" s="6">
        <v>1</v>
      </c>
      <c r="U561" s="26">
        <v>5300000</v>
      </c>
      <c r="V561" s="26">
        <v>5300000</v>
      </c>
      <c r="W561" s="26">
        <v>5300000</v>
      </c>
      <c r="X561" s="6" t="s">
        <v>2003</v>
      </c>
      <c r="Y561" s="6" t="s">
        <v>71</v>
      </c>
      <c r="Z561" s="6">
        <v>225457</v>
      </c>
    </row>
    <row r="562" spans="1:26" x14ac:dyDescent="0.3">
      <c r="A562" s="28" t="s">
        <v>42</v>
      </c>
      <c r="B562" s="6" t="s">
        <v>1328</v>
      </c>
      <c r="C562" s="6" t="s">
        <v>1975</v>
      </c>
      <c r="D562" s="6" t="s">
        <v>2001</v>
      </c>
      <c r="E562" s="6">
        <v>1</v>
      </c>
      <c r="F562" s="6" t="s">
        <v>2004</v>
      </c>
      <c r="G562" s="32" t="s">
        <v>2299</v>
      </c>
      <c r="H562" s="32" t="s">
        <v>2300</v>
      </c>
      <c r="I562" s="6" t="str">
        <f t="shared" si="20"/>
        <v>Side Breaker</v>
      </c>
      <c r="J562" s="6" t="s">
        <v>483</v>
      </c>
      <c r="K562" s="6">
        <v>1</v>
      </c>
      <c r="L562" s="6">
        <f t="shared" si="21"/>
        <v>7640000</v>
      </c>
      <c r="M562" s="6">
        <v>6500000</v>
      </c>
      <c r="N562" s="6" t="s">
        <v>2003</v>
      </c>
      <c r="O562" s="6" t="s">
        <v>822</v>
      </c>
      <c r="P562" s="6">
        <v>2013</v>
      </c>
      <c r="Q562" s="6">
        <v>7</v>
      </c>
      <c r="R562" s="6" t="s">
        <v>45</v>
      </c>
      <c r="S562" s="31" t="s">
        <v>2123</v>
      </c>
      <c r="T562" s="6">
        <v>1</v>
      </c>
      <c r="U562" s="26">
        <v>6000000</v>
      </c>
      <c r="V562" s="26">
        <v>6000000</v>
      </c>
      <c r="W562" s="26">
        <v>6000000</v>
      </c>
      <c r="X562" s="6" t="s">
        <v>2003</v>
      </c>
      <c r="Y562" s="6" t="s">
        <v>92</v>
      </c>
      <c r="Z562" s="6">
        <v>225459</v>
      </c>
    </row>
    <row r="563" spans="1:26" x14ac:dyDescent="0.3">
      <c r="A563" s="28" t="s">
        <v>42</v>
      </c>
      <c r="B563" s="6" t="s">
        <v>1326</v>
      </c>
      <c r="C563" s="6" t="s">
        <v>1972</v>
      </c>
      <c r="D563" s="6" t="s">
        <v>2292</v>
      </c>
      <c r="E563" s="6">
        <v>1</v>
      </c>
      <c r="F563" s="6" t="s">
        <v>2004</v>
      </c>
      <c r="G563" s="32" t="s">
        <v>2299</v>
      </c>
      <c r="H563" s="32" t="s">
        <v>2300</v>
      </c>
      <c r="I563" s="6" t="str">
        <f t="shared" si="20"/>
        <v>Stone Grapple</v>
      </c>
      <c r="J563" s="6" t="s">
        <v>197</v>
      </c>
      <c r="K563" s="6">
        <v>1</v>
      </c>
      <c r="L563" s="6">
        <f t="shared" si="21"/>
        <v>2940000</v>
      </c>
      <c r="M563" s="6">
        <v>2500000</v>
      </c>
      <c r="N563" s="6" t="s">
        <v>2003</v>
      </c>
      <c r="O563" s="6" t="s">
        <v>2007</v>
      </c>
      <c r="P563" s="6">
        <v>2014</v>
      </c>
      <c r="Q563" s="6">
        <v>1</v>
      </c>
      <c r="R563" s="6" t="s">
        <v>45</v>
      </c>
      <c r="S563" s="31" t="s">
        <v>2113</v>
      </c>
      <c r="T563" s="6">
        <v>1</v>
      </c>
      <c r="U563" s="26">
        <v>2300000</v>
      </c>
      <c r="V563" s="26">
        <v>2300000</v>
      </c>
      <c r="W563" s="26">
        <v>2300000</v>
      </c>
      <c r="X563" s="6" t="s">
        <v>2003</v>
      </c>
      <c r="Y563" s="6" t="s">
        <v>49</v>
      </c>
      <c r="Z563" s="6">
        <v>225462</v>
      </c>
    </row>
    <row r="564" spans="1:26" x14ac:dyDescent="0.3">
      <c r="A564" s="28" t="s">
        <v>42</v>
      </c>
      <c r="B564" s="6" t="s">
        <v>1325</v>
      </c>
      <c r="C564" s="19" t="s">
        <v>2156</v>
      </c>
      <c r="D564" s="6" t="s">
        <v>2293</v>
      </c>
      <c r="E564" s="6">
        <v>1</v>
      </c>
      <c r="F564" s="6" t="s">
        <v>2004</v>
      </c>
      <c r="G564" s="32" t="s">
        <v>2299</v>
      </c>
      <c r="H564" s="32" t="s">
        <v>2300</v>
      </c>
      <c r="I564" s="6" t="str">
        <f t="shared" si="20"/>
        <v>Hydraulic Crusher</v>
      </c>
      <c r="J564" s="6" t="s">
        <v>651</v>
      </c>
      <c r="K564" s="6">
        <v>1</v>
      </c>
      <c r="L564" s="6">
        <f t="shared" si="21"/>
        <v>5290000</v>
      </c>
      <c r="M564" s="6">
        <v>4500000</v>
      </c>
      <c r="N564" s="6" t="s">
        <v>2003</v>
      </c>
      <c r="O564" s="6" t="s">
        <v>798</v>
      </c>
      <c r="P564" s="6">
        <v>2014</v>
      </c>
      <c r="Q564" s="6">
        <v>1</v>
      </c>
      <c r="R564" s="6" t="s">
        <v>45</v>
      </c>
      <c r="S564" s="31" t="s">
        <v>2113</v>
      </c>
      <c r="T564" s="6">
        <v>1</v>
      </c>
      <c r="U564" s="26">
        <v>4300000</v>
      </c>
      <c r="V564" s="26">
        <v>4300000</v>
      </c>
      <c r="W564" s="26">
        <v>4300000</v>
      </c>
      <c r="X564" s="6" t="s">
        <v>2003</v>
      </c>
      <c r="Y564" s="6" t="s">
        <v>71</v>
      </c>
      <c r="Z564" s="6">
        <v>225467</v>
      </c>
    </row>
    <row r="565" spans="1:26" x14ac:dyDescent="0.3">
      <c r="A565" s="28" t="s">
        <v>42</v>
      </c>
      <c r="B565" s="6" t="s">
        <v>1326</v>
      </c>
      <c r="C565" s="6" t="s">
        <v>1972</v>
      </c>
      <c r="D565" s="6" t="s">
        <v>2291</v>
      </c>
      <c r="E565" s="6">
        <v>1</v>
      </c>
      <c r="F565" s="6" t="s">
        <v>2004</v>
      </c>
      <c r="G565" s="32" t="s">
        <v>2299</v>
      </c>
      <c r="H565" s="32" t="s">
        <v>2300</v>
      </c>
      <c r="I565" s="6" t="str">
        <f t="shared" si="20"/>
        <v>Stone Grapple</v>
      </c>
      <c r="J565" s="6" t="s">
        <v>375</v>
      </c>
      <c r="K565" s="6">
        <v>1</v>
      </c>
      <c r="L565" s="6">
        <f t="shared" si="21"/>
        <v>2580000</v>
      </c>
      <c r="M565" s="6">
        <v>2200000</v>
      </c>
      <c r="N565" s="6" t="s">
        <v>2003</v>
      </c>
      <c r="O565" s="6" t="s">
        <v>802</v>
      </c>
      <c r="P565" s="6">
        <v>2016</v>
      </c>
      <c r="Q565" s="6">
        <v>10</v>
      </c>
      <c r="R565" s="6" t="s">
        <v>45</v>
      </c>
      <c r="S565" s="31" t="s">
        <v>2122</v>
      </c>
      <c r="T565" s="6">
        <v>1</v>
      </c>
      <c r="U565" s="26">
        <v>2000000</v>
      </c>
      <c r="V565" s="26">
        <v>2000000</v>
      </c>
      <c r="W565" s="26">
        <v>2000000</v>
      </c>
      <c r="X565" s="6" t="s">
        <v>2003</v>
      </c>
      <c r="Y565" s="6" t="s">
        <v>1172</v>
      </c>
      <c r="Z565" s="6">
        <v>225469</v>
      </c>
    </row>
    <row r="566" spans="1:26" x14ac:dyDescent="0.3">
      <c r="A566" s="28" t="s">
        <v>42</v>
      </c>
      <c r="B566" s="6" t="s">
        <v>1327</v>
      </c>
      <c r="C566" s="19" t="s">
        <v>1982</v>
      </c>
      <c r="D566" s="6" t="s">
        <v>2289</v>
      </c>
      <c r="E566" s="6">
        <v>1</v>
      </c>
      <c r="F566" s="6" t="s">
        <v>2004</v>
      </c>
      <c r="G566" s="32" t="s">
        <v>2299</v>
      </c>
      <c r="H566" s="32" t="s">
        <v>2300</v>
      </c>
      <c r="I566" s="6" t="str">
        <f t="shared" si="20"/>
        <v>Standard Bucket</v>
      </c>
      <c r="J566" s="6" t="s">
        <v>187</v>
      </c>
      <c r="K566" s="6">
        <v>1</v>
      </c>
      <c r="L566" s="6">
        <f t="shared" si="21"/>
        <v>1880000</v>
      </c>
      <c r="M566" s="6">
        <v>1600000</v>
      </c>
      <c r="N566" s="6" t="s">
        <v>2003</v>
      </c>
      <c r="O566" s="6" t="s">
        <v>813</v>
      </c>
      <c r="P566" s="6">
        <v>2013</v>
      </c>
      <c r="Q566" s="6">
        <v>1</v>
      </c>
      <c r="R566" s="6" t="s">
        <v>45</v>
      </c>
      <c r="S566" s="31" t="s">
        <v>2113</v>
      </c>
      <c r="T566" s="6">
        <v>1</v>
      </c>
      <c r="U566" s="26">
        <v>1500000</v>
      </c>
      <c r="V566" s="26">
        <v>1500000</v>
      </c>
      <c r="W566" s="26">
        <v>1500000</v>
      </c>
      <c r="X566" s="6" t="s">
        <v>2003</v>
      </c>
      <c r="Y566" s="6" t="s">
        <v>79</v>
      </c>
      <c r="Z566" s="6">
        <v>225474</v>
      </c>
    </row>
    <row r="567" spans="1:26" x14ac:dyDescent="0.3">
      <c r="A567" s="28" t="s">
        <v>42</v>
      </c>
      <c r="B567" s="6" t="s">
        <v>1326</v>
      </c>
      <c r="C567" s="6" t="s">
        <v>1972</v>
      </c>
      <c r="D567" s="6" t="s">
        <v>2292</v>
      </c>
      <c r="E567" s="6">
        <v>1</v>
      </c>
      <c r="F567" s="6" t="s">
        <v>2004</v>
      </c>
      <c r="G567" s="32" t="s">
        <v>2299</v>
      </c>
      <c r="H567" s="32" t="s">
        <v>2300</v>
      </c>
      <c r="I567" s="6" t="str">
        <f t="shared" si="20"/>
        <v>Stone Grapple</v>
      </c>
      <c r="J567" s="6" t="s">
        <v>399</v>
      </c>
      <c r="K567" s="6">
        <v>1</v>
      </c>
      <c r="L567" s="6">
        <f t="shared" si="21"/>
        <v>3050000</v>
      </c>
      <c r="M567" s="6">
        <v>2600000</v>
      </c>
      <c r="N567" s="6" t="s">
        <v>2003</v>
      </c>
      <c r="O567" s="6" t="s">
        <v>2007</v>
      </c>
      <c r="P567" s="6">
        <v>2014</v>
      </c>
      <c r="Q567" s="6">
        <v>1</v>
      </c>
      <c r="R567" s="6" t="s">
        <v>45</v>
      </c>
      <c r="S567" s="31" t="s">
        <v>2113</v>
      </c>
      <c r="T567" s="6">
        <v>1</v>
      </c>
      <c r="U567" s="26">
        <v>2400000</v>
      </c>
      <c r="V567" s="26">
        <v>2400000</v>
      </c>
      <c r="W567" s="26">
        <v>2400000</v>
      </c>
      <c r="X567" s="6" t="s">
        <v>2003</v>
      </c>
      <c r="Y567" s="6" t="s">
        <v>49</v>
      </c>
      <c r="Z567" s="6">
        <v>225480</v>
      </c>
    </row>
    <row r="568" spans="1:26" x14ac:dyDescent="0.3">
      <c r="A568" s="28" t="s">
        <v>42</v>
      </c>
      <c r="B568" s="6" t="s">
        <v>1327</v>
      </c>
      <c r="C568" s="6" t="s">
        <v>1976</v>
      </c>
      <c r="D568" s="6" t="s">
        <v>2001</v>
      </c>
      <c r="E568" s="6">
        <v>1</v>
      </c>
      <c r="F568" s="6" t="s">
        <v>2004</v>
      </c>
      <c r="G568" s="32" t="s">
        <v>2299</v>
      </c>
      <c r="H568" s="32" t="s">
        <v>2300</v>
      </c>
      <c r="I568" s="6" t="str">
        <f t="shared" si="20"/>
        <v>Skeleton Bucket</v>
      </c>
      <c r="J568" s="6" t="s">
        <v>124</v>
      </c>
      <c r="K568" s="6">
        <v>1</v>
      </c>
      <c r="L568" s="6">
        <f t="shared" si="21"/>
        <v>1880000</v>
      </c>
      <c r="M568" s="6">
        <v>1600000</v>
      </c>
      <c r="N568" s="6" t="s">
        <v>2003</v>
      </c>
      <c r="O568" s="6" t="s">
        <v>813</v>
      </c>
      <c r="P568" s="6">
        <v>2013</v>
      </c>
      <c r="Q568" s="6">
        <v>1</v>
      </c>
      <c r="R568" s="6" t="s">
        <v>45</v>
      </c>
      <c r="S568" s="31" t="s">
        <v>2113</v>
      </c>
      <c r="T568" s="6">
        <v>1</v>
      </c>
      <c r="U568" s="26">
        <v>1500000</v>
      </c>
      <c r="V568" s="26">
        <v>1500000</v>
      </c>
      <c r="W568" s="26">
        <v>1500000</v>
      </c>
      <c r="X568" s="6" t="s">
        <v>2003</v>
      </c>
      <c r="Y568" s="6" t="s">
        <v>79</v>
      </c>
      <c r="Z568" s="6">
        <v>225482</v>
      </c>
    </row>
    <row r="569" spans="1:26" x14ac:dyDescent="0.3">
      <c r="A569" s="28" t="s">
        <v>42</v>
      </c>
      <c r="B569" s="6" t="s">
        <v>2172</v>
      </c>
      <c r="C569" s="6"/>
      <c r="D569" s="6" t="s">
        <v>2001</v>
      </c>
      <c r="E569" s="6">
        <v>1</v>
      </c>
      <c r="F569" s="6" t="s">
        <v>2004</v>
      </c>
      <c r="G569" s="32" t="s">
        <v>2299</v>
      </c>
      <c r="H569" s="32" t="s">
        <v>2300</v>
      </c>
      <c r="I569" s="6" t="str">
        <f t="shared" si="20"/>
        <v>Quick Coupler</v>
      </c>
      <c r="J569" s="6" t="s">
        <v>290</v>
      </c>
      <c r="K569" s="6">
        <v>1</v>
      </c>
      <c r="L569" s="6">
        <f t="shared" si="21"/>
        <v>1410000</v>
      </c>
      <c r="M569" s="6">
        <v>1200000</v>
      </c>
      <c r="N569" s="6" t="s">
        <v>2003</v>
      </c>
      <c r="O569" s="6" t="s">
        <v>813</v>
      </c>
      <c r="P569" s="6">
        <v>2013</v>
      </c>
      <c r="Q569" s="6">
        <v>1</v>
      </c>
      <c r="R569" s="6" t="s">
        <v>45</v>
      </c>
      <c r="S569" s="31" t="s">
        <v>2113</v>
      </c>
      <c r="T569" s="6">
        <v>1</v>
      </c>
      <c r="U569" s="26">
        <v>1100000</v>
      </c>
      <c r="V569" s="26">
        <v>1100000</v>
      </c>
      <c r="W569" s="26">
        <v>1100000</v>
      </c>
      <c r="X569" s="6" t="s">
        <v>2003</v>
      </c>
      <c r="Y569" s="6" t="s">
        <v>49</v>
      </c>
      <c r="Z569" s="6">
        <v>225483</v>
      </c>
    </row>
    <row r="570" spans="1:26" x14ac:dyDescent="0.3">
      <c r="A570" s="28" t="s">
        <v>42</v>
      </c>
      <c r="B570" s="6" t="s">
        <v>2245</v>
      </c>
      <c r="C570" s="6" t="s">
        <v>2246</v>
      </c>
      <c r="D570" s="6" t="s">
        <v>2289</v>
      </c>
      <c r="E570" s="6">
        <v>1</v>
      </c>
      <c r="F570" s="6" t="s">
        <v>2004</v>
      </c>
      <c r="G570" s="32" t="s">
        <v>2299</v>
      </c>
      <c r="H570" s="32" t="s">
        <v>2300</v>
      </c>
      <c r="I570" s="6" t="str">
        <f t="shared" si="20"/>
        <v>Side Breaker</v>
      </c>
      <c r="J570" s="6" t="s">
        <v>126</v>
      </c>
      <c r="K570" s="6">
        <v>1</v>
      </c>
      <c r="L570" s="6">
        <f t="shared" si="21"/>
        <v>12350000</v>
      </c>
      <c r="M570" s="6">
        <v>10500000</v>
      </c>
      <c r="N570" s="6" t="s">
        <v>2003</v>
      </c>
      <c r="O570" s="6" t="s">
        <v>813</v>
      </c>
      <c r="P570" s="6">
        <v>2013</v>
      </c>
      <c r="Q570" s="6">
        <v>1</v>
      </c>
      <c r="R570" s="6" t="s">
        <v>45</v>
      </c>
      <c r="S570" s="31" t="s">
        <v>2113</v>
      </c>
      <c r="T570" s="6">
        <v>1</v>
      </c>
      <c r="U570" s="26">
        <v>10000000</v>
      </c>
      <c r="V570" s="26">
        <v>10000000</v>
      </c>
      <c r="W570" s="26">
        <v>10000000</v>
      </c>
      <c r="X570" s="6" t="s">
        <v>2003</v>
      </c>
      <c r="Y570" s="6" t="s">
        <v>49</v>
      </c>
      <c r="Z570" s="6">
        <v>225491</v>
      </c>
    </row>
    <row r="571" spans="1:26" x14ac:dyDescent="0.3">
      <c r="A571" s="28" t="s">
        <v>42</v>
      </c>
      <c r="B571" s="6" t="s">
        <v>1326</v>
      </c>
      <c r="C571" s="6" t="s">
        <v>1974</v>
      </c>
      <c r="D571" s="6" t="s">
        <v>2292</v>
      </c>
      <c r="E571" s="6">
        <v>1</v>
      </c>
      <c r="F571" s="6" t="s">
        <v>2004</v>
      </c>
      <c r="G571" s="32" t="s">
        <v>2299</v>
      </c>
      <c r="H571" s="32" t="s">
        <v>2300</v>
      </c>
      <c r="I571" s="6" t="str">
        <f t="shared" si="20"/>
        <v>Etc Grapple</v>
      </c>
      <c r="J571" s="6" t="s">
        <v>125</v>
      </c>
      <c r="K571" s="6">
        <v>1</v>
      </c>
      <c r="L571" s="6">
        <f t="shared" si="21"/>
        <v>5520000</v>
      </c>
      <c r="M571" s="6">
        <v>4700000</v>
      </c>
      <c r="N571" s="6" t="s">
        <v>2003</v>
      </c>
      <c r="O571" s="6" t="s">
        <v>54</v>
      </c>
      <c r="P571" s="6">
        <v>2010</v>
      </c>
      <c r="Q571" s="6">
        <v>1</v>
      </c>
      <c r="R571" s="6" t="s">
        <v>45</v>
      </c>
      <c r="S571" s="31" t="s">
        <v>2114</v>
      </c>
      <c r="T571" s="6">
        <v>1</v>
      </c>
      <c r="U571" s="26">
        <v>4500000</v>
      </c>
      <c r="V571" s="26">
        <v>4500000</v>
      </c>
      <c r="W571" s="26">
        <v>4500000</v>
      </c>
      <c r="X571" s="6" t="s">
        <v>2003</v>
      </c>
      <c r="Y571" s="6" t="s">
        <v>54</v>
      </c>
      <c r="Z571" s="6">
        <v>225495</v>
      </c>
    </row>
    <row r="572" spans="1:26" x14ac:dyDescent="0.3">
      <c r="A572" s="28" t="s">
        <v>42</v>
      </c>
      <c r="B572" s="6" t="s">
        <v>1325</v>
      </c>
      <c r="C572" s="6" t="s">
        <v>2156</v>
      </c>
      <c r="D572" s="6" t="s">
        <v>2292</v>
      </c>
      <c r="E572" s="6">
        <v>1</v>
      </c>
      <c r="F572" s="6" t="s">
        <v>2004</v>
      </c>
      <c r="G572" s="32" t="s">
        <v>2299</v>
      </c>
      <c r="H572" s="32" t="s">
        <v>2300</v>
      </c>
      <c r="I572" s="6" t="str">
        <f t="shared" si="20"/>
        <v>Hydraulic Crusher</v>
      </c>
      <c r="J572" s="6" t="s">
        <v>192</v>
      </c>
      <c r="K572" s="6">
        <v>1</v>
      </c>
      <c r="L572" s="6">
        <f t="shared" si="21"/>
        <v>13520000</v>
      </c>
      <c r="M572" s="6">
        <v>11500000</v>
      </c>
      <c r="N572" s="6" t="s">
        <v>2003</v>
      </c>
      <c r="O572" s="6" t="s">
        <v>2007</v>
      </c>
      <c r="P572" s="6">
        <v>2015</v>
      </c>
      <c r="Q572" s="6">
        <v>1</v>
      </c>
      <c r="R572" s="6" t="s">
        <v>45</v>
      </c>
      <c r="S572" s="31" t="s">
        <v>2113</v>
      </c>
      <c r="T572" s="6">
        <v>1</v>
      </c>
      <c r="U572" s="26">
        <v>11000000</v>
      </c>
      <c r="V572" s="26">
        <v>11000000</v>
      </c>
      <c r="W572" s="26">
        <v>11000000</v>
      </c>
      <c r="X572" s="6" t="s">
        <v>2003</v>
      </c>
      <c r="Y572" s="6" t="s">
        <v>49</v>
      </c>
      <c r="Z572" s="6">
        <v>225496</v>
      </c>
    </row>
    <row r="573" spans="1:26" x14ac:dyDescent="0.3">
      <c r="A573" s="28" t="s">
        <v>42</v>
      </c>
      <c r="B573" s="6" t="s">
        <v>1326</v>
      </c>
      <c r="C573" s="6" t="s">
        <v>1974</v>
      </c>
      <c r="D573" s="6" t="s">
        <v>2293</v>
      </c>
      <c r="E573" s="6">
        <v>1</v>
      </c>
      <c r="F573" s="6" t="s">
        <v>2004</v>
      </c>
      <c r="G573" s="32" t="s">
        <v>2299</v>
      </c>
      <c r="H573" s="32" t="s">
        <v>2300</v>
      </c>
      <c r="I573" s="6" t="str">
        <f t="shared" si="20"/>
        <v>Etc Grapple</v>
      </c>
      <c r="J573" s="6" t="s">
        <v>368</v>
      </c>
      <c r="K573" s="6">
        <v>1</v>
      </c>
      <c r="L573" s="6">
        <f t="shared" si="21"/>
        <v>2640000</v>
      </c>
      <c r="M573" s="6">
        <v>2250000</v>
      </c>
      <c r="N573" s="6" t="s">
        <v>2003</v>
      </c>
      <c r="O573" s="6" t="s">
        <v>2007</v>
      </c>
      <c r="P573" s="6">
        <v>2016</v>
      </c>
      <c r="Q573" s="6">
        <v>1</v>
      </c>
      <c r="R573" s="6" t="s">
        <v>45</v>
      </c>
      <c r="S573" s="31" t="s">
        <v>2113</v>
      </c>
      <c r="T573" s="6">
        <v>1</v>
      </c>
      <c r="U573" s="26">
        <v>2050000</v>
      </c>
      <c r="V573" s="26">
        <v>2050000</v>
      </c>
      <c r="W573" s="26">
        <v>2050000</v>
      </c>
      <c r="X573" s="6" t="s">
        <v>2003</v>
      </c>
      <c r="Y573" s="6" t="s">
        <v>49</v>
      </c>
      <c r="Z573" s="6">
        <v>225498</v>
      </c>
    </row>
    <row r="574" spans="1:26" x14ac:dyDescent="0.3">
      <c r="A574" s="28" t="s">
        <v>42</v>
      </c>
      <c r="B574" s="6" t="s">
        <v>1327</v>
      </c>
      <c r="C574" s="6" t="s">
        <v>1977</v>
      </c>
      <c r="D574" s="6" t="s">
        <v>2292</v>
      </c>
      <c r="E574" s="6">
        <v>1</v>
      </c>
      <c r="F574" s="6" t="s">
        <v>2004</v>
      </c>
      <c r="G574" s="32" t="s">
        <v>2299</v>
      </c>
      <c r="H574" s="32" t="s">
        <v>2300</v>
      </c>
      <c r="I574" s="6" t="str">
        <f t="shared" si="20"/>
        <v>Wide Bucket</v>
      </c>
      <c r="J574" s="6" t="s">
        <v>123</v>
      </c>
      <c r="K574" s="6">
        <v>1</v>
      </c>
      <c r="L574" s="6">
        <f t="shared" si="21"/>
        <v>1170000</v>
      </c>
      <c r="M574" s="6">
        <v>1000000</v>
      </c>
      <c r="N574" s="6" t="s">
        <v>2003</v>
      </c>
      <c r="O574" s="6" t="s">
        <v>797</v>
      </c>
      <c r="P574" s="6">
        <v>2015</v>
      </c>
      <c r="Q574" s="6">
        <v>7</v>
      </c>
      <c r="R574" s="6" t="s">
        <v>45</v>
      </c>
      <c r="S574" s="31" t="s">
        <v>2120</v>
      </c>
      <c r="T574" s="6">
        <v>1</v>
      </c>
      <c r="U574" s="26">
        <v>900000</v>
      </c>
      <c r="V574" s="26">
        <v>900000</v>
      </c>
      <c r="W574" s="26">
        <v>900000</v>
      </c>
      <c r="X574" s="6" t="s">
        <v>2003</v>
      </c>
      <c r="Y574" s="6" t="s">
        <v>1162</v>
      </c>
      <c r="Z574" s="6">
        <v>225499</v>
      </c>
    </row>
    <row r="575" spans="1:26" x14ac:dyDescent="0.3">
      <c r="A575" s="28" t="s">
        <v>42</v>
      </c>
      <c r="B575" s="6" t="s">
        <v>1325</v>
      </c>
      <c r="C575" s="19" t="s">
        <v>2156</v>
      </c>
      <c r="D575" s="6" t="s">
        <v>2001</v>
      </c>
      <c r="E575" s="6">
        <v>1</v>
      </c>
      <c r="F575" s="6" t="s">
        <v>2004</v>
      </c>
      <c r="G575" s="32" t="s">
        <v>2299</v>
      </c>
      <c r="H575" s="32" t="s">
        <v>2300</v>
      </c>
      <c r="I575" s="6" t="str">
        <f t="shared" si="20"/>
        <v>Hydraulic Crusher</v>
      </c>
      <c r="J575" s="6" t="s">
        <v>525</v>
      </c>
      <c r="K575" s="6">
        <v>1</v>
      </c>
      <c r="L575" s="6">
        <f t="shared" si="21"/>
        <v>20000000</v>
      </c>
      <c r="M575" s="6">
        <v>17000000</v>
      </c>
      <c r="N575" s="6" t="s">
        <v>2003</v>
      </c>
      <c r="O575" s="6" t="s">
        <v>813</v>
      </c>
      <c r="P575" s="6">
        <v>2014</v>
      </c>
      <c r="Q575" s="6">
        <v>1</v>
      </c>
      <c r="R575" s="6" t="s">
        <v>45</v>
      </c>
      <c r="S575" s="31" t="s">
        <v>2113</v>
      </c>
      <c r="T575" s="6">
        <v>1</v>
      </c>
      <c r="U575" s="26">
        <v>16500000</v>
      </c>
      <c r="V575" s="26">
        <v>16500000</v>
      </c>
      <c r="W575" s="26">
        <v>16500000</v>
      </c>
      <c r="X575" s="6" t="s">
        <v>2003</v>
      </c>
      <c r="Y575" s="6" t="s">
        <v>49</v>
      </c>
      <c r="Z575" s="6">
        <v>225502</v>
      </c>
    </row>
    <row r="576" spans="1:26" x14ac:dyDescent="0.3">
      <c r="A576" s="28" t="s">
        <v>42</v>
      </c>
      <c r="B576" s="6" t="s">
        <v>1325</v>
      </c>
      <c r="C576" s="19" t="s">
        <v>2156</v>
      </c>
      <c r="D576" s="6" t="s">
        <v>2292</v>
      </c>
      <c r="E576" s="6">
        <v>1</v>
      </c>
      <c r="F576" s="6" t="s">
        <v>2004</v>
      </c>
      <c r="G576" s="32" t="s">
        <v>2299</v>
      </c>
      <c r="H576" s="32" t="s">
        <v>2300</v>
      </c>
      <c r="I576" s="6" t="str">
        <f t="shared" si="20"/>
        <v>Hydraulic Crusher</v>
      </c>
      <c r="J576" s="6" t="s">
        <v>653</v>
      </c>
      <c r="K576" s="6">
        <v>1</v>
      </c>
      <c r="L576" s="6">
        <f t="shared" si="21"/>
        <v>8820000</v>
      </c>
      <c r="M576" s="6">
        <v>7500000</v>
      </c>
      <c r="N576" s="6" t="s">
        <v>2003</v>
      </c>
      <c r="O576" s="6" t="s">
        <v>2007</v>
      </c>
      <c r="P576" s="6">
        <v>2012</v>
      </c>
      <c r="Q576" s="6">
        <v>1</v>
      </c>
      <c r="R576" s="6" t="s">
        <v>45</v>
      </c>
      <c r="S576" s="31" t="s">
        <v>2113</v>
      </c>
      <c r="T576" s="6">
        <v>1</v>
      </c>
      <c r="U576" s="26">
        <v>7000000</v>
      </c>
      <c r="V576" s="26">
        <v>7000000</v>
      </c>
      <c r="W576" s="26">
        <v>7000000</v>
      </c>
      <c r="X576" s="6" t="s">
        <v>2003</v>
      </c>
      <c r="Y576" s="6" t="s">
        <v>49</v>
      </c>
      <c r="Z576" s="6">
        <v>225505</v>
      </c>
    </row>
    <row r="577" spans="1:26" x14ac:dyDescent="0.3">
      <c r="A577" s="28" t="s">
        <v>42</v>
      </c>
      <c r="B577" s="6" t="s">
        <v>1326</v>
      </c>
      <c r="C577" s="6" t="s">
        <v>1979</v>
      </c>
      <c r="D577" s="6" t="s">
        <v>2290</v>
      </c>
      <c r="E577" s="6">
        <v>1</v>
      </c>
      <c r="F577" s="6" t="s">
        <v>2004</v>
      </c>
      <c r="G577" s="32" t="s">
        <v>2299</v>
      </c>
      <c r="H577" s="32" t="s">
        <v>2300</v>
      </c>
      <c r="I577" s="6" t="str">
        <f t="shared" si="20"/>
        <v>Thumb Grapple</v>
      </c>
      <c r="J577" s="6" t="s">
        <v>654</v>
      </c>
      <c r="K577" s="6">
        <v>1</v>
      </c>
      <c r="L577" s="6">
        <f t="shared" si="21"/>
        <v>2580000</v>
      </c>
      <c r="M577" s="6">
        <v>2200000</v>
      </c>
      <c r="N577" s="6" t="s">
        <v>2003</v>
      </c>
      <c r="O577" s="6" t="s">
        <v>813</v>
      </c>
      <c r="P577" s="6">
        <v>2014</v>
      </c>
      <c r="Q577" s="6">
        <v>1</v>
      </c>
      <c r="R577" s="6" t="s">
        <v>45</v>
      </c>
      <c r="S577" s="31" t="s">
        <v>2113</v>
      </c>
      <c r="T577" s="6">
        <v>1</v>
      </c>
      <c r="U577" s="26">
        <v>2000000</v>
      </c>
      <c r="V577" s="26">
        <v>2000000</v>
      </c>
      <c r="W577" s="26">
        <v>2000000</v>
      </c>
      <c r="X577" s="6" t="s">
        <v>2003</v>
      </c>
      <c r="Y577" s="6" t="s">
        <v>49</v>
      </c>
      <c r="Z577" s="6">
        <v>225508</v>
      </c>
    </row>
    <row r="578" spans="1:26" x14ac:dyDescent="0.3">
      <c r="A578" s="28" t="s">
        <v>42</v>
      </c>
      <c r="B578" s="6" t="s">
        <v>1325</v>
      </c>
      <c r="C578" s="6" t="s">
        <v>1978</v>
      </c>
      <c r="D578" s="6" t="s">
        <v>2290</v>
      </c>
      <c r="E578" s="6">
        <v>1</v>
      </c>
      <c r="F578" s="6" t="s">
        <v>2004</v>
      </c>
      <c r="G578" s="32" t="s">
        <v>2299</v>
      </c>
      <c r="H578" s="32" t="s">
        <v>2300</v>
      </c>
      <c r="I578" s="6" t="str">
        <f t="shared" si="20"/>
        <v>Hydraulic Pulverizer</v>
      </c>
      <c r="J578" s="6" t="s">
        <v>409</v>
      </c>
      <c r="K578" s="6">
        <v>1</v>
      </c>
      <c r="L578" s="6">
        <f t="shared" si="21"/>
        <v>7640000</v>
      </c>
      <c r="M578" s="6">
        <v>6500000</v>
      </c>
      <c r="N578" s="6" t="s">
        <v>2003</v>
      </c>
      <c r="O578" s="6" t="s">
        <v>813</v>
      </c>
      <c r="P578" s="6">
        <v>2013</v>
      </c>
      <c r="Q578" s="6">
        <v>1</v>
      </c>
      <c r="R578" s="6" t="s">
        <v>45</v>
      </c>
      <c r="S578" s="31" t="s">
        <v>2113</v>
      </c>
      <c r="T578" s="6">
        <v>1</v>
      </c>
      <c r="U578" s="26">
        <v>6000000</v>
      </c>
      <c r="V578" s="26">
        <v>6000000</v>
      </c>
      <c r="W578" s="26">
        <v>6000000</v>
      </c>
      <c r="X578" s="6" t="s">
        <v>2003</v>
      </c>
      <c r="Y578" s="6" t="s">
        <v>49</v>
      </c>
      <c r="Z578" s="6">
        <v>225512</v>
      </c>
    </row>
    <row r="579" spans="1:26" x14ac:dyDescent="0.3">
      <c r="A579" s="28" t="s">
        <v>42</v>
      </c>
      <c r="B579" s="6" t="s">
        <v>1328</v>
      </c>
      <c r="C579" s="6" t="s">
        <v>1975</v>
      </c>
      <c r="D579" s="6" t="s">
        <v>2290</v>
      </c>
      <c r="E579" s="6">
        <v>1</v>
      </c>
      <c r="F579" s="6" t="s">
        <v>2004</v>
      </c>
      <c r="G579" s="32" t="s">
        <v>2299</v>
      </c>
      <c r="H579" s="32" t="s">
        <v>2300</v>
      </c>
      <c r="I579" s="6" t="str">
        <f t="shared" si="20"/>
        <v>Side Breaker</v>
      </c>
      <c r="J579" s="6" t="s">
        <v>655</v>
      </c>
      <c r="K579" s="6">
        <v>1</v>
      </c>
      <c r="L579" s="6">
        <f t="shared" si="21"/>
        <v>7640000</v>
      </c>
      <c r="M579" s="6">
        <v>6500000</v>
      </c>
      <c r="N579" s="6" t="s">
        <v>2003</v>
      </c>
      <c r="O579" s="6" t="s">
        <v>1029</v>
      </c>
      <c r="P579" s="6">
        <v>2013</v>
      </c>
      <c r="Q579" s="6">
        <v>1</v>
      </c>
      <c r="R579" s="6" t="s">
        <v>45</v>
      </c>
      <c r="S579" s="31" t="s">
        <v>2119</v>
      </c>
      <c r="T579" s="6">
        <v>1</v>
      </c>
      <c r="U579" s="26">
        <v>6000000</v>
      </c>
      <c r="V579" s="26">
        <v>6000000</v>
      </c>
      <c r="W579" s="26">
        <v>6000000</v>
      </c>
      <c r="X579" s="6" t="s">
        <v>2003</v>
      </c>
      <c r="Y579" s="6" t="s">
        <v>1277</v>
      </c>
      <c r="Z579" s="6">
        <v>225515</v>
      </c>
    </row>
    <row r="580" spans="1:26" x14ac:dyDescent="0.3">
      <c r="A580" s="28" t="s">
        <v>42</v>
      </c>
      <c r="B580" s="6" t="s">
        <v>1326</v>
      </c>
      <c r="C580" s="19" t="s">
        <v>1974</v>
      </c>
      <c r="D580" s="6" t="s">
        <v>2001</v>
      </c>
      <c r="E580" s="6">
        <v>1</v>
      </c>
      <c r="F580" s="6" t="s">
        <v>2004</v>
      </c>
      <c r="G580" s="32" t="s">
        <v>2299</v>
      </c>
      <c r="H580" s="32" t="s">
        <v>2300</v>
      </c>
      <c r="I580" s="6" t="str">
        <f t="shared" si="20"/>
        <v>Etc Grapple</v>
      </c>
      <c r="J580" s="6" t="s">
        <v>656</v>
      </c>
      <c r="K580" s="6">
        <v>1</v>
      </c>
      <c r="L580" s="6">
        <f t="shared" si="21"/>
        <v>4940000</v>
      </c>
      <c r="M580" s="6">
        <v>4200000</v>
      </c>
      <c r="N580" s="6" t="s">
        <v>2003</v>
      </c>
      <c r="O580" s="6" t="s">
        <v>54</v>
      </c>
      <c r="P580" s="6">
        <v>2012</v>
      </c>
      <c r="Q580" s="6">
        <v>1</v>
      </c>
      <c r="R580" s="6" t="s">
        <v>45</v>
      </c>
      <c r="S580" s="31" t="s">
        <v>2114</v>
      </c>
      <c r="T580" s="6">
        <v>1</v>
      </c>
      <c r="U580" s="26">
        <v>4000000</v>
      </c>
      <c r="V580" s="26">
        <v>4000000</v>
      </c>
      <c r="W580" s="26">
        <v>4000000</v>
      </c>
      <c r="X580" s="6" t="s">
        <v>2003</v>
      </c>
      <c r="Y580" s="6" t="s">
        <v>54</v>
      </c>
      <c r="Z580" s="6">
        <v>225516</v>
      </c>
    </row>
    <row r="581" spans="1:26" x14ac:dyDescent="0.3">
      <c r="A581" s="28" t="s">
        <v>42</v>
      </c>
      <c r="B581" s="6" t="s">
        <v>1325</v>
      </c>
      <c r="C581" s="19" t="s">
        <v>2156</v>
      </c>
      <c r="D581" s="6" t="s">
        <v>2290</v>
      </c>
      <c r="E581" s="6">
        <v>1</v>
      </c>
      <c r="F581" s="6" t="s">
        <v>2004</v>
      </c>
      <c r="G581" s="32" t="s">
        <v>2299</v>
      </c>
      <c r="H581" s="32" t="s">
        <v>2300</v>
      </c>
      <c r="I581" s="6" t="str">
        <f t="shared" si="20"/>
        <v>Hydraulic Crusher</v>
      </c>
      <c r="J581" s="6" t="s">
        <v>223</v>
      </c>
      <c r="K581" s="6">
        <v>1</v>
      </c>
      <c r="L581" s="6">
        <f t="shared" si="21"/>
        <v>12350000</v>
      </c>
      <c r="M581" s="6">
        <v>10500000</v>
      </c>
      <c r="N581" s="6" t="s">
        <v>2003</v>
      </c>
      <c r="O581" s="6" t="s">
        <v>813</v>
      </c>
      <c r="P581" s="6">
        <v>2014</v>
      </c>
      <c r="Q581" s="6">
        <v>1</v>
      </c>
      <c r="R581" s="6" t="s">
        <v>45</v>
      </c>
      <c r="S581" s="31" t="s">
        <v>2113</v>
      </c>
      <c r="T581" s="6">
        <v>1</v>
      </c>
      <c r="U581" s="26">
        <v>10000000</v>
      </c>
      <c r="V581" s="26">
        <v>10000000</v>
      </c>
      <c r="W581" s="26">
        <v>10000000</v>
      </c>
      <c r="X581" s="6" t="s">
        <v>2003</v>
      </c>
      <c r="Y581" s="6" t="s">
        <v>49</v>
      </c>
      <c r="Z581" s="6">
        <v>225519</v>
      </c>
    </row>
    <row r="582" spans="1:26" x14ac:dyDescent="0.3">
      <c r="A582" s="28" t="s">
        <v>42</v>
      </c>
      <c r="B582" s="6" t="s">
        <v>1326</v>
      </c>
      <c r="C582" s="6" t="s">
        <v>1979</v>
      </c>
      <c r="D582" s="6" t="s">
        <v>2292</v>
      </c>
      <c r="E582" s="6">
        <v>1</v>
      </c>
      <c r="F582" s="6" t="s">
        <v>2004</v>
      </c>
      <c r="G582" s="32" t="s">
        <v>2299</v>
      </c>
      <c r="H582" s="32" t="s">
        <v>2300</v>
      </c>
      <c r="I582" s="6" t="str">
        <f t="shared" si="20"/>
        <v>Thumb Grapple</v>
      </c>
      <c r="J582" s="6" t="s">
        <v>176</v>
      </c>
      <c r="K582" s="6">
        <v>1</v>
      </c>
      <c r="L582" s="6">
        <f t="shared" si="21"/>
        <v>940000</v>
      </c>
      <c r="M582" s="6">
        <v>800000</v>
      </c>
      <c r="N582" s="6" t="s">
        <v>2003</v>
      </c>
      <c r="O582" s="6" t="s">
        <v>813</v>
      </c>
      <c r="P582" s="6">
        <v>2013</v>
      </c>
      <c r="Q582" s="6">
        <v>1</v>
      </c>
      <c r="R582" s="6" t="s">
        <v>45</v>
      </c>
      <c r="S582" s="31" t="s">
        <v>2113</v>
      </c>
      <c r="T582" s="6">
        <v>1</v>
      </c>
      <c r="U582" s="26">
        <v>700000</v>
      </c>
      <c r="V582" s="26">
        <v>700000</v>
      </c>
      <c r="W582" s="26">
        <v>700000</v>
      </c>
      <c r="X582" s="6" t="s">
        <v>2003</v>
      </c>
      <c r="Y582" s="6" t="s">
        <v>79</v>
      </c>
      <c r="Z582" s="6">
        <v>225521</v>
      </c>
    </row>
    <row r="583" spans="1:26" x14ac:dyDescent="0.3">
      <c r="A583" s="28" t="s">
        <v>42</v>
      </c>
      <c r="B583" s="6" t="s">
        <v>1326</v>
      </c>
      <c r="C583" s="19" t="s">
        <v>1974</v>
      </c>
      <c r="D583" s="6" t="s">
        <v>2292</v>
      </c>
      <c r="E583" s="6">
        <v>1</v>
      </c>
      <c r="F583" s="6" t="s">
        <v>2004</v>
      </c>
      <c r="G583" s="32" t="s">
        <v>2299</v>
      </c>
      <c r="H583" s="32" t="s">
        <v>2300</v>
      </c>
      <c r="I583" s="6" t="str">
        <f t="shared" si="20"/>
        <v>Etc Grapple</v>
      </c>
      <c r="J583" s="6" t="s">
        <v>657</v>
      </c>
      <c r="K583" s="6">
        <v>1</v>
      </c>
      <c r="L583" s="6">
        <f t="shared" si="21"/>
        <v>5640000</v>
      </c>
      <c r="M583" s="6">
        <v>4800000</v>
      </c>
      <c r="N583" s="6" t="s">
        <v>2003</v>
      </c>
      <c r="O583" s="6" t="s">
        <v>2007</v>
      </c>
      <c r="P583" s="6">
        <v>2014</v>
      </c>
      <c r="Q583" s="6">
        <v>1</v>
      </c>
      <c r="R583" s="6" t="s">
        <v>45</v>
      </c>
      <c r="S583" s="31" t="s">
        <v>2113</v>
      </c>
      <c r="T583" s="6">
        <v>1</v>
      </c>
      <c r="U583" s="26">
        <v>4600000</v>
      </c>
      <c r="V583" s="26">
        <v>4600000</v>
      </c>
      <c r="W583" s="26">
        <v>4600000</v>
      </c>
      <c r="X583" s="6" t="s">
        <v>2003</v>
      </c>
      <c r="Y583" s="6" t="s">
        <v>49</v>
      </c>
      <c r="Z583" s="6">
        <v>225527</v>
      </c>
    </row>
    <row r="584" spans="1:26" x14ac:dyDescent="0.3">
      <c r="A584" s="28" t="s">
        <v>42</v>
      </c>
      <c r="B584" s="6" t="s">
        <v>1328</v>
      </c>
      <c r="C584" s="6" t="s">
        <v>1975</v>
      </c>
      <c r="D584" s="6" t="s">
        <v>2293</v>
      </c>
      <c r="E584" s="6">
        <v>1</v>
      </c>
      <c r="F584" s="6" t="s">
        <v>2004</v>
      </c>
      <c r="G584" s="32" t="s">
        <v>2299</v>
      </c>
      <c r="H584" s="32" t="s">
        <v>2300</v>
      </c>
      <c r="I584" s="6" t="str">
        <f t="shared" si="20"/>
        <v>Side Breaker</v>
      </c>
      <c r="J584" s="6" t="s">
        <v>205</v>
      </c>
      <c r="K584" s="6">
        <v>1</v>
      </c>
      <c r="L584" s="6">
        <f t="shared" si="21"/>
        <v>1700000</v>
      </c>
      <c r="M584" s="6">
        <v>1450000</v>
      </c>
      <c r="N584" s="6" t="s">
        <v>2003</v>
      </c>
      <c r="O584" s="6" t="s">
        <v>2007</v>
      </c>
      <c r="P584" s="6">
        <v>2014</v>
      </c>
      <c r="Q584" s="6">
        <v>1</v>
      </c>
      <c r="R584" s="6" t="s">
        <v>45</v>
      </c>
      <c r="S584" s="31" t="s">
        <v>2113</v>
      </c>
      <c r="T584" s="6">
        <v>1</v>
      </c>
      <c r="U584" s="26">
        <v>1350000</v>
      </c>
      <c r="V584" s="26">
        <v>1350000</v>
      </c>
      <c r="W584" s="26">
        <v>1350000</v>
      </c>
      <c r="X584" s="6" t="s">
        <v>2003</v>
      </c>
      <c r="Y584" s="6" t="s">
        <v>49</v>
      </c>
      <c r="Z584" s="6">
        <v>225528</v>
      </c>
    </row>
    <row r="585" spans="1:26" x14ac:dyDescent="0.3">
      <c r="A585" s="28" t="s">
        <v>42</v>
      </c>
      <c r="B585" s="6" t="s">
        <v>1328</v>
      </c>
      <c r="C585" s="6" t="s">
        <v>1975</v>
      </c>
      <c r="D585" s="6" t="s">
        <v>2292</v>
      </c>
      <c r="E585" s="6">
        <v>1</v>
      </c>
      <c r="F585" s="6" t="s">
        <v>2004</v>
      </c>
      <c r="G585" s="32" t="s">
        <v>2299</v>
      </c>
      <c r="H585" s="32" t="s">
        <v>2300</v>
      </c>
      <c r="I585" s="6" t="str">
        <f t="shared" si="20"/>
        <v>Side Breaker</v>
      </c>
      <c r="J585" s="6" t="s">
        <v>119</v>
      </c>
      <c r="K585" s="6">
        <v>1</v>
      </c>
      <c r="L585" s="6">
        <f t="shared" si="21"/>
        <v>5290000</v>
      </c>
      <c r="M585" s="6">
        <v>4500000</v>
      </c>
      <c r="N585" s="6" t="s">
        <v>2003</v>
      </c>
      <c r="O585" s="6" t="s">
        <v>862</v>
      </c>
      <c r="P585" s="6">
        <v>2015</v>
      </c>
      <c r="Q585" s="6">
        <v>8</v>
      </c>
      <c r="R585" s="6" t="s">
        <v>45</v>
      </c>
      <c r="S585" s="31" t="s">
        <v>2118</v>
      </c>
      <c r="T585" s="6">
        <v>1</v>
      </c>
      <c r="U585" s="26">
        <v>4300000</v>
      </c>
      <c r="V585" s="26">
        <v>4300000</v>
      </c>
      <c r="W585" s="26">
        <v>4300000</v>
      </c>
      <c r="X585" s="6" t="s">
        <v>2003</v>
      </c>
      <c r="Y585" s="6" t="s">
        <v>67</v>
      </c>
      <c r="Z585" s="6">
        <v>225529</v>
      </c>
    </row>
    <row r="586" spans="1:26" x14ac:dyDescent="0.3">
      <c r="A586" s="28" t="s">
        <v>42</v>
      </c>
      <c r="B586" s="6" t="s">
        <v>2172</v>
      </c>
      <c r="C586" s="6"/>
      <c r="D586" s="6" t="s">
        <v>2292</v>
      </c>
      <c r="E586" s="6">
        <v>1</v>
      </c>
      <c r="F586" s="6" t="s">
        <v>2004</v>
      </c>
      <c r="G586" s="32" t="s">
        <v>2299</v>
      </c>
      <c r="H586" s="32" t="s">
        <v>2300</v>
      </c>
      <c r="I586" s="6" t="str">
        <f t="shared" si="20"/>
        <v>Quick Coupler</v>
      </c>
      <c r="J586" s="6" t="s">
        <v>147</v>
      </c>
      <c r="K586" s="6">
        <v>1</v>
      </c>
      <c r="L586" s="6">
        <f t="shared" si="21"/>
        <v>1000000</v>
      </c>
      <c r="M586" s="6">
        <v>850000</v>
      </c>
      <c r="N586" s="6" t="s">
        <v>2003</v>
      </c>
      <c r="O586" s="6" t="s">
        <v>813</v>
      </c>
      <c r="P586" s="6">
        <v>2014</v>
      </c>
      <c r="Q586" s="6">
        <v>1</v>
      </c>
      <c r="R586" s="6" t="s">
        <v>45</v>
      </c>
      <c r="S586" s="31" t="s">
        <v>2113</v>
      </c>
      <c r="T586" s="6">
        <v>1</v>
      </c>
      <c r="U586" s="26">
        <v>750000</v>
      </c>
      <c r="V586" s="26">
        <v>750000</v>
      </c>
      <c r="W586" s="26">
        <v>750000</v>
      </c>
      <c r="X586" s="6" t="s">
        <v>2003</v>
      </c>
      <c r="Y586" s="6" t="s">
        <v>80</v>
      </c>
      <c r="Z586" s="6">
        <v>225533</v>
      </c>
    </row>
    <row r="587" spans="1:26" x14ac:dyDescent="0.3">
      <c r="A587" s="28" t="s">
        <v>42</v>
      </c>
      <c r="B587" s="6" t="s">
        <v>1337</v>
      </c>
      <c r="C587" s="6"/>
      <c r="D587" s="6" t="s">
        <v>2001</v>
      </c>
      <c r="E587" s="6">
        <v>1</v>
      </c>
      <c r="F587" s="6" t="s">
        <v>2004</v>
      </c>
      <c r="G587" s="32" t="s">
        <v>2299</v>
      </c>
      <c r="H587" s="32" t="s">
        <v>2300</v>
      </c>
      <c r="I587" s="6" t="str">
        <f t="shared" ref="I587:I650" si="22">IF(ISBLANK(C587),B587,C587)</f>
        <v>ETC</v>
      </c>
      <c r="J587" s="6" t="s">
        <v>639</v>
      </c>
      <c r="K587" s="6">
        <v>1</v>
      </c>
      <c r="L587" s="6">
        <f t="shared" ref="L587:L650" si="23">FLOOR(((M587*100)/85)/10000, 1)*10000</f>
        <v>11170000</v>
      </c>
      <c r="M587" s="6">
        <v>9500000</v>
      </c>
      <c r="N587" s="6" t="s">
        <v>2003</v>
      </c>
      <c r="O587" s="6" t="s">
        <v>1873</v>
      </c>
      <c r="P587" s="6">
        <v>2014</v>
      </c>
      <c r="Q587" s="6">
        <v>1</v>
      </c>
      <c r="R587" s="6" t="s">
        <v>45</v>
      </c>
      <c r="S587" s="31" t="s">
        <v>2121</v>
      </c>
      <c r="T587" s="6">
        <v>1</v>
      </c>
      <c r="U587" s="26">
        <v>9000000</v>
      </c>
      <c r="V587" s="26">
        <v>9000000</v>
      </c>
      <c r="W587" s="26">
        <v>9000000</v>
      </c>
      <c r="X587" s="6" t="s">
        <v>2003</v>
      </c>
      <c r="Y587" s="6" t="s">
        <v>1265</v>
      </c>
      <c r="Z587" s="6">
        <v>225534</v>
      </c>
    </row>
    <row r="588" spans="1:26" x14ac:dyDescent="0.3">
      <c r="A588" s="28" t="s">
        <v>42</v>
      </c>
      <c r="B588" s="6" t="s">
        <v>1326</v>
      </c>
      <c r="C588" s="6" t="s">
        <v>1979</v>
      </c>
      <c r="D588" s="6" t="s">
        <v>2292</v>
      </c>
      <c r="E588" s="6">
        <v>1</v>
      </c>
      <c r="F588" s="6" t="s">
        <v>2004</v>
      </c>
      <c r="G588" s="32" t="s">
        <v>2299</v>
      </c>
      <c r="H588" s="32" t="s">
        <v>2300</v>
      </c>
      <c r="I588" s="6" t="str">
        <f t="shared" si="22"/>
        <v>Thumb Grapple</v>
      </c>
      <c r="J588" s="6" t="s">
        <v>195</v>
      </c>
      <c r="K588" s="6">
        <v>1</v>
      </c>
      <c r="L588" s="6">
        <f t="shared" si="23"/>
        <v>940000</v>
      </c>
      <c r="M588" s="6">
        <v>800000</v>
      </c>
      <c r="N588" s="6" t="s">
        <v>2003</v>
      </c>
      <c r="O588" s="6" t="s">
        <v>2007</v>
      </c>
      <c r="P588" s="6">
        <v>2014</v>
      </c>
      <c r="Q588" s="6">
        <v>1</v>
      </c>
      <c r="R588" s="6" t="s">
        <v>45</v>
      </c>
      <c r="S588" s="31" t="s">
        <v>2113</v>
      </c>
      <c r="T588" s="6">
        <v>1</v>
      </c>
      <c r="U588" s="26">
        <v>700000</v>
      </c>
      <c r="V588" s="26">
        <v>700000</v>
      </c>
      <c r="W588" s="26">
        <v>700000</v>
      </c>
      <c r="X588" s="6" t="s">
        <v>2003</v>
      </c>
      <c r="Y588" s="6" t="s">
        <v>49</v>
      </c>
      <c r="Z588" s="6">
        <v>225537</v>
      </c>
    </row>
    <row r="589" spans="1:26" x14ac:dyDescent="0.3">
      <c r="A589" s="28" t="s">
        <v>42</v>
      </c>
      <c r="B589" s="6" t="s">
        <v>1328</v>
      </c>
      <c r="C589" s="6" t="s">
        <v>1975</v>
      </c>
      <c r="D589" s="6" t="s">
        <v>2291</v>
      </c>
      <c r="E589" s="6">
        <v>1</v>
      </c>
      <c r="F589" s="6" t="s">
        <v>2004</v>
      </c>
      <c r="G589" s="32" t="s">
        <v>2299</v>
      </c>
      <c r="H589" s="32" t="s">
        <v>2300</v>
      </c>
      <c r="I589" s="6" t="str">
        <f t="shared" si="22"/>
        <v>Side Breaker</v>
      </c>
      <c r="J589" s="6" t="s">
        <v>266</v>
      </c>
      <c r="K589" s="6">
        <v>1</v>
      </c>
      <c r="L589" s="6">
        <f t="shared" si="23"/>
        <v>2820000</v>
      </c>
      <c r="M589" s="6">
        <v>2400000</v>
      </c>
      <c r="N589" s="6" t="s">
        <v>2003</v>
      </c>
      <c r="O589" s="6" t="s">
        <v>2011</v>
      </c>
      <c r="P589" s="6">
        <v>2016</v>
      </c>
      <c r="Q589" s="6">
        <v>6</v>
      </c>
      <c r="R589" s="6" t="s">
        <v>45</v>
      </c>
      <c r="S589" s="31" t="s">
        <v>2123</v>
      </c>
      <c r="T589" s="6">
        <v>1</v>
      </c>
      <c r="U589" s="26">
        <v>2200000</v>
      </c>
      <c r="V589" s="26">
        <v>2200000</v>
      </c>
      <c r="W589" s="26">
        <v>2200000</v>
      </c>
      <c r="X589" s="6" t="s">
        <v>2003</v>
      </c>
      <c r="Y589" s="6" t="s">
        <v>1200</v>
      </c>
      <c r="Z589" s="6">
        <v>225540</v>
      </c>
    </row>
    <row r="590" spans="1:26" x14ac:dyDescent="0.3">
      <c r="A590" s="28" t="s">
        <v>42</v>
      </c>
      <c r="B590" s="6" t="s">
        <v>2247</v>
      </c>
      <c r="C590" s="6" t="s">
        <v>2275</v>
      </c>
      <c r="D590" s="6" t="s">
        <v>2290</v>
      </c>
      <c r="E590" s="6">
        <v>1</v>
      </c>
      <c r="F590" s="6" t="s">
        <v>2004</v>
      </c>
      <c r="G590" s="32" t="s">
        <v>2299</v>
      </c>
      <c r="H590" s="32" t="s">
        <v>2300</v>
      </c>
      <c r="I590" s="6" t="str">
        <f t="shared" si="22"/>
        <v>Hydraulic Multi Processor</v>
      </c>
      <c r="J590" s="6" t="s">
        <v>658</v>
      </c>
      <c r="K590" s="6">
        <v>1</v>
      </c>
      <c r="L590" s="6">
        <f t="shared" si="23"/>
        <v>10000000</v>
      </c>
      <c r="M590" s="6">
        <v>8500000</v>
      </c>
      <c r="N590" s="6" t="s">
        <v>2003</v>
      </c>
      <c r="O590" s="6" t="s">
        <v>1030</v>
      </c>
      <c r="P590" s="6">
        <v>2002</v>
      </c>
      <c r="Q590" s="6">
        <v>1</v>
      </c>
      <c r="R590" s="6" t="s">
        <v>45</v>
      </c>
      <c r="S590" s="31" t="s">
        <v>2125</v>
      </c>
      <c r="T590" s="6">
        <v>1</v>
      </c>
      <c r="U590" s="26">
        <v>8000000</v>
      </c>
      <c r="V590" s="26">
        <v>8000000</v>
      </c>
      <c r="W590" s="26">
        <v>8000000</v>
      </c>
      <c r="X590" s="6" t="s">
        <v>2003</v>
      </c>
      <c r="Y590" s="6" t="s">
        <v>105</v>
      </c>
      <c r="Z590" s="6">
        <v>225544</v>
      </c>
    </row>
    <row r="591" spans="1:26" x14ac:dyDescent="0.3">
      <c r="A591" s="28" t="s">
        <v>42</v>
      </c>
      <c r="B591" s="6" t="s">
        <v>1337</v>
      </c>
      <c r="C591" s="6"/>
      <c r="D591" s="6" t="s">
        <v>2292</v>
      </c>
      <c r="E591" s="6">
        <v>1</v>
      </c>
      <c r="F591" s="6" t="s">
        <v>2004</v>
      </c>
      <c r="G591" s="32" t="s">
        <v>2299</v>
      </c>
      <c r="H591" s="32" t="s">
        <v>2300</v>
      </c>
      <c r="I591" s="6" t="str">
        <f t="shared" si="22"/>
        <v>ETC</v>
      </c>
      <c r="J591" s="6" t="s">
        <v>530</v>
      </c>
      <c r="K591" s="6">
        <v>1</v>
      </c>
      <c r="L591" s="6">
        <f t="shared" si="23"/>
        <v>4000000</v>
      </c>
      <c r="M591" s="6">
        <v>3400000</v>
      </c>
      <c r="N591" s="6" t="s">
        <v>2003</v>
      </c>
      <c r="O591" s="6" t="s">
        <v>813</v>
      </c>
      <c r="P591" s="6">
        <v>2014</v>
      </c>
      <c r="Q591" s="6">
        <v>1</v>
      </c>
      <c r="R591" s="6" t="s">
        <v>45</v>
      </c>
      <c r="S591" s="31" t="s">
        <v>2113</v>
      </c>
      <c r="T591" s="6">
        <v>1</v>
      </c>
      <c r="U591" s="26">
        <v>3200000</v>
      </c>
      <c r="V591" s="26">
        <v>3200000</v>
      </c>
      <c r="W591" s="26">
        <v>3200000</v>
      </c>
      <c r="X591" s="6" t="s">
        <v>2003</v>
      </c>
      <c r="Y591" s="6" t="s">
        <v>79</v>
      </c>
      <c r="Z591" s="6">
        <v>225547</v>
      </c>
    </row>
    <row r="592" spans="1:26" x14ac:dyDescent="0.3">
      <c r="A592" s="28" t="s">
        <v>42</v>
      </c>
      <c r="B592" s="6" t="s">
        <v>1328</v>
      </c>
      <c r="C592" s="6" t="s">
        <v>1975</v>
      </c>
      <c r="D592" s="6" t="s">
        <v>2291</v>
      </c>
      <c r="E592" s="6">
        <v>1</v>
      </c>
      <c r="F592" s="6" t="s">
        <v>2004</v>
      </c>
      <c r="G592" s="32" t="s">
        <v>2299</v>
      </c>
      <c r="H592" s="32" t="s">
        <v>2300</v>
      </c>
      <c r="I592" s="6" t="str">
        <f t="shared" si="22"/>
        <v>Side Breaker</v>
      </c>
      <c r="J592" s="6" t="s">
        <v>160</v>
      </c>
      <c r="K592" s="6">
        <v>1</v>
      </c>
      <c r="L592" s="6">
        <f t="shared" si="23"/>
        <v>1640000</v>
      </c>
      <c r="M592" s="6">
        <v>1400000</v>
      </c>
      <c r="N592" s="6" t="s">
        <v>2003</v>
      </c>
      <c r="O592" s="6" t="s">
        <v>842</v>
      </c>
      <c r="P592" s="6">
        <v>2012</v>
      </c>
      <c r="Q592" s="6">
        <v>1</v>
      </c>
      <c r="R592" s="6" t="s">
        <v>45</v>
      </c>
      <c r="S592" s="31" t="s">
        <v>2118</v>
      </c>
      <c r="T592" s="6">
        <v>1</v>
      </c>
      <c r="U592" s="26">
        <v>1300000</v>
      </c>
      <c r="V592" s="26">
        <v>1300000</v>
      </c>
      <c r="W592" s="26">
        <v>1300000</v>
      </c>
      <c r="X592" s="6" t="s">
        <v>2003</v>
      </c>
      <c r="Y592" s="6" t="s">
        <v>63</v>
      </c>
      <c r="Z592" s="6">
        <v>225548</v>
      </c>
    </row>
    <row r="593" spans="1:26" x14ac:dyDescent="0.3">
      <c r="A593" s="28" t="s">
        <v>42</v>
      </c>
      <c r="B593" s="6" t="s">
        <v>1327</v>
      </c>
      <c r="C593" s="6" t="s">
        <v>1980</v>
      </c>
      <c r="D593" s="6" t="s">
        <v>2292</v>
      </c>
      <c r="E593" s="6">
        <v>1</v>
      </c>
      <c r="F593" s="6" t="s">
        <v>2004</v>
      </c>
      <c r="G593" s="32" t="s">
        <v>2299</v>
      </c>
      <c r="H593" s="32" t="s">
        <v>2300</v>
      </c>
      <c r="I593" s="6" t="str">
        <f t="shared" si="22"/>
        <v>Small Bucket</v>
      </c>
      <c r="J593" s="6" t="s">
        <v>636</v>
      </c>
      <c r="K593" s="6">
        <v>1</v>
      </c>
      <c r="L593" s="6">
        <f t="shared" si="23"/>
        <v>880000</v>
      </c>
      <c r="M593" s="6">
        <v>750000</v>
      </c>
      <c r="N593" s="6" t="s">
        <v>2003</v>
      </c>
      <c r="O593" s="6" t="s">
        <v>813</v>
      </c>
      <c r="P593" s="6">
        <v>2013</v>
      </c>
      <c r="Q593" s="6">
        <v>1</v>
      </c>
      <c r="R593" s="6" t="s">
        <v>45</v>
      </c>
      <c r="S593" s="31" t="s">
        <v>2113</v>
      </c>
      <c r="T593" s="6">
        <v>1</v>
      </c>
      <c r="U593" s="26">
        <v>650000</v>
      </c>
      <c r="V593" s="26">
        <v>650000</v>
      </c>
      <c r="W593" s="26">
        <v>650000</v>
      </c>
      <c r="X593" s="6" t="s">
        <v>2003</v>
      </c>
      <c r="Y593" s="6" t="s">
        <v>80</v>
      </c>
      <c r="Z593" s="6">
        <v>225551</v>
      </c>
    </row>
    <row r="594" spans="1:26" x14ac:dyDescent="0.3">
      <c r="A594" s="28" t="s">
        <v>42</v>
      </c>
      <c r="B594" s="6" t="s">
        <v>1327</v>
      </c>
      <c r="C594" s="6" t="s">
        <v>1976</v>
      </c>
      <c r="D594" s="6" t="s">
        <v>2291</v>
      </c>
      <c r="E594" s="6">
        <v>1</v>
      </c>
      <c r="F594" s="6" t="s">
        <v>2004</v>
      </c>
      <c r="G594" s="32" t="s">
        <v>2299</v>
      </c>
      <c r="H594" s="32" t="s">
        <v>2300</v>
      </c>
      <c r="I594" s="6" t="str">
        <f t="shared" si="22"/>
        <v>Skeleton Bucket</v>
      </c>
      <c r="J594" s="6" t="s">
        <v>557</v>
      </c>
      <c r="K594" s="6">
        <v>1</v>
      </c>
      <c r="L594" s="6">
        <f t="shared" si="23"/>
        <v>820000</v>
      </c>
      <c r="M594" s="6">
        <v>700000</v>
      </c>
      <c r="N594" s="6" t="s">
        <v>2003</v>
      </c>
      <c r="O594" s="6" t="s">
        <v>2011</v>
      </c>
      <c r="P594" s="6">
        <v>2017</v>
      </c>
      <c r="Q594" s="6">
        <v>2</v>
      </c>
      <c r="R594" s="6" t="s">
        <v>45</v>
      </c>
      <c r="S594" s="31" t="s">
        <v>2123</v>
      </c>
      <c r="T594" s="6">
        <v>1</v>
      </c>
      <c r="U594" s="26">
        <v>600000</v>
      </c>
      <c r="V594" s="26">
        <v>600000</v>
      </c>
      <c r="W594" s="26">
        <v>600000</v>
      </c>
      <c r="X594" s="6" t="s">
        <v>2003</v>
      </c>
      <c r="Y594" s="6" t="s">
        <v>1200</v>
      </c>
      <c r="Z594" s="6">
        <v>225555</v>
      </c>
    </row>
    <row r="595" spans="1:26" x14ac:dyDescent="0.3">
      <c r="A595" s="28" t="s">
        <v>42</v>
      </c>
      <c r="B595" s="6" t="s">
        <v>1325</v>
      </c>
      <c r="C595" s="19" t="s">
        <v>2156</v>
      </c>
      <c r="D595" s="6" t="s">
        <v>2292</v>
      </c>
      <c r="E595" s="6">
        <v>1</v>
      </c>
      <c r="F595" s="6" t="s">
        <v>2004</v>
      </c>
      <c r="G595" s="32" t="s">
        <v>2299</v>
      </c>
      <c r="H595" s="32" t="s">
        <v>2300</v>
      </c>
      <c r="I595" s="6" t="str">
        <f t="shared" si="22"/>
        <v>Hydraulic Crusher</v>
      </c>
      <c r="J595" s="6" t="s">
        <v>103</v>
      </c>
      <c r="K595" s="6">
        <v>1</v>
      </c>
      <c r="L595" s="6">
        <f t="shared" si="23"/>
        <v>14700000</v>
      </c>
      <c r="M595" s="6">
        <v>12500000</v>
      </c>
      <c r="N595" s="6" t="s">
        <v>2003</v>
      </c>
      <c r="O595" s="6" t="s">
        <v>813</v>
      </c>
      <c r="P595" s="6">
        <v>2013</v>
      </c>
      <c r="Q595" s="6">
        <v>1</v>
      </c>
      <c r="R595" s="6" t="s">
        <v>45</v>
      </c>
      <c r="S595" s="31" t="s">
        <v>2113</v>
      </c>
      <c r="T595" s="6">
        <v>1</v>
      </c>
      <c r="U595" s="26">
        <v>12000000</v>
      </c>
      <c r="V595" s="26">
        <v>12000000</v>
      </c>
      <c r="W595" s="26">
        <v>12000000</v>
      </c>
      <c r="X595" s="6" t="s">
        <v>2003</v>
      </c>
      <c r="Y595" s="6" t="s">
        <v>79</v>
      </c>
      <c r="Z595" s="6">
        <v>225561</v>
      </c>
    </row>
    <row r="596" spans="1:26" x14ac:dyDescent="0.3">
      <c r="A596" s="28" t="s">
        <v>42</v>
      </c>
      <c r="B596" s="6" t="s">
        <v>1326</v>
      </c>
      <c r="C596" s="6" t="s">
        <v>1979</v>
      </c>
      <c r="D596" s="6" t="s">
        <v>2292</v>
      </c>
      <c r="E596" s="6">
        <v>1</v>
      </c>
      <c r="F596" s="6" t="s">
        <v>2004</v>
      </c>
      <c r="G596" s="32" t="s">
        <v>2299</v>
      </c>
      <c r="H596" s="32" t="s">
        <v>2300</v>
      </c>
      <c r="I596" s="6" t="str">
        <f t="shared" si="22"/>
        <v>Thumb Grapple</v>
      </c>
      <c r="J596" s="6" t="s">
        <v>659</v>
      </c>
      <c r="K596" s="6">
        <v>1</v>
      </c>
      <c r="L596" s="6">
        <f t="shared" si="23"/>
        <v>940000</v>
      </c>
      <c r="M596" s="6">
        <v>800000</v>
      </c>
      <c r="N596" s="6" t="s">
        <v>2003</v>
      </c>
      <c r="O596" s="6" t="s">
        <v>2007</v>
      </c>
      <c r="P596" s="6">
        <v>2013</v>
      </c>
      <c r="Q596" s="6">
        <v>1</v>
      </c>
      <c r="R596" s="6" t="s">
        <v>45</v>
      </c>
      <c r="S596" s="31" t="s">
        <v>2113</v>
      </c>
      <c r="T596" s="6">
        <v>1</v>
      </c>
      <c r="U596" s="26">
        <v>700000</v>
      </c>
      <c r="V596" s="26">
        <v>700000</v>
      </c>
      <c r="W596" s="26">
        <v>700000</v>
      </c>
      <c r="X596" s="6" t="s">
        <v>2003</v>
      </c>
      <c r="Y596" s="6" t="s">
        <v>49</v>
      </c>
      <c r="Z596" s="6">
        <v>225562</v>
      </c>
    </row>
    <row r="597" spans="1:26" x14ac:dyDescent="0.3">
      <c r="A597" s="28" t="s">
        <v>42</v>
      </c>
      <c r="B597" s="6" t="s">
        <v>1326</v>
      </c>
      <c r="C597" s="6" t="s">
        <v>1972</v>
      </c>
      <c r="D597" s="6" t="s">
        <v>2292</v>
      </c>
      <c r="E597" s="6">
        <v>1</v>
      </c>
      <c r="F597" s="6" t="s">
        <v>2004</v>
      </c>
      <c r="G597" s="32" t="s">
        <v>2299</v>
      </c>
      <c r="H597" s="32" t="s">
        <v>2300</v>
      </c>
      <c r="I597" s="6" t="str">
        <f t="shared" si="22"/>
        <v>Stone Grapple</v>
      </c>
      <c r="J597" s="6" t="s">
        <v>120</v>
      </c>
      <c r="K597" s="6">
        <v>1</v>
      </c>
      <c r="L597" s="6">
        <f t="shared" si="23"/>
        <v>6470000</v>
      </c>
      <c r="M597" s="6">
        <v>5500000</v>
      </c>
      <c r="N597" s="6" t="s">
        <v>2003</v>
      </c>
      <c r="O597" s="6" t="s">
        <v>813</v>
      </c>
      <c r="P597" s="6">
        <v>2014</v>
      </c>
      <c r="Q597" s="6">
        <v>1</v>
      </c>
      <c r="R597" s="6" t="s">
        <v>45</v>
      </c>
      <c r="S597" s="31" t="s">
        <v>2113</v>
      </c>
      <c r="T597" s="6">
        <v>1</v>
      </c>
      <c r="U597" s="26">
        <v>5000000</v>
      </c>
      <c r="V597" s="26">
        <v>5000000</v>
      </c>
      <c r="W597" s="26">
        <v>5000000</v>
      </c>
      <c r="X597" s="6" t="s">
        <v>2003</v>
      </c>
      <c r="Y597" s="6" t="s">
        <v>79</v>
      </c>
      <c r="Z597" s="6">
        <v>225565</v>
      </c>
    </row>
    <row r="598" spans="1:26" x14ac:dyDescent="0.3">
      <c r="A598" s="28" t="s">
        <v>42</v>
      </c>
      <c r="B598" s="6" t="s">
        <v>1326</v>
      </c>
      <c r="C598" s="6" t="s">
        <v>1972</v>
      </c>
      <c r="D598" s="6" t="s">
        <v>2292</v>
      </c>
      <c r="E598" s="6">
        <v>1</v>
      </c>
      <c r="F598" s="6" t="s">
        <v>2004</v>
      </c>
      <c r="G598" s="32" t="s">
        <v>2299</v>
      </c>
      <c r="H598" s="32" t="s">
        <v>2300</v>
      </c>
      <c r="I598" s="6" t="str">
        <f t="shared" si="22"/>
        <v>Stone Grapple</v>
      </c>
      <c r="J598" s="6" t="s">
        <v>106</v>
      </c>
      <c r="K598" s="6">
        <v>1</v>
      </c>
      <c r="L598" s="6">
        <f t="shared" si="23"/>
        <v>6470000</v>
      </c>
      <c r="M598" s="6">
        <v>5500000</v>
      </c>
      <c r="N598" s="6" t="s">
        <v>2003</v>
      </c>
      <c r="O598" s="6" t="s">
        <v>813</v>
      </c>
      <c r="P598" s="6">
        <v>2014</v>
      </c>
      <c r="Q598" s="6">
        <v>1</v>
      </c>
      <c r="R598" s="6" t="s">
        <v>45</v>
      </c>
      <c r="S598" s="31" t="s">
        <v>2113</v>
      </c>
      <c r="T598" s="6">
        <v>1</v>
      </c>
      <c r="U598" s="26">
        <v>5000000</v>
      </c>
      <c r="V598" s="26">
        <v>5000000</v>
      </c>
      <c r="W598" s="26">
        <v>5000000</v>
      </c>
      <c r="X598" s="6" t="s">
        <v>2003</v>
      </c>
      <c r="Y598" s="6" t="s">
        <v>79</v>
      </c>
      <c r="Z598" s="6">
        <v>225569</v>
      </c>
    </row>
    <row r="599" spans="1:26" x14ac:dyDescent="0.3">
      <c r="A599" s="28" t="s">
        <v>42</v>
      </c>
      <c r="B599" s="6" t="s">
        <v>2276</v>
      </c>
      <c r="C599" s="6"/>
      <c r="D599" s="6" t="s">
        <v>2291</v>
      </c>
      <c r="E599" s="6">
        <v>1</v>
      </c>
      <c r="F599" s="6" t="s">
        <v>2004</v>
      </c>
      <c r="G599" s="32" t="s">
        <v>2299</v>
      </c>
      <c r="H599" s="32" t="s">
        <v>2300</v>
      </c>
      <c r="I599" s="6" t="str">
        <f t="shared" si="22"/>
        <v>Lift Fork</v>
      </c>
      <c r="J599" s="6" t="s">
        <v>661</v>
      </c>
      <c r="K599" s="6">
        <v>1</v>
      </c>
      <c r="L599" s="6">
        <f t="shared" si="23"/>
        <v>1050000</v>
      </c>
      <c r="M599" s="6">
        <v>900000</v>
      </c>
      <c r="N599" s="6" t="s">
        <v>2003</v>
      </c>
      <c r="O599" s="6" t="s">
        <v>2011</v>
      </c>
      <c r="P599" s="6">
        <v>2017</v>
      </c>
      <c r="Q599" s="6">
        <v>2</v>
      </c>
      <c r="R599" s="6" t="s">
        <v>45</v>
      </c>
      <c r="S599" s="31" t="s">
        <v>2123</v>
      </c>
      <c r="T599" s="6">
        <v>1</v>
      </c>
      <c r="U599" s="26">
        <v>800000</v>
      </c>
      <c r="V599" s="26">
        <v>800000</v>
      </c>
      <c r="W599" s="26">
        <v>800000</v>
      </c>
      <c r="X599" s="6" t="s">
        <v>2003</v>
      </c>
      <c r="Y599" s="6" t="s">
        <v>1200</v>
      </c>
      <c r="Z599" s="6">
        <v>225571</v>
      </c>
    </row>
    <row r="600" spans="1:26" x14ac:dyDescent="0.3">
      <c r="A600" s="28" t="s">
        <v>42</v>
      </c>
      <c r="B600" s="6" t="s">
        <v>1328</v>
      </c>
      <c r="C600" s="6" t="s">
        <v>1975</v>
      </c>
      <c r="D600" s="6" t="s">
        <v>2001</v>
      </c>
      <c r="E600" s="6">
        <v>1</v>
      </c>
      <c r="F600" s="6" t="s">
        <v>2004</v>
      </c>
      <c r="G600" s="32" t="s">
        <v>2299</v>
      </c>
      <c r="H600" s="32" t="s">
        <v>2300</v>
      </c>
      <c r="I600" s="6" t="str">
        <f t="shared" si="22"/>
        <v>Side Breaker</v>
      </c>
      <c r="J600" s="6" t="s">
        <v>306</v>
      </c>
      <c r="K600" s="6">
        <v>1</v>
      </c>
      <c r="L600" s="6">
        <f t="shared" si="23"/>
        <v>7050000</v>
      </c>
      <c r="M600" s="6">
        <v>6000000</v>
      </c>
      <c r="N600" s="6" t="s">
        <v>2003</v>
      </c>
      <c r="O600" s="6" t="s">
        <v>2033</v>
      </c>
      <c r="P600" s="6">
        <v>2009</v>
      </c>
      <c r="Q600" s="6">
        <v>1</v>
      </c>
      <c r="R600" s="6" t="s">
        <v>45</v>
      </c>
      <c r="S600" s="31" t="s">
        <v>2121</v>
      </c>
      <c r="T600" s="6">
        <v>1</v>
      </c>
      <c r="U600" s="26">
        <v>5500000</v>
      </c>
      <c r="V600" s="26">
        <v>5500000</v>
      </c>
      <c r="W600" s="26">
        <v>5500000</v>
      </c>
      <c r="X600" s="6" t="s">
        <v>2003</v>
      </c>
      <c r="Y600" s="6" t="s">
        <v>1219</v>
      </c>
      <c r="Z600" s="6">
        <v>225573</v>
      </c>
    </row>
    <row r="601" spans="1:26" x14ac:dyDescent="0.3">
      <c r="A601" s="28" t="s">
        <v>42</v>
      </c>
      <c r="B601" s="6" t="s">
        <v>1326</v>
      </c>
      <c r="C601" s="6" t="s">
        <v>1972</v>
      </c>
      <c r="D601" s="6" t="s">
        <v>2001</v>
      </c>
      <c r="E601" s="6">
        <v>1</v>
      </c>
      <c r="F601" s="6" t="s">
        <v>2004</v>
      </c>
      <c r="G601" s="32" t="s">
        <v>2299</v>
      </c>
      <c r="H601" s="32" t="s">
        <v>2300</v>
      </c>
      <c r="I601" s="6" t="str">
        <f t="shared" si="22"/>
        <v>Stone Grapple</v>
      </c>
      <c r="J601" s="6" t="s">
        <v>191</v>
      </c>
      <c r="K601" s="6">
        <v>1</v>
      </c>
      <c r="L601" s="6">
        <f t="shared" si="23"/>
        <v>8000000</v>
      </c>
      <c r="M601" s="6">
        <v>6800000</v>
      </c>
      <c r="N601" s="6" t="s">
        <v>2003</v>
      </c>
      <c r="O601" s="6" t="s">
        <v>2058</v>
      </c>
      <c r="P601" s="6">
        <v>2017</v>
      </c>
      <c r="Q601" s="6">
        <v>1</v>
      </c>
      <c r="R601" s="6" t="s">
        <v>45</v>
      </c>
      <c r="S601" s="31" t="s">
        <v>2110</v>
      </c>
      <c r="T601" s="6">
        <v>1</v>
      </c>
      <c r="U601" s="26">
        <v>6300000</v>
      </c>
      <c r="V601" s="26">
        <v>6300000</v>
      </c>
      <c r="W601" s="26">
        <v>6300000</v>
      </c>
      <c r="X601" s="6" t="s">
        <v>2003</v>
      </c>
      <c r="Y601" s="6" t="s">
        <v>1155</v>
      </c>
      <c r="Z601" s="6">
        <v>225576</v>
      </c>
    </row>
    <row r="602" spans="1:26" x14ac:dyDescent="0.3">
      <c r="A602" s="28" t="s">
        <v>42</v>
      </c>
      <c r="B602" s="6" t="s">
        <v>1326</v>
      </c>
      <c r="C602" s="6" t="s">
        <v>1972</v>
      </c>
      <c r="D602" s="6" t="s">
        <v>2291</v>
      </c>
      <c r="E602" s="6">
        <v>1</v>
      </c>
      <c r="F602" s="6" t="s">
        <v>2004</v>
      </c>
      <c r="G602" s="32" t="s">
        <v>2299</v>
      </c>
      <c r="H602" s="32" t="s">
        <v>2300</v>
      </c>
      <c r="I602" s="6" t="str">
        <f t="shared" si="22"/>
        <v>Stone Grapple</v>
      </c>
      <c r="J602" s="6" t="s">
        <v>470</v>
      </c>
      <c r="K602" s="6">
        <v>1</v>
      </c>
      <c r="L602" s="6">
        <f t="shared" si="23"/>
        <v>2000000</v>
      </c>
      <c r="M602" s="6">
        <v>1700000</v>
      </c>
      <c r="N602" s="6" t="s">
        <v>2003</v>
      </c>
      <c r="O602" s="6" t="s">
        <v>2033</v>
      </c>
      <c r="P602" s="6">
        <v>2010</v>
      </c>
      <c r="Q602" s="6">
        <v>5</v>
      </c>
      <c r="R602" s="6" t="s">
        <v>45</v>
      </c>
      <c r="S602" s="31" t="s">
        <v>2122</v>
      </c>
      <c r="T602" s="6">
        <v>1</v>
      </c>
      <c r="U602" s="26">
        <v>1600000</v>
      </c>
      <c r="V602" s="26">
        <v>1600000</v>
      </c>
      <c r="W602" s="26">
        <v>1600000</v>
      </c>
      <c r="X602" s="6" t="s">
        <v>2003</v>
      </c>
      <c r="Y602" s="6" t="s">
        <v>1219</v>
      </c>
      <c r="Z602" s="6">
        <v>225577</v>
      </c>
    </row>
    <row r="603" spans="1:26" x14ac:dyDescent="0.3">
      <c r="A603" s="28" t="s">
        <v>42</v>
      </c>
      <c r="B603" s="6" t="s">
        <v>2172</v>
      </c>
      <c r="C603" s="6"/>
      <c r="D603" s="6" t="s">
        <v>2001</v>
      </c>
      <c r="E603" s="6">
        <v>1</v>
      </c>
      <c r="F603" s="6" t="s">
        <v>2004</v>
      </c>
      <c r="G603" s="32" t="s">
        <v>2299</v>
      </c>
      <c r="H603" s="32" t="s">
        <v>2300</v>
      </c>
      <c r="I603" s="6" t="str">
        <f t="shared" si="22"/>
        <v>Quick Coupler</v>
      </c>
      <c r="J603" s="6" t="s">
        <v>219</v>
      </c>
      <c r="K603" s="6">
        <v>1</v>
      </c>
      <c r="L603" s="6">
        <f t="shared" si="23"/>
        <v>1410000</v>
      </c>
      <c r="M603" s="6">
        <v>1200000</v>
      </c>
      <c r="N603" s="6" t="s">
        <v>2003</v>
      </c>
      <c r="O603" s="6" t="s">
        <v>813</v>
      </c>
      <c r="P603" s="6">
        <v>2013</v>
      </c>
      <c r="Q603" s="6">
        <v>1</v>
      </c>
      <c r="R603" s="6" t="s">
        <v>45</v>
      </c>
      <c r="S603" s="31" t="s">
        <v>2113</v>
      </c>
      <c r="T603" s="6">
        <v>1</v>
      </c>
      <c r="U603" s="26">
        <v>1100000</v>
      </c>
      <c r="V603" s="26">
        <v>1100000</v>
      </c>
      <c r="W603" s="26">
        <v>1100000</v>
      </c>
      <c r="X603" s="6" t="s">
        <v>2003</v>
      </c>
      <c r="Y603" s="6" t="s">
        <v>79</v>
      </c>
      <c r="Z603" s="6">
        <v>225578</v>
      </c>
    </row>
    <row r="604" spans="1:26" x14ac:dyDescent="0.3">
      <c r="A604" s="28" t="s">
        <v>42</v>
      </c>
      <c r="B604" s="6" t="s">
        <v>2163</v>
      </c>
      <c r="C604" s="6"/>
      <c r="D604" s="6" t="s">
        <v>2292</v>
      </c>
      <c r="E604" s="6">
        <v>1</v>
      </c>
      <c r="F604" s="6" t="s">
        <v>2004</v>
      </c>
      <c r="G604" s="32" t="s">
        <v>2299</v>
      </c>
      <c r="H604" s="32" t="s">
        <v>2300</v>
      </c>
      <c r="I604" s="6" t="str">
        <f t="shared" si="22"/>
        <v>Lift Fork</v>
      </c>
      <c r="J604" s="6" t="s">
        <v>449</v>
      </c>
      <c r="K604" s="6">
        <v>1</v>
      </c>
      <c r="L604" s="6">
        <f t="shared" si="23"/>
        <v>470000</v>
      </c>
      <c r="M604" s="6">
        <v>400000</v>
      </c>
      <c r="N604" s="6" t="s">
        <v>2003</v>
      </c>
      <c r="O604" s="6" t="s">
        <v>2012</v>
      </c>
      <c r="P604" s="6">
        <v>2013</v>
      </c>
      <c r="Q604" s="6">
        <v>1</v>
      </c>
      <c r="R604" s="6" t="s">
        <v>45</v>
      </c>
      <c r="S604" s="31" t="s">
        <v>2113</v>
      </c>
      <c r="T604" s="6">
        <v>1</v>
      </c>
      <c r="U604" s="26">
        <v>350000</v>
      </c>
      <c r="V604" s="26">
        <v>350000</v>
      </c>
      <c r="W604" s="26">
        <v>350000</v>
      </c>
      <c r="X604" s="6" t="s">
        <v>2003</v>
      </c>
      <c r="Y604" s="6" t="s">
        <v>49</v>
      </c>
      <c r="Z604" s="6">
        <v>225579</v>
      </c>
    </row>
    <row r="605" spans="1:26" x14ac:dyDescent="0.3">
      <c r="A605" s="28" t="s">
        <v>42</v>
      </c>
      <c r="B605" s="6" t="s">
        <v>1326</v>
      </c>
      <c r="C605" s="6" t="s">
        <v>1972</v>
      </c>
      <c r="D605" s="6" t="s">
        <v>2291</v>
      </c>
      <c r="E605" s="6">
        <v>1</v>
      </c>
      <c r="F605" s="6" t="s">
        <v>2004</v>
      </c>
      <c r="G605" s="32" t="s">
        <v>2299</v>
      </c>
      <c r="H605" s="32" t="s">
        <v>2300</v>
      </c>
      <c r="I605" s="6" t="str">
        <f t="shared" si="22"/>
        <v>Stone Grapple</v>
      </c>
      <c r="J605" s="6" t="s">
        <v>302</v>
      </c>
      <c r="K605" s="6">
        <v>1</v>
      </c>
      <c r="L605" s="6">
        <f t="shared" si="23"/>
        <v>4350000</v>
      </c>
      <c r="M605" s="6">
        <v>3700000</v>
      </c>
      <c r="N605" s="6" t="s">
        <v>2003</v>
      </c>
      <c r="O605" s="6" t="s">
        <v>2068</v>
      </c>
      <c r="P605" s="6">
        <v>2016</v>
      </c>
      <c r="Q605" s="6">
        <v>1</v>
      </c>
      <c r="R605" s="6" t="s">
        <v>45</v>
      </c>
      <c r="S605" s="31" t="s">
        <v>2113</v>
      </c>
      <c r="T605" s="6">
        <v>1</v>
      </c>
      <c r="U605" s="26">
        <v>3500000</v>
      </c>
      <c r="V605" s="26">
        <v>3500000</v>
      </c>
      <c r="W605" s="26">
        <v>3500000</v>
      </c>
      <c r="X605" s="6" t="s">
        <v>2003</v>
      </c>
      <c r="Y605" s="6" t="s">
        <v>49</v>
      </c>
      <c r="Z605" s="6">
        <v>225582</v>
      </c>
    </row>
    <row r="606" spans="1:26" x14ac:dyDescent="0.3">
      <c r="A606" s="28" t="s">
        <v>42</v>
      </c>
      <c r="B606" s="6" t="s">
        <v>1326</v>
      </c>
      <c r="C606" s="6" t="s">
        <v>1972</v>
      </c>
      <c r="D606" s="6" t="s">
        <v>2292</v>
      </c>
      <c r="E606" s="6">
        <v>1</v>
      </c>
      <c r="F606" s="6" t="s">
        <v>2004</v>
      </c>
      <c r="G606" s="32" t="s">
        <v>2299</v>
      </c>
      <c r="H606" s="32" t="s">
        <v>2300</v>
      </c>
      <c r="I606" s="6" t="str">
        <f t="shared" si="22"/>
        <v>Stone Grapple</v>
      </c>
      <c r="J606" s="6" t="s">
        <v>207</v>
      </c>
      <c r="K606" s="6">
        <v>1</v>
      </c>
      <c r="L606" s="6">
        <f t="shared" si="23"/>
        <v>3760000</v>
      </c>
      <c r="M606" s="6">
        <v>3200000</v>
      </c>
      <c r="N606" s="6" t="s">
        <v>2003</v>
      </c>
      <c r="O606" s="6" t="s">
        <v>794</v>
      </c>
      <c r="P606" s="6">
        <v>2015</v>
      </c>
      <c r="Q606" s="6">
        <v>1</v>
      </c>
      <c r="R606" s="6" t="s">
        <v>45</v>
      </c>
      <c r="S606" s="31" t="s">
        <v>2122</v>
      </c>
      <c r="T606" s="6">
        <v>1</v>
      </c>
      <c r="U606" s="26">
        <v>3000000</v>
      </c>
      <c r="V606" s="26">
        <v>3000000</v>
      </c>
      <c r="W606" s="26">
        <v>3000000</v>
      </c>
      <c r="X606" s="6" t="s">
        <v>2003</v>
      </c>
      <c r="Y606" s="6" t="s">
        <v>1154</v>
      </c>
      <c r="Z606" s="6">
        <v>225586</v>
      </c>
    </row>
    <row r="607" spans="1:26" x14ac:dyDescent="0.3">
      <c r="A607" s="28" t="s">
        <v>42</v>
      </c>
      <c r="B607" s="6" t="s">
        <v>1326</v>
      </c>
      <c r="C607" s="6" t="s">
        <v>1972</v>
      </c>
      <c r="D607" s="6" t="s">
        <v>2291</v>
      </c>
      <c r="E607" s="6">
        <v>1</v>
      </c>
      <c r="F607" s="6" t="s">
        <v>2004</v>
      </c>
      <c r="G607" s="32" t="s">
        <v>2299</v>
      </c>
      <c r="H607" s="32" t="s">
        <v>2300</v>
      </c>
      <c r="I607" s="6" t="str">
        <f t="shared" si="22"/>
        <v>Stone Grapple</v>
      </c>
      <c r="J607" s="6" t="s">
        <v>252</v>
      </c>
      <c r="K607" s="6">
        <v>1</v>
      </c>
      <c r="L607" s="6">
        <f t="shared" si="23"/>
        <v>3640000</v>
      </c>
      <c r="M607" s="6">
        <v>3100000</v>
      </c>
      <c r="N607" s="6" t="s">
        <v>2003</v>
      </c>
      <c r="O607" s="6" t="s">
        <v>54</v>
      </c>
      <c r="P607" s="6">
        <v>2010</v>
      </c>
      <c r="Q607" s="6">
        <v>1</v>
      </c>
      <c r="R607" s="6" t="s">
        <v>45</v>
      </c>
      <c r="S607" s="31" t="s">
        <v>2114</v>
      </c>
      <c r="T607" s="6">
        <v>1</v>
      </c>
      <c r="U607" s="26">
        <v>2900000</v>
      </c>
      <c r="V607" s="26">
        <v>2900000</v>
      </c>
      <c r="W607" s="26">
        <v>2900000</v>
      </c>
      <c r="X607" s="6" t="s">
        <v>2003</v>
      </c>
      <c r="Y607" s="6" t="s">
        <v>54</v>
      </c>
      <c r="Z607" s="6">
        <v>225591</v>
      </c>
    </row>
    <row r="608" spans="1:26" x14ac:dyDescent="0.3">
      <c r="A608" s="28" t="s">
        <v>42</v>
      </c>
      <c r="B608" s="6" t="s">
        <v>1378</v>
      </c>
      <c r="C608" s="6"/>
      <c r="D608" s="6" t="s">
        <v>2001</v>
      </c>
      <c r="E608" s="6">
        <v>1</v>
      </c>
      <c r="F608" s="6" t="s">
        <v>2004</v>
      </c>
      <c r="G608" s="32" t="s">
        <v>2299</v>
      </c>
      <c r="H608" s="32" t="s">
        <v>2300</v>
      </c>
      <c r="I608" s="6" t="str">
        <f t="shared" si="22"/>
        <v>Shear&amp;Cutter</v>
      </c>
      <c r="J608" s="6" t="s">
        <v>663</v>
      </c>
      <c r="K608" s="6">
        <v>1</v>
      </c>
      <c r="L608" s="6">
        <f t="shared" si="23"/>
        <v>12350000</v>
      </c>
      <c r="M608" s="6">
        <v>10500000</v>
      </c>
      <c r="N608" s="6" t="s">
        <v>2003</v>
      </c>
      <c r="O608" s="6" t="s">
        <v>1034</v>
      </c>
      <c r="P608" s="6">
        <v>2012</v>
      </c>
      <c r="Q608" s="6">
        <v>1</v>
      </c>
      <c r="R608" s="6" t="s">
        <v>45</v>
      </c>
      <c r="S608" s="31" t="s">
        <v>2125</v>
      </c>
      <c r="T608" s="6">
        <v>1</v>
      </c>
      <c r="U608" s="26">
        <v>10000000</v>
      </c>
      <c r="V608" s="26">
        <v>10000000</v>
      </c>
      <c r="W608" s="26">
        <v>10000000</v>
      </c>
      <c r="X608" s="6" t="s">
        <v>2003</v>
      </c>
      <c r="Y608" s="6" t="s">
        <v>105</v>
      </c>
      <c r="Z608" s="6">
        <v>225594</v>
      </c>
    </row>
    <row r="609" spans="1:26" x14ac:dyDescent="0.3">
      <c r="A609" s="28" t="s">
        <v>42</v>
      </c>
      <c r="B609" s="6" t="s">
        <v>1326</v>
      </c>
      <c r="C609" s="19" t="s">
        <v>1974</v>
      </c>
      <c r="D609" s="6" t="s">
        <v>2292</v>
      </c>
      <c r="E609" s="6">
        <v>1</v>
      </c>
      <c r="F609" s="6" t="s">
        <v>2004</v>
      </c>
      <c r="G609" s="32" t="s">
        <v>2299</v>
      </c>
      <c r="H609" s="32" t="s">
        <v>2300</v>
      </c>
      <c r="I609" s="6" t="str">
        <f t="shared" si="22"/>
        <v>Etc Grapple</v>
      </c>
      <c r="J609" s="6" t="s">
        <v>196</v>
      </c>
      <c r="K609" s="6">
        <v>1</v>
      </c>
      <c r="L609" s="6">
        <f t="shared" si="23"/>
        <v>3170000</v>
      </c>
      <c r="M609" s="6">
        <v>2700000</v>
      </c>
      <c r="N609" s="6" t="s">
        <v>2003</v>
      </c>
      <c r="O609" s="6" t="s">
        <v>789</v>
      </c>
      <c r="P609" s="6">
        <v>2012</v>
      </c>
      <c r="Q609" s="6">
        <v>5</v>
      </c>
      <c r="R609" s="6" t="s">
        <v>45</v>
      </c>
      <c r="S609" s="31" t="s">
        <v>2122</v>
      </c>
      <c r="T609" s="6">
        <v>1</v>
      </c>
      <c r="U609" s="26">
        <v>2500000</v>
      </c>
      <c r="V609" s="26">
        <v>2500000</v>
      </c>
      <c r="W609" s="26">
        <v>2500000</v>
      </c>
      <c r="X609" s="6" t="s">
        <v>2003</v>
      </c>
      <c r="Y609" s="6" t="s">
        <v>65</v>
      </c>
      <c r="Z609" s="6">
        <v>225597</v>
      </c>
    </row>
    <row r="610" spans="1:26" x14ac:dyDescent="0.3">
      <c r="A610" s="28" t="s">
        <v>42</v>
      </c>
      <c r="B610" s="6" t="s">
        <v>1326</v>
      </c>
      <c r="C610" s="6" t="s">
        <v>1974</v>
      </c>
      <c r="D610" s="6" t="s">
        <v>2292</v>
      </c>
      <c r="E610" s="6">
        <v>1</v>
      </c>
      <c r="F610" s="6" t="s">
        <v>2004</v>
      </c>
      <c r="G610" s="32" t="s">
        <v>2299</v>
      </c>
      <c r="H610" s="32" t="s">
        <v>2300</v>
      </c>
      <c r="I610" s="6" t="str">
        <f t="shared" si="22"/>
        <v>Etc Grapple</v>
      </c>
      <c r="J610" s="6" t="s">
        <v>125</v>
      </c>
      <c r="K610" s="6">
        <v>1</v>
      </c>
      <c r="L610" s="6">
        <f t="shared" si="23"/>
        <v>5760000</v>
      </c>
      <c r="M610" s="6">
        <v>4900000</v>
      </c>
      <c r="N610" s="6" t="s">
        <v>2003</v>
      </c>
      <c r="O610" s="6" t="s">
        <v>1035</v>
      </c>
      <c r="P610" s="6">
        <v>2016</v>
      </c>
      <c r="Q610" s="6">
        <v>2</v>
      </c>
      <c r="R610" s="6" t="s">
        <v>45</v>
      </c>
      <c r="S610" s="31" t="s">
        <v>2122</v>
      </c>
      <c r="T610" s="6">
        <v>1</v>
      </c>
      <c r="U610" s="26">
        <v>4700000</v>
      </c>
      <c r="V610" s="26">
        <v>4700000</v>
      </c>
      <c r="W610" s="26">
        <v>4700000</v>
      </c>
      <c r="X610" s="6" t="s">
        <v>2003</v>
      </c>
      <c r="Y610" s="6" t="s">
        <v>1283</v>
      </c>
      <c r="Z610" s="6">
        <v>225605</v>
      </c>
    </row>
    <row r="611" spans="1:26" x14ac:dyDescent="0.3">
      <c r="A611" s="28" t="s">
        <v>42</v>
      </c>
      <c r="B611" s="6" t="s">
        <v>1337</v>
      </c>
      <c r="C611" s="6"/>
      <c r="D611" s="6" t="s">
        <v>2001</v>
      </c>
      <c r="E611" s="6">
        <v>1</v>
      </c>
      <c r="F611" s="6" t="s">
        <v>2004</v>
      </c>
      <c r="G611" s="32" t="s">
        <v>2299</v>
      </c>
      <c r="H611" s="32" t="s">
        <v>2300</v>
      </c>
      <c r="I611" s="6" t="str">
        <f t="shared" si="22"/>
        <v>ETC</v>
      </c>
      <c r="J611" s="6" t="s">
        <v>678</v>
      </c>
      <c r="K611" s="6">
        <v>1</v>
      </c>
      <c r="L611" s="6">
        <f t="shared" si="23"/>
        <v>15880000</v>
      </c>
      <c r="M611" s="6">
        <v>13500000</v>
      </c>
      <c r="N611" s="6" t="s">
        <v>2003</v>
      </c>
      <c r="O611" s="6" t="s">
        <v>2069</v>
      </c>
      <c r="P611" s="6">
        <v>2012</v>
      </c>
      <c r="Q611" s="6">
        <v>1</v>
      </c>
      <c r="R611" s="6" t="s">
        <v>45</v>
      </c>
      <c r="S611" s="31" t="s">
        <v>2122</v>
      </c>
      <c r="T611" s="6">
        <v>1</v>
      </c>
      <c r="U611" s="26">
        <v>13000000</v>
      </c>
      <c r="V611" s="26">
        <v>13000000</v>
      </c>
      <c r="W611" s="26">
        <v>13000000</v>
      </c>
      <c r="X611" s="6" t="s">
        <v>2003</v>
      </c>
      <c r="Y611" s="6" t="s">
        <v>1167</v>
      </c>
      <c r="Z611" s="6">
        <v>225610</v>
      </c>
    </row>
    <row r="612" spans="1:26" x14ac:dyDescent="0.3">
      <c r="A612" s="28" t="s">
        <v>42</v>
      </c>
      <c r="B612" s="6" t="s">
        <v>1326</v>
      </c>
      <c r="C612" s="6" t="s">
        <v>1985</v>
      </c>
      <c r="D612" s="6" t="s">
        <v>2292</v>
      </c>
      <c r="E612" s="6">
        <v>1</v>
      </c>
      <c r="F612" s="6" t="s">
        <v>2004</v>
      </c>
      <c r="G612" s="32" t="s">
        <v>2299</v>
      </c>
      <c r="H612" s="32" t="s">
        <v>2300</v>
      </c>
      <c r="I612" s="6" t="str">
        <f t="shared" si="22"/>
        <v>Multi Grapple</v>
      </c>
      <c r="J612" s="6" t="s">
        <v>296</v>
      </c>
      <c r="K612" s="6">
        <v>1</v>
      </c>
      <c r="L612" s="6">
        <f t="shared" si="23"/>
        <v>3410000</v>
      </c>
      <c r="M612" s="6">
        <v>2900000</v>
      </c>
      <c r="N612" s="6" t="s">
        <v>2003</v>
      </c>
      <c r="O612" s="6" t="s">
        <v>823</v>
      </c>
      <c r="P612" s="6">
        <v>2014</v>
      </c>
      <c r="Q612" s="6">
        <v>1</v>
      </c>
      <c r="R612" s="6" t="s">
        <v>45</v>
      </c>
      <c r="S612" s="31" t="s">
        <v>2113</v>
      </c>
      <c r="T612" s="6">
        <v>1</v>
      </c>
      <c r="U612" s="26">
        <v>2700000</v>
      </c>
      <c r="V612" s="26">
        <v>2700000</v>
      </c>
      <c r="W612" s="26">
        <v>2700000</v>
      </c>
      <c r="X612" s="6" t="s">
        <v>2003</v>
      </c>
      <c r="Y612" s="6" t="s">
        <v>49</v>
      </c>
      <c r="Z612" s="6">
        <v>225616</v>
      </c>
    </row>
    <row r="613" spans="1:26" x14ac:dyDescent="0.3">
      <c r="A613" s="28" t="s">
        <v>42</v>
      </c>
      <c r="B613" s="6" t="s">
        <v>1326</v>
      </c>
      <c r="C613" s="6" t="s">
        <v>1972</v>
      </c>
      <c r="D613" s="6" t="s">
        <v>2292</v>
      </c>
      <c r="E613" s="6">
        <v>1</v>
      </c>
      <c r="F613" s="6" t="s">
        <v>2004</v>
      </c>
      <c r="G613" s="32" t="s">
        <v>2299</v>
      </c>
      <c r="H613" s="32" t="s">
        <v>2300</v>
      </c>
      <c r="I613" s="6" t="str">
        <f t="shared" si="22"/>
        <v>Stone Grapple</v>
      </c>
      <c r="J613" s="6" t="s">
        <v>120</v>
      </c>
      <c r="K613" s="6">
        <v>1</v>
      </c>
      <c r="L613" s="6">
        <f t="shared" si="23"/>
        <v>8470000</v>
      </c>
      <c r="M613" s="6">
        <v>7200000</v>
      </c>
      <c r="N613" s="6" t="s">
        <v>2003</v>
      </c>
      <c r="O613" s="6" t="s">
        <v>1037</v>
      </c>
      <c r="P613" s="6">
        <v>2017</v>
      </c>
      <c r="Q613" s="6">
        <v>1</v>
      </c>
      <c r="R613" s="6" t="s">
        <v>45</v>
      </c>
      <c r="S613" s="31" t="s">
        <v>2110</v>
      </c>
      <c r="T613" s="6">
        <v>1</v>
      </c>
      <c r="U613" s="26">
        <v>6700000</v>
      </c>
      <c r="V613" s="26">
        <v>6700000</v>
      </c>
      <c r="W613" s="26">
        <v>6700000</v>
      </c>
      <c r="X613" s="6" t="s">
        <v>2003</v>
      </c>
      <c r="Y613" s="6" t="s">
        <v>1284</v>
      </c>
      <c r="Z613" s="6">
        <v>225625</v>
      </c>
    </row>
    <row r="614" spans="1:26" x14ac:dyDescent="0.3">
      <c r="A614" s="28" t="s">
        <v>42</v>
      </c>
      <c r="B614" s="6" t="s">
        <v>1325</v>
      </c>
      <c r="C614" s="19" t="s">
        <v>2156</v>
      </c>
      <c r="D614" s="6" t="s">
        <v>2293</v>
      </c>
      <c r="E614" s="6">
        <v>1</v>
      </c>
      <c r="F614" s="6" t="s">
        <v>2004</v>
      </c>
      <c r="G614" s="32" t="s">
        <v>2299</v>
      </c>
      <c r="H614" s="32" t="s">
        <v>2300</v>
      </c>
      <c r="I614" s="6" t="str">
        <f t="shared" si="22"/>
        <v>Hydraulic Crusher</v>
      </c>
      <c r="J614" s="6" t="s">
        <v>651</v>
      </c>
      <c r="K614" s="6">
        <v>1</v>
      </c>
      <c r="L614" s="6">
        <f t="shared" si="23"/>
        <v>6820000</v>
      </c>
      <c r="M614" s="6">
        <v>5800000</v>
      </c>
      <c r="N614" s="6" t="s">
        <v>2003</v>
      </c>
      <c r="O614" s="6" t="s">
        <v>70</v>
      </c>
      <c r="P614" s="6">
        <v>2016</v>
      </c>
      <c r="Q614" s="6">
        <v>1</v>
      </c>
      <c r="R614" s="6" t="s">
        <v>45</v>
      </c>
      <c r="S614" s="31" t="s">
        <v>2113</v>
      </c>
      <c r="T614" s="6">
        <v>1</v>
      </c>
      <c r="U614" s="26">
        <v>5300000</v>
      </c>
      <c r="V614" s="26">
        <v>5300000</v>
      </c>
      <c r="W614" s="26">
        <v>5300000</v>
      </c>
      <c r="X614" s="6" t="s">
        <v>2003</v>
      </c>
      <c r="Y614" s="6" t="s">
        <v>71</v>
      </c>
      <c r="Z614" s="6">
        <v>225626</v>
      </c>
    </row>
    <row r="615" spans="1:26" x14ac:dyDescent="0.3">
      <c r="A615" s="28" t="s">
        <v>42</v>
      </c>
      <c r="B615" s="6" t="s">
        <v>1326</v>
      </c>
      <c r="C615" s="6" t="s">
        <v>1979</v>
      </c>
      <c r="D615" s="6" t="s">
        <v>2292</v>
      </c>
      <c r="E615" s="6">
        <v>1</v>
      </c>
      <c r="F615" s="6" t="s">
        <v>2004</v>
      </c>
      <c r="G615" s="32" t="s">
        <v>2299</v>
      </c>
      <c r="H615" s="32" t="s">
        <v>2300</v>
      </c>
      <c r="I615" s="6" t="str">
        <f t="shared" si="22"/>
        <v>Thumb Grapple</v>
      </c>
      <c r="J615" s="6" t="s">
        <v>59</v>
      </c>
      <c r="K615" s="6">
        <v>1</v>
      </c>
      <c r="L615" s="6">
        <f t="shared" si="23"/>
        <v>1410000</v>
      </c>
      <c r="M615" s="6">
        <v>1200000</v>
      </c>
      <c r="N615" s="6" t="s">
        <v>2003</v>
      </c>
      <c r="O615" s="6" t="s">
        <v>2012</v>
      </c>
      <c r="P615" s="6">
        <v>2014</v>
      </c>
      <c r="Q615" s="6">
        <v>1</v>
      </c>
      <c r="R615" s="6" t="s">
        <v>45</v>
      </c>
      <c r="S615" s="31" t="s">
        <v>2113</v>
      </c>
      <c r="T615" s="6">
        <v>1</v>
      </c>
      <c r="U615" s="26">
        <v>1100000</v>
      </c>
      <c r="V615" s="26">
        <v>1100000</v>
      </c>
      <c r="W615" s="26">
        <v>1100000</v>
      </c>
      <c r="X615" s="6" t="s">
        <v>2003</v>
      </c>
      <c r="Y615" s="6" t="s">
        <v>49</v>
      </c>
      <c r="Z615" s="6">
        <v>225627</v>
      </c>
    </row>
    <row r="616" spans="1:26" x14ac:dyDescent="0.3">
      <c r="A616" s="28" t="s">
        <v>42</v>
      </c>
      <c r="B616" s="6" t="s">
        <v>1337</v>
      </c>
      <c r="C616" s="6"/>
      <c r="D616" s="6" t="s">
        <v>2289</v>
      </c>
      <c r="E616" s="6">
        <v>1</v>
      </c>
      <c r="F616" s="6" t="s">
        <v>2004</v>
      </c>
      <c r="G616" s="32" t="s">
        <v>2299</v>
      </c>
      <c r="H616" s="32" t="s">
        <v>2300</v>
      </c>
      <c r="I616" s="6" t="str">
        <f t="shared" si="22"/>
        <v>ETC</v>
      </c>
      <c r="J616" s="6" t="s">
        <v>116</v>
      </c>
      <c r="K616" s="6">
        <v>1</v>
      </c>
      <c r="L616" s="6">
        <f t="shared" si="23"/>
        <v>10000000</v>
      </c>
      <c r="M616" s="6">
        <v>8500000</v>
      </c>
      <c r="N616" s="6" t="s">
        <v>2003</v>
      </c>
      <c r="O616" s="6" t="s">
        <v>792</v>
      </c>
      <c r="P616" s="6">
        <v>2007</v>
      </c>
      <c r="Q616" s="6">
        <v>1</v>
      </c>
      <c r="R616" s="6" t="s">
        <v>45</v>
      </c>
      <c r="S616" s="31" t="s">
        <v>2117</v>
      </c>
      <c r="T616" s="6">
        <v>1</v>
      </c>
      <c r="U616" s="26">
        <v>8000000</v>
      </c>
      <c r="V616" s="26">
        <v>8000000</v>
      </c>
      <c r="W616" s="26">
        <v>8000000</v>
      </c>
      <c r="X616" s="6" t="s">
        <v>2003</v>
      </c>
      <c r="Y616" s="6" t="s">
        <v>1145</v>
      </c>
      <c r="Z616" s="6">
        <v>225634</v>
      </c>
    </row>
    <row r="617" spans="1:26" x14ac:dyDescent="0.3">
      <c r="A617" s="28" t="s">
        <v>42</v>
      </c>
      <c r="B617" s="6" t="s">
        <v>1325</v>
      </c>
      <c r="C617" s="19" t="s">
        <v>2156</v>
      </c>
      <c r="D617" s="6" t="s">
        <v>2293</v>
      </c>
      <c r="E617" s="6">
        <v>1</v>
      </c>
      <c r="F617" s="6" t="s">
        <v>2004</v>
      </c>
      <c r="G617" s="32" t="s">
        <v>2299</v>
      </c>
      <c r="H617" s="32" t="s">
        <v>2300</v>
      </c>
      <c r="I617" s="6" t="str">
        <f t="shared" si="22"/>
        <v>Hydraulic Crusher</v>
      </c>
      <c r="J617" s="6" t="s">
        <v>651</v>
      </c>
      <c r="K617" s="6">
        <v>1</v>
      </c>
      <c r="L617" s="6">
        <f t="shared" si="23"/>
        <v>5290000</v>
      </c>
      <c r="M617" s="6">
        <v>4500000</v>
      </c>
      <c r="N617" s="6" t="s">
        <v>2003</v>
      </c>
      <c r="O617" s="6" t="s">
        <v>798</v>
      </c>
      <c r="P617" s="6">
        <v>2014</v>
      </c>
      <c r="Q617" s="6">
        <v>1</v>
      </c>
      <c r="R617" s="6" t="s">
        <v>45</v>
      </c>
      <c r="S617" s="31" t="s">
        <v>2113</v>
      </c>
      <c r="T617" s="6">
        <v>1</v>
      </c>
      <c r="U617" s="26">
        <v>4300000</v>
      </c>
      <c r="V617" s="26">
        <v>4300000</v>
      </c>
      <c r="W617" s="26">
        <v>4300000</v>
      </c>
      <c r="X617" s="6" t="s">
        <v>2003</v>
      </c>
      <c r="Y617" s="6" t="s">
        <v>71</v>
      </c>
      <c r="Z617" s="6">
        <v>225638</v>
      </c>
    </row>
    <row r="618" spans="1:26" x14ac:dyDescent="0.3">
      <c r="A618" s="28" t="s">
        <v>42</v>
      </c>
      <c r="B618" s="6" t="s">
        <v>2172</v>
      </c>
      <c r="C618" s="6"/>
      <c r="D618" s="6" t="s">
        <v>2292</v>
      </c>
      <c r="E618" s="6">
        <v>1</v>
      </c>
      <c r="F618" s="6" t="s">
        <v>2004</v>
      </c>
      <c r="G618" s="32" t="s">
        <v>2299</v>
      </c>
      <c r="H618" s="32" t="s">
        <v>2300</v>
      </c>
      <c r="I618" s="6" t="str">
        <f t="shared" si="22"/>
        <v>Quick Coupler</v>
      </c>
      <c r="J618" s="6" t="s">
        <v>147</v>
      </c>
      <c r="K618" s="6">
        <v>1</v>
      </c>
      <c r="L618" s="6">
        <f t="shared" si="23"/>
        <v>940000</v>
      </c>
      <c r="M618" s="6">
        <v>800000</v>
      </c>
      <c r="N618" s="6" t="s">
        <v>2003</v>
      </c>
      <c r="O618" s="6" t="s">
        <v>2012</v>
      </c>
      <c r="P618" s="6">
        <v>2014</v>
      </c>
      <c r="Q618" s="6">
        <v>1</v>
      </c>
      <c r="R618" s="6" t="s">
        <v>45</v>
      </c>
      <c r="S618" s="31" t="s">
        <v>2113</v>
      </c>
      <c r="T618" s="6">
        <v>1</v>
      </c>
      <c r="U618" s="26">
        <v>700000</v>
      </c>
      <c r="V618" s="26">
        <v>700000</v>
      </c>
      <c r="W618" s="26">
        <v>700000</v>
      </c>
      <c r="X618" s="6" t="s">
        <v>2003</v>
      </c>
      <c r="Y618" s="6" t="s">
        <v>49</v>
      </c>
      <c r="Z618" s="6">
        <v>225640</v>
      </c>
    </row>
    <row r="619" spans="1:26" x14ac:dyDescent="0.3">
      <c r="A619" s="28" t="s">
        <v>42</v>
      </c>
      <c r="B619" s="6" t="s">
        <v>1328</v>
      </c>
      <c r="C619" s="6" t="s">
        <v>1975</v>
      </c>
      <c r="D619" s="6" t="s">
        <v>2290</v>
      </c>
      <c r="E619" s="6">
        <v>1</v>
      </c>
      <c r="F619" s="6" t="s">
        <v>2004</v>
      </c>
      <c r="G619" s="32" t="s">
        <v>2299</v>
      </c>
      <c r="H619" s="32" t="s">
        <v>2300</v>
      </c>
      <c r="I619" s="6" t="str">
        <f t="shared" si="22"/>
        <v>Side Breaker</v>
      </c>
      <c r="J619" s="6" t="s">
        <v>229</v>
      </c>
      <c r="K619" s="6">
        <v>1</v>
      </c>
      <c r="L619" s="6">
        <f t="shared" si="23"/>
        <v>6470000</v>
      </c>
      <c r="M619" s="6">
        <v>5500000</v>
      </c>
      <c r="N619" s="6" t="s">
        <v>2003</v>
      </c>
      <c r="O619" s="6" t="s">
        <v>2070</v>
      </c>
      <c r="P619" s="6">
        <v>2011</v>
      </c>
      <c r="Q619" s="6">
        <v>1</v>
      </c>
      <c r="R619" s="6" t="s">
        <v>45</v>
      </c>
      <c r="S619" s="31" t="s">
        <v>2111</v>
      </c>
      <c r="T619" s="6">
        <v>1</v>
      </c>
      <c r="U619" s="26">
        <v>5000000</v>
      </c>
      <c r="V619" s="26">
        <v>5000000</v>
      </c>
      <c r="W619" s="26">
        <v>5000000</v>
      </c>
      <c r="X619" s="6" t="s">
        <v>2003</v>
      </c>
      <c r="Y619" s="6" t="s">
        <v>1277</v>
      </c>
      <c r="Z619" s="6">
        <v>225644</v>
      </c>
    </row>
    <row r="620" spans="1:26" x14ac:dyDescent="0.3">
      <c r="A620" s="28" t="s">
        <v>42</v>
      </c>
      <c r="B620" s="6" t="s">
        <v>1378</v>
      </c>
      <c r="C620" s="6"/>
      <c r="D620" s="6" t="s">
        <v>2001</v>
      </c>
      <c r="E620" s="6">
        <v>1</v>
      </c>
      <c r="F620" s="6" t="s">
        <v>2004</v>
      </c>
      <c r="G620" s="32" t="s">
        <v>2299</v>
      </c>
      <c r="H620" s="32" t="s">
        <v>2300</v>
      </c>
      <c r="I620" s="6" t="str">
        <f t="shared" si="22"/>
        <v>Shear&amp;Cutter</v>
      </c>
      <c r="J620" s="6" t="s">
        <v>665</v>
      </c>
      <c r="K620" s="6">
        <v>1</v>
      </c>
      <c r="L620" s="6">
        <f t="shared" si="23"/>
        <v>8820000</v>
      </c>
      <c r="M620" s="6">
        <v>7500000</v>
      </c>
      <c r="N620" s="6" t="s">
        <v>2003</v>
      </c>
      <c r="O620" s="6" t="s">
        <v>1038</v>
      </c>
      <c r="P620" s="6">
        <v>2010</v>
      </c>
      <c r="Q620" s="6">
        <v>6</v>
      </c>
      <c r="R620" s="6" t="s">
        <v>45</v>
      </c>
      <c r="S620" s="31" t="s">
        <v>2122</v>
      </c>
      <c r="T620" s="6">
        <v>1</v>
      </c>
      <c r="U620" s="26">
        <v>7000000</v>
      </c>
      <c r="V620" s="26">
        <v>7000000</v>
      </c>
      <c r="W620" s="26">
        <v>7000000</v>
      </c>
      <c r="X620" s="6" t="s">
        <v>2003</v>
      </c>
      <c r="Y620" s="6" t="s">
        <v>1227</v>
      </c>
      <c r="Z620" s="6">
        <v>225648</v>
      </c>
    </row>
    <row r="621" spans="1:26" x14ac:dyDescent="0.3">
      <c r="A621" s="28" t="s">
        <v>42</v>
      </c>
      <c r="B621" s="6" t="s">
        <v>1326</v>
      </c>
      <c r="C621" s="6" t="s">
        <v>1972</v>
      </c>
      <c r="D621" s="6" t="s">
        <v>2292</v>
      </c>
      <c r="E621" s="6">
        <v>1</v>
      </c>
      <c r="F621" s="6" t="s">
        <v>2004</v>
      </c>
      <c r="G621" s="32" t="s">
        <v>2299</v>
      </c>
      <c r="H621" s="32" t="s">
        <v>2300</v>
      </c>
      <c r="I621" s="6" t="str">
        <f t="shared" si="22"/>
        <v>Stone Grapple</v>
      </c>
      <c r="J621" s="6" t="s">
        <v>44</v>
      </c>
      <c r="K621" s="6">
        <v>1</v>
      </c>
      <c r="L621" s="6">
        <f t="shared" si="23"/>
        <v>3520000</v>
      </c>
      <c r="M621" s="6">
        <v>3000000</v>
      </c>
      <c r="N621" s="6" t="s">
        <v>2003</v>
      </c>
      <c r="O621" s="6" t="s">
        <v>1039</v>
      </c>
      <c r="P621" s="6">
        <v>2016</v>
      </c>
      <c r="Q621" s="6">
        <v>1</v>
      </c>
      <c r="R621" s="6" t="s">
        <v>45</v>
      </c>
      <c r="S621" s="31" t="s">
        <v>2110</v>
      </c>
      <c r="T621" s="6">
        <v>1</v>
      </c>
      <c r="U621" s="26">
        <v>2800000</v>
      </c>
      <c r="V621" s="26">
        <v>2800000</v>
      </c>
      <c r="W621" s="26">
        <v>2800000</v>
      </c>
      <c r="X621" s="6" t="s">
        <v>2003</v>
      </c>
      <c r="Y621" s="6" t="s">
        <v>1150</v>
      </c>
      <c r="Z621" s="6">
        <v>225651</v>
      </c>
    </row>
    <row r="622" spans="1:26" x14ac:dyDescent="0.3">
      <c r="A622" s="28" t="s">
        <v>42</v>
      </c>
      <c r="B622" s="6" t="s">
        <v>1326</v>
      </c>
      <c r="C622" s="19" t="s">
        <v>1974</v>
      </c>
      <c r="D622" s="6" t="s">
        <v>2002</v>
      </c>
      <c r="E622" s="6">
        <v>1</v>
      </c>
      <c r="F622" s="6" t="s">
        <v>2004</v>
      </c>
      <c r="G622" s="32" t="s">
        <v>2299</v>
      </c>
      <c r="H622" s="32" t="s">
        <v>2300</v>
      </c>
      <c r="I622" s="6" t="str">
        <f t="shared" si="22"/>
        <v>Etc Grapple</v>
      </c>
      <c r="J622" s="6" t="s">
        <v>374</v>
      </c>
      <c r="K622" s="6">
        <v>1</v>
      </c>
      <c r="L622" s="6">
        <f t="shared" si="23"/>
        <v>2290000</v>
      </c>
      <c r="M622" s="6">
        <v>1950000</v>
      </c>
      <c r="N622" s="6" t="s">
        <v>2003</v>
      </c>
      <c r="O622" s="6" t="s">
        <v>2007</v>
      </c>
      <c r="P622" s="6">
        <v>2014</v>
      </c>
      <c r="Q622" s="6">
        <v>1</v>
      </c>
      <c r="R622" s="6" t="s">
        <v>45</v>
      </c>
      <c r="S622" s="31" t="s">
        <v>2113</v>
      </c>
      <c r="T622" s="6">
        <v>1</v>
      </c>
      <c r="U622" s="26">
        <v>1850000</v>
      </c>
      <c r="V622" s="26">
        <v>1850000</v>
      </c>
      <c r="W622" s="26">
        <v>1850000</v>
      </c>
      <c r="X622" s="6" t="s">
        <v>2003</v>
      </c>
      <c r="Y622" s="6" t="s">
        <v>49</v>
      </c>
      <c r="Z622" s="6">
        <v>225653</v>
      </c>
    </row>
    <row r="623" spans="1:26" x14ac:dyDescent="0.3">
      <c r="A623" s="28" t="s">
        <v>42</v>
      </c>
      <c r="B623" s="6" t="s">
        <v>1337</v>
      </c>
      <c r="C623" s="6"/>
      <c r="D623" s="6" t="s">
        <v>2292</v>
      </c>
      <c r="E623" s="6">
        <v>1</v>
      </c>
      <c r="F623" s="6" t="s">
        <v>2004</v>
      </c>
      <c r="G623" s="32" t="s">
        <v>2299</v>
      </c>
      <c r="H623" s="32" t="s">
        <v>2300</v>
      </c>
      <c r="I623" s="6" t="str">
        <f t="shared" si="22"/>
        <v>ETC</v>
      </c>
      <c r="J623" s="6" t="s">
        <v>418</v>
      </c>
      <c r="K623" s="6">
        <v>1</v>
      </c>
      <c r="L623" s="6">
        <f t="shared" si="23"/>
        <v>7050000</v>
      </c>
      <c r="M623" s="6">
        <v>6000000</v>
      </c>
      <c r="N623" s="6" t="s">
        <v>2003</v>
      </c>
      <c r="O623" s="6" t="s">
        <v>823</v>
      </c>
      <c r="P623" s="6">
        <v>2016</v>
      </c>
      <c r="Q623" s="6">
        <v>1</v>
      </c>
      <c r="R623" s="6" t="s">
        <v>45</v>
      </c>
      <c r="S623" s="31" t="s">
        <v>2113</v>
      </c>
      <c r="T623" s="6">
        <v>1</v>
      </c>
      <c r="U623" s="26">
        <v>5500000</v>
      </c>
      <c r="V623" s="26">
        <v>5500000</v>
      </c>
      <c r="W623" s="26">
        <v>5500000</v>
      </c>
      <c r="X623" s="6" t="s">
        <v>2003</v>
      </c>
      <c r="Y623" s="6" t="s">
        <v>49</v>
      </c>
      <c r="Z623" s="6">
        <v>225655</v>
      </c>
    </row>
    <row r="624" spans="1:26" x14ac:dyDescent="0.3">
      <c r="A624" s="28" t="s">
        <v>42</v>
      </c>
      <c r="B624" s="6" t="s">
        <v>1337</v>
      </c>
      <c r="C624" s="6"/>
      <c r="D624" s="6" t="s">
        <v>2292</v>
      </c>
      <c r="E624" s="6">
        <v>1</v>
      </c>
      <c r="F624" s="6" t="s">
        <v>2004</v>
      </c>
      <c r="G624" s="32" t="s">
        <v>2299</v>
      </c>
      <c r="H624" s="32" t="s">
        <v>2300</v>
      </c>
      <c r="I624" s="6" t="str">
        <f t="shared" si="22"/>
        <v>ETC</v>
      </c>
      <c r="J624" s="6" t="s">
        <v>530</v>
      </c>
      <c r="K624" s="6">
        <v>1</v>
      </c>
      <c r="L624" s="6">
        <f t="shared" si="23"/>
        <v>4000000</v>
      </c>
      <c r="M624" s="6">
        <v>3400000</v>
      </c>
      <c r="N624" s="6" t="s">
        <v>2003</v>
      </c>
      <c r="O624" s="6" t="s">
        <v>2012</v>
      </c>
      <c r="P624" s="6">
        <v>2014</v>
      </c>
      <c r="Q624" s="6">
        <v>1</v>
      </c>
      <c r="R624" s="6" t="s">
        <v>45</v>
      </c>
      <c r="S624" s="31" t="s">
        <v>2113</v>
      </c>
      <c r="T624" s="6">
        <v>1</v>
      </c>
      <c r="U624" s="26">
        <v>3200000</v>
      </c>
      <c r="V624" s="26">
        <v>3200000</v>
      </c>
      <c r="W624" s="26">
        <v>3200000</v>
      </c>
      <c r="X624" s="6" t="s">
        <v>2003</v>
      </c>
      <c r="Y624" s="6" t="s">
        <v>49</v>
      </c>
      <c r="Z624" s="6">
        <v>225656</v>
      </c>
    </row>
    <row r="625" spans="1:26" x14ac:dyDescent="0.3">
      <c r="A625" s="28" t="s">
        <v>42</v>
      </c>
      <c r="B625" s="6" t="s">
        <v>1328</v>
      </c>
      <c r="C625" s="6" t="s">
        <v>1975</v>
      </c>
      <c r="D625" s="6" t="s">
        <v>2289</v>
      </c>
      <c r="E625" s="6">
        <v>1</v>
      </c>
      <c r="F625" s="6" t="s">
        <v>2004</v>
      </c>
      <c r="G625" s="32" t="s">
        <v>2299</v>
      </c>
      <c r="H625" s="32" t="s">
        <v>2300</v>
      </c>
      <c r="I625" s="6" t="str">
        <f t="shared" si="22"/>
        <v>Side Breaker</v>
      </c>
      <c r="J625" s="6" t="s">
        <v>199</v>
      </c>
      <c r="K625" s="6">
        <v>1</v>
      </c>
      <c r="L625" s="6">
        <f t="shared" si="23"/>
        <v>9410000</v>
      </c>
      <c r="M625" s="6">
        <v>8000000</v>
      </c>
      <c r="N625" s="6" t="s">
        <v>2003</v>
      </c>
      <c r="O625" s="6" t="s">
        <v>810</v>
      </c>
      <c r="P625" s="6">
        <v>2015</v>
      </c>
      <c r="Q625" s="6">
        <v>5</v>
      </c>
      <c r="R625" s="6" t="s">
        <v>45</v>
      </c>
      <c r="S625" s="31" t="s">
        <v>2123</v>
      </c>
      <c r="T625" s="6">
        <v>1</v>
      </c>
      <c r="U625" s="26">
        <v>7500000</v>
      </c>
      <c r="V625" s="26">
        <v>7500000</v>
      </c>
      <c r="W625" s="26">
        <v>7500000</v>
      </c>
      <c r="X625" s="6" t="s">
        <v>2003</v>
      </c>
      <c r="Y625" s="6" t="s">
        <v>1189</v>
      </c>
      <c r="Z625" s="6">
        <v>225657</v>
      </c>
    </row>
    <row r="626" spans="1:26" x14ac:dyDescent="0.3">
      <c r="A626" s="28" t="s">
        <v>42</v>
      </c>
      <c r="B626" s="6" t="s">
        <v>1328</v>
      </c>
      <c r="C626" s="6" t="s">
        <v>1975</v>
      </c>
      <c r="D626" s="6" t="s">
        <v>2291</v>
      </c>
      <c r="E626" s="6">
        <v>1</v>
      </c>
      <c r="F626" s="6" t="s">
        <v>2004</v>
      </c>
      <c r="G626" s="32" t="s">
        <v>2299</v>
      </c>
      <c r="H626" s="32" t="s">
        <v>2300</v>
      </c>
      <c r="I626" s="6" t="str">
        <f t="shared" si="22"/>
        <v>Side Breaker</v>
      </c>
      <c r="J626" s="6" t="s">
        <v>649</v>
      </c>
      <c r="K626" s="6">
        <v>1</v>
      </c>
      <c r="L626" s="6">
        <f t="shared" si="23"/>
        <v>2230000</v>
      </c>
      <c r="M626" s="6">
        <v>1900000</v>
      </c>
      <c r="N626" s="6" t="s">
        <v>2003</v>
      </c>
      <c r="O626" s="6" t="s">
        <v>1040</v>
      </c>
      <c r="P626" s="6">
        <v>2016</v>
      </c>
      <c r="Q626" s="6">
        <v>1</v>
      </c>
      <c r="R626" s="6" t="s">
        <v>45</v>
      </c>
      <c r="S626" s="31" t="s">
        <v>2120</v>
      </c>
      <c r="T626" s="6">
        <v>1</v>
      </c>
      <c r="U626" s="26">
        <v>1800000</v>
      </c>
      <c r="V626" s="26">
        <v>1800000</v>
      </c>
      <c r="W626" s="26">
        <v>1800000</v>
      </c>
      <c r="X626" s="6" t="s">
        <v>2003</v>
      </c>
      <c r="Y626" s="6" t="s">
        <v>1294</v>
      </c>
      <c r="Z626" s="6">
        <v>225663</v>
      </c>
    </row>
    <row r="627" spans="1:26" x14ac:dyDescent="0.3">
      <c r="A627" s="28" t="s">
        <v>42</v>
      </c>
      <c r="B627" s="6" t="s">
        <v>1325</v>
      </c>
      <c r="C627" s="6" t="s">
        <v>1978</v>
      </c>
      <c r="D627" s="6" t="s">
        <v>2001</v>
      </c>
      <c r="E627" s="6">
        <v>1</v>
      </c>
      <c r="F627" s="6" t="s">
        <v>2004</v>
      </c>
      <c r="G627" s="32" t="s">
        <v>2299</v>
      </c>
      <c r="H627" s="32" t="s">
        <v>2300</v>
      </c>
      <c r="I627" s="6" t="str">
        <f t="shared" si="22"/>
        <v>Hydraulic Pulverizer</v>
      </c>
      <c r="J627" s="6" t="s">
        <v>667</v>
      </c>
      <c r="K627" s="6">
        <v>1</v>
      </c>
      <c r="L627" s="6">
        <f t="shared" si="23"/>
        <v>19410000</v>
      </c>
      <c r="M627" s="6">
        <v>16500000</v>
      </c>
      <c r="N627" s="6" t="s">
        <v>2003</v>
      </c>
      <c r="O627" s="6" t="s">
        <v>813</v>
      </c>
      <c r="P627" s="6">
        <v>2014</v>
      </c>
      <c r="Q627" s="6">
        <v>1</v>
      </c>
      <c r="R627" s="6" t="s">
        <v>45</v>
      </c>
      <c r="S627" s="31" t="s">
        <v>2113</v>
      </c>
      <c r="T627" s="6">
        <v>1</v>
      </c>
      <c r="U627" s="26">
        <v>16000000</v>
      </c>
      <c r="V627" s="26">
        <v>16000000</v>
      </c>
      <c r="W627" s="26">
        <v>16000000</v>
      </c>
      <c r="X627" s="6" t="s">
        <v>2003</v>
      </c>
      <c r="Y627" s="6" t="s">
        <v>80</v>
      </c>
      <c r="Z627" s="6">
        <v>225684</v>
      </c>
    </row>
    <row r="628" spans="1:26" x14ac:dyDescent="0.3">
      <c r="A628" s="28" t="s">
        <v>42</v>
      </c>
      <c r="B628" s="6" t="s">
        <v>1328</v>
      </c>
      <c r="C628" s="6" t="s">
        <v>1975</v>
      </c>
      <c r="D628" s="6" t="s">
        <v>2001</v>
      </c>
      <c r="E628" s="6">
        <v>1</v>
      </c>
      <c r="F628" s="6" t="s">
        <v>2004</v>
      </c>
      <c r="G628" s="32" t="s">
        <v>2299</v>
      </c>
      <c r="H628" s="32" t="s">
        <v>2300</v>
      </c>
      <c r="I628" s="6" t="str">
        <f t="shared" si="22"/>
        <v>Side Breaker</v>
      </c>
      <c r="J628" s="6" t="s">
        <v>668</v>
      </c>
      <c r="K628" s="6">
        <v>1</v>
      </c>
      <c r="L628" s="6">
        <f t="shared" si="23"/>
        <v>11170000</v>
      </c>
      <c r="M628" s="6">
        <v>9500000</v>
      </c>
      <c r="N628" s="6" t="s">
        <v>2003</v>
      </c>
      <c r="O628" s="6" t="s">
        <v>814</v>
      </c>
      <c r="P628" s="6">
        <v>2015</v>
      </c>
      <c r="Q628" s="6">
        <v>10</v>
      </c>
      <c r="R628" s="6" t="s">
        <v>45</v>
      </c>
      <c r="S628" s="31" t="s">
        <v>2119</v>
      </c>
      <c r="T628" s="6">
        <v>1</v>
      </c>
      <c r="U628" s="26">
        <v>9000000</v>
      </c>
      <c r="V628" s="26">
        <v>9000000</v>
      </c>
      <c r="W628" s="26">
        <v>9000000</v>
      </c>
      <c r="X628" s="6" t="s">
        <v>2003</v>
      </c>
      <c r="Y628" s="6" t="s">
        <v>1194</v>
      </c>
      <c r="Z628" s="6">
        <v>225688</v>
      </c>
    </row>
    <row r="629" spans="1:26" x14ac:dyDescent="0.3">
      <c r="A629" s="28" t="s">
        <v>42</v>
      </c>
      <c r="B629" s="6" t="s">
        <v>1325</v>
      </c>
      <c r="C629" s="19" t="s">
        <v>2156</v>
      </c>
      <c r="D629" s="6" t="s">
        <v>2001</v>
      </c>
      <c r="E629" s="6">
        <v>1</v>
      </c>
      <c r="F629" s="6" t="s">
        <v>2004</v>
      </c>
      <c r="G629" s="32" t="s">
        <v>2299</v>
      </c>
      <c r="H629" s="32" t="s">
        <v>2300</v>
      </c>
      <c r="I629" s="6" t="str">
        <f t="shared" si="22"/>
        <v>Hydraulic Crusher</v>
      </c>
      <c r="J629" s="6" t="s">
        <v>181</v>
      </c>
      <c r="K629" s="6">
        <v>1</v>
      </c>
      <c r="L629" s="6">
        <f t="shared" si="23"/>
        <v>20000000</v>
      </c>
      <c r="M629" s="6">
        <v>17000000</v>
      </c>
      <c r="N629" s="6" t="s">
        <v>2003</v>
      </c>
      <c r="O629" s="6" t="s">
        <v>813</v>
      </c>
      <c r="P629" s="6">
        <v>2014</v>
      </c>
      <c r="Q629" s="6">
        <v>1</v>
      </c>
      <c r="R629" s="6" t="s">
        <v>45</v>
      </c>
      <c r="S629" s="31" t="s">
        <v>2113</v>
      </c>
      <c r="T629" s="6">
        <v>1</v>
      </c>
      <c r="U629" s="26">
        <v>16500000</v>
      </c>
      <c r="V629" s="26">
        <v>16500000</v>
      </c>
      <c r="W629" s="26">
        <v>16500000</v>
      </c>
      <c r="X629" s="6" t="s">
        <v>2003</v>
      </c>
      <c r="Y629" s="6" t="s">
        <v>80</v>
      </c>
      <c r="Z629" s="6">
        <v>225689</v>
      </c>
    </row>
    <row r="630" spans="1:26" x14ac:dyDescent="0.3">
      <c r="A630" s="28" t="s">
        <v>42</v>
      </c>
      <c r="B630" s="6" t="s">
        <v>1337</v>
      </c>
      <c r="C630" s="6"/>
      <c r="D630" s="6" t="s">
        <v>2001</v>
      </c>
      <c r="E630" s="6">
        <v>1</v>
      </c>
      <c r="F630" s="6" t="s">
        <v>2004</v>
      </c>
      <c r="G630" s="32" t="s">
        <v>2299</v>
      </c>
      <c r="H630" s="32" t="s">
        <v>2300</v>
      </c>
      <c r="I630" s="6" t="str">
        <f t="shared" si="22"/>
        <v>ETC</v>
      </c>
      <c r="J630" s="6" t="s">
        <v>400</v>
      </c>
      <c r="K630" s="6">
        <v>1</v>
      </c>
      <c r="L630" s="6">
        <f t="shared" si="23"/>
        <v>12940000</v>
      </c>
      <c r="M630" s="6">
        <v>11000000</v>
      </c>
      <c r="N630" s="6" t="s">
        <v>2003</v>
      </c>
      <c r="O630" s="6" t="s">
        <v>813</v>
      </c>
      <c r="P630" s="6">
        <v>2014</v>
      </c>
      <c r="Q630" s="6">
        <v>1</v>
      </c>
      <c r="R630" s="6" t="s">
        <v>45</v>
      </c>
      <c r="S630" s="31" t="s">
        <v>2113</v>
      </c>
      <c r="T630" s="6">
        <v>1</v>
      </c>
      <c r="U630" s="26">
        <v>10500000</v>
      </c>
      <c r="V630" s="26">
        <v>10500000</v>
      </c>
      <c r="W630" s="26">
        <v>10500000</v>
      </c>
      <c r="X630" s="6" t="s">
        <v>2003</v>
      </c>
      <c r="Y630" s="6" t="s">
        <v>80</v>
      </c>
      <c r="Z630" s="6">
        <v>225692</v>
      </c>
    </row>
    <row r="631" spans="1:26" x14ac:dyDescent="0.3">
      <c r="A631" s="28" t="s">
        <v>42</v>
      </c>
      <c r="B631" s="6" t="s">
        <v>1326</v>
      </c>
      <c r="C631" s="6" t="s">
        <v>1972</v>
      </c>
      <c r="D631" s="6" t="s">
        <v>2001</v>
      </c>
      <c r="E631" s="6">
        <v>1</v>
      </c>
      <c r="F631" s="6" t="s">
        <v>2004</v>
      </c>
      <c r="G631" s="32" t="s">
        <v>2299</v>
      </c>
      <c r="H631" s="32" t="s">
        <v>2300</v>
      </c>
      <c r="I631" s="6" t="str">
        <f t="shared" si="22"/>
        <v>Stone Grapple</v>
      </c>
      <c r="J631" s="6" t="s">
        <v>174</v>
      </c>
      <c r="K631" s="6">
        <v>1</v>
      </c>
      <c r="L631" s="6">
        <f t="shared" si="23"/>
        <v>8820000</v>
      </c>
      <c r="M631" s="6">
        <v>7500000</v>
      </c>
      <c r="N631" s="6" t="s">
        <v>2003</v>
      </c>
      <c r="O631" s="6" t="s">
        <v>2033</v>
      </c>
      <c r="P631" s="6">
        <v>2015</v>
      </c>
      <c r="Q631" s="6">
        <v>5</v>
      </c>
      <c r="R631" s="6" t="s">
        <v>45</v>
      </c>
      <c r="S631" s="31" t="s">
        <v>2123</v>
      </c>
      <c r="T631" s="6">
        <v>1</v>
      </c>
      <c r="U631" s="26">
        <v>7000000</v>
      </c>
      <c r="V631" s="26">
        <v>7000000</v>
      </c>
      <c r="W631" s="26">
        <v>7000000</v>
      </c>
      <c r="X631" s="6" t="s">
        <v>2003</v>
      </c>
      <c r="Y631" s="6" t="s">
        <v>1219</v>
      </c>
      <c r="Z631" s="6">
        <v>225694</v>
      </c>
    </row>
    <row r="632" spans="1:26" x14ac:dyDescent="0.3">
      <c r="A632" s="28" t="s">
        <v>42</v>
      </c>
      <c r="B632" s="6" t="s">
        <v>1326</v>
      </c>
      <c r="C632" s="6" t="s">
        <v>1973</v>
      </c>
      <c r="D632" s="6" t="s">
        <v>2292</v>
      </c>
      <c r="E632" s="6">
        <v>1</v>
      </c>
      <c r="F632" s="6" t="s">
        <v>2004</v>
      </c>
      <c r="G632" s="32" t="s">
        <v>2299</v>
      </c>
      <c r="H632" s="32" t="s">
        <v>2300</v>
      </c>
      <c r="I632" s="6" t="str">
        <f t="shared" si="22"/>
        <v>Wood Grapple</v>
      </c>
      <c r="J632" s="6" t="s">
        <v>669</v>
      </c>
      <c r="K632" s="6">
        <v>1</v>
      </c>
      <c r="L632" s="6">
        <f t="shared" si="23"/>
        <v>5640000</v>
      </c>
      <c r="M632" s="6">
        <v>4800000</v>
      </c>
      <c r="N632" s="6" t="s">
        <v>2003</v>
      </c>
      <c r="O632" s="6" t="s">
        <v>2007</v>
      </c>
      <c r="P632" s="6">
        <v>2014</v>
      </c>
      <c r="Q632" s="6">
        <v>1</v>
      </c>
      <c r="R632" s="6" t="s">
        <v>45</v>
      </c>
      <c r="S632" s="31" t="s">
        <v>2113</v>
      </c>
      <c r="T632" s="6">
        <v>1</v>
      </c>
      <c r="U632" s="26">
        <v>4600000</v>
      </c>
      <c r="V632" s="26">
        <v>4600000</v>
      </c>
      <c r="W632" s="26">
        <v>4600000</v>
      </c>
      <c r="X632" s="6" t="s">
        <v>2003</v>
      </c>
      <c r="Y632" s="6" t="s">
        <v>49</v>
      </c>
      <c r="Z632" s="6">
        <v>225695</v>
      </c>
    </row>
    <row r="633" spans="1:26" x14ac:dyDescent="0.3">
      <c r="A633" s="28" t="s">
        <v>42</v>
      </c>
      <c r="B633" s="6" t="s">
        <v>1326</v>
      </c>
      <c r="C633" s="6" t="s">
        <v>1979</v>
      </c>
      <c r="D633" s="6" t="s">
        <v>2290</v>
      </c>
      <c r="E633" s="6">
        <v>1</v>
      </c>
      <c r="F633" s="6" t="s">
        <v>2004</v>
      </c>
      <c r="G633" s="32" t="s">
        <v>2299</v>
      </c>
      <c r="H633" s="32" t="s">
        <v>2300</v>
      </c>
      <c r="I633" s="6" t="str">
        <f t="shared" si="22"/>
        <v>Thumb Grapple</v>
      </c>
      <c r="J633" s="6" t="s">
        <v>654</v>
      </c>
      <c r="K633" s="6">
        <v>1</v>
      </c>
      <c r="L633" s="6">
        <f t="shared" si="23"/>
        <v>2580000</v>
      </c>
      <c r="M633" s="6">
        <v>2200000</v>
      </c>
      <c r="N633" s="6" t="s">
        <v>2003</v>
      </c>
      <c r="O633" s="6" t="s">
        <v>813</v>
      </c>
      <c r="P633" s="6">
        <v>2014</v>
      </c>
      <c r="Q633" s="6">
        <v>1</v>
      </c>
      <c r="R633" s="6" t="s">
        <v>45</v>
      </c>
      <c r="S633" s="31" t="s">
        <v>2113</v>
      </c>
      <c r="T633" s="6">
        <v>1</v>
      </c>
      <c r="U633" s="26">
        <v>2000000</v>
      </c>
      <c r="V633" s="26">
        <v>2000000</v>
      </c>
      <c r="W633" s="26">
        <v>2000000</v>
      </c>
      <c r="X633" s="6" t="s">
        <v>2003</v>
      </c>
      <c r="Y633" s="6" t="s">
        <v>80</v>
      </c>
      <c r="Z633" s="6">
        <v>225696</v>
      </c>
    </row>
    <row r="634" spans="1:26" x14ac:dyDescent="0.3">
      <c r="A634" s="28" t="s">
        <v>42</v>
      </c>
      <c r="B634" s="6" t="s">
        <v>1326</v>
      </c>
      <c r="C634" s="6" t="s">
        <v>1972</v>
      </c>
      <c r="D634" s="6" t="s">
        <v>2291</v>
      </c>
      <c r="E634" s="6">
        <v>1</v>
      </c>
      <c r="F634" s="6" t="s">
        <v>2004</v>
      </c>
      <c r="G634" s="32" t="s">
        <v>2299</v>
      </c>
      <c r="H634" s="32" t="s">
        <v>2300</v>
      </c>
      <c r="I634" s="6" t="str">
        <f t="shared" si="22"/>
        <v>Stone Grapple</v>
      </c>
      <c r="J634" s="6" t="s">
        <v>252</v>
      </c>
      <c r="K634" s="6">
        <v>1</v>
      </c>
      <c r="L634" s="6">
        <f t="shared" si="23"/>
        <v>4350000</v>
      </c>
      <c r="M634" s="6">
        <v>3700000</v>
      </c>
      <c r="N634" s="6" t="s">
        <v>2003</v>
      </c>
      <c r="O634" s="6" t="s">
        <v>2071</v>
      </c>
      <c r="P634" s="6">
        <v>2016</v>
      </c>
      <c r="Q634" s="6">
        <v>1</v>
      </c>
      <c r="R634" s="6" t="s">
        <v>45</v>
      </c>
      <c r="S634" s="31" t="s">
        <v>2113</v>
      </c>
      <c r="T634" s="6">
        <v>1</v>
      </c>
      <c r="U634" s="26">
        <v>3500000</v>
      </c>
      <c r="V634" s="26">
        <v>3500000</v>
      </c>
      <c r="W634" s="26">
        <v>3500000</v>
      </c>
      <c r="X634" s="6" t="s">
        <v>2003</v>
      </c>
      <c r="Y634" s="6" t="s">
        <v>49</v>
      </c>
      <c r="Z634" s="6">
        <v>225698</v>
      </c>
    </row>
    <row r="635" spans="1:26" x14ac:dyDescent="0.3">
      <c r="A635" s="28" t="s">
        <v>42</v>
      </c>
      <c r="B635" s="6" t="s">
        <v>1337</v>
      </c>
      <c r="C635" s="6"/>
      <c r="D635" s="6" t="s">
        <v>2292</v>
      </c>
      <c r="E635" s="6">
        <v>1</v>
      </c>
      <c r="F635" s="6" t="s">
        <v>2004</v>
      </c>
      <c r="G635" s="32" t="s">
        <v>2299</v>
      </c>
      <c r="H635" s="32" t="s">
        <v>2300</v>
      </c>
      <c r="I635" s="6" t="str">
        <f t="shared" si="22"/>
        <v>ETC</v>
      </c>
      <c r="J635" s="6" t="s">
        <v>476</v>
      </c>
      <c r="K635" s="6">
        <v>1</v>
      </c>
      <c r="L635" s="6">
        <f t="shared" si="23"/>
        <v>13520000</v>
      </c>
      <c r="M635" s="6">
        <v>11500000</v>
      </c>
      <c r="N635" s="6" t="s">
        <v>2003</v>
      </c>
      <c r="O635" s="6" t="s">
        <v>2033</v>
      </c>
      <c r="P635" s="6">
        <v>2014</v>
      </c>
      <c r="Q635" s="6">
        <v>9</v>
      </c>
      <c r="R635" s="6" t="s">
        <v>45</v>
      </c>
      <c r="S635" s="31" t="s">
        <v>2121</v>
      </c>
      <c r="T635" s="6">
        <v>1</v>
      </c>
      <c r="U635" s="26">
        <v>11000000</v>
      </c>
      <c r="V635" s="26">
        <v>11000000</v>
      </c>
      <c r="W635" s="26">
        <v>11000000</v>
      </c>
      <c r="X635" s="6" t="s">
        <v>2003</v>
      </c>
      <c r="Y635" s="6" t="s">
        <v>1218</v>
      </c>
      <c r="Z635" s="6">
        <v>225699</v>
      </c>
    </row>
    <row r="636" spans="1:26" x14ac:dyDescent="0.3">
      <c r="A636" s="28" t="s">
        <v>42</v>
      </c>
      <c r="B636" s="6" t="s">
        <v>1325</v>
      </c>
      <c r="C636" s="6" t="s">
        <v>1978</v>
      </c>
      <c r="D636" s="6" t="s">
        <v>2290</v>
      </c>
      <c r="E636" s="6">
        <v>1</v>
      </c>
      <c r="F636" s="6" t="s">
        <v>2004</v>
      </c>
      <c r="G636" s="32" t="s">
        <v>2299</v>
      </c>
      <c r="H636" s="32" t="s">
        <v>2300</v>
      </c>
      <c r="I636" s="6" t="str">
        <f t="shared" si="22"/>
        <v>Hydraulic Pulverizer</v>
      </c>
      <c r="J636" s="6" t="s">
        <v>409</v>
      </c>
      <c r="K636" s="6">
        <v>1</v>
      </c>
      <c r="L636" s="6">
        <f t="shared" si="23"/>
        <v>7640000</v>
      </c>
      <c r="M636" s="6">
        <v>6500000</v>
      </c>
      <c r="N636" s="6" t="s">
        <v>2003</v>
      </c>
      <c r="O636" s="6" t="s">
        <v>813</v>
      </c>
      <c r="P636" s="6">
        <v>2014</v>
      </c>
      <c r="Q636" s="6">
        <v>1</v>
      </c>
      <c r="R636" s="6" t="s">
        <v>45</v>
      </c>
      <c r="S636" s="31" t="s">
        <v>2113</v>
      </c>
      <c r="T636" s="6">
        <v>1</v>
      </c>
      <c r="U636" s="26">
        <v>6000000</v>
      </c>
      <c r="V636" s="26">
        <v>6000000</v>
      </c>
      <c r="W636" s="26">
        <v>6000000</v>
      </c>
      <c r="X636" s="6" t="s">
        <v>2003</v>
      </c>
      <c r="Y636" s="6" t="s">
        <v>80</v>
      </c>
      <c r="Z636" s="6">
        <v>225700</v>
      </c>
    </row>
    <row r="637" spans="1:26" x14ac:dyDescent="0.3">
      <c r="A637" s="28" t="s">
        <v>42</v>
      </c>
      <c r="B637" s="6" t="s">
        <v>1326</v>
      </c>
      <c r="C637" s="6" t="s">
        <v>1972</v>
      </c>
      <c r="D637" s="6" t="s">
        <v>2291</v>
      </c>
      <c r="E637" s="6">
        <v>1</v>
      </c>
      <c r="F637" s="6" t="s">
        <v>2004</v>
      </c>
      <c r="G637" s="32" t="s">
        <v>2299</v>
      </c>
      <c r="H637" s="32" t="s">
        <v>2300</v>
      </c>
      <c r="I637" s="6" t="str">
        <f t="shared" si="22"/>
        <v>Stone Grapple</v>
      </c>
      <c r="J637" s="6" t="s">
        <v>109</v>
      </c>
      <c r="K637" s="6">
        <v>1</v>
      </c>
      <c r="L637" s="6">
        <f t="shared" si="23"/>
        <v>4350000</v>
      </c>
      <c r="M637" s="6">
        <v>3700000</v>
      </c>
      <c r="N637" s="6" t="s">
        <v>2003</v>
      </c>
      <c r="O637" s="6" t="s">
        <v>2007</v>
      </c>
      <c r="P637" s="6">
        <v>2016</v>
      </c>
      <c r="Q637" s="6">
        <v>1</v>
      </c>
      <c r="R637" s="6" t="s">
        <v>45</v>
      </c>
      <c r="S637" s="31" t="s">
        <v>2113</v>
      </c>
      <c r="T637" s="6">
        <v>1</v>
      </c>
      <c r="U637" s="26">
        <v>3500000</v>
      </c>
      <c r="V637" s="26">
        <v>3500000</v>
      </c>
      <c r="W637" s="26">
        <v>3500000</v>
      </c>
      <c r="X637" s="6" t="s">
        <v>2003</v>
      </c>
      <c r="Y637" s="6" t="s">
        <v>49</v>
      </c>
      <c r="Z637" s="6">
        <v>225702</v>
      </c>
    </row>
    <row r="638" spans="1:26" x14ac:dyDescent="0.3">
      <c r="A638" s="28" t="s">
        <v>42</v>
      </c>
      <c r="B638" s="6" t="s">
        <v>1328</v>
      </c>
      <c r="C638" s="6" t="s">
        <v>1975</v>
      </c>
      <c r="D638" s="6" t="s">
        <v>2291</v>
      </c>
      <c r="E638" s="6">
        <v>1</v>
      </c>
      <c r="F638" s="6" t="s">
        <v>2004</v>
      </c>
      <c r="G638" s="32" t="s">
        <v>2299</v>
      </c>
      <c r="H638" s="32" t="s">
        <v>2300</v>
      </c>
      <c r="I638" s="6" t="str">
        <f t="shared" si="22"/>
        <v>Side Breaker</v>
      </c>
      <c r="J638" s="6" t="s">
        <v>266</v>
      </c>
      <c r="K638" s="6">
        <v>1</v>
      </c>
      <c r="L638" s="6">
        <f t="shared" si="23"/>
        <v>2820000</v>
      </c>
      <c r="M638" s="6">
        <v>2400000</v>
      </c>
      <c r="N638" s="6" t="s">
        <v>2003</v>
      </c>
      <c r="O638" s="6" t="s">
        <v>2011</v>
      </c>
      <c r="P638" s="6">
        <v>2016</v>
      </c>
      <c r="Q638" s="6">
        <v>6</v>
      </c>
      <c r="R638" s="6" t="s">
        <v>45</v>
      </c>
      <c r="S638" s="31" t="s">
        <v>2123</v>
      </c>
      <c r="T638" s="6">
        <v>1</v>
      </c>
      <c r="U638" s="26">
        <v>2200000</v>
      </c>
      <c r="V638" s="26">
        <v>2200000</v>
      </c>
      <c r="W638" s="26">
        <v>2200000</v>
      </c>
      <c r="X638" s="6" t="s">
        <v>2003</v>
      </c>
      <c r="Y638" s="6" t="s">
        <v>1200</v>
      </c>
      <c r="Z638" s="6">
        <v>225709</v>
      </c>
    </row>
    <row r="639" spans="1:26" x14ac:dyDescent="0.3">
      <c r="A639" s="28" t="s">
        <v>42</v>
      </c>
      <c r="B639" s="6" t="s">
        <v>1325</v>
      </c>
      <c r="C639" s="19" t="s">
        <v>2156</v>
      </c>
      <c r="D639" s="6" t="s">
        <v>2292</v>
      </c>
      <c r="E639" s="6">
        <v>1</v>
      </c>
      <c r="F639" s="6" t="s">
        <v>2004</v>
      </c>
      <c r="G639" s="32" t="s">
        <v>2299</v>
      </c>
      <c r="H639" s="32" t="s">
        <v>2300</v>
      </c>
      <c r="I639" s="6" t="str">
        <f t="shared" si="22"/>
        <v>Hydraulic Crusher</v>
      </c>
      <c r="J639" s="6" t="s">
        <v>192</v>
      </c>
      <c r="K639" s="6">
        <v>1</v>
      </c>
      <c r="L639" s="6">
        <f t="shared" si="23"/>
        <v>8820000</v>
      </c>
      <c r="M639" s="6">
        <v>7500000</v>
      </c>
      <c r="N639" s="6" t="s">
        <v>2003</v>
      </c>
      <c r="O639" s="6" t="s">
        <v>2007</v>
      </c>
      <c r="P639" s="6">
        <v>2012</v>
      </c>
      <c r="Q639" s="6">
        <v>1</v>
      </c>
      <c r="R639" s="6" t="s">
        <v>45</v>
      </c>
      <c r="S639" s="31" t="s">
        <v>2113</v>
      </c>
      <c r="T639" s="6">
        <v>1</v>
      </c>
      <c r="U639" s="26">
        <v>7000000</v>
      </c>
      <c r="V639" s="26">
        <v>7000000</v>
      </c>
      <c r="W639" s="26">
        <v>7000000</v>
      </c>
      <c r="X639" s="6" t="s">
        <v>2003</v>
      </c>
      <c r="Y639" s="6" t="s">
        <v>49</v>
      </c>
      <c r="Z639" s="6">
        <v>225713</v>
      </c>
    </row>
    <row r="640" spans="1:26" x14ac:dyDescent="0.3">
      <c r="A640" s="28" t="s">
        <v>42</v>
      </c>
      <c r="B640" s="6" t="s">
        <v>1326</v>
      </c>
      <c r="C640" s="6" t="s">
        <v>1979</v>
      </c>
      <c r="D640" s="6" t="s">
        <v>2292</v>
      </c>
      <c r="E640" s="6">
        <v>1</v>
      </c>
      <c r="F640" s="6" t="s">
        <v>2004</v>
      </c>
      <c r="G640" s="32" t="s">
        <v>2299</v>
      </c>
      <c r="H640" s="32" t="s">
        <v>2300</v>
      </c>
      <c r="I640" s="6" t="str">
        <f t="shared" si="22"/>
        <v>Thumb Grapple</v>
      </c>
      <c r="J640" s="6" t="s">
        <v>59</v>
      </c>
      <c r="K640" s="6">
        <v>1</v>
      </c>
      <c r="L640" s="6">
        <f t="shared" si="23"/>
        <v>940000</v>
      </c>
      <c r="M640" s="6">
        <v>800000</v>
      </c>
      <c r="N640" s="6" t="s">
        <v>2003</v>
      </c>
      <c r="O640" s="6" t="s">
        <v>813</v>
      </c>
      <c r="P640" s="6">
        <v>2013</v>
      </c>
      <c r="Q640" s="6">
        <v>1</v>
      </c>
      <c r="R640" s="6" t="s">
        <v>45</v>
      </c>
      <c r="S640" s="31" t="s">
        <v>2113</v>
      </c>
      <c r="T640" s="6">
        <v>1</v>
      </c>
      <c r="U640" s="26">
        <v>700000</v>
      </c>
      <c r="V640" s="26">
        <v>700000</v>
      </c>
      <c r="W640" s="26">
        <v>700000</v>
      </c>
      <c r="X640" s="6" t="s">
        <v>2003</v>
      </c>
      <c r="Y640" s="6" t="s">
        <v>79</v>
      </c>
      <c r="Z640" s="6">
        <v>225715</v>
      </c>
    </row>
    <row r="641" spans="1:26" x14ac:dyDescent="0.3">
      <c r="A641" s="28" t="s">
        <v>42</v>
      </c>
      <c r="B641" s="6" t="s">
        <v>1326</v>
      </c>
      <c r="C641" s="6" t="s">
        <v>1974</v>
      </c>
      <c r="D641" s="6" t="s">
        <v>2291</v>
      </c>
      <c r="E641" s="6">
        <v>1</v>
      </c>
      <c r="F641" s="6" t="s">
        <v>2004</v>
      </c>
      <c r="G641" s="32" t="s">
        <v>2299</v>
      </c>
      <c r="H641" s="32" t="s">
        <v>2300</v>
      </c>
      <c r="I641" s="6" t="str">
        <f t="shared" si="22"/>
        <v>Etc Grapple</v>
      </c>
      <c r="J641" s="6" t="s">
        <v>136</v>
      </c>
      <c r="K641" s="6">
        <v>1</v>
      </c>
      <c r="L641" s="6">
        <f t="shared" si="23"/>
        <v>3170000</v>
      </c>
      <c r="M641" s="6">
        <v>2700000</v>
      </c>
      <c r="N641" s="6" t="s">
        <v>2003</v>
      </c>
      <c r="O641" s="6" t="s">
        <v>1041</v>
      </c>
      <c r="P641" s="6">
        <v>2010</v>
      </c>
      <c r="Q641" s="6">
        <v>1</v>
      </c>
      <c r="R641" s="6" t="s">
        <v>45</v>
      </c>
      <c r="S641" s="31" t="s">
        <v>2120</v>
      </c>
      <c r="T641" s="6">
        <v>1</v>
      </c>
      <c r="U641" s="26">
        <v>2500000</v>
      </c>
      <c r="V641" s="26">
        <v>2500000</v>
      </c>
      <c r="W641" s="26">
        <v>2500000</v>
      </c>
      <c r="X641" s="6" t="s">
        <v>2003</v>
      </c>
      <c r="Y641" s="6" t="s">
        <v>1299</v>
      </c>
      <c r="Z641" s="6">
        <v>225717</v>
      </c>
    </row>
    <row r="642" spans="1:26" x14ac:dyDescent="0.3">
      <c r="A642" s="28" t="s">
        <v>42</v>
      </c>
      <c r="B642" s="6" t="s">
        <v>1328</v>
      </c>
      <c r="C642" s="6" t="s">
        <v>1975</v>
      </c>
      <c r="D642" s="6" t="s">
        <v>2290</v>
      </c>
      <c r="E642" s="6">
        <v>1</v>
      </c>
      <c r="F642" s="6" t="s">
        <v>2004</v>
      </c>
      <c r="G642" s="32" t="s">
        <v>2299</v>
      </c>
      <c r="H642" s="32" t="s">
        <v>2300</v>
      </c>
      <c r="I642" s="6" t="str">
        <f t="shared" si="22"/>
        <v>Side Breaker</v>
      </c>
      <c r="J642" s="6" t="s">
        <v>671</v>
      </c>
      <c r="K642" s="6">
        <v>1</v>
      </c>
      <c r="L642" s="6">
        <f t="shared" si="23"/>
        <v>3050000</v>
      </c>
      <c r="M642" s="6">
        <v>2600000</v>
      </c>
      <c r="N642" s="6" t="s">
        <v>2003</v>
      </c>
      <c r="O642" s="6" t="s">
        <v>1042</v>
      </c>
      <c r="P642" s="6">
        <v>2017</v>
      </c>
      <c r="Q642" s="6">
        <v>1</v>
      </c>
      <c r="R642" s="6" t="s">
        <v>45</v>
      </c>
      <c r="S642" s="31" t="s">
        <v>2119</v>
      </c>
      <c r="T642" s="6">
        <v>1</v>
      </c>
      <c r="U642" s="26">
        <v>2400000</v>
      </c>
      <c r="V642" s="26">
        <v>2400000</v>
      </c>
      <c r="W642" s="26">
        <v>2400000</v>
      </c>
      <c r="X642" s="6" t="s">
        <v>2003</v>
      </c>
      <c r="Y642" s="6" t="s">
        <v>1277</v>
      </c>
      <c r="Z642" s="6">
        <v>225718</v>
      </c>
    </row>
    <row r="643" spans="1:26" x14ac:dyDescent="0.3">
      <c r="A643" s="28" t="s">
        <v>42</v>
      </c>
      <c r="B643" s="6" t="s">
        <v>2172</v>
      </c>
      <c r="C643" s="6"/>
      <c r="D643" s="6" t="s">
        <v>2292</v>
      </c>
      <c r="E643" s="6">
        <v>1</v>
      </c>
      <c r="F643" s="6" t="s">
        <v>2004</v>
      </c>
      <c r="G643" s="32" t="s">
        <v>2299</v>
      </c>
      <c r="H643" s="32" t="s">
        <v>2300</v>
      </c>
      <c r="I643" s="6" t="str">
        <f t="shared" si="22"/>
        <v>Quick Coupler</v>
      </c>
      <c r="J643" s="6" t="s">
        <v>259</v>
      </c>
      <c r="K643" s="6">
        <v>1</v>
      </c>
      <c r="L643" s="6">
        <f t="shared" si="23"/>
        <v>1050000</v>
      </c>
      <c r="M643" s="6">
        <v>900000</v>
      </c>
      <c r="N643" s="6" t="s">
        <v>2003</v>
      </c>
      <c r="O643" s="6" t="s">
        <v>2007</v>
      </c>
      <c r="P643" s="6">
        <v>2014</v>
      </c>
      <c r="Q643" s="6">
        <v>1</v>
      </c>
      <c r="R643" s="6" t="s">
        <v>45</v>
      </c>
      <c r="S643" s="31" t="s">
        <v>2113</v>
      </c>
      <c r="T643" s="6">
        <v>1</v>
      </c>
      <c r="U643" s="26">
        <v>800000</v>
      </c>
      <c r="V643" s="26">
        <v>800000</v>
      </c>
      <c r="W643" s="26">
        <v>800000</v>
      </c>
      <c r="X643" s="6" t="s">
        <v>2003</v>
      </c>
      <c r="Y643" s="6" t="s">
        <v>49</v>
      </c>
      <c r="Z643" s="6">
        <v>225722</v>
      </c>
    </row>
    <row r="644" spans="1:26" x14ac:dyDescent="0.3">
      <c r="A644" s="28" t="s">
        <v>42</v>
      </c>
      <c r="B644" s="6" t="s">
        <v>1326</v>
      </c>
      <c r="C644" s="6" t="s">
        <v>1972</v>
      </c>
      <c r="D644" s="6" t="s">
        <v>2292</v>
      </c>
      <c r="E644" s="6">
        <v>1</v>
      </c>
      <c r="F644" s="6" t="s">
        <v>2004</v>
      </c>
      <c r="G644" s="32" t="s">
        <v>2299</v>
      </c>
      <c r="H644" s="32" t="s">
        <v>2300</v>
      </c>
      <c r="I644" s="6" t="str">
        <f t="shared" si="22"/>
        <v>Stone Grapple</v>
      </c>
      <c r="J644" s="6" t="s">
        <v>197</v>
      </c>
      <c r="K644" s="6">
        <v>1</v>
      </c>
      <c r="L644" s="6">
        <f t="shared" si="23"/>
        <v>4350000</v>
      </c>
      <c r="M644" s="6">
        <v>3700000</v>
      </c>
      <c r="N644" s="6" t="s">
        <v>2003</v>
      </c>
      <c r="O644" s="6" t="s">
        <v>2046</v>
      </c>
      <c r="P644" s="6">
        <v>2017</v>
      </c>
      <c r="Q644" s="6">
        <v>1</v>
      </c>
      <c r="R644" s="6" t="s">
        <v>45</v>
      </c>
      <c r="S644" s="31" t="s">
        <v>2110</v>
      </c>
      <c r="T644" s="6">
        <v>1</v>
      </c>
      <c r="U644" s="26">
        <v>3500000</v>
      </c>
      <c r="V644" s="26">
        <v>3500000</v>
      </c>
      <c r="W644" s="26">
        <v>3500000</v>
      </c>
      <c r="X644" s="6" t="s">
        <v>2003</v>
      </c>
      <c r="Y644" s="6" t="s">
        <v>1155</v>
      </c>
      <c r="Z644" s="6">
        <v>225729</v>
      </c>
    </row>
    <row r="645" spans="1:26" x14ac:dyDescent="0.3">
      <c r="A645" s="28" t="s">
        <v>42</v>
      </c>
      <c r="B645" s="6" t="s">
        <v>1326</v>
      </c>
      <c r="C645" s="6" t="s">
        <v>1972</v>
      </c>
      <c r="D645" s="6" t="s">
        <v>2290</v>
      </c>
      <c r="E645" s="6">
        <v>1</v>
      </c>
      <c r="F645" s="6" t="s">
        <v>2004</v>
      </c>
      <c r="G645" s="32" t="s">
        <v>2299</v>
      </c>
      <c r="H645" s="32" t="s">
        <v>2300</v>
      </c>
      <c r="I645" s="6" t="str">
        <f t="shared" si="22"/>
        <v>Stone Grapple</v>
      </c>
      <c r="J645" s="6" t="s">
        <v>94</v>
      </c>
      <c r="K645" s="6">
        <v>1</v>
      </c>
      <c r="L645" s="6">
        <f t="shared" si="23"/>
        <v>3760000</v>
      </c>
      <c r="M645" s="6">
        <v>3200000</v>
      </c>
      <c r="N645" s="6" t="s">
        <v>2003</v>
      </c>
      <c r="O645" s="6" t="s">
        <v>1043</v>
      </c>
      <c r="P645" s="6">
        <v>2015</v>
      </c>
      <c r="Q645" s="6">
        <v>6</v>
      </c>
      <c r="R645" s="6" t="s">
        <v>45</v>
      </c>
      <c r="S645" s="31" t="s">
        <v>2123</v>
      </c>
      <c r="T645" s="6">
        <v>1</v>
      </c>
      <c r="U645" s="26">
        <v>3000000</v>
      </c>
      <c r="V645" s="26">
        <v>3000000</v>
      </c>
      <c r="W645" s="26">
        <v>3000000</v>
      </c>
      <c r="X645" s="6" t="s">
        <v>2003</v>
      </c>
      <c r="Y645" s="6" t="s">
        <v>1187</v>
      </c>
      <c r="Z645" s="6">
        <v>225732</v>
      </c>
    </row>
    <row r="646" spans="1:26" x14ac:dyDescent="0.3">
      <c r="A646" s="28" t="s">
        <v>42</v>
      </c>
      <c r="B646" s="6" t="s">
        <v>2163</v>
      </c>
      <c r="C646" s="6"/>
      <c r="D646" s="6" t="s">
        <v>2291</v>
      </c>
      <c r="E646" s="6">
        <v>1</v>
      </c>
      <c r="F646" s="6" t="s">
        <v>2004</v>
      </c>
      <c r="G646" s="32" t="s">
        <v>2299</v>
      </c>
      <c r="H646" s="32" t="s">
        <v>2300</v>
      </c>
      <c r="I646" s="6" t="str">
        <f t="shared" si="22"/>
        <v>Lift Fork</v>
      </c>
      <c r="J646" s="6" t="s">
        <v>673</v>
      </c>
      <c r="K646" s="6">
        <v>1</v>
      </c>
      <c r="L646" s="6">
        <f t="shared" si="23"/>
        <v>470000</v>
      </c>
      <c r="M646" s="6">
        <v>400000</v>
      </c>
      <c r="N646" s="6" t="s">
        <v>2003</v>
      </c>
      <c r="O646" s="6" t="s">
        <v>2007</v>
      </c>
      <c r="P646" s="6">
        <v>2013</v>
      </c>
      <c r="Q646" s="6">
        <v>1</v>
      </c>
      <c r="R646" s="6" t="s">
        <v>45</v>
      </c>
      <c r="S646" s="31" t="s">
        <v>2113</v>
      </c>
      <c r="T646" s="6">
        <v>1</v>
      </c>
      <c r="U646" s="26">
        <v>350000</v>
      </c>
      <c r="V646" s="26">
        <v>350000</v>
      </c>
      <c r="W646" s="26">
        <v>350000</v>
      </c>
      <c r="X646" s="6" t="s">
        <v>2003</v>
      </c>
      <c r="Y646" s="6" t="s">
        <v>49</v>
      </c>
      <c r="Z646" s="6">
        <v>225733</v>
      </c>
    </row>
    <row r="647" spans="1:26" x14ac:dyDescent="0.3">
      <c r="A647" s="28" t="s">
        <v>42</v>
      </c>
      <c r="B647" s="6" t="s">
        <v>1327</v>
      </c>
      <c r="C647" s="6" t="s">
        <v>1980</v>
      </c>
      <c r="D647" s="6" t="s">
        <v>2292</v>
      </c>
      <c r="E647" s="6">
        <v>1</v>
      </c>
      <c r="F647" s="6" t="s">
        <v>2004</v>
      </c>
      <c r="G647" s="32" t="s">
        <v>2299</v>
      </c>
      <c r="H647" s="32" t="s">
        <v>2300</v>
      </c>
      <c r="I647" s="6" t="str">
        <f t="shared" si="22"/>
        <v>Small Bucket</v>
      </c>
      <c r="J647" s="6" t="s">
        <v>636</v>
      </c>
      <c r="K647" s="6">
        <v>1</v>
      </c>
      <c r="L647" s="6">
        <f t="shared" si="23"/>
        <v>880000</v>
      </c>
      <c r="M647" s="6">
        <v>750000</v>
      </c>
      <c r="N647" s="6" t="s">
        <v>2003</v>
      </c>
      <c r="O647" s="6" t="s">
        <v>813</v>
      </c>
      <c r="P647" s="6">
        <v>2013</v>
      </c>
      <c r="Q647" s="6">
        <v>1</v>
      </c>
      <c r="R647" s="6" t="s">
        <v>45</v>
      </c>
      <c r="S647" s="31" t="s">
        <v>2113</v>
      </c>
      <c r="T647" s="6">
        <v>1</v>
      </c>
      <c r="U647" s="26">
        <v>650000</v>
      </c>
      <c r="V647" s="26">
        <v>650000</v>
      </c>
      <c r="W647" s="26">
        <v>650000</v>
      </c>
      <c r="X647" s="6" t="s">
        <v>2003</v>
      </c>
      <c r="Y647" s="6" t="s">
        <v>79</v>
      </c>
      <c r="Z647" s="6">
        <v>225735</v>
      </c>
    </row>
    <row r="648" spans="1:26" x14ac:dyDescent="0.3">
      <c r="A648" s="28" t="s">
        <v>42</v>
      </c>
      <c r="B648" s="6" t="s">
        <v>1325</v>
      </c>
      <c r="C648" s="19" t="s">
        <v>2156</v>
      </c>
      <c r="D648" s="6" t="s">
        <v>2292</v>
      </c>
      <c r="E648" s="6">
        <v>1</v>
      </c>
      <c r="F648" s="6" t="s">
        <v>2004</v>
      </c>
      <c r="G648" s="32" t="s">
        <v>2299</v>
      </c>
      <c r="H648" s="32" t="s">
        <v>2300</v>
      </c>
      <c r="I648" s="6" t="str">
        <f t="shared" si="22"/>
        <v>Hydraulic Crusher</v>
      </c>
      <c r="J648" s="6" t="s">
        <v>192</v>
      </c>
      <c r="K648" s="6">
        <v>1</v>
      </c>
      <c r="L648" s="6">
        <f t="shared" si="23"/>
        <v>8820000</v>
      </c>
      <c r="M648" s="6">
        <v>7500000</v>
      </c>
      <c r="N648" s="6" t="s">
        <v>2003</v>
      </c>
      <c r="O648" s="6" t="s">
        <v>813</v>
      </c>
      <c r="P648" s="6">
        <v>2014</v>
      </c>
      <c r="Q648" s="6">
        <v>1</v>
      </c>
      <c r="R648" s="6" t="s">
        <v>45</v>
      </c>
      <c r="S648" s="31" t="s">
        <v>2113</v>
      </c>
      <c r="T648" s="6">
        <v>1</v>
      </c>
      <c r="U648" s="26">
        <v>7000000</v>
      </c>
      <c r="V648" s="26">
        <v>7000000</v>
      </c>
      <c r="W648" s="26">
        <v>7000000</v>
      </c>
      <c r="X648" s="6" t="s">
        <v>2003</v>
      </c>
      <c r="Y648" s="6" t="s">
        <v>80</v>
      </c>
      <c r="Z648" s="6">
        <v>225736</v>
      </c>
    </row>
    <row r="649" spans="1:26" x14ac:dyDescent="0.3">
      <c r="A649" s="28" t="s">
        <v>42</v>
      </c>
      <c r="B649" s="6" t="s">
        <v>1327</v>
      </c>
      <c r="C649" s="6" t="s">
        <v>1976</v>
      </c>
      <c r="D649" s="6" t="s">
        <v>2292</v>
      </c>
      <c r="E649" s="6">
        <v>1</v>
      </c>
      <c r="F649" s="6" t="s">
        <v>2004</v>
      </c>
      <c r="G649" s="32" t="s">
        <v>2299</v>
      </c>
      <c r="H649" s="32" t="s">
        <v>2300</v>
      </c>
      <c r="I649" s="6" t="str">
        <f t="shared" si="22"/>
        <v>Skeleton Bucket</v>
      </c>
      <c r="J649" s="6" t="s">
        <v>110</v>
      </c>
      <c r="K649" s="6">
        <v>1</v>
      </c>
      <c r="L649" s="6">
        <f t="shared" si="23"/>
        <v>1050000</v>
      </c>
      <c r="M649" s="6">
        <v>900000</v>
      </c>
      <c r="N649" s="6" t="s">
        <v>2003</v>
      </c>
      <c r="O649" s="6" t="s">
        <v>2007</v>
      </c>
      <c r="P649" s="6">
        <v>2013</v>
      </c>
      <c r="Q649" s="6">
        <v>1</v>
      </c>
      <c r="R649" s="6" t="s">
        <v>45</v>
      </c>
      <c r="S649" s="31" t="s">
        <v>2113</v>
      </c>
      <c r="T649" s="6">
        <v>1</v>
      </c>
      <c r="U649" s="26">
        <v>800000</v>
      </c>
      <c r="V649" s="26">
        <v>800000</v>
      </c>
      <c r="W649" s="26">
        <v>800000</v>
      </c>
      <c r="X649" s="6" t="s">
        <v>2003</v>
      </c>
      <c r="Y649" s="6" t="s">
        <v>49</v>
      </c>
      <c r="Z649" s="6">
        <v>225737</v>
      </c>
    </row>
    <row r="650" spans="1:26" x14ac:dyDescent="0.3">
      <c r="A650" s="28" t="s">
        <v>42</v>
      </c>
      <c r="B650" s="6" t="s">
        <v>1328</v>
      </c>
      <c r="C650" s="6" t="s">
        <v>1975</v>
      </c>
      <c r="D650" s="6" t="s">
        <v>2291</v>
      </c>
      <c r="E650" s="6">
        <v>1</v>
      </c>
      <c r="F650" s="6" t="s">
        <v>2004</v>
      </c>
      <c r="G650" s="32" t="s">
        <v>2299</v>
      </c>
      <c r="H650" s="32" t="s">
        <v>2300</v>
      </c>
      <c r="I650" s="6" t="str">
        <f t="shared" si="22"/>
        <v>Side Breaker</v>
      </c>
      <c r="J650" s="6" t="s">
        <v>751</v>
      </c>
      <c r="K650" s="6">
        <v>1</v>
      </c>
      <c r="L650" s="6">
        <f t="shared" si="23"/>
        <v>1700000</v>
      </c>
      <c r="M650" s="6">
        <v>1450000</v>
      </c>
      <c r="N650" s="6" t="s">
        <v>2003</v>
      </c>
      <c r="O650" s="6" t="s">
        <v>822</v>
      </c>
      <c r="P650" s="6">
        <v>2013</v>
      </c>
      <c r="Q650" s="6">
        <v>6</v>
      </c>
      <c r="R650" s="6" t="s">
        <v>45</v>
      </c>
      <c r="S650" s="31" t="s">
        <v>2123</v>
      </c>
      <c r="T650" s="6">
        <v>1</v>
      </c>
      <c r="U650" s="26">
        <v>1350000</v>
      </c>
      <c r="V650" s="26">
        <v>1350000</v>
      </c>
      <c r="W650" s="26">
        <v>1350000</v>
      </c>
      <c r="X650" s="6" t="s">
        <v>2003</v>
      </c>
      <c r="Y650" s="6" t="s">
        <v>92</v>
      </c>
      <c r="Z650" s="6">
        <v>225738</v>
      </c>
    </row>
    <row r="651" spans="1:26" x14ac:dyDescent="0.3">
      <c r="A651" s="28" t="s">
        <v>42</v>
      </c>
      <c r="B651" s="6" t="s">
        <v>1327</v>
      </c>
      <c r="C651" s="6" t="s">
        <v>1971</v>
      </c>
      <c r="D651" s="6" t="s">
        <v>2289</v>
      </c>
      <c r="E651" s="6">
        <v>1</v>
      </c>
      <c r="F651" s="6" t="s">
        <v>2004</v>
      </c>
      <c r="G651" s="32" t="s">
        <v>2299</v>
      </c>
      <c r="H651" s="32" t="s">
        <v>2300</v>
      </c>
      <c r="I651" s="6" t="str">
        <f t="shared" ref="I651:I714" si="24">IF(ISBLANK(C651),B651,C651)</f>
        <v>Special Bucket</v>
      </c>
      <c r="J651" s="6" t="s">
        <v>674</v>
      </c>
      <c r="K651" s="6">
        <v>1</v>
      </c>
      <c r="L651" s="6">
        <f t="shared" ref="L651:L714" si="25">FLOOR(((M651*100)/85)/10000, 1)*10000</f>
        <v>5520000</v>
      </c>
      <c r="M651" s="6">
        <v>4700000</v>
      </c>
      <c r="N651" s="6" t="s">
        <v>2003</v>
      </c>
      <c r="O651" s="6" t="s">
        <v>1045</v>
      </c>
      <c r="P651" s="6">
        <v>2013</v>
      </c>
      <c r="Q651" s="6">
        <v>6</v>
      </c>
      <c r="R651" s="6" t="s">
        <v>45</v>
      </c>
      <c r="S651" s="31" t="s">
        <v>2120</v>
      </c>
      <c r="T651" s="6">
        <v>1</v>
      </c>
      <c r="U651" s="26">
        <v>4500000</v>
      </c>
      <c r="V651" s="26">
        <v>4500000</v>
      </c>
      <c r="W651" s="26">
        <v>4500000</v>
      </c>
      <c r="X651" s="6" t="s">
        <v>2003</v>
      </c>
      <c r="Y651" s="6" t="s">
        <v>1205</v>
      </c>
      <c r="Z651" s="6">
        <v>225741</v>
      </c>
    </row>
    <row r="652" spans="1:26" x14ac:dyDescent="0.3">
      <c r="A652" s="28" t="s">
        <v>42</v>
      </c>
      <c r="B652" s="6" t="s">
        <v>1337</v>
      </c>
      <c r="C652" s="6"/>
      <c r="D652" s="6" t="s">
        <v>2289</v>
      </c>
      <c r="E652" s="6">
        <v>1</v>
      </c>
      <c r="F652" s="6" t="s">
        <v>2004</v>
      </c>
      <c r="G652" s="32" t="s">
        <v>2299</v>
      </c>
      <c r="H652" s="32" t="s">
        <v>2300</v>
      </c>
      <c r="I652" s="6" t="str">
        <f t="shared" si="24"/>
        <v>ETC</v>
      </c>
      <c r="J652" s="6" t="s">
        <v>675</v>
      </c>
      <c r="K652" s="6">
        <v>1</v>
      </c>
      <c r="L652" s="6">
        <f t="shared" si="25"/>
        <v>4110000</v>
      </c>
      <c r="M652" s="6">
        <v>3500000</v>
      </c>
      <c r="N652" s="6" t="s">
        <v>2003</v>
      </c>
      <c r="O652" s="6" t="s">
        <v>1046</v>
      </c>
      <c r="P652" s="6">
        <v>2005</v>
      </c>
      <c r="Q652" s="6">
        <v>12</v>
      </c>
      <c r="R652" s="6" t="s">
        <v>45</v>
      </c>
      <c r="S652" s="31" t="s">
        <v>2117</v>
      </c>
      <c r="T652" s="6">
        <v>1</v>
      </c>
      <c r="U652" s="26">
        <v>3300000</v>
      </c>
      <c r="V652" s="26">
        <v>3300000</v>
      </c>
      <c r="W652" s="26">
        <v>3300000</v>
      </c>
      <c r="X652" s="6" t="s">
        <v>2003</v>
      </c>
      <c r="Y652" s="6" t="s">
        <v>1300</v>
      </c>
      <c r="Z652" s="6">
        <v>225744</v>
      </c>
    </row>
    <row r="653" spans="1:26" x14ac:dyDescent="0.3">
      <c r="A653" s="28" t="s">
        <v>42</v>
      </c>
      <c r="B653" s="6" t="s">
        <v>1327</v>
      </c>
      <c r="C653" s="6" t="s">
        <v>1980</v>
      </c>
      <c r="D653" s="6" t="s">
        <v>2292</v>
      </c>
      <c r="E653" s="6">
        <v>1</v>
      </c>
      <c r="F653" s="6" t="s">
        <v>2004</v>
      </c>
      <c r="G653" s="32" t="s">
        <v>2299</v>
      </c>
      <c r="H653" s="32" t="s">
        <v>2300</v>
      </c>
      <c r="I653" s="6" t="str">
        <f t="shared" si="24"/>
        <v>Small Bucket</v>
      </c>
      <c r="J653" s="6" t="s">
        <v>676</v>
      </c>
      <c r="K653" s="6">
        <v>1</v>
      </c>
      <c r="L653" s="6">
        <f t="shared" si="25"/>
        <v>700000</v>
      </c>
      <c r="M653" s="6">
        <v>600000</v>
      </c>
      <c r="N653" s="6" t="s">
        <v>2003</v>
      </c>
      <c r="O653" s="6" t="s">
        <v>2012</v>
      </c>
      <c r="P653" s="6">
        <v>2013</v>
      </c>
      <c r="Q653" s="6">
        <v>1</v>
      </c>
      <c r="R653" s="6" t="s">
        <v>45</v>
      </c>
      <c r="S653" s="31" t="s">
        <v>2113</v>
      </c>
      <c r="T653" s="6">
        <v>1</v>
      </c>
      <c r="U653" s="26">
        <v>500000</v>
      </c>
      <c r="V653" s="26">
        <v>500000</v>
      </c>
      <c r="W653" s="26">
        <v>500000</v>
      </c>
      <c r="X653" s="6" t="s">
        <v>2003</v>
      </c>
      <c r="Y653" s="6" t="s">
        <v>49</v>
      </c>
      <c r="Z653" s="6">
        <v>225747</v>
      </c>
    </row>
    <row r="654" spans="1:26" x14ac:dyDescent="0.3">
      <c r="A654" s="28" t="s">
        <v>42</v>
      </c>
      <c r="B654" s="6" t="s">
        <v>1327</v>
      </c>
      <c r="C654" s="6" t="s">
        <v>1980</v>
      </c>
      <c r="D654" s="6" t="s">
        <v>2292</v>
      </c>
      <c r="E654" s="6">
        <v>1</v>
      </c>
      <c r="F654" s="6" t="s">
        <v>2004</v>
      </c>
      <c r="G654" s="32" t="s">
        <v>2299</v>
      </c>
      <c r="H654" s="32" t="s">
        <v>2300</v>
      </c>
      <c r="I654" s="6" t="str">
        <f t="shared" si="24"/>
        <v>Small Bucket</v>
      </c>
      <c r="J654" s="6" t="s">
        <v>636</v>
      </c>
      <c r="K654" s="6">
        <v>1</v>
      </c>
      <c r="L654" s="6">
        <f t="shared" si="25"/>
        <v>880000</v>
      </c>
      <c r="M654" s="6">
        <v>750000</v>
      </c>
      <c r="N654" s="6" t="s">
        <v>2003</v>
      </c>
      <c r="O654" s="6" t="s">
        <v>2012</v>
      </c>
      <c r="P654" s="6">
        <v>2013</v>
      </c>
      <c r="Q654" s="6">
        <v>1</v>
      </c>
      <c r="R654" s="6" t="s">
        <v>45</v>
      </c>
      <c r="S654" s="31" t="s">
        <v>2113</v>
      </c>
      <c r="T654" s="6">
        <v>1</v>
      </c>
      <c r="U654" s="26">
        <v>650000</v>
      </c>
      <c r="V654" s="26">
        <v>650000</v>
      </c>
      <c r="W654" s="26">
        <v>650000</v>
      </c>
      <c r="X654" s="6" t="s">
        <v>2003</v>
      </c>
      <c r="Y654" s="6" t="s">
        <v>49</v>
      </c>
      <c r="Z654" s="6">
        <v>225751</v>
      </c>
    </row>
    <row r="655" spans="1:26" x14ac:dyDescent="0.3">
      <c r="A655" s="28" t="s">
        <v>42</v>
      </c>
      <c r="B655" s="6" t="s">
        <v>1337</v>
      </c>
      <c r="C655" s="6"/>
      <c r="D655" s="6" t="s">
        <v>2289</v>
      </c>
      <c r="E655" s="6">
        <v>1</v>
      </c>
      <c r="F655" s="6" t="s">
        <v>2004</v>
      </c>
      <c r="G655" s="32" t="s">
        <v>2299</v>
      </c>
      <c r="H655" s="32" t="s">
        <v>2300</v>
      </c>
      <c r="I655" s="6" t="str">
        <f t="shared" si="24"/>
        <v>ETC</v>
      </c>
      <c r="J655" s="6" t="s">
        <v>677</v>
      </c>
      <c r="K655" s="6">
        <v>1</v>
      </c>
      <c r="L655" s="6">
        <f t="shared" si="25"/>
        <v>2580000</v>
      </c>
      <c r="M655" s="6">
        <v>2200000</v>
      </c>
      <c r="N655" s="6" t="s">
        <v>2003</v>
      </c>
      <c r="O655" s="6">
        <v>1</v>
      </c>
      <c r="P655" s="6">
        <v>2015</v>
      </c>
      <c r="Q655" s="6">
        <v>1</v>
      </c>
      <c r="R655" s="6" t="s">
        <v>45</v>
      </c>
      <c r="S655" s="31" t="s">
        <v>2116</v>
      </c>
      <c r="T655" s="6">
        <v>1</v>
      </c>
      <c r="U655" s="26">
        <v>2000000</v>
      </c>
      <c r="V655" s="26">
        <v>2000000</v>
      </c>
      <c r="W655" s="26">
        <v>2000000</v>
      </c>
      <c r="X655" s="6" t="s">
        <v>2003</v>
      </c>
      <c r="Y655" s="6" t="s">
        <v>1185</v>
      </c>
      <c r="Z655" s="6">
        <v>225753</v>
      </c>
    </row>
    <row r="656" spans="1:26" x14ac:dyDescent="0.3">
      <c r="A656" s="28" t="s">
        <v>42</v>
      </c>
      <c r="B656" s="6" t="s">
        <v>1326</v>
      </c>
      <c r="C656" s="6" t="s">
        <v>1979</v>
      </c>
      <c r="D656" s="6" t="s">
        <v>2292</v>
      </c>
      <c r="E656" s="6">
        <v>1</v>
      </c>
      <c r="F656" s="6" t="s">
        <v>2004</v>
      </c>
      <c r="G656" s="32" t="s">
        <v>2299</v>
      </c>
      <c r="H656" s="32" t="s">
        <v>2300</v>
      </c>
      <c r="I656" s="6" t="str">
        <f t="shared" si="24"/>
        <v>Thumb Grapple</v>
      </c>
      <c r="J656" s="6" t="s">
        <v>137</v>
      </c>
      <c r="K656" s="6">
        <v>1</v>
      </c>
      <c r="L656" s="6">
        <f t="shared" si="25"/>
        <v>940000</v>
      </c>
      <c r="M656" s="6">
        <v>800000</v>
      </c>
      <c r="N656" s="6" t="s">
        <v>2003</v>
      </c>
      <c r="O656" s="6" t="s">
        <v>2007</v>
      </c>
      <c r="P656" s="6">
        <v>2013</v>
      </c>
      <c r="Q656" s="6">
        <v>1</v>
      </c>
      <c r="R656" s="6" t="s">
        <v>45</v>
      </c>
      <c r="S656" s="31" t="s">
        <v>2113</v>
      </c>
      <c r="T656" s="6">
        <v>1</v>
      </c>
      <c r="U656" s="26">
        <v>700000</v>
      </c>
      <c r="V656" s="26">
        <v>700000</v>
      </c>
      <c r="W656" s="26">
        <v>700000</v>
      </c>
      <c r="X656" s="6" t="s">
        <v>2003</v>
      </c>
      <c r="Y656" s="6" t="s">
        <v>49</v>
      </c>
      <c r="Z656" s="6">
        <v>225755</v>
      </c>
    </row>
    <row r="657" spans="1:26" x14ac:dyDescent="0.3">
      <c r="A657" s="28" t="s">
        <v>42</v>
      </c>
      <c r="B657" s="6" t="s">
        <v>1327</v>
      </c>
      <c r="C657" s="6" t="s">
        <v>1976</v>
      </c>
      <c r="D657" s="6" t="s">
        <v>2290</v>
      </c>
      <c r="E657" s="6">
        <v>1</v>
      </c>
      <c r="F657" s="6" t="s">
        <v>2004</v>
      </c>
      <c r="G657" s="32" t="s">
        <v>2299</v>
      </c>
      <c r="H657" s="32" t="s">
        <v>2300</v>
      </c>
      <c r="I657" s="6" t="str">
        <f t="shared" si="24"/>
        <v>Skeleton Bucket</v>
      </c>
      <c r="J657" s="6" t="s">
        <v>284</v>
      </c>
      <c r="K657" s="6">
        <v>1</v>
      </c>
      <c r="L657" s="6">
        <f t="shared" si="25"/>
        <v>1640000</v>
      </c>
      <c r="M657" s="6">
        <v>1400000</v>
      </c>
      <c r="N657" s="6" t="s">
        <v>2003</v>
      </c>
      <c r="O657" s="6" t="s">
        <v>844</v>
      </c>
      <c r="P657" s="6">
        <v>2010</v>
      </c>
      <c r="Q657" s="6">
        <v>1</v>
      </c>
      <c r="R657" s="6" t="s">
        <v>45</v>
      </c>
      <c r="S657" s="31" t="s">
        <v>2123</v>
      </c>
      <c r="T657" s="6">
        <v>1</v>
      </c>
      <c r="U657" s="26">
        <v>1300000</v>
      </c>
      <c r="V657" s="26">
        <v>1300000</v>
      </c>
      <c r="W657" s="26">
        <v>1300000</v>
      </c>
      <c r="X657" s="6" t="s">
        <v>2003</v>
      </c>
      <c r="Y657" s="6" t="s">
        <v>1167</v>
      </c>
      <c r="Z657" s="6">
        <v>225760</v>
      </c>
    </row>
    <row r="658" spans="1:26" x14ac:dyDescent="0.3">
      <c r="A658" s="28" t="s">
        <v>42</v>
      </c>
      <c r="B658" s="6" t="s">
        <v>1327</v>
      </c>
      <c r="C658" s="6" t="s">
        <v>1976</v>
      </c>
      <c r="D658" s="6" t="s">
        <v>2292</v>
      </c>
      <c r="E658" s="6">
        <v>1</v>
      </c>
      <c r="F658" s="6" t="s">
        <v>2004</v>
      </c>
      <c r="G658" s="32" t="s">
        <v>2299</v>
      </c>
      <c r="H658" s="32" t="s">
        <v>2300</v>
      </c>
      <c r="I658" s="6" t="str">
        <f t="shared" si="24"/>
        <v>Skeleton Bucket</v>
      </c>
      <c r="J658" s="6" t="s">
        <v>118</v>
      </c>
      <c r="K658" s="6">
        <v>1</v>
      </c>
      <c r="L658" s="6">
        <f t="shared" si="25"/>
        <v>940000</v>
      </c>
      <c r="M658" s="6">
        <v>800000</v>
      </c>
      <c r="N658" s="6" t="s">
        <v>2003</v>
      </c>
      <c r="O658" s="6" t="s">
        <v>1024</v>
      </c>
      <c r="P658" s="6">
        <v>2012</v>
      </c>
      <c r="Q658" s="6">
        <v>5</v>
      </c>
      <c r="R658" s="6" t="s">
        <v>45</v>
      </c>
      <c r="S658" s="31" t="s">
        <v>2111</v>
      </c>
      <c r="T658" s="6">
        <v>1</v>
      </c>
      <c r="U658" s="26">
        <v>700000</v>
      </c>
      <c r="V658" s="26">
        <v>700000</v>
      </c>
      <c r="W658" s="26">
        <v>700000</v>
      </c>
      <c r="X658" s="6" t="s">
        <v>2003</v>
      </c>
      <c r="Y658" s="6" t="s">
        <v>1301</v>
      </c>
      <c r="Z658" s="6">
        <v>225763</v>
      </c>
    </row>
    <row r="659" spans="1:26" x14ac:dyDescent="0.3">
      <c r="A659" s="28" t="s">
        <v>42</v>
      </c>
      <c r="B659" s="6" t="s">
        <v>1328</v>
      </c>
      <c r="C659" s="6" t="s">
        <v>1975</v>
      </c>
      <c r="D659" s="6" t="s">
        <v>2292</v>
      </c>
      <c r="E659" s="6">
        <v>1</v>
      </c>
      <c r="F659" s="6" t="s">
        <v>2004</v>
      </c>
      <c r="G659" s="32" t="s">
        <v>2299</v>
      </c>
      <c r="H659" s="32" t="s">
        <v>2300</v>
      </c>
      <c r="I659" s="6" t="str">
        <f t="shared" si="24"/>
        <v>Side Breaker</v>
      </c>
      <c r="J659" s="6" t="s">
        <v>177</v>
      </c>
      <c r="K659" s="6">
        <v>1</v>
      </c>
      <c r="L659" s="6">
        <f t="shared" si="25"/>
        <v>4350000</v>
      </c>
      <c r="M659" s="6">
        <v>3700000</v>
      </c>
      <c r="N659" s="6" t="s">
        <v>2003</v>
      </c>
      <c r="O659" s="6" t="s">
        <v>1047</v>
      </c>
      <c r="P659" s="6">
        <v>2012</v>
      </c>
      <c r="Q659" s="6">
        <v>5</v>
      </c>
      <c r="R659" s="6" t="s">
        <v>45</v>
      </c>
      <c r="S659" s="31" t="s">
        <v>2111</v>
      </c>
      <c r="T659" s="6">
        <v>1</v>
      </c>
      <c r="U659" s="26">
        <v>3500000</v>
      </c>
      <c r="V659" s="26">
        <v>3500000</v>
      </c>
      <c r="W659" s="26">
        <v>3500000</v>
      </c>
      <c r="X659" s="6" t="s">
        <v>2003</v>
      </c>
      <c r="Y659" s="6" t="s">
        <v>1301</v>
      </c>
      <c r="Z659" s="6">
        <v>225766</v>
      </c>
    </row>
    <row r="660" spans="1:26" x14ac:dyDescent="0.3">
      <c r="A660" s="28" t="s">
        <v>42</v>
      </c>
      <c r="B660" s="6" t="s">
        <v>1326</v>
      </c>
      <c r="C660" s="6" t="s">
        <v>1972</v>
      </c>
      <c r="D660" s="6" t="s">
        <v>2291</v>
      </c>
      <c r="E660" s="6">
        <v>1</v>
      </c>
      <c r="F660" s="6" t="s">
        <v>2004</v>
      </c>
      <c r="G660" s="32" t="s">
        <v>2299</v>
      </c>
      <c r="H660" s="32" t="s">
        <v>2300</v>
      </c>
      <c r="I660" s="6" t="str">
        <f t="shared" si="24"/>
        <v>Stone Grapple</v>
      </c>
      <c r="J660" s="6" t="s">
        <v>109</v>
      </c>
      <c r="K660" s="6">
        <v>1</v>
      </c>
      <c r="L660" s="6">
        <f t="shared" si="25"/>
        <v>3880000</v>
      </c>
      <c r="M660" s="6">
        <v>3300000</v>
      </c>
      <c r="N660" s="6" t="s">
        <v>2003</v>
      </c>
      <c r="O660" s="6" t="s">
        <v>830</v>
      </c>
      <c r="P660" s="6">
        <v>2010</v>
      </c>
      <c r="Q660" s="6">
        <v>1</v>
      </c>
      <c r="R660" s="6" t="s">
        <v>45</v>
      </c>
      <c r="S660" s="31" t="s">
        <v>2114</v>
      </c>
      <c r="T660" s="6">
        <v>1</v>
      </c>
      <c r="U660" s="26">
        <v>3100000</v>
      </c>
      <c r="V660" s="26">
        <v>3100000</v>
      </c>
      <c r="W660" s="26">
        <v>3100000</v>
      </c>
      <c r="X660" s="6" t="s">
        <v>2003</v>
      </c>
      <c r="Y660" s="6" t="s">
        <v>830</v>
      </c>
      <c r="Z660" s="6">
        <v>225769</v>
      </c>
    </row>
    <row r="661" spans="1:26" x14ac:dyDescent="0.3">
      <c r="A661" s="28" t="s">
        <v>42</v>
      </c>
      <c r="B661" s="6" t="s">
        <v>1337</v>
      </c>
      <c r="C661" s="6"/>
      <c r="D661" s="6" t="s">
        <v>2289</v>
      </c>
      <c r="E661" s="6">
        <v>1</v>
      </c>
      <c r="F661" s="6" t="s">
        <v>2004</v>
      </c>
      <c r="G661" s="32" t="s">
        <v>2299</v>
      </c>
      <c r="H661" s="32" t="s">
        <v>2300</v>
      </c>
      <c r="I661" s="6" t="str">
        <f t="shared" si="24"/>
        <v>ETC</v>
      </c>
      <c r="J661" s="6" t="s">
        <v>77</v>
      </c>
      <c r="K661" s="6">
        <v>1</v>
      </c>
      <c r="L661" s="6">
        <f t="shared" si="25"/>
        <v>32350000</v>
      </c>
      <c r="M661" s="6">
        <v>27500000</v>
      </c>
      <c r="N661" s="6" t="s">
        <v>2003</v>
      </c>
      <c r="O661" s="6" t="s">
        <v>54</v>
      </c>
      <c r="P661" s="6">
        <v>2015</v>
      </c>
      <c r="Q661" s="6">
        <v>1</v>
      </c>
      <c r="R661" s="6" t="s">
        <v>45</v>
      </c>
      <c r="S661" s="31" t="s">
        <v>2114</v>
      </c>
      <c r="T661" s="6">
        <v>1</v>
      </c>
      <c r="U661" s="26">
        <v>27000000</v>
      </c>
      <c r="V661" s="26">
        <v>27000000</v>
      </c>
      <c r="W661" s="26">
        <v>27000000</v>
      </c>
      <c r="X661" s="6" t="s">
        <v>2003</v>
      </c>
      <c r="Y661" s="6" t="s">
        <v>54</v>
      </c>
      <c r="Z661" s="6">
        <v>225772</v>
      </c>
    </row>
    <row r="662" spans="1:26" x14ac:dyDescent="0.3">
      <c r="A662" s="28" t="s">
        <v>42</v>
      </c>
      <c r="B662" s="6" t="s">
        <v>1326</v>
      </c>
      <c r="C662" s="6" t="s">
        <v>1972</v>
      </c>
      <c r="D662" s="6" t="s">
        <v>2292</v>
      </c>
      <c r="E662" s="6">
        <v>1</v>
      </c>
      <c r="F662" s="6" t="s">
        <v>2004</v>
      </c>
      <c r="G662" s="32" t="s">
        <v>2299</v>
      </c>
      <c r="H662" s="32" t="s">
        <v>2300</v>
      </c>
      <c r="I662" s="6" t="str">
        <f t="shared" si="24"/>
        <v>Stone Grapple</v>
      </c>
      <c r="J662" s="6" t="s">
        <v>44</v>
      </c>
      <c r="K662" s="6">
        <v>1</v>
      </c>
      <c r="L662" s="6">
        <f t="shared" si="25"/>
        <v>3050000</v>
      </c>
      <c r="M662" s="6">
        <v>2600000</v>
      </c>
      <c r="N662" s="6" t="s">
        <v>2003</v>
      </c>
      <c r="O662" s="6" t="s">
        <v>1048</v>
      </c>
      <c r="P662" s="6">
        <v>2014</v>
      </c>
      <c r="Q662" s="6">
        <v>1</v>
      </c>
      <c r="R662" s="6" t="s">
        <v>45</v>
      </c>
      <c r="S662" s="31" t="s">
        <v>2112</v>
      </c>
      <c r="T662" s="6">
        <v>1</v>
      </c>
      <c r="U662" s="26">
        <v>2400000</v>
      </c>
      <c r="V662" s="26">
        <v>2400000</v>
      </c>
      <c r="W662" s="26">
        <v>2400000</v>
      </c>
      <c r="X662" s="6" t="s">
        <v>2003</v>
      </c>
      <c r="Y662" s="6" t="s">
        <v>1192</v>
      </c>
      <c r="Z662" s="6">
        <v>225775</v>
      </c>
    </row>
    <row r="663" spans="1:26" x14ac:dyDescent="0.3">
      <c r="A663" s="28" t="s">
        <v>42</v>
      </c>
      <c r="B663" s="6" t="s">
        <v>1326</v>
      </c>
      <c r="C663" s="6" t="s">
        <v>1972</v>
      </c>
      <c r="D663" s="6" t="s">
        <v>2291</v>
      </c>
      <c r="E663" s="6">
        <v>1</v>
      </c>
      <c r="F663" s="6" t="s">
        <v>2004</v>
      </c>
      <c r="G663" s="32" t="s">
        <v>2299</v>
      </c>
      <c r="H663" s="32" t="s">
        <v>2300</v>
      </c>
      <c r="I663" s="6" t="str">
        <f t="shared" si="24"/>
        <v>Stone Grapple</v>
      </c>
      <c r="J663" s="6" t="s">
        <v>624</v>
      </c>
      <c r="K663" s="6">
        <v>1</v>
      </c>
      <c r="L663" s="6">
        <f t="shared" si="25"/>
        <v>4000000</v>
      </c>
      <c r="M663" s="6">
        <v>3400000</v>
      </c>
      <c r="N663" s="6" t="s">
        <v>2003</v>
      </c>
      <c r="O663" s="6" t="s">
        <v>789</v>
      </c>
      <c r="P663" s="6">
        <v>2016</v>
      </c>
      <c r="Q663" s="6">
        <v>5</v>
      </c>
      <c r="R663" s="6" t="s">
        <v>45</v>
      </c>
      <c r="S663" s="31" t="s">
        <v>2122</v>
      </c>
      <c r="T663" s="6">
        <v>1</v>
      </c>
      <c r="U663" s="26">
        <v>3200000</v>
      </c>
      <c r="V663" s="26">
        <v>3200000</v>
      </c>
      <c r="W663" s="26">
        <v>3200000</v>
      </c>
      <c r="X663" s="6" t="s">
        <v>2003</v>
      </c>
      <c r="Y663" s="6" t="s">
        <v>65</v>
      </c>
      <c r="Z663" s="6">
        <v>225781</v>
      </c>
    </row>
    <row r="664" spans="1:26" x14ac:dyDescent="0.3">
      <c r="A664" s="28" t="s">
        <v>42</v>
      </c>
      <c r="B664" s="6" t="s">
        <v>1327</v>
      </c>
      <c r="C664" s="6" t="s">
        <v>1977</v>
      </c>
      <c r="D664" s="6" t="s">
        <v>2291</v>
      </c>
      <c r="E664" s="6">
        <v>1</v>
      </c>
      <c r="F664" s="6" t="s">
        <v>2004</v>
      </c>
      <c r="G664" s="32" t="s">
        <v>2299</v>
      </c>
      <c r="H664" s="32" t="s">
        <v>2300</v>
      </c>
      <c r="I664" s="6" t="str">
        <f t="shared" si="24"/>
        <v>Wide Bucket</v>
      </c>
      <c r="J664" s="6" t="s">
        <v>64</v>
      </c>
      <c r="K664" s="6">
        <v>1</v>
      </c>
      <c r="L664" s="6">
        <f t="shared" si="25"/>
        <v>560000</v>
      </c>
      <c r="M664" s="6">
        <v>480000</v>
      </c>
      <c r="N664" s="6" t="s">
        <v>2003</v>
      </c>
      <c r="O664" s="6" t="s">
        <v>789</v>
      </c>
      <c r="P664" s="6">
        <v>2015</v>
      </c>
      <c r="Q664" s="6">
        <v>2</v>
      </c>
      <c r="R664" s="6" t="s">
        <v>45</v>
      </c>
      <c r="S664" s="31" t="s">
        <v>2122</v>
      </c>
      <c r="T664" s="6">
        <v>1</v>
      </c>
      <c r="U664" s="26">
        <v>430000</v>
      </c>
      <c r="V664" s="26">
        <v>430000</v>
      </c>
      <c r="W664" s="26">
        <v>430000</v>
      </c>
      <c r="X664" s="6" t="s">
        <v>2003</v>
      </c>
      <c r="Y664" s="6" t="s">
        <v>65</v>
      </c>
      <c r="Z664" s="6">
        <v>225783</v>
      </c>
    </row>
    <row r="665" spans="1:26" x14ac:dyDescent="0.3">
      <c r="A665" s="28" t="s">
        <v>42</v>
      </c>
      <c r="B665" s="6" t="s">
        <v>1328</v>
      </c>
      <c r="C665" s="6" t="s">
        <v>1975</v>
      </c>
      <c r="D665" s="6" t="s">
        <v>2292</v>
      </c>
      <c r="E665" s="6">
        <v>1</v>
      </c>
      <c r="F665" s="6" t="s">
        <v>2004</v>
      </c>
      <c r="G665" s="32" t="s">
        <v>2299</v>
      </c>
      <c r="H665" s="32" t="s">
        <v>2300</v>
      </c>
      <c r="I665" s="6" t="str">
        <f t="shared" si="24"/>
        <v>Side Breaker</v>
      </c>
      <c r="J665" s="6" t="s">
        <v>592</v>
      </c>
      <c r="K665" s="6">
        <v>1</v>
      </c>
      <c r="L665" s="6">
        <f t="shared" si="25"/>
        <v>5290000</v>
      </c>
      <c r="M665" s="6">
        <v>4500000</v>
      </c>
      <c r="N665" s="6" t="s">
        <v>2003</v>
      </c>
      <c r="O665" s="6" t="s">
        <v>70</v>
      </c>
      <c r="P665" s="6">
        <v>2015</v>
      </c>
      <c r="Q665" s="6">
        <v>1</v>
      </c>
      <c r="R665" s="6" t="s">
        <v>45</v>
      </c>
      <c r="S665" s="31" t="s">
        <v>2113</v>
      </c>
      <c r="T665" s="6">
        <v>1</v>
      </c>
      <c r="U665" s="26">
        <v>4300000</v>
      </c>
      <c r="V665" s="26">
        <v>4300000</v>
      </c>
      <c r="W665" s="26">
        <v>4300000</v>
      </c>
      <c r="X665" s="6" t="s">
        <v>2003</v>
      </c>
      <c r="Y665" s="6" t="s">
        <v>71</v>
      </c>
      <c r="Z665" s="6">
        <v>225795</v>
      </c>
    </row>
    <row r="666" spans="1:26" x14ac:dyDescent="0.3">
      <c r="A666" s="28" t="s">
        <v>42</v>
      </c>
      <c r="B666" s="6" t="s">
        <v>1328</v>
      </c>
      <c r="C666" s="6" t="s">
        <v>1975</v>
      </c>
      <c r="D666" s="6" t="s">
        <v>2291</v>
      </c>
      <c r="E666" s="6">
        <v>1</v>
      </c>
      <c r="F666" s="6" t="s">
        <v>2004</v>
      </c>
      <c r="G666" s="32" t="s">
        <v>2299</v>
      </c>
      <c r="H666" s="32" t="s">
        <v>2300</v>
      </c>
      <c r="I666" s="6" t="str">
        <f t="shared" si="24"/>
        <v>Side Breaker</v>
      </c>
      <c r="J666" s="6" t="s">
        <v>538</v>
      </c>
      <c r="K666" s="6">
        <v>1</v>
      </c>
      <c r="L666" s="6">
        <f t="shared" si="25"/>
        <v>3520000</v>
      </c>
      <c r="M666" s="6">
        <v>3000000</v>
      </c>
      <c r="N666" s="6" t="s">
        <v>2003</v>
      </c>
      <c r="O666" s="6" t="s">
        <v>820</v>
      </c>
      <c r="P666" s="6">
        <v>2010</v>
      </c>
      <c r="Q666" s="6">
        <v>1</v>
      </c>
      <c r="R666" s="6" t="s">
        <v>45</v>
      </c>
      <c r="S666" s="31" t="s">
        <v>2120</v>
      </c>
      <c r="T666" s="6">
        <v>1</v>
      </c>
      <c r="U666" s="26">
        <v>2800000</v>
      </c>
      <c r="V666" s="26">
        <v>2800000</v>
      </c>
      <c r="W666" s="26">
        <v>2800000</v>
      </c>
      <c r="X666" s="6" t="s">
        <v>2003</v>
      </c>
      <c r="Y666" s="6" t="s">
        <v>1160</v>
      </c>
      <c r="Z666" s="6">
        <v>225799</v>
      </c>
    </row>
    <row r="667" spans="1:26" x14ac:dyDescent="0.3">
      <c r="A667" s="28" t="s">
        <v>42</v>
      </c>
      <c r="B667" s="6" t="s">
        <v>1327</v>
      </c>
      <c r="C667" s="6" t="s">
        <v>1971</v>
      </c>
      <c r="D667" s="6" t="s">
        <v>2289</v>
      </c>
      <c r="E667" s="6">
        <v>1</v>
      </c>
      <c r="F667" s="6" t="s">
        <v>2004</v>
      </c>
      <c r="G667" s="32" t="s">
        <v>2299</v>
      </c>
      <c r="H667" s="32" t="s">
        <v>2300</v>
      </c>
      <c r="I667" s="6" t="str">
        <f t="shared" si="24"/>
        <v>Special Bucket</v>
      </c>
      <c r="J667" s="6" t="s">
        <v>674</v>
      </c>
      <c r="K667" s="6">
        <v>1</v>
      </c>
      <c r="L667" s="6">
        <f t="shared" si="25"/>
        <v>5520000</v>
      </c>
      <c r="M667" s="6">
        <v>4700000</v>
      </c>
      <c r="N667" s="6" t="s">
        <v>2003</v>
      </c>
      <c r="O667" s="6" t="s">
        <v>1049</v>
      </c>
      <c r="P667" s="6">
        <v>2013</v>
      </c>
      <c r="Q667" s="6">
        <v>6</v>
      </c>
      <c r="R667" s="6" t="s">
        <v>45</v>
      </c>
      <c r="S667" s="31" t="s">
        <v>2120</v>
      </c>
      <c r="T667" s="6">
        <v>1</v>
      </c>
      <c r="U667" s="26">
        <v>4500000</v>
      </c>
      <c r="V667" s="26">
        <v>4500000</v>
      </c>
      <c r="W667" s="26">
        <v>4500000</v>
      </c>
      <c r="X667" s="6" t="s">
        <v>2003</v>
      </c>
      <c r="Y667" s="6" t="s">
        <v>1205</v>
      </c>
      <c r="Z667" s="6">
        <v>225801</v>
      </c>
    </row>
    <row r="668" spans="1:26" x14ac:dyDescent="0.3">
      <c r="A668" s="28" t="s">
        <v>42</v>
      </c>
      <c r="B668" s="6" t="s">
        <v>1327</v>
      </c>
      <c r="C668" s="19" t="s">
        <v>1982</v>
      </c>
      <c r="D668" s="6" t="s">
        <v>2289</v>
      </c>
      <c r="E668" s="6">
        <v>1</v>
      </c>
      <c r="F668" s="6" t="s">
        <v>2004</v>
      </c>
      <c r="G668" s="32" t="s">
        <v>2299</v>
      </c>
      <c r="H668" s="32" t="s">
        <v>2300</v>
      </c>
      <c r="I668" s="6" t="str">
        <f t="shared" si="24"/>
        <v>Standard Bucket</v>
      </c>
      <c r="J668" s="6" t="s">
        <v>680</v>
      </c>
      <c r="K668" s="6">
        <v>1</v>
      </c>
      <c r="L668" s="6">
        <f t="shared" si="25"/>
        <v>4940000</v>
      </c>
      <c r="M668" s="6">
        <v>4200000</v>
      </c>
      <c r="N668" s="6" t="s">
        <v>2003</v>
      </c>
      <c r="O668" s="6" t="s">
        <v>54</v>
      </c>
      <c r="P668" s="6">
        <v>2010</v>
      </c>
      <c r="Q668" s="6">
        <v>1</v>
      </c>
      <c r="R668" s="6" t="s">
        <v>45</v>
      </c>
      <c r="S668" s="31" t="s">
        <v>2114</v>
      </c>
      <c r="T668" s="6">
        <v>1</v>
      </c>
      <c r="U668" s="26">
        <v>4000000</v>
      </c>
      <c r="V668" s="26">
        <v>4000000</v>
      </c>
      <c r="W668" s="26">
        <v>4000000</v>
      </c>
      <c r="X668" s="6" t="s">
        <v>2003</v>
      </c>
      <c r="Y668" s="6" t="s">
        <v>54</v>
      </c>
      <c r="Z668" s="6">
        <v>225807</v>
      </c>
    </row>
    <row r="669" spans="1:26" x14ac:dyDescent="0.3">
      <c r="A669" s="28" t="s">
        <v>42</v>
      </c>
      <c r="B669" s="6" t="s">
        <v>1337</v>
      </c>
      <c r="C669" s="6"/>
      <c r="D669" s="6" t="s">
        <v>2292</v>
      </c>
      <c r="E669" s="6">
        <v>1</v>
      </c>
      <c r="F669" s="6" t="s">
        <v>2004</v>
      </c>
      <c r="G669" s="32" t="s">
        <v>2299</v>
      </c>
      <c r="H669" s="32" t="s">
        <v>2300</v>
      </c>
      <c r="I669" s="6" t="str">
        <f t="shared" si="24"/>
        <v>ETC</v>
      </c>
      <c r="J669" s="6" t="s">
        <v>405</v>
      </c>
      <c r="K669" s="6">
        <v>1</v>
      </c>
      <c r="L669" s="6">
        <f t="shared" si="25"/>
        <v>8820000</v>
      </c>
      <c r="M669" s="6">
        <v>7500000</v>
      </c>
      <c r="N669" s="6" t="s">
        <v>2003</v>
      </c>
      <c r="O669" s="6" t="s">
        <v>793</v>
      </c>
      <c r="P669" s="6">
        <v>2014</v>
      </c>
      <c r="Q669" s="6">
        <v>1</v>
      </c>
      <c r="R669" s="6" t="s">
        <v>45</v>
      </c>
      <c r="S669" s="31" t="s">
        <v>2116</v>
      </c>
      <c r="T669" s="6">
        <v>1</v>
      </c>
      <c r="U669" s="26">
        <v>7000000</v>
      </c>
      <c r="V669" s="26">
        <v>7000000</v>
      </c>
      <c r="W669" s="26">
        <v>7000000</v>
      </c>
      <c r="X669" s="6" t="s">
        <v>2003</v>
      </c>
      <c r="Y669" s="6" t="s">
        <v>1146</v>
      </c>
      <c r="Z669" s="6">
        <v>225816</v>
      </c>
    </row>
    <row r="670" spans="1:26" x14ac:dyDescent="0.3">
      <c r="A670" s="28" t="s">
        <v>42</v>
      </c>
      <c r="B670" s="6" t="s">
        <v>1327</v>
      </c>
      <c r="C670" s="6" t="s">
        <v>1980</v>
      </c>
      <c r="D670" s="6" t="s">
        <v>2291</v>
      </c>
      <c r="E670" s="6">
        <v>1</v>
      </c>
      <c r="F670" s="6" t="s">
        <v>2004</v>
      </c>
      <c r="G670" s="32" t="s">
        <v>2299</v>
      </c>
      <c r="H670" s="32" t="s">
        <v>2300</v>
      </c>
      <c r="I670" s="6" t="str">
        <f t="shared" si="24"/>
        <v>Small Bucket</v>
      </c>
      <c r="J670" s="6" t="s">
        <v>85</v>
      </c>
      <c r="K670" s="6">
        <v>1</v>
      </c>
      <c r="L670" s="6">
        <f t="shared" si="25"/>
        <v>350000</v>
      </c>
      <c r="M670" s="6">
        <v>300000</v>
      </c>
      <c r="N670" s="6" t="s">
        <v>2003</v>
      </c>
      <c r="O670" s="6" t="s">
        <v>2007</v>
      </c>
      <c r="P670" s="6">
        <v>2013</v>
      </c>
      <c r="Q670" s="6">
        <v>1</v>
      </c>
      <c r="R670" s="6" t="s">
        <v>45</v>
      </c>
      <c r="S670" s="31" t="s">
        <v>2113</v>
      </c>
      <c r="T670" s="6">
        <v>1</v>
      </c>
      <c r="U670" s="26">
        <v>250000</v>
      </c>
      <c r="V670" s="26">
        <v>250000</v>
      </c>
      <c r="W670" s="26">
        <v>250000</v>
      </c>
      <c r="X670" s="6" t="s">
        <v>2003</v>
      </c>
      <c r="Y670" s="6" t="s">
        <v>49</v>
      </c>
      <c r="Z670" s="6">
        <v>225819</v>
      </c>
    </row>
    <row r="671" spans="1:26" x14ac:dyDescent="0.3">
      <c r="A671" s="28" t="s">
        <v>42</v>
      </c>
      <c r="B671" s="6" t="s">
        <v>1328</v>
      </c>
      <c r="C671" s="6" t="s">
        <v>1975</v>
      </c>
      <c r="D671" s="6" t="s">
        <v>2293</v>
      </c>
      <c r="E671" s="6">
        <v>1</v>
      </c>
      <c r="F671" s="6" t="s">
        <v>2004</v>
      </c>
      <c r="G671" s="32" t="s">
        <v>2299</v>
      </c>
      <c r="H671" s="32" t="s">
        <v>2300</v>
      </c>
      <c r="I671" s="6" t="str">
        <f t="shared" si="24"/>
        <v>Side Breaker</v>
      </c>
      <c r="J671" s="6" t="s">
        <v>282</v>
      </c>
      <c r="K671" s="6">
        <v>1</v>
      </c>
      <c r="L671" s="6">
        <f t="shared" si="25"/>
        <v>1640000</v>
      </c>
      <c r="M671" s="6">
        <v>1400000</v>
      </c>
      <c r="N671" s="6" t="s">
        <v>2003</v>
      </c>
      <c r="O671" s="6" t="s">
        <v>2007</v>
      </c>
      <c r="P671" s="6">
        <v>2013</v>
      </c>
      <c r="Q671" s="6">
        <v>1</v>
      </c>
      <c r="R671" s="6" t="s">
        <v>45</v>
      </c>
      <c r="S671" s="31" t="s">
        <v>2113</v>
      </c>
      <c r="T671" s="6">
        <v>1</v>
      </c>
      <c r="U671" s="26">
        <v>1300000</v>
      </c>
      <c r="V671" s="26">
        <v>1300000</v>
      </c>
      <c r="W671" s="26">
        <v>1300000</v>
      </c>
      <c r="X671" s="6" t="s">
        <v>2003</v>
      </c>
      <c r="Y671" s="6" t="s">
        <v>49</v>
      </c>
      <c r="Z671" s="6">
        <v>225825</v>
      </c>
    </row>
    <row r="672" spans="1:26" x14ac:dyDescent="0.3">
      <c r="A672" s="28" t="s">
        <v>42</v>
      </c>
      <c r="B672" s="6" t="s">
        <v>1327</v>
      </c>
      <c r="C672" s="6" t="s">
        <v>1980</v>
      </c>
      <c r="D672" s="6" t="s">
        <v>2292</v>
      </c>
      <c r="E672" s="6">
        <v>1</v>
      </c>
      <c r="F672" s="6" t="s">
        <v>2004</v>
      </c>
      <c r="G672" s="32" t="s">
        <v>2299</v>
      </c>
      <c r="H672" s="32" t="s">
        <v>2300</v>
      </c>
      <c r="I672" s="6" t="str">
        <f t="shared" si="24"/>
        <v>Small Bucket</v>
      </c>
      <c r="J672" s="6" t="s">
        <v>681</v>
      </c>
      <c r="K672" s="6">
        <v>1</v>
      </c>
      <c r="L672" s="6">
        <f t="shared" si="25"/>
        <v>700000</v>
      </c>
      <c r="M672" s="6">
        <v>600000</v>
      </c>
      <c r="N672" s="6" t="s">
        <v>2003</v>
      </c>
      <c r="O672" s="6" t="s">
        <v>2007</v>
      </c>
      <c r="P672" s="6">
        <v>2013</v>
      </c>
      <c r="Q672" s="6">
        <v>1</v>
      </c>
      <c r="R672" s="6" t="s">
        <v>45</v>
      </c>
      <c r="S672" s="31" t="s">
        <v>2113</v>
      </c>
      <c r="T672" s="6">
        <v>1</v>
      </c>
      <c r="U672" s="26">
        <v>500000</v>
      </c>
      <c r="V672" s="26">
        <v>500000</v>
      </c>
      <c r="W672" s="26">
        <v>500000</v>
      </c>
      <c r="X672" s="6" t="s">
        <v>2003</v>
      </c>
      <c r="Y672" s="6" t="s">
        <v>49</v>
      </c>
      <c r="Z672" s="6">
        <v>225826</v>
      </c>
    </row>
    <row r="673" spans="1:26" x14ac:dyDescent="0.3">
      <c r="A673" s="28" t="s">
        <v>42</v>
      </c>
      <c r="B673" s="6" t="s">
        <v>1326</v>
      </c>
      <c r="C673" s="6" t="s">
        <v>1972</v>
      </c>
      <c r="D673" s="6" t="s">
        <v>2001</v>
      </c>
      <c r="E673" s="6">
        <v>1</v>
      </c>
      <c r="F673" s="6" t="s">
        <v>2004</v>
      </c>
      <c r="G673" s="32" t="s">
        <v>2299</v>
      </c>
      <c r="H673" s="32" t="s">
        <v>2300</v>
      </c>
      <c r="I673" s="6" t="str">
        <f t="shared" si="24"/>
        <v>Stone Grapple</v>
      </c>
      <c r="J673" s="6" t="s">
        <v>472</v>
      </c>
      <c r="K673" s="6">
        <v>1</v>
      </c>
      <c r="L673" s="6">
        <f t="shared" si="25"/>
        <v>12230000</v>
      </c>
      <c r="M673" s="6">
        <v>10400000</v>
      </c>
      <c r="N673" s="6" t="s">
        <v>2003</v>
      </c>
      <c r="O673" s="6" t="s">
        <v>1051</v>
      </c>
      <c r="P673" s="6">
        <v>2010</v>
      </c>
      <c r="Q673" s="6">
        <v>1</v>
      </c>
      <c r="R673" s="6" t="s">
        <v>45</v>
      </c>
      <c r="S673" s="31" t="s">
        <v>2119</v>
      </c>
      <c r="T673" s="6">
        <v>1</v>
      </c>
      <c r="U673" s="26">
        <v>9900000</v>
      </c>
      <c r="V673" s="26">
        <v>9900000</v>
      </c>
      <c r="W673" s="26">
        <v>9900000</v>
      </c>
      <c r="X673" s="6" t="s">
        <v>2003</v>
      </c>
      <c r="Y673" s="6" t="s">
        <v>1277</v>
      </c>
      <c r="Z673" s="6">
        <v>225827</v>
      </c>
    </row>
    <row r="674" spans="1:26" x14ac:dyDescent="0.3">
      <c r="A674" s="28" t="s">
        <v>42</v>
      </c>
      <c r="B674" s="6" t="s">
        <v>1326</v>
      </c>
      <c r="C674" s="6" t="s">
        <v>1984</v>
      </c>
      <c r="D674" s="6" t="s">
        <v>2289</v>
      </c>
      <c r="E674" s="6">
        <v>1</v>
      </c>
      <c r="F674" s="6" t="s">
        <v>2004</v>
      </c>
      <c r="G674" s="32" t="s">
        <v>2299</v>
      </c>
      <c r="H674" s="32" t="s">
        <v>2300</v>
      </c>
      <c r="I674" s="6" t="str">
        <f t="shared" si="24"/>
        <v>Scrap Grapple</v>
      </c>
      <c r="J674" s="6" t="s">
        <v>301</v>
      </c>
      <c r="K674" s="6">
        <v>1</v>
      </c>
      <c r="L674" s="6">
        <f t="shared" si="25"/>
        <v>4350000</v>
      </c>
      <c r="M674" s="6">
        <v>3700000</v>
      </c>
      <c r="N674" s="6" t="s">
        <v>2003</v>
      </c>
      <c r="O674" s="6" t="s">
        <v>813</v>
      </c>
      <c r="P674" s="6">
        <v>2013</v>
      </c>
      <c r="Q674" s="6">
        <v>1</v>
      </c>
      <c r="R674" s="6" t="s">
        <v>45</v>
      </c>
      <c r="S674" s="31" t="s">
        <v>2113</v>
      </c>
      <c r="T674" s="6">
        <v>1</v>
      </c>
      <c r="U674" s="26">
        <v>3500000</v>
      </c>
      <c r="V674" s="26">
        <v>3500000</v>
      </c>
      <c r="W674" s="26">
        <v>3500000</v>
      </c>
      <c r="X674" s="6" t="s">
        <v>2003</v>
      </c>
      <c r="Y674" s="6" t="s">
        <v>49</v>
      </c>
      <c r="Z674" s="6">
        <v>225829</v>
      </c>
    </row>
    <row r="675" spans="1:26" x14ac:dyDescent="0.3">
      <c r="A675" s="28" t="s">
        <v>42</v>
      </c>
      <c r="B675" s="6" t="s">
        <v>1328</v>
      </c>
      <c r="C675" s="6" t="s">
        <v>1975</v>
      </c>
      <c r="D675" s="6" t="s">
        <v>2293</v>
      </c>
      <c r="E675" s="6">
        <v>1</v>
      </c>
      <c r="F675" s="6" t="s">
        <v>2004</v>
      </c>
      <c r="G675" s="32" t="s">
        <v>2299</v>
      </c>
      <c r="H675" s="32" t="s">
        <v>2300</v>
      </c>
      <c r="I675" s="6" t="str">
        <f t="shared" si="24"/>
        <v>Side Breaker</v>
      </c>
      <c r="J675" s="6" t="s">
        <v>682</v>
      </c>
      <c r="K675" s="6">
        <v>1</v>
      </c>
      <c r="L675" s="6">
        <f t="shared" si="25"/>
        <v>1700000</v>
      </c>
      <c r="M675" s="6">
        <v>1450000</v>
      </c>
      <c r="N675" s="6" t="s">
        <v>2003</v>
      </c>
      <c r="O675" s="6" t="s">
        <v>2007</v>
      </c>
      <c r="P675" s="6">
        <v>2014</v>
      </c>
      <c r="Q675" s="6">
        <v>1</v>
      </c>
      <c r="R675" s="6" t="s">
        <v>45</v>
      </c>
      <c r="S675" s="31" t="s">
        <v>2113</v>
      </c>
      <c r="T675" s="6">
        <v>1</v>
      </c>
      <c r="U675" s="26">
        <v>1350000</v>
      </c>
      <c r="V675" s="26">
        <v>1350000</v>
      </c>
      <c r="W675" s="26">
        <v>1350000</v>
      </c>
      <c r="X675" s="6" t="s">
        <v>2003</v>
      </c>
      <c r="Y675" s="6" t="s">
        <v>49</v>
      </c>
      <c r="Z675" s="6">
        <v>225832</v>
      </c>
    </row>
    <row r="676" spans="1:26" x14ac:dyDescent="0.3">
      <c r="A676" s="28" t="s">
        <v>42</v>
      </c>
      <c r="B676" s="6" t="s">
        <v>1325</v>
      </c>
      <c r="C676" s="19" t="s">
        <v>2156</v>
      </c>
      <c r="D676" s="6" t="s">
        <v>2001</v>
      </c>
      <c r="E676" s="6">
        <v>1</v>
      </c>
      <c r="F676" s="6" t="s">
        <v>2004</v>
      </c>
      <c r="G676" s="32" t="s">
        <v>2299</v>
      </c>
      <c r="H676" s="32" t="s">
        <v>2300</v>
      </c>
      <c r="I676" s="6" t="str">
        <f t="shared" si="24"/>
        <v>Hydraulic Crusher</v>
      </c>
      <c r="J676" s="6" t="s">
        <v>525</v>
      </c>
      <c r="K676" s="6">
        <v>1</v>
      </c>
      <c r="L676" s="6">
        <f t="shared" si="25"/>
        <v>20000000</v>
      </c>
      <c r="M676" s="6">
        <v>17000000</v>
      </c>
      <c r="N676" s="6" t="s">
        <v>2003</v>
      </c>
      <c r="O676" s="6" t="s">
        <v>813</v>
      </c>
      <c r="P676" s="6">
        <v>2014</v>
      </c>
      <c r="Q676" s="6">
        <v>1</v>
      </c>
      <c r="R676" s="6" t="s">
        <v>45</v>
      </c>
      <c r="S676" s="31" t="s">
        <v>2113</v>
      </c>
      <c r="T676" s="6">
        <v>1</v>
      </c>
      <c r="U676" s="26">
        <v>16500000</v>
      </c>
      <c r="V676" s="26">
        <v>16500000</v>
      </c>
      <c r="W676" s="26">
        <v>16500000</v>
      </c>
      <c r="X676" s="6" t="s">
        <v>2003</v>
      </c>
      <c r="Y676" s="6" t="s">
        <v>80</v>
      </c>
      <c r="Z676" s="6">
        <v>225848</v>
      </c>
    </row>
    <row r="677" spans="1:26" x14ac:dyDescent="0.3">
      <c r="A677" s="28" t="s">
        <v>42</v>
      </c>
      <c r="B677" s="6" t="s">
        <v>1337</v>
      </c>
      <c r="C677" s="6"/>
      <c r="D677" s="6" t="s">
        <v>2001</v>
      </c>
      <c r="E677" s="6">
        <v>1</v>
      </c>
      <c r="F677" s="6" t="s">
        <v>2004</v>
      </c>
      <c r="G677" s="32" t="s">
        <v>2299</v>
      </c>
      <c r="H677" s="32" t="s">
        <v>2300</v>
      </c>
      <c r="I677" s="6" t="str">
        <f t="shared" si="24"/>
        <v>ETC</v>
      </c>
      <c r="J677" s="6" t="s">
        <v>400</v>
      </c>
      <c r="K677" s="6">
        <v>1</v>
      </c>
      <c r="L677" s="6">
        <f t="shared" si="25"/>
        <v>12940000</v>
      </c>
      <c r="M677" s="6">
        <v>11000000</v>
      </c>
      <c r="N677" s="6" t="s">
        <v>2003</v>
      </c>
      <c r="O677" s="6" t="s">
        <v>813</v>
      </c>
      <c r="P677" s="6">
        <v>2014</v>
      </c>
      <c r="Q677" s="6">
        <v>1</v>
      </c>
      <c r="R677" s="6" t="s">
        <v>45</v>
      </c>
      <c r="S677" s="31" t="s">
        <v>2113</v>
      </c>
      <c r="T677" s="6">
        <v>1</v>
      </c>
      <c r="U677" s="26">
        <v>10500000</v>
      </c>
      <c r="V677" s="26">
        <v>10500000</v>
      </c>
      <c r="W677" s="26">
        <v>10500000</v>
      </c>
      <c r="X677" s="6" t="s">
        <v>2003</v>
      </c>
      <c r="Y677" s="6" t="s">
        <v>79</v>
      </c>
      <c r="Z677" s="6">
        <v>225852</v>
      </c>
    </row>
    <row r="678" spans="1:26" x14ac:dyDescent="0.3">
      <c r="A678" s="28" t="s">
        <v>42</v>
      </c>
      <c r="B678" s="6" t="s">
        <v>1328</v>
      </c>
      <c r="C678" s="6" t="s">
        <v>1975</v>
      </c>
      <c r="D678" s="6" t="s">
        <v>2292</v>
      </c>
      <c r="E678" s="6">
        <v>1</v>
      </c>
      <c r="F678" s="6" t="s">
        <v>2004</v>
      </c>
      <c r="G678" s="32" t="s">
        <v>2299</v>
      </c>
      <c r="H678" s="32" t="s">
        <v>2300</v>
      </c>
      <c r="I678" s="6" t="str">
        <f t="shared" si="24"/>
        <v>Side Breaker</v>
      </c>
      <c r="J678" s="6" t="s">
        <v>119</v>
      </c>
      <c r="K678" s="6">
        <v>1</v>
      </c>
      <c r="L678" s="6">
        <f t="shared" si="25"/>
        <v>3880000</v>
      </c>
      <c r="M678" s="6">
        <v>3300000</v>
      </c>
      <c r="N678" s="6" t="s">
        <v>2003</v>
      </c>
      <c r="O678" s="6" t="s">
        <v>1055</v>
      </c>
      <c r="P678" s="6">
        <v>2012</v>
      </c>
      <c r="Q678" s="6">
        <v>1</v>
      </c>
      <c r="R678" s="6" t="s">
        <v>45</v>
      </c>
      <c r="S678" s="31" t="s">
        <v>2119</v>
      </c>
      <c r="T678" s="6">
        <v>1</v>
      </c>
      <c r="U678" s="26">
        <v>3100000</v>
      </c>
      <c r="V678" s="26">
        <v>3100000</v>
      </c>
      <c r="W678" s="26">
        <v>3100000</v>
      </c>
      <c r="X678" s="6" t="s">
        <v>2003</v>
      </c>
      <c r="Y678" s="6" t="s">
        <v>1277</v>
      </c>
      <c r="Z678" s="6">
        <v>225871</v>
      </c>
    </row>
    <row r="679" spans="1:26" x14ac:dyDescent="0.3">
      <c r="A679" s="28" t="s">
        <v>42</v>
      </c>
      <c r="B679" s="6" t="s">
        <v>1327</v>
      </c>
      <c r="C679" s="6" t="s">
        <v>1982</v>
      </c>
      <c r="D679" s="6" t="s">
        <v>2290</v>
      </c>
      <c r="E679" s="6">
        <v>1</v>
      </c>
      <c r="F679" s="6" t="s">
        <v>2004</v>
      </c>
      <c r="G679" s="32" t="s">
        <v>2299</v>
      </c>
      <c r="H679" s="32" t="s">
        <v>2300</v>
      </c>
      <c r="I679" s="6" t="str">
        <f t="shared" si="24"/>
        <v>Standard Bucket</v>
      </c>
      <c r="J679" s="6" t="s">
        <v>554</v>
      </c>
      <c r="K679" s="6">
        <v>1</v>
      </c>
      <c r="L679" s="6">
        <f t="shared" si="25"/>
        <v>3760000</v>
      </c>
      <c r="M679" s="6">
        <v>3200000</v>
      </c>
      <c r="N679" s="6" t="s">
        <v>2003</v>
      </c>
      <c r="O679" s="6" t="s">
        <v>2073</v>
      </c>
      <c r="P679" s="6">
        <v>2012</v>
      </c>
      <c r="Q679" s="6">
        <v>6</v>
      </c>
      <c r="R679" s="6" t="s">
        <v>45</v>
      </c>
      <c r="S679" s="31" t="s">
        <v>2123</v>
      </c>
      <c r="T679" s="6">
        <v>1</v>
      </c>
      <c r="U679" s="26">
        <v>3000000</v>
      </c>
      <c r="V679" s="26">
        <v>3000000</v>
      </c>
      <c r="W679" s="26">
        <v>3000000</v>
      </c>
      <c r="X679" s="6" t="s">
        <v>2003</v>
      </c>
      <c r="Y679" s="6" t="s">
        <v>1151</v>
      </c>
      <c r="Z679" s="6">
        <v>225872</v>
      </c>
    </row>
    <row r="680" spans="1:26" x14ac:dyDescent="0.3">
      <c r="A680" s="28" t="s">
        <v>42</v>
      </c>
      <c r="B680" s="6" t="s">
        <v>1326</v>
      </c>
      <c r="C680" s="6" t="s">
        <v>1979</v>
      </c>
      <c r="D680" s="6" t="s">
        <v>2292</v>
      </c>
      <c r="E680" s="6">
        <v>1</v>
      </c>
      <c r="F680" s="6" t="s">
        <v>2004</v>
      </c>
      <c r="G680" s="32" t="s">
        <v>2299</v>
      </c>
      <c r="H680" s="32" t="s">
        <v>2300</v>
      </c>
      <c r="I680" s="6" t="str">
        <f t="shared" si="24"/>
        <v>Thumb Grapple</v>
      </c>
      <c r="J680" s="6" t="s">
        <v>117</v>
      </c>
      <c r="K680" s="6">
        <v>1</v>
      </c>
      <c r="L680" s="6">
        <f t="shared" si="25"/>
        <v>940000</v>
      </c>
      <c r="M680" s="6">
        <v>800000</v>
      </c>
      <c r="N680" s="6" t="s">
        <v>2003</v>
      </c>
      <c r="O680" s="6" t="s">
        <v>813</v>
      </c>
      <c r="P680" s="6">
        <v>2013</v>
      </c>
      <c r="Q680" s="6">
        <v>1</v>
      </c>
      <c r="R680" s="6" t="s">
        <v>45</v>
      </c>
      <c r="S680" s="31" t="s">
        <v>2113</v>
      </c>
      <c r="T680" s="6">
        <v>1</v>
      </c>
      <c r="U680" s="26">
        <v>700000</v>
      </c>
      <c r="V680" s="26">
        <v>700000</v>
      </c>
      <c r="W680" s="26">
        <v>700000</v>
      </c>
      <c r="X680" s="6" t="s">
        <v>2003</v>
      </c>
      <c r="Y680" s="6" t="s">
        <v>80</v>
      </c>
      <c r="Z680" s="6">
        <v>225879</v>
      </c>
    </row>
    <row r="681" spans="1:26" x14ac:dyDescent="0.3">
      <c r="A681" s="28" t="s">
        <v>42</v>
      </c>
      <c r="B681" s="6" t="s">
        <v>1328</v>
      </c>
      <c r="C681" s="6" t="s">
        <v>1975</v>
      </c>
      <c r="D681" s="6" t="s">
        <v>2291</v>
      </c>
      <c r="E681" s="6">
        <v>1</v>
      </c>
      <c r="F681" s="6" t="s">
        <v>2004</v>
      </c>
      <c r="G681" s="32" t="s">
        <v>2299</v>
      </c>
      <c r="H681" s="32" t="s">
        <v>2300</v>
      </c>
      <c r="I681" s="6" t="str">
        <f t="shared" si="24"/>
        <v>Side Breaker</v>
      </c>
      <c r="J681" s="6" t="s">
        <v>160</v>
      </c>
      <c r="K681" s="6">
        <v>1</v>
      </c>
      <c r="L681" s="6">
        <f t="shared" si="25"/>
        <v>1880000</v>
      </c>
      <c r="M681" s="6">
        <v>1600000</v>
      </c>
      <c r="N681" s="6" t="s">
        <v>2003</v>
      </c>
      <c r="O681" s="6" t="s">
        <v>1877</v>
      </c>
      <c r="P681" s="6">
        <v>2010</v>
      </c>
      <c r="Q681" s="6">
        <v>1</v>
      </c>
      <c r="R681" s="6" t="s">
        <v>45</v>
      </c>
      <c r="S681" s="31" t="s">
        <v>2114</v>
      </c>
      <c r="T681" s="6">
        <v>1</v>
      </c>
      <c r="U681" s="26">
        <v>1500000</v>
      </c>
      <c r="V681" s="26">
        <v>1500000</v>
      </c>
      <c r="W681" s="26">
        <v>1500000</v>
      </c>
      <c r="X681" s="6" t="s">
        <v>2003</v>
      </c>
      <c r="Y681" s="6" t="s">
        <v>830</v>
      </c>
      <c r="Z681" s="6">
        <v>225886</v>
      </c>
    </row>
    <row r="682" spans="1:26" x14ac:dyDescent="0.3">
      <c r="A682" s="28" t="s">
        <v>42</v>
      </c>
      <c r="B682" s="6" t="s">
        <v>2169</v>
      </c>
      <c r="C682" s="6"/>
      <c r="D682" s="6" t="s">
        <v>2291</v>
      </c>
      <c r="E682" s="6">
        <v>1</v>
      </c>
      <c r="F682" s="6" t="s">
        <v>2004</v>
      </c>
      <c r="G682" s="32" t="s">
        <v>2299</v>
      </c>
      <c r="H682" s="32" t="s">
        <v>2300</v>
      </c>
      <c r="I682" s="6" t="str">
        <f t="shared" si="24"/>
        <v>Ripper</v>
      </c>
      <c r="J682" s="6" t="s">
        <v>371</v>
      </c>
      <c r="K682" s="6">
        <v>1</v>
      </c>
      <c r="L682" s="6">
        <f t="shared" si="25"/>
        <v>580000</v>
      </c>
      <c r="M682" s="6">
        <v>500000</v>
      </c>
      <c r="N682" s="6" t="s">
        <v>2003</v>
      </c>
      <c r="O682" s="6" t="s">
        <v>2007</v>
      </c>
      <c r="P682" s="6">
        <v>2017</v>
      </c>
      <c r="Q682" s="6">
        <v>1</v>
      </c>
      <c r="R682" s="6" t="s">
        <v>45</v>
      </c>
      <c r="S682" s="31" t="s">
        <v>2113</v>
      </c>
      <c r="T682" s="6">
        <v>1</v>
      </c>
      <c r="U682" s="26">
        <v>450000</v>
      </c>
      <c r="V682" s="26">
        <v>450000</v>
      </c>
      <c r="W682" s="26">
        <v>450000</v>
      </c>
      <c r="X682" s="6" t="s">
        <v>2003</v>
      </c>
      <c r="Y682" s="6" t="s">
        <v>49</v>
      </c>
      <c r="Z682" s="6">
        <v>225899</v>
      </c>
    </row>
    <row r="683" spans="1:26" x14ac:dyDescent="0.3">
      <c r="A683" s="28" t="s">
        <v>42</v>
      </c>
      <c r="B683" s="6" t="s">
        <v>1327</v>
      </c>
      <c r="C683" s="6" t="s">
        <v>1982</v>
      </c>
      <c r="D683" s="6" t="s">
        <v>2289</v>
      </c>
      <c r="E683" s="6">
        <v>1</v>
      </c>
      <c r="F683" s="6" t="s">
        <v>2004</v>
      </c>
      <c r="G683" s="32" t="s">
        <v>2299</v>
      </c>
      <c r="H683" s="32" t="s">
        <v>2300</v>
      </c>
      <c r="I683" s="6" t="str">
        <f t="shared" si="24"/>
        <v>Standard Bucket</v>
      </c>
      <c r="J683" s="6" t="s">
        <v>316</v>
      </c>
      <c r="K683" s="6">
        <v>1</v>
      </c>
      <c r="L683" s="6">
        <f t="shared" si="25"/>
        <v>5520000</v>
      </c>
      <c r="M683" s="6">
        <v>4700000</v>
      </c>
      <c r="N683" s="6" t="s">
        <v>2003</v>
      </c>
      <c r="O683" s="6" t="s">
        <v>54</v>
      </c>
      <c r="P683" s="6">
        <v>2010</v>
      </c>
      <c r="Q683" s="6">
        <v>1</v>
      </c>
      <c r="R683" s="6" t="s">
        <v>45</v>
      </c>
      <c r="S683" s="31" t="s">
        <v>2114</v>
      </c>
      <c r="T683" s="6">
        <v>1</v>
      </c>
      <c r="U683" s="26">
        <v>4500000</v>
      </c>
      <c r="V683" s="26">
        <v>4500000</v>
      </c>
      <c r="W683" s="26">
        <v>4500000</v>
      </c>
      <c r="X683" s="6" t="s">
        <v>2003</v>
      </c>
      <c r="Y683" s="6" t="s">
        <v>54</v>
      </c>
      <c r="Z683" s="6">
        <v>225908</v>
      </c>
    </row>
    <row r="684" spans="1:26" x14ac:dyDescent="0.3">
      <c r="A684" s="28" t="s">
        <v>42</v>
      </c>
      <c r="B684" s="6" t="s">
        <v>1327</v>
      </c>
      <c r="C684" s="6" t="s">
        <v>1976</v>
      </c>
      <c r="D684" s="6" t="s">
        <v>2292</v>
      </c>
      <c r="E684" s="6">
        <v>1</v>
      </c>
      <c r="F684" s="6" t="s">
        <v>2004</v>
      </c>
      <c r="G684" s="32" t="s">
        <v>2299</v>
      </c>
      <c r="H684" s="32" t="s">
        <v>2300</v>
      </c>
      <c r="I684" s="6" t="str">
        <f t="shared" si="24"/>
        <v>Skeleton Bucket</v>
      </c>
      <c r="J684" s="6" t="s">
        <v>559</v>
      </c>
      <c r="K684" s="6">
        <v>1</v>
      </c>
      <c r="L684" s="6">
        <f t="shared" si="25"/>
        <v>1050000</v>
      </c>
      <c r="M684" s="6">
        <v>900000</v>
      </c>
      <c r="N684" s="6" t="s">
        <v>2003</v>
      </c>
      <c r="O684" s="6" t="s">
        <v>2007</v>
      </c>
      <c r="P684" s="6">
        <v>2013</v>
      </c>
      <c r="Q684" s="6">
        <v>1</v>
      </c>
      <c r="R684" s="6" t="s">
        <v>45</v>
      </c>
      <c r="S684" s="31" t="s">
        <v>2113</v>
      </c>
      <c r="T684" s="6">
        <v>1</v>
      </c>
      <c r="U684" s="26">
        <v>800000</v>
      </c>
      <c r="V684" s="26">
        <v>800000</v>
      </c>
      <c r="W684" s="26">
        <v>800000</v>
      </c>
      <c r="X684" s="6" t="s">
        <v>2003</v>
      </c>
      <c r="Y684" s="6" t="s">
        <v>49</v>
      </c>
      <c r="Z684" s="6">
        <v>225912</v>
      </c>
    </row>
    <row r="685" spans="1:26" x14ac:dyDescent="0.3">
      <c r="A685" s="28" t="s">
        <v>42</v>
      </c>
      <c r="B685" s="6" t="s">
        <v>1326</v>
      </c>
      <c r="C685" s="6" t="s">
        <v>1972</v>
      </c>
      <c r="D685" s="6" t="s">
        <v>2292</v>
      </c>
      <c r="E685" s="6">
        <v>1</v>
      </c>
      <c r="F685" s="6" t="s">
        <v>2004</v>
      </c>
      <c r="G685" s="32" t="s">
        <v>2299</v>
      </c>
      <c r="H685" s="32" t="s">
        <v>2300</v>
      </c>
      <c r="I685" s="6" t="str">
        <f t="shared" si="24"/>
        <v>Stone Grapple</v>
      </c>
      <c r="J685" s="6" t="s">
        <v>166</v>
      </c>
      <c r="K685" s="6">
        <v>1</v>
      </c>
      <c r="L685" s="6">
        <f t="shared" si="25"/>
        <v>3050000</v>
      </c>
      <c r="M685" s="6">
        <v>2600000</v>
      </c>
      <c r="N685" s="6" t="s">
        <v>2003</v>
      </c>
      <c r="O685" s="6" t="s">
        <v>2007</v>
      </c>
      <c r="P685" s="6">
        <v>2014</v>
      </c>
      <c r="Q685" s="6">
        <v>1</v>
      </c>
      <c r="R685" s="6" t="s">
        <v>45</v>
      </c>
      <c r="S685" s="31" t="s">
        <v>2113</v>
      </c>
      <c r="T685" s="6">
        <v>1</v>
      </c>
      <c r="U685" s="26">
        <v>2400000</v>
      </c>
      <c r="V685" s="26">
        <v>2400000</v>
      </c>
      <c r="W685" s="26">
        <v>2400000</v>
      </c>
      <c r="X685" s="6" t="s">
        <v>2003</v>
      </c>
      <c r="Y685" s="6" t="s">
        <v>49</v>
      </c>
      <c r="Z685" s="6">
        <v>225914</v>
      </c>
    </row>
    <row r="686" spans="1:26" x14ac:dyDescent="0.3">
      <c r="A686" s="28" t="s">
        <v>42</v>
      </c>
      <c r="B686" s="6" t="s">
        <v>2169</v>
      </c>
      <c r="C686" s="6"/>
      <c r="D686" s="6" t="s">
        <v>2290</v>
      </c>
      <c r="E686" s="6">
        <v>1</v>
      </c>
      <c r="F686" s="6" t="s">
        <v>2004</v>
      </c>
      <c r="G686" s="32" t="s">
        <v>2299</v>
      </c>
      <c r="H686" s="32" t="s">
        <v>2300</v>
      </c>
      <c r="I686" s="6" t="str">
        <f t="shared" si="24"/>
        <v>Ripper</v>
      </c>
      <c r="J686" s="6" t="s">
        <v>346</v>
      </c>
      <c r="K686" s="6">
        <v>1</v>
      </c>
      <c r="L686" s="6">
        <f t="shared" si="25"/>
        <v>1760000</v>
      </c>
      <c r="M686" s="6">
        <v>1500000</v>
      </c>
      <c r="N686" s="6" t="s">
        <v>2003</v>
      </c>
      <c r="O686" s="6" t="s">
        <v>2008</v>
      </c>
      <c r="P686" s="6">
        <v>2017</v>
      </c>
      <c r="Q686" s="6">
        <v>1</v>
      </c>
      <c r="R686" s="6" t="s">
        <v>45</v>
      </c>
      <c r="S686" s="31" t="s">
        <v>2110</v>
      </c>
      <c r="T686" s="6">
        <v>1</v>
      </c>
      <c r="U686" s="26">
        <v>1400000</v>
      </c>
      <c r="V686" s="26">
        <v>1400000</v>
      </c>
      <c r="W686" s="26">
        <v>1400000</v>
      </c>
      <c r="X686" s="6" t="s">
        <v>2003</v>
      </c>
      <c r="Y686" s="6" t="s">
        <v>1155</v>
      </c>
      <c r="Z686" s="6">
        <v>225920</v>
      </c>
    </row>
    <row r="687" spans="1:26" x14ac:dyDescent="0.3">
      <c r="A687" s="28" t="s">
        <v>42</v>
      </c>
      <c r="B687" s="6" t="s">
        <v>1326</v>
      </c>
      <c r="C687" s="6" t="s">
        <v>1972</v>
      </c>
      <c r="D687" s="6" t="s">
        <v>2001</v>
      </c>
      <c r="E687" s="6">
        <v>1</v>
      </c>
      <c r="F687" s="6" t="s">
        <v>2004</v>
      </c>
      <c r="G687" s="32" t="s">
        <v>2299</v>
      </c>
      <c r="H687" s="32" t="s">
        <v>2300</v>
      </c>
      <c r="I687" s="6" t="str">
        <f t="shared" si="24"/>
        <v>Stone Grapple</v>
      </c>
      <c r="J687" s="6" t="s">
        <v>174</v>
      </c>
      <c r="K687" s="6">
        <v>1</v>
      </c>
      <c r="L687" s="6">
        <f t="shared" si="25"/>
        <v>8820000</v>
      </c>
      <c r="M687" s="6">
        <v>7500000</v>
      </c>
      <c r="N687" s="6" t="s">
        <v>2003</v>
      </c>
      <c r="O687" s="6" t="s">
        <v>2033</v>
      </c>
      <c r="P687" s="6">
        <v>2015</v>
      </c>
      <c r="Q687" s="6">
        <v>5</v>
      </c>
      <c r="R687" s="6" t="s">
        <v>45</v>
      </c>
      <c r="S687" s="31" t="s">
        <v>2123</v>
      </c>
      <c r="T687" s="6">
        <v>1</v>
      </c>
      <c r="U687" s="26">
        <v>7000000</v>
      </c>
      <c r="V687" s="26">
        <v>7000000</v>
      </c>
      <c r="W687" s="26">
        <v>7000000</v>
      </c>
      <c r="X687" s="6" t="s">
        <v>2003</v>
      </c>
      <c r="Y687" s="6" t="s">
        <v>1219</v>
      </c>
      <c r="Z687" s="6">
        <v>225924</v>
      </c>
    </row>
    <row r="688" spans="1:26" x14ac:dyDescent="0.3">
      <c r="A688" s="28" t="s">
        <v>42</v>
      </c>
      <c r="B688" s="6" t="s">
        <v>1328</v>
      </c>
      <c r="C688" s="6" t="s">
        <v>1975</v>
      </c>
      <c r="D688" s="6" t="s">
        <v>2292</v>
      </c>
      <c r="E688" s="6">
        <v>1</v>
      </c>
      <c r="F688" s="6" t="s">
        <v>2004</v>
      </c>
      <c r="G688" s="32" t="s">
        <v>2299</v>
      </c>
      <c r="H688" s="32" t="s">
        <v>2300</v>
      </c>
      <c r="I688" s="6" t="str">
        <f t="shared" si="24"/>
        <v>Side Breaker</v>
      </c>
      <c r="J688" s="6" t="s">
        <v>688</v>
      </c>
      <c r="K688" s="6">
        <v>1</v>
      </c>
      <c r="L688" s="6">
        <f t="shared" si="25"/>
        <v>5880000</v>
      </c>
      <c r="M688" s="6">
        <v>5000000</v>
      </c>
      <c r="N688" s="6" t="s">
        <v>2003</v>
      </c>
      <c r="O688" s="6" t="s">
        <v>2009</v>
      </c>
      <c r="P688" s="6">
        <v>2017</v>
      </c>
      <c r="Q688" s="6">
        <v>2</v>
      </c>
      <c r="R688" s="6" t="s">
        <v>45</v>
      </c>
      <c r="S688" s="31" t="s">
        <v>2110</v>
      </c>
      <c r="T688" s="6">
        <v>1</v>
      </c>
      <c r="U688" s="26">
        <v>4800000</v>
      </c>
      <c r="V688" s="26">
        <v>4800000</v>
      </c>
      <c r="W688" s="26">
        <v>4800000</v>
      </c>
      <c r="X688" s="6" t="s">
        <v>2003</v>
      </c>
      <c r="Y688" s="6" t="s">
        <v>1152</v>
      </c>
      <c r="Z688" s="6">
        <v>225927</v>
      </c>
    </row>
    <row r="689" spans="1:26" x14ac:dyDescent="0.3">
      <c r="A689" s="28" t="s">
        <v>42</v>
      </c>
      <c r="B689" s="6" t="s">
        <v>1326</v>
      </c>
      <c r="C689" s="6" t="s">
        <v>1972</v>
      </c>
      <c r="D689" s="6" t="s">
        <v>2292</v>
      </c>
      <c r="E689" s="6">
        <v>1</v>
      </c>
      <c r="F689" s="6" t="s">
        <v>2004</v>
      </c>
      <c r="G689" s="32" t="s">
        <v>2299</v>
      </c>
      <c r="H689" s="32" t="s">
        <v>2300</v>
      </c>
      <c r="I689" s="6" t="str">
        <f t="shared" si="24"/>
        <v>Stone Grapple</v>
      </c>
      <c r="J689" s="6" t="s">
        <v>317</v>
      </c>
      <c r="K689" s="6">
        <v>1</v>
      </c>
      <c r="L689" s="6">
        <f t="shared" si="25"/>
        <v>2230000</v>
      </c>
      <c r="M689" s="6">
        <v>1900000</v>
      </c>
      <c r="N689" s="6" t="s">
        <v>2003</v>
      </c>
      <c r="O689" s="6" t="s">
        <v>2074</v>
      </c>
      <c r="P689" s="6">
        <v>2012</v>
      </c>
      <c r="Q689" s="6">
        <v>1</v>
      </c>
      <c r="R689" s="6" t="s">
        <v>45</v>
      </c>
      <c r="S689" s="31" t="s">
        <v>2113</v>
      </c>
      <c r="T689" s="6">
        <v>1</v>
      </c>
      <c r="U689" s="26">
        <v>1800000</v>
      </c>
      <c r="V689" s="26">
        <v>1800000</v>
      </c>
      <c r="W689" s="26">
        <v>1800000</v>
      </c>
      <c r="X689" s="6" t="s">
        <v>2003</v>
      </c>
      <c r="Y689" s="6" t="s">
        <v>49</v>
      </c>
      <c r="Z689" s="6">
        <v>225928</v>
      </c>
    </row>
    <row r="690" spans="1:26" x14ac:dyDescent="0.3">
      <c r="A690" s="28" t="s">
        <v>42</v>
      </c>
      <c r="B690" s="6" t="s">
        <v>1326</v>
      </c>
      <c r="C690" s="6" t="s">
        <v>1979</v>
      </c>
      <c r="D690" s="6" t="s">
        <v>2291</v>
      </c>
      <c r="E690" s="6">
        <v>1</v>
      </c>
      <c r="F690" s="6" t="s">
        <v>2004</v>
      </c>
      <c r="G690" s="32" t="s">
        <v>2299</v>
      </c>
      <c r="H690" s="32" t="s">
        <v>2300</v>
      </c>
      <c r="I690" s="6" t="str">
        <f t="shared" si="24"/>
        <v>Thumb Grapple</v>
      </c>
      <c r="J690" s="6" t="s">
        <v>689</v>
      </c>
      <c r="K690" s="6">
        <v>1</v>
      </c>
      <c r="L690" s="6">
        <f t="shared" si="25"/>
        <v>2110000</v>
      </c>
      <c r="M690" s="6">
        <v>1800000</v>
      </c>
      <c r="N690" s="6" t="s">
        <v>2003</v>
      </c>
      <c r="O690" s="6" t="s">
        <v>846</v>
      </c>
      <c r="P690" s="6">
        <v>2017</v>
      </c>
      <c r="Q690" s="6">
        <v>1</v>
      </c>
      <c r="R690" s="6" t="s">
        <v>45</v>
      </c>
      <c r="S690" s="31" t="s">
        <v>2116</v>
      </c>
      <c r="T690" s="6">
        <v>1</v>
      </c>
      <c r="U690" s="26">
        <v>1700000</v>
      </c>
      <c r="V690" s="26">
        <v>1700000</v>
      </c>
      <c r="W690" s="26">
        <v>1700000</v>
      </c>
      <c r="X690" s="6" t="s">
        <v>2003</v>
      </c>
      <c r="Y690" s="6" t="s">
        <v>49</v>
      </c>
      <c r="Z690" s="6">
        <v>225929</v>
      </c>
    </row>
    <row r="691" spans="1:26" x14ac:dyDescent="0.3">
      <c r="A691" s="28" t="s">
        <v>42</v>
      </c>
      <c r="B691" s="6" t="s">
        <v>1328</v>
      </c>
      <c r="C691" s="6" t="s">
        <v>1975</v>
      </c>
      <c r="D691" s="6" t="s">
        <v>2291</v>
      </c>
      <c r="E691" s="6">
        <v>1</v>
      </c>
      <c r="F691" s="6" t="s">
        <v>2004</v>
      </c>
      <c r="G691" s="32" t="s">
        <v>2299</v>
      </c>
      <c r="H691" s="32" t="s">
        <v>2300</v>
      </c>
      <c r="I691" s="6" t="str">
        <f t="shared" si="24"/>
        <v>Side Breaker</v>
      </c>
      <c r="J691" s="6" t="s">
        <v>690</v>
      </c>
      <c r="K691" s="6">
        <v>1</v>
      </c>
      <c r="L691" s="6">
        <f t="shared" si="25"/>
        <v>1880000</v>
      </c>
      <c r="M691" s="6">
        <v>1600000</v>
      </c>
      <c r="N691" s="6" t="s">
        <v>2003</v>
      </c>
      <c r="O691" s="6" t="s">
        <v>54</v>
      </c>
      <c r="P691" s="6">
        <v>2011</v>
      </c>
      <c r="Q691" s="6">
        <v>1</v>
      </c>
      <c r="R691" s="6" t="s">
        <v>45</v>
      </c>
      <c r="S691" s="31" t="s">
        <v>2114</v>
      </c>
      <c r="T691" s="6">
        <v>1</v>
      </c>
      <c r="U691" s="26">
        <v>1500000</v>
      </c>
      <c r="V691" s="26">
        <v>1500000</v>
      </c>
      <c r="W691" s="26">
        <v>1500000</v>
      </c>
      <c r="X691" s="6" t="s">
        <v>2003</v>
      </c>
      <c r="Y691" s="6" t="s">
        <v>54</v>
      </c>
      <c r="Z691" s="6">
        <v>225937</v>
      </c>
    </row>
    <row r="692" spans="1:26" x14ac:dyDescent="0.3">
      <c r="A692" s="28" t="s">
        <v>42</v>
      </c>
      <c r="B692" s="6" t="s">
        <v>2163</v>
      </c>
      <c r="C692" s="6"/>
      <c r="D692" s="6" t="s">
        <v>2291</v>
      </c>
      <c r="E692" s="6">
        <v>1</v>
      </c>
      <c r="F692" s="6" t="s">
        <v>2004</v>
      </c>
      <c r="G692" s="32" t="s">
        <v>2299</v>
      </c>
      <c r="H692" s="32" t="s">
        <v>2300</v>
      </c>
      <c r="I692" s="6" t="str">
        <f t="shared" si="24"/>
        <v>Lift Fork</v>
      </c>
      <c r="J692" s="6" t="s">
        <v>391</v>
      </c>
      <c r="K692" s="6">
        <v>1</v>
      </c>
      <c r="L692" s="6">
        <f t="shared" si="25"/>
        <v>1050000</v>
      </c>
      <c r="M692" s="6">
        <v>900000</v>
      </c>
      <c r="N692" s="6" t="s">
        <v>2003</v>
      </c>
      <c r="O692" s="6" t="s">
        <v>2029</v>
      </c>
      <c r="P692" s="6">
        <v>2016</v>
      </c>
      <c r="Q692" s="6">
        <v>12</v>
      </c>
      <c r="R692" s="6" t="s">
        <v>45</v>
      </c>
      <c r="S692" s="31" t="s">
        <v>2123</v>
      </c>
      <c r="T692" s="6">
        <v>1</v>
      </c>
      <c r="U692" s="26">
        <v>800000</v>
      </c>
      <c r="V692" s="26">
        <v>800000</v>
      </c>
      <c r="W692" s="26">
        <v>800000</v>
      </c>
      <c r="X692" s="6" t="s">
        <v>2003</v>
      </c>
      <c r="Y692" s="6" t="s">
        <v>1143</v>
      </c>
      <c r="Z692" s="6">
        <v>225957</v>
      </c>
    </row>
    <row r="693" spans="1:26" x14ac:dyDescent="0.3">
      <c r="A693" s="28" t="s">
        <v>42</v>
      </c>
      <c r="B693" s="6" t="s">
        <v>1327</v>
      </c>
      <c r="C693" s="6" t="s">
        <v>1971</v>
      </c>
      <c r="D693" s="6" t="s">
        <v>2289</v>
      </c>
      <c r="E693" s="6">
        <v>1</v>
      </c>
      <c r="F693" s="6" t="s">
        <v>2004</v>
      </c>
      <c r="G693" s="32" t="s">
        <v>2299</v>
      </c>
      <c r="H693" s="32" t="s">
        <v>2300</v>
      </c>
      <c r="I693" s="6" t="str">
        <f t="shared" si="24"/>
        <v>Special Bucket</v>
      </c>
      <c r="J693" s="6" t="s">
        <v>674</v>
      </c>
      <c r="K693" s="6">
        <v>1</v>
      </c>
      <c r="L693" s="6">
        <f t="shared" si="25"/>
        <v>5520000</v>
      </c>
      <c r="M693" s="6">
        <v>4700000</v>
      </c>
      <c r="N693" s="6" t="s">
        <v>2003</v>
      </c>
      <c r="O693" s="6" t="s">
        <v>800</v>
      </c>
      <c r="P693" s="6">
        <v>2014</v>
      </c>
      <c r="Q693" s="6">
        <v>1</v>
      </c>
      <c r="R693" s="6" t="s">
        <v>45</v>
      </c>
      <c r="S693" s="31" t="s">
        <v>2121</v>
      </c>
      <c r="T693" s="6">
        <v>1</v>
      </c>
      <c r="U693" s="26">
        <v>4500000</v>
      </c>
      <c r="V693" s="26">
        <v>4500000</v>
      </c>
      <c r="W693" s="26">
        <v>4500000</v>
      </c>
      <c r="X693" s="6" t="s">
        <v>2003</v>
      </c>
      <c r="Y693" s="6" t="s">
        <v>1215</v>
      </c>
      <c r="Z693" s="6">
        <v>225959</v>
      </c>
    </row>
    <row r="694" spans="1:26" x14ac:dyDescent="0.3">
      <c r="A694" s="28" t="s">
        <v>42</v>
      </c>
      <c r="B694" s="6" t="s">
        <v>1326</v>
      </c>
      <c r="C694" s="6" t="s">
        <v>1972</v>
      </c>
      <c r="D694" s="6" t="s">
        <v>2292</v>
      </c>
      <c r="E694" s="6">
        <v>1</v>
      </c>
      <c r="F694" s="6" t="s">
        <v>2004</v>
      </c>
      <c r="G694" s="32" t="s">
        <v>2299</v>
      </c>
      <c r="H694" s="32" t="s">
        <v>2300</v>
      </c>
      <c r="I694" s="6" t="str">
        <f t="shared" si="24"/>
        <v>Stone Grapple</v>
      </c>
      <c r="J694" s="6" t="s">
        <v>120</v>
      </c>
      <c r="K694" s="6">
        <v>1</v>
      </c>
      <c r="L694" s="6">
        <f t="shared" si="25"/>
        <v>7050000</v>
      </c>
      <c r="M694" s="6">
        <v>6000000</v>
      </c>
      <c r="N694" s="6" t="s">
        <v>2003</v>
      </c>
      <c r="O694" s="6" t="s">
        <v>1061</v>
      </c>
      <c r="P694" s="6">
        <v>2014</v>
      </c>
      <c r="Q694" s="6">
        <v>1</v>
      </c>
      <c r="R694" s="6" t="s">
        <v>45</v>
      </c>
      <c r="S694" s="31" t="s">
        <v>2118</v>
      </c>
      <c r="T694" s="6">
        <v>1</v>
      </c>
      <c r="U694" s="26">
        <v>5500000</v>
      </c>
      <c r="V694" s="26">
        <v>5500000</v>
      </c>
      <c r="W694" s="26">
        <v>5500000</v>
      </c>
      <c r="X694" s="6" t="s">
        <v>2003</v>
      </c>
      <c r="Y694" s="6" t="s">
        <v>67</v>
      </c>
      <c r="Z694" s="6">
        <v>225966</v>
      </c>
    </row>
    <row r="695" spans="1:26" x14ac:dyDescent="0.3">
      <c r="A695" s="28" t="s">
        <v>42</v>
      </c>
      <c r="B695" s="6" t="s">
        <v>1327</v>
      </c>
      <c r="C695" s="6" t="s">
        <v>1980</v>
      </c>
      <c r="D695" s="6" t="s">
        <v>2292</v>
      </c>
      <c r="E695" s="6">
        <v>1</v>
      </c>
      <c r="F695" s="6" t="s">
        <v>2004</v>
      </c>
      <c r="G695" s="32" t="s">
        <v>2299</v>
      </c>
      <c r="H695" s="32" t="s">
        <v>2300</v>
      </c>
      <c r="I695" s="6" t="str">
        <f t="shared" si="24"/>
        <v>Small Bucket</v>
      </c>
      <c r="J695" s="6" t="s">
        <v>97</v>
      </c>
      <c r="K695" s="6">
        <v>1</v>
      </c>
      <c r="L695" s="6">
        <f t="shared" si="25"/>
        <v>1050000</v>
      </c>
      <c r="M695" s="6">
        <v>900000</v>
      </c>
      <c r="N695" s="6" t="s">
        <v>2003</v>
      </c>
      <c r="O695" s="6" t="s">
        <v>1062</v>
      </c>
      <c r="P695" s="6">
        <v>2015</v>
      </c>
      <c r="Q695" s="6">
        <v>1</v>
      </c>
      <c r="R695" s="6" t="s">
        <v>45</v>
      </c>
      <c r="S695" s="31" t="s">
        <v>2118</v>
      </c>
      <c r="T695" s="6">
        <v>1</v>
      </c>
      <c r="U695" s="26">
        <v>800000</v>
      </c>
      <c r="V695" s="26">
        <v>800000</v>
      </c>
      <c r="W695" s="26">
        <v>800000</v>
      </c>
      <c r="X695" s="6" t="s">
        <v>2003</v>
      </c>
      <c r="Y695" s="6" t="s">
        <v>67</v>
      </c>
      <c r="Z695" s="6">
        <v>225968</v>
      </c>
    </row>
    <row r="696" spans="1:26" x14ac:dyDescent="0.3">
      <c r="A696" s="28" t="s">
        <v>42</v>
      </c>
      <c r="B696" s="6" t="s">
        <v>1327</v>
      </c>
      <c r="C696" s="6" t="s">
        <v>1980</v>
      </c>
      <c r="D696" s="6" t="s">
        <v>2291</v>
      </c>
      <c r="E696" s="6">
        <v>1</v>
      </c>
      <c r="F696" s="6" t="s">
        <v>2004</v>
      </c>
      <c r="G696" s="32" t="s">
        <v>2299</v>
      </c>
      <c r="H696" s="32" t="s">
        <v>2300</v>
      </c>
      <c r="I696" s="6" t="str">
        <f t="shared" si="24"/>
        <v>Small Bucket</v>
      </c>
      <c r="J696" s="6" t="s">
        <v>113</v>
      </c>
      <c r="K696" s="6">
        <v>1</v>
      </c>
      <c r="L696" s="6">
        <f t="shared" si="25"/>
        <v>720000</v>
      </c>
      <c r="M696" s="6">
        <v>620000</v>
      </c>
      <c r="N696" s="6" t="s">
        <v>2003</v>
      </c>
      <c r="O696" s="6" t="s">
        <v>1879</v>
      </c>
      <c r="P696" s="6">
        <v>2015</v>
      </c>
      <c r="Q696" s="6">
        <v>1</v>
      </c>
      <c r="R696" s="6" t="s">
        <v>45</v>
      </c>
      <c r="S696" s="31" t="s">
        <v>2112</v>
      </c>
      <c r="T696" s="6">
        <v>1</v>
      </c>
      <c r="U696" s="26">
        <v>520000</v>
      </c>
      <c r="V696" s="26">
        <v>520000</v>
      </c>
      <c r="W696" s="26">
        <v>520000</v>
      </c>
      <c r="X696" s="6" t="s">
        <v>2003</v>
      </c>
      <c r="Y696" s="6" t="s">
        <v>1142</v>
      </c>
      <c r="Z696" s="6">
        <v>225973</v>
      </c>
    </row>
    <row r="697" spans="1:26" x14ac:dyDescent="0.3">
      <c r="A697" s="28" t="s">
        <v>42</v>
      </c>
      <c r="B697" s="6" t="s">
        <v>1326</v>
      </c>
      <c r="C697" s="6" t="s">
        <v>1974</v>
      </c>
      <c r="D697" s="6" t="s">
        <v>2292</v>
      </c>
      <c r="E697" s="6">
        <v>1</v>
      </c>
      <c r="F697" s="6" t="s">
        <v>2004</v>
      </c>
      <c r="G697" s="32" t="s">
        <v>2299</v>
      </c>
      <c r="H697" s="32" t="s">
        <v>2300</v>
      </c>
      <c r="I697" s="6" t="str">
        <f t="shared" si="24"/>
        <v>Etc Grapple</v>
      </c>
      <c r="J697" s="6" t="s">
        <v>125</v>
      </c>
      <c r="K697" s="6">
        <v>1</v>
      </c>
      <c r="L697" s="6">
        <f t="shared" si="25"/>
        <v>5640000</v>
      </c>
      <c r="M697" s="6">
        <v>4800000</v>
      </c>
      <c r="N697" s="6" t="s">
        <v>2003</v>
      </c>
      <c r="O697" s="6" t="s">
        <v>1063</v>
      </c>
      <c r="P697" s="6">
        <v>2016</v>
      </c>
      <c r="Q697" s="6">
        <v>5</v>
      </c>
      <c r="R697" s="6" t="s">
        <v>45</v>
      </c>
      <c r="S697" s="31" t="s">
        <v>2120</v>
      </c>
      <c r="T697" s="6">
        <v>1</v>
      </c>
      <c r="U697" s="26">
        <v>4600000</v>
      </c>
      <c r="V697" s="26">
        <v>4600000</v>
      </c>
      <c r="W697" s="26">
        <v>4600000</v>
      </c>
      <c r="X697" s="6" t="s">
        <v>2003</v>
      </c>
      <c r="Y697" s="6" t="s">
        <v>1148</v>
      </c>
      <c r="Z697" s="6">
        <v>225975</v>
      </c>
    </row>
    <row r="698" spans="1:26" x14ac:dyDescent="0.3">
      <c r="A698" s="28" t="s">
        <v>42</v>
      </c>
      <c r="B698" s="6" t="s">
        <v>1326</v>
      </c>
      <c r="C698" s="6" t="s">
        <v>1972</v>
      </c>
      <c r="D698" s="6" t="s">
        <v>2291</v>
      </c>
      <c r="E698" s="6">
        <v>1</v>
      </c>
      <c r="F698" s="6" t="s">
        <v>2004</v>
      </c>
      <c r="G698" s="32" t="s">
        <v>2299</v>
      </c>
      <c r="H698" s="32" t="s">
        <v>2300</v>
      </c>
      <c r="I698" s="6" t="str">
        <f t="shared" si="24"/>
        <v>Stone Grapple</v>
      </c>
      <c r="J698" s="6" t="s">
        <v>381</v>
      </c>
      <c r="K698" s="6">
        <v>1</v>
      </c>
      <c r="L698" s="6">
        <f t="shared" si="25"/>
        <v>2000000</v>
      </c>
      <c r="M698" s="6">
        <v>1700000</v>
      </c>
      <c r="N698" s="6" t="s">
        <v>2003</v>
      </c>
      <c r="O698" s="6" t="s">
        <v>1880</v>
      </c>
      <c r="P698" s="6">
        <v>2016</v>
      </c>
      <c r="Q698" s="6">
        <v>2</v>
      </c>
      <c r="R698" s="6" t="s">
        <v>45</v>
      </c>
      <c r="S698" s="31" t="s">
        <v>2116</v>
      </c>
      <c r="T698" s="6">
        <v>1</v>
      </c>
      <c r="U698" s="26">
        <v>1600000</v>
      </c>
      <c r="V698" s="26">
        <v>1600000</v>
      </c>
      <c r="W698" s="26">
        <v>1600000</v>
      </c>
      <c r="X698" s="6" t="s">
        <v>2003</v>
      </c>
      <c r="Y698" s="6" t="s">
        <v>1233</v>
      </c>
      <c r="Z698" s="6">
        <v>225977</v>
      </c>
    </row>
    <row r="699" spans="1:26" x14ac:dyDescent="0.3">
      <c r="A699" s="28" t="s">
        <v>42</v>
      </c>
      <c r="B699" s="6" t="s">
        <v>1325</v>
      </c>
      <c r="C699" s="19" t="s">
        <v>2156</v>
      </c>
      <c r="D699" s="6" t="s">
        <v>2293</v>
      </c>
      <c r="E699" s="6">
        <v>1</v>
      </c>
      <c r="F699" s="6" t="s">
        <v>2004</v>
      </c>
      <c r="G699" s="32" t="s">
        <v>2299</v>
      </c>
      <c r="H699" s="32" t="s">
        <v>2300</v>
      </c>
      <c r="I699" s="6" t="str">
        <f t="shared" si="24"/>
        <v>Hydraulic Crusher</v>
      </c>
      <c r="J699" s="6" t="s">
        <v>651</v>
      </c>
      <c r="K699" s="6">
        <v>1</v>
      </c>
      <c r="L699" s="6">
        <f t="shared" si="25"/>
        <v>6820000</v>
      </c>
      <c r="M699" s="6">
        <v>5800000</v>
      </c>
      <c r="N699" s="6" t="s">
        <v>2003</v>
      </c>
      <c r="O699" s="6" t="s">
        <v>837</v>
      </c>
      <c r="P699" s="6">
        <v>2016</v>
      </c>
      <c r="Q699" s="6">
        <v>1</v>
      </c>
      <c r="R699" s="6" t="s">
        <v>45</v>
      </c>
      <c r="S699" s="31" t="s">
        <v>2113</v>
      </c>
      <c r="T699" s="6">
        <v>1</v>
      </c>
      <c r="U699" s="26">
        <v>5300000</v>
      </c>
      <c r="V699" s="26">
        <v>5300000</v>
      </c>
      <c r="W699" s="26">
        <v>5300000</v>
      </c>
      <c r="X699" s="6" t="s">
        <v>2003</v>
      </c>
      <c r="Y699" s="6" t="s">
        <v>71</v>
      </c>
      <c r="Z699" s="6">
        <v>225982</v>
      </c>
    </row>
    <row r="700" spans="1:26" x14ac:dyDescent="0.3">
      <c r="A700" s="28" t="s">
        <v>42</v>
      </c>
      <c r="B700" s="6" t="s">
        <v>1326</v>
      </c>
      <c r="C700" s="6" t="s">
        <v>1972</v>
      </c>
      <c r="D700" s="6" t="s">
        <v>2292</v>
      </c>
      <c r="E700" s="6">
        <v>1</v>
      </c>
      <c r="F700" s="6" t="s">
        <v>2004</v>
      </c>
      <c r="G700" s="32" t="s">
        <v>2299</v>
      </c>
      <c r="H700" s="32" t="s">
        <v>2300</v>
      </c>
      <c r="I700" s="6" t="str">
        <f t="shared" si="24"/>
        <v>Stone Grapple</v>
      </c>
      <c r="J700" s="6" t="s">
        <v>44</v>
      </c>
      <c r="K700" s="6">
        <v>1</v>
      </c>
      <c r="L700" s="6">
        <f t="shared" si="25"/>
        <v>2580000</v>
      </c>
      <c r="M700" s="6">
        <v>2200000</v>
      </c>
      <c r="N700" s="6" t="s">
        <v>2003</v>
      </c>
      <c r="O700" s="6" t="s">
        <v>1064</v>
      </c>
      <c r="P700" s="6">
        <v>2012</v>
      </c>
      <c r="Q700" s="6">
        <v>1</v>
      </c>
      <c r="R700" s="6" t="s">
        <v>45</v>
      </c>
      <c r="S700" s="31" t="s">
        <v>2117</v>
      </c>
      <c r="T700" s="6">
        <v>1</v>
      </c>
      <c r="U700" s="26">
        <v>2000000</v>
      </c>
      <c r="V700" s="26">
        <v>2000000</v>
      </c>
      <c r="W700" s="26">
        <v>2000000</v>
      </c>
      <c r="X700" s="6" t="s">
        <v>2003</v>
      </c>
      <c r="Y700" s="6" t="s">
        <v>1297</v>
      </c>
      <c r="Z700" s="6">
        <v>225983</v>
      </c>
    </row>
    <row r="701" spans="1:26" x14ac:dyDescent="0.3">
      <c r="A701" s="28" t="s">
        <v>42</v>
      </c>
      <c r="B701" s="6" t="s">
        <v>1328</v>
      </c>
      <c r="C701" s="6" t="s">
        <v>1975</v>
      </c>
      <c r="D701" s="6" t="s">
        <v>2292</v>
      </c>
      <c r="E701" s="6">
        <v>1</v>
      </c>
      <c r="F701" s="6" t="s">
        <v>2004</v>
      </c>
      <c r="G701" s="32" t="s">
        <v>2299</v>
      </c>
      <c r="H701" s="32" t="s">
        <v>2300</v>
      </c>
      <c r="I701" s="6" t="str">
        <f t="shared" si="24"/>
        <v>Side Breaker</v>
      </c>
      <c r="J701" s="6" t="s">
        <v>592</v>
      </c>
      <c r="K701" s="6">
        <v>1</v>
      </c>
      <c r="L701" s="6">
        <f t="shared" si="25"/>
        <v>5170000</v>
      </c>
      <c r="M701" s="6">
        <v>4400000</v>
      </c>
      <c r="N701" s="6" t="s">
        <v>2003</v>
      </c>
      <c r="O701" s="6" t="s">
        <v>798</v>
      </c>
      <c r="P701" s="6">
        <v>2015</v>
      </c>
      <c r="Q701" s="6">
        <v>1</v>
      </c>
      <c r="R701" s="6" t="s">
        <v>45</v>
      </c>
      <c r="S701" s="31" t="s">
        <v>2113</v>
      </c>
      <c r="T701" s="6">
        <v>1</v>
      </c>
      <c r="U701" s="26">
        <v>4200000</v>
      </c>
      <c r="V701" s="26">
        <v>4200000</v>
      </c>
      <c r="W701" s="26">
        <v>4200000</v>
      </c>
      <c r="X701" s="6" t="s">
        <v>2003</v>
      </c>
      <c r="Y701" s="6" t="s">
        <v>71</v>
      </c>
      <c r="Z701" s="6">
        <v>225991</v>
      </c>
    </row>
    <row r="702" spans="1:26" x14ac:dyDescent="0.3">
      <c r="A702" s="28" t="s">
        <v>42</v>
      </c>
      <c r="B702" s="6" t="s">
        <v>1328</v>
      </c>
      <c r="C702" s="6" t="s">
        <v>1975</v>
      </c>
      <c r="D702" s="6" t="s">
        <v>2292</v>
      </c>
      <c r="E702" s="6">
        <v>1</v>
      </c>
      <c r="F702" s="6" t="s">
        <v>2004</v>
      </c>
      <c r="G702" s="32" t="s">
        <v>2299</v>
      </c>
      <c r="H702" s="32" t="s">
        <v>2300</v>
      </c>
      <c r="I702" s="6" t="str">
        <f t="shared" si="24"/>
        <v>Side Breaker</v>
      </c>
      <c r="J702" s="6" t="s">
        <v>695</v>
      </c>
      <c r="K702" s="6">
        <v>1</v>
      </c>
      <c r="L702" s="6">
        <f t="shared" si="25"/>
        <v>3410000</v>
      </c>
      <c r="M702" s="6">
        <v>2900000</v>
      </c>
      <c r="N702" s="6" t="s">
        <v>2003</v>
      </c>
      <c r="O702" s="6" t="s">
        <v>1066</v>
      </c>
      <c r="P702" s="6">
        <v>2010</v>
      </c>
      <c r="Q702" s="6">
        <v>1</v>
      </c>
      <c r="R702" s="6" t="s">
        <v>45</v>
      </c>
      <c r="S702" s="31" t="s">
        <v>2110</v>
      </c>
      <c r="T702" s="6">
        <v>1</v>
      </c>
      <c r="U702" s="26">
        <v>2700000</v>
      </c>
      <c r="V702" s="26">
        <v>2700000</v>
      </c>
      <c r="W702" s="26">
        <v>2700000</v>
      </c>
      <c r="X702" s="6" t="s">
        <v>2003</v>
      </c>
      <c r="Y702" s="6" t="s">
        <v>1171</v>
      </c>
      <c r="Z702" s="6">
        <v>225992</v>
      </c>
    </row>
    <row r="703" spans="1:26" x14ac:dyDescent="0.3">
      <c r="A703" s="28" t="s">
        <v>42</v>
      </c>
      <c r="B703" s="6" t="s">
        <v>2245</v>
      </c>
      <c r="C703" s="6" t="s">
        <v>2246</v>
      </c>
      <c r="D703" s="6" t="s">
        <v>2001</v>
      </c>
      <c r="E703" s="6">
        <v>1</v>
      </c>
      <c r="F703" s="6" t="s">
        <v>2004</v>
      </c>
      <c r="G703" s="32" t="s">
        <v>2299</v>
      </c>
      <c r="H703" s="32" t="s">
        <v>2300</v>
      </c>
      <c r="I703" s="6" t="str">
        <f t="shared" si="24"/>
        <v>Side Breaker</v>
      </c>
      <c r="J703" s="6" t="s">
        <v>696</v>
      </c>
      <c r="K703" s="6">
        <v>1</v>
      </c>
      <c r="L703" s="6">
        <f t="shared" si="25"/>
        <v>11050000</v>
      </c>
      <c r="M703" s="6">
        <v>9400000</v>
      </c>
      <c r="N703" s="6" t="s">
        <v>2003</v>
      </c>
      <c r="O703" s="6" t="s">
        <v>1067</v>
      </c>
      <c r="P703" s="6">
        <v>2012</v>
      </c>
      <c r="Q703" s="6">
        <v>1</v>
      </c>
      <c r="R703" s="6" t="s">
        <v>45</v>
      </c>
      <c r="S703" s="31" t="s">
        <v>2122</v>
      </c>
      <c r="T703" s="6">
        <v>1</v>
      </c>
      <c r="U703" s="26">
        <v>8900000</v>
      </c>
      <c r="V703" s="26">
        <v>8900000</v>
      </c>
      <c r="W703" s="26">
        <v>8900000</v>
      </c>
      <c r="X703" s="6" t="s">
        <v>2003</v>
      </c>
      <c r="Y703" s="6" t="s">
        <v>1202</v>
      </c>
      <c r="Z703" s="6">
        <v>225993</v>
      </c>
    </row>
    <row r="704" spans="1:26" x14ac:dyDescent="0.3">
      <c r="A704" s="28" t="s">
        <v>42</v>
      </c>
      <c r="B704" s="6" t="s">
        <v>1327</v>
      </c>
      <c r="C704" s="6" t="s">
        <v>1977</v>
      </c>
      <c r="D704" s="6" t="s">
        <v>2292</v>
      </c>
      <c r="E704" s="6">
        <v>1</v>
      </c>
      <c r="F704" s="6" t="s">
        <v>2004</v>
      </c>
      <c r="G704" s="32" t="s">
        <v>2299</v>
      </c>
      <c r="H704" s="32" t="s">
        <v>2300</v>
      </c>
      <c r="I704" s="6" t="str">
        <f t="shared" si="24"/>
        <v>Wide Bucket</v>
      </c>
      <c r="J704" s="6" t="s">
        <v>123</v>
      </c>
      <c r="K704" s="6">
        <v>1</v>
      </c>
      <c r="L704" s="6">
        <f t="shared" si="25"/>
        <v>1410000</v>
      </c>
      <c r="M704" s="6">
        <v>1200000</v>
      </c>
      <c r="N704" s="6" t="s">
        <v>2003</v>
      </c>
      <c r="O704" s="6" t="s">
        <v>823</v>
      </c>
      <c r="P704" s="6">
        <v>2014</v>
      </c>
      <c r="Q704" s="6">
        <v>1</v>
      </c>
      <c r="R704" s="6" t="s">
        <v>45</v>
      </c>
      <c r="S704" s="31" t="s">
        <v>2113</v>
      </c>
      <c r="T704" s="6">
        <v>1</v>
      </c>
      <c r="U704" s="26">
        <v>1100000</v>
      </c>
      <c r="V704" s="26">
        <v>1100000</v>
      </c>
      <c r="W704" s="26">
        <v>1100000</v>
      </c>
      <c r="X704" s="6" t="s">
        <v>2003</v>
      </c>
      <c r="Y704" s="6" t="s">
        <v>49</v>
      </c>
      <c r="Z704" s="6">
        <v>225997</v>
      </c>
    </row>
    <row r="705" spans="1:26" x14ac:dyDescent="0.3">
      <c r="A705" s="28" t="s">
        <v>42</v>
      </c>
      <c r="B705" s="6" t="s">
        <v>1327</v>
      </c>
      <c r="C705" s="6" t="s">
        <v>1976</v>
      </c>
      <c r="D705" s="6" t="s">
        <v>2291</v>
      </c>
      <c r="E705" s="6">
        <v>1</v>
      </c>
      <c r="F705" s="6" t="s">
        <v>2004</v>
      </c>
      <c r="G705" s="32" t="s">
        <v>2299</v>
      </c>
      <c r="H705" s="32" t="s">
        <v>2300</v>
      </c>
      <c r="I705" s="6" t="str">
        <f t="shared" si="24"/>
        <v>Skeleton Bucket</v>
      </c>
      <c r="J705" s="6" t="s">
        <v>699</v>
      </c>
      <c r="K705" s="6">
        <v>1</v>
      </c>
      <c r="L705" s="6">
        <f t="shared" si="25"/>
        <v>1170000</v>
      </c>
      <c r="M705" s="6">
        <v>1000000</v>
      </c>
      <c r="N705" s="6" t="s">
        <v>2003</v>
      </c>
      <c r="O705" s="6" t="s">
        <v>1070</v>
      </c>
      <c r="P705" s="6">
        <v>2016</v>
      </c>
      <c r="Q705" s="6">
        <v>4</v>
      </c>
      <c r="R705" s="6" t="s">
        <v>45</v>
      </c>
      <c r="S705" s="31" t="s">
        <v>2120</v>
      </c>
      <c r="T705" s="6">
        <v>1</v>
      </c>
      <c r="U705" s="26">
        <v>900000</v>
      </c>
      <c r="V705" s="26">
        <v>900000</v>
      </c>
      <c r="W705" s="26">
        <v>900000</v>
      </c>
      <c r="X705" s="6" t="s">
        <v>2003</v>
      </c>
      <c r="Y705" s="6" t="s">
        <v>1294</v>
      </c>
      <c r="Z705" s="6">
        <v>226002</v>
      </c>
    </row>
    <row r="706" spans="1:26" x14ac:dyDescent="0.3">
      <c r="A706" s="28" t="s">
        <v>42</v>
      </c>
      <c r="B706" s="6" t="s">
        <v>1327</v>
      </c>
      <c r="C706" s="6" t="s">
        <v>1977</v>
      </c>
      <c r="D706" s="6" t="s">
        <v>2291</v>
      </c>
      <c r="E706" s="6">
        <v>1</v>
      </c>
      <c r="F706" s="6" t="s">
        <v>2004</v>
      </c>
      <c r="G706" s="32" t="s">
        <v>2299</v>
      </c>
      <c r="H706" s="32" t="s">
        <v>2300</v>
      </c>
      <c r="I706" s="6" t="str">
        <f t="shared" si="24"/>
        <v>Wide Bucket</v>
      </c>
      <c r="J706" s="6" t="s">
        <v>202</v>
      </c>
      <c r="K706" s="6">
        <v>1</v>
      </c>
      <c r="L706" s="6">
        <f t="shared" si="25"/>
        <v>410000</v>
      </c>
      <c r="M706" s="6">
        <v>350000</v>
      </c>
      <c r="N706" s="6" t="s">
        <v>2003</v>
      </c>
      <c r="O706" s="6" t="s">
        <v>2007</v>
      </c>
      <c r="P706" s="6">
        <v>2014</v>
      </c>
      <c r="Q706" s="6">
        <v>1</v>
      </c>
      <c r="R706" s="6" t="s">
        <v>45</v>
      </c>
      <c r="S706" s="31" t="s">
        <v>2113</v>
      </c>
      <c r="T706" s="6">
        <v>1</v>
      </c>
      <c r="U706" s="26">
        <v>300000</v>
      </c>
      <c r="V706" s="26">
        <v>300000</v>
      </c>
      <c r="W706" s="26">
        <v>300000</v>
      </c>
      <c r="X706" s="6" t="s">
        <v>2003</v>
      </c>
      <c r="Y706" s="6" t="s">
        <v>49</v>
      </c>
      <c r="Z706" s="6">
        <v>226012</v>
      </c>
    </row>
    <row r="707" spans="1:26" x14ac:dyDescent="0.3">
      <c r="A707" s="28" t="s">
        <v>42</v>
      </c>
      <c r="B707" s="6" t="s">
        <v>1325</v>
      </c>
      <c r="C707" s="19" t="s">
        <v>2156</v>
      </c>
      <c r="D707" s="6" t="s">
        <v>2293</v>
      </c>
      <c r="E707" s="6">
        <v>1</v>
      </c>
      <c r="F707" s="6" t="s">
        <v>2004</v>
      </c>
      <c r="G707" s="32" t="s">
        <v>2299</v>
      </c>
      <c r="H707" s="32" t="s">
        <v>2300</v>
      </c>
      <c r="I707" s="6" t="str">
        <f t="shared" si="24"/>
        <v>Hydraulic Crusher</v>
      </c>
      <c r="J707" s="6" t="s">
        <v>76</v>
      </c>
      <c r="K707" s="6">
        <v>1</v>
      </c>
      <c r="L707" s="6">
        <f t="shared" si="25"/>
        <v>6820000</v>
      </c>
      <c r="M707" s="6">
        <v>5800000</v>
      </c>
      <c r="N707" s="6" t="s">
        <v>2003</v>
      </c>
      <c r="O707" s="6" t="s">
        <v>798</v>
      </c>
      <c r="P707" s="6">
        <v>2016</v>
      </c>
      <c r="Q707" s="6">
        <v>3</v>
      </c>
      <c r="R707" s="6" t="s">
        <v>45</v>
      </c>
      <c r="S707" s="31" t="s">
        <v>2113</v>
      </c>
      <c r="T707" s="6">
        <v>1</v>
      </c>
      <c r="U707" s="26">
        <v>5300000</v>
      </c>
      <c r="V707" s="26">
        <v>5300000</v>
      </c>
      <c r="W707" s="26">
        <v>5300000</v>
      </c>
      <c r="X707" s="6" t="s">
        <v>2003</v>
      </c>
      <c r="Y707" s="6" t="s">
        <v>71</v>
      </c>
      <c r="Z707" s="6">
        <v>226020</v>
      </c>
    </row>
    <row r="708" spans="1:26" x14ac:dyDescent="0.3">
      <c r="A708" s="28" t="s">
        <v>42</v>
      </c>
      <c r="B708" s="6" t="s">
        <v>2245</v>
      </c>
      <c r="C708" s="6" t="s">
        <v>2246</v>
      </c>
      <c r="D708" s="6" t="s">
        <v>2289</v>
      </c>
      <c r="E708" s="6">
        <v>1</v>
      </c>
      <c r="F708" s="6" t="s">
        <v>2004</v>
      </c>
      <c r="G708" s="32" t="s">
        <v>2299</v>
      </c>
      <c r="H708" s="32" t="s">
        <v>2300</v>
      </c>
      <c r="I708" s="6" t="str">
        <f t="shared" si="24"/>
        <v>Side Breaker</v>
      </c>
      <c r="J708" s="6" t="s">
        <v>151</v>
      </c>
      <c r="K708" s="6">
        <v>1</v>
      </c>
      <c r="L708" s="6">
        <f t="shared" si="25"/>
        <v>7050000</v>
      </c>
      <c r="M708" s="6">
        <v>6000000</v>
      </c>
      <c r="N708" s="6" t="s">
        <v>2003</v>
      </c>
      <c r="O708" s="6" t="s">
        <v>832</v>
      </c>
      <c r="P708" s="6">
        <v>2009</v>
      </c>
      <c r="Q708" s="6">
        <v>1</v>
      </c>
      <c r="R708" s="6" t="s">
        <v>45</v>
      </c>
      <c r="S708" s="31" t="s">
        <v>2112</v>
      </c>
      <c r="T708" s="6">
        <v>1</v>
      </c>
      <c r="U708" s="26">
        <v>5500000</v>
      </c>
      <c r="V708" s="26">
        <v>5500000</v>
      </c>
      <c r="W708" s="26">
        <v>5500000</v>
      </c>
      <c r="X708" s="6" t="s">
        <v>2003</v>
      </c>
      <c r="Y708" s="6" t="s">
        <v>1224</v>
      </c>
      <c r="Z708" s="6">
        <v>226026</v>
      </c>
    </row>
    <row r="709" spans="1:26" x14ac:dyDescent="0.3">
      <c r="A709" s="28" t="s">
        <v>42</v>
      </c>
      <c r="B709" s="6" t="s">
        <v>1325</v>
      </c>
      <c r="C709" s="19" t="s">
        <v>2156</v>
      </c>
      <c r="D709" s="6" t="s">
        <v>2293</v>
      </c>
      <c r="E709" s="6">
        <v>1</v>
      </c>
      <c r="F709" s="6" t="s">
        <v>2004</v>
      </c>
      <c r="G709" s="32" t="s">
        <v>2299</v>
      </c>
      <c r="H709" s="32" t="s">
        <v>2300</v>
      </c>
      <c r="I709" s="6" t="str">
        <f t="shared" si="24"/>
        <v>Hydraulic Crusher</v>
      </c>
      <c r="J709" s="6" t="s">
        <v>651</v>
      </c>
      <c r="K709" s="6">
        <v>1</v>
      </c>
      <c r="L709" s="6">
        <f t="shared" si="25"/>
        <v>5290000</v>
      </c>
      <c r="M709" s="6">
        <v>4500000</v>
      </c>
      <c r="N709" s="6" t="s">
        <v>2003</v>
      </c>
      <c r="O709" s="6" t="s">
        <v>837</v>
      </c>
      <c r="P709" s="6">
        <v>2014</v>
      </c>
      <c r="Q709" s="6">
        <v>1</v>
      </c>
      <c r="R709" s="6" t="s">
        <v>45</v>
      </c>
      <c r="S709" s="31" t="s">
        <v>2113</v>
      </c>
      <c r="T709" s="6">
        <v>1</v>
      </c>
      <c r="U709" s="26">
        <v>4300000</v>
      </c>
      <c r="V709" s="26">
        <v>4300000</v>
      </c>
      <c r="W709" s="26">
        <v>4300000</v>
      </c>
      <c r="X709" s="6" t="s">
        <v>2003</v>
      </c>
      <c r="Y709" s="6" t="s">
        <v>71</v>
      </c>
      <c r="Z709" s="6">
        <v>226031</v>
      </c>
    </row>
    <row r="710" spans="1:26" x14ac:dyDescent="0.3">
      <c r="A710" s="28" t="s">
        <v>42</v>
      </c>
      <c r="B710" s="6" t="s">
        <v>1327</v>
      </c>
      <c r="C710" s="6" t="s">
        <v>1976</v>
      </c>
      <c r="D710" s="6" t="s">
        <v>2292</v>
      </c>
      <c r="E710" s="6">
        <v>1</v>
      </c>
      <c r="F710" s="6" t="s">
        <v>2004</v>
      </c>
      <c r="G710" s="32" t="s">
        <v>2299</v>
      </c>
      <c r="H710" s="32" t="s">
        <v>2300</v>
      </c>
      <c r="I710" s="6" t="str">
        <f t="shared" si="24"/>
        <v>Skeleton Bucket</v>
      </c>
      <c r="J710" s="6" t="s">
        <v>118</v>
      </c>
      <c r="K710" s="6">
        <v>1</v>
      </c>
      <c r="L710" s="6">
        <f t="shared" si="25"/>
        <v>1350000</v>
      </c>
      <c r="M710" s="6">
        <v>1150000</v>
      </c>
      <c r="N710" s="6" t="s">
        <v>2003</v>
      </c>
      <c r="O710" s="6" t="s">
        <v>66</v>
      </c>
      <c r="P710" s="6">
        <v>2014</v>
      </c>
      <c r="Q710" s="6">
        <v>5</v>
      </c>
      <c r="R710" s="6" t="s">
        <v>45</v>
      </c>
      <c r="S710" s="31" t="s">
        <v>2112</v>
      </c>
      <c r="T710" s="6">
        <v>1</v>
      </c>
      <c r="U710" s="26">
        <v>1050000</v>
      </c>
      <c r="V710" s="26">
        <v>1050000</v>
      </c>
      <c r="W710" s="26">
        <v>1050000</v>
      </c>
      <c r="X710" s="6" t="s">
        <v>2003</v>
      </c>
      <c r="Y710" s="6" t="s">
        <v>1184</v>
      </c>
      <c r="Z710" s="6">
        <v>226032</v>
      </c>
    </row>
    <row r="711" spans="1:26" x14ac:dyDescent="0.3">
      <c r="A711" s="28" t="s">
        <v>42</v>
      </c>
      <c r="B711" s="6" t="s">
        <v>2163</v>
      </c>
      <c r="C711" s="6"/>
      <c r="D711" s="6" t="s">
        <v>2292</v>
      </c>
      <c r="E711" s="6">
        <v>1</v>
      </c>
      <c r="F711" s="6" t="s">
        <v>2004</v>
      </c>
      <c r="G711" s="32" t="s">
        <v>2299</v>
      </c>
      <c r="H711" s="32" t="s">
        <v>2300</v>
      </c>
      <c r="I711" s="6" t="str">
        <f t="shared" si="24"/>
        <v>Lift Fork</v>
      </c>
      <c r="J711" s="6" t="s">
        <v>102</v>
      </c>
      <c r="K711" s="6">
        <v>1</v>
      </c>
      <c r="L711" s="6">
        <f t="shared" si="25"/>
        <v>880000</v>
      </c>
      <c r="M711" s="6">
        <v>750000</v>
      </c>
      <c r="N711" s="6" t="s">
        <v>2003</v>
      </c>
      <c r="O711" s="6" t="s">
        <v>823</v>
      </c>
      <c r="P711" s="6">
        <v>2013</v>
      </c>
      <c r="Q711" s="6">
        <v>1</v>
      </c>
      <c r="R711" s="6" t="s">
        <v>45</v>
      </c>
      <c r="S711" s="31" t="s">
        <v>2113</v>
      </c>
      <c r="T711" s="6">
        <v>1</v>
      </c>
      <c r="U711" s="26">
        <v>650000</v>
      </c>
      <c r="V711" s="26">
        <v>650000</v>
      </c>
      <c r="W711" s="26">
        <v>650000</v>
      </c>
      <c r="X711" s="6" t="s">
        <v>2003</v>
      </c>
      <c r="Y711" s="6" t="s">
        <v>49</v>
      </c>
      <c r="Z711" s="6">
        <v>226035</v>
      </c>
    </row>
    <row r="712" spans="1:26" x14ac:dyDescent="0.3">
      <c r="A712" s="28" t="s">
        <v>42</v>
      </c>
      <c r="B712" s="6" t="s">
        <v>1326</v>
      </c>
      <c r="C712" s="6" t="s">
        <v>1972</v>
      </c>
      <c r="D712" s="6" t="s">
        <v>2290</v>
      </c>
      <c r="E712" s="6">
        <v>1</v>
      </c>
      <c r="F712" s="6" t="s">
        <v>2004</v>
      </c>
      <c r="G712" s="32" t="s">
        <v>2299</v>
      </c>
      <c r="H712" s="32" t="s">
        <v>2300</v>
      </c>
      <c r="I712" s="6" t="str">
        <f t="shared" si="24"/>
        <v>Stone Grapple</v>
      </c>
      <c r="J712" s="6" t="s">
        <v>94</v>
      </c>
      <c r="K712" s="6">
        <v>1</v>
      </c>
      <c r="L712" s="6">
        <f t="shared" si="25"/>
        <v>3760000</v>
      </c>
      <c r="M712" s="6">
        <v>3200000</v>
      </c>
      <c r="N712" s="6" t="s">
        <v>2003</v>
      </c>
      <c r="O712" s="6" t="s">
        <v>2077</v>
      </c>
      <c r="P712" s="6">
        <v>2015</v>
      </c>
      <c r="Q712" s="6">
        <v>6</v>
      </c>
      <c r="R712" s="6" t="s">
        <v>45</v>
      </c>
      <c r="S712" s="31" t="s">
        <v>2123</v>
      </c>
      <c r="T712" s="6">
        <v>1</v>
      </c>
      <c r="U712" s="26">
        <v>3000000</v>
      </c>
      <c r="V712" s="26">
        <v>3000000</v>
      </c>
      <c r="W712" s="26">
        <v>3000000</v>
      </c>
      <c r="X712" s="6" t="s">
        <v>2003</v>
      </c>
      <c r="Y712" s="6" t="s">
        <v>1295</v>
      </c>
      <c r="Z712" s="6">
        <v>226036</v>
      </c>
    </row>
    <row r="713" spans="1:26" x14ac:dyDescent="0.3">
      <c r="A713" s="28" t="s">
        <v>42</v>
      </c>
      <c r="B713" s="6" t="s">
        <v>1327</v>
      </c>
      <c r="C713" s="19" t="s">
        <v>1982</v>
      </c>
      <c r="D713" s="6" t="s">
        <v>2291</v>
      </c>
      <c r="E713" s="6">
        <v>1</v>
      </c>
      <c r="F713" s="6" t="s">
        <v>2004</v>
      </c>
      <c r="G713" s="32" t="s">
        <v>2299</v>
      </c>
      <c r="H713" s="32" t="s">
        <v>2300</v>
      </c>
      <c r="I713" s="6" t="str">
        <f t="shared" si="24"/>
        <v>Standard Bucket</v>
      </c>
      <c r="J713" s="6" t="s">
        <v>701</v>
      </c>
      <c r="K713" s="6">
        <v>1</v>
      </c>
      <c r="L713" s="6">
        <f t="shared" si="25"/>
        <v>440000</v>
      </c>
      <c r="M713" s="6">
        <v>380000</v>
      </c>
      <c r="N713" s="6" t="s">
        <v>2003</v>
      </c>
      <c r="O713" s="6" t="s">
        <v>2078</v>
      </c>
      <c r="P713" s="6">
        <v>2017</v>
      </c>
      <c r="Q713" s="6">
        <v>1</v>
      </c>
      <c r="R713" s="6" t="s">
        <v>45</v>
      </c>
      <c r="S713" s="31" t="s">
        <v>2113</v>
      </c>
      <c r="T713" s="6">
        <v>1</v>
      </c>
      <c r="U713" s="26">
        <v>330000</v>
      </c>
      <c r="V713" s="26">
        <v>330000</v>
      </c>
      <c r="W713" s="26">
        <v>330000</v>
      </c>
      <c r="X713" s="6" t="s">
        <v>2003</v>
      </c>
      <c r="Y713" s="6" t="s">
        <v>49</v>
      </c>
      <c r="Z713" s="6">
        <v>226045</v>
      </c>
    </row>
    <row r="714" spans="1:26" x14ac:dyDescent="0.3">
      <c r="A714" s="28" t="s">
        <v>42</v>
      </c>
      <c r="B714" s="6" t="s">
        <v>1326</v>
      </c>
      <c r="C714" s="6" t="s">
        <v>1972</v>
      </c>
      <c r="D714" s="6" t="s">
        <v>2290</v>
      </c>
      <c r="E714" s="6">
        <v>1</v>
      </c>
      <c r="F714" s="6" t="s">
        <v>2004</v>
      </c>
      <c r="G714" s="32" t="s">
        <v>2299</v>
      </c>
      <c r="H714" s="32" t="s">
        <v>2300</v>
      </c>
      <c r="I714" s="6" t="str">
        <f t="shared" si="24"/>
        <v>Stone Grapple</v>
      </c>
      <c r="J714" s="6" t="s">
        <v>94</v>
      </c>
      <c r="K714" s="6">
        <v>1</v>
      </c>
      <c r="L714" s="6">
        <f t="shared" si="25"/>
        <v>3760000</v>
      </c>
      <c r="M714" s="6">
        <v>3200000</v>
      </c>
      <c r="N714" s="6" t="s">
        <v>2003</v>
      </c>
      <c r="O714" s="6" t="s">
        <v>91</v>
      </c>
      <c r="P714" s="6">
        <v>2010</v>
      </c>
      <c r="Q714" s="6">
        <v>1</v>
      </c>
      <c r="R714" s="6" t="s">
        <v>45</v>
      </c>
      <c r="S714" s="31" t="s">
        <v>2111</v>
      </c>
      <c r="T714" s="6">
        <v>1</v>
      </c>
      <c r="U714" s="26">
        <v>3000000</v>
      </c>
      <c r="V714" s="26">
        <v>3000000</v>
      </c>
      <c r="W714" s="26">
        <v>3000000</v>
      </c>
      <c r="X714" s="6" t="s">
        <v>2003</v>
      </c>
      <c r="Y714" s="6" t="s">
        <v>84</v>
      </c>
      <c r="Z714" s="6">
        <v>226056</v>
      </c>
    </row>
    <row r="715" spans="1:26" x14ac:dyDescent="0.3">
      <c r="A715" s="28" t="s">
        <v>42</v>
      </c>
      <c r="B715" s="6" t="s">
        <v>1326</v>
      </c>
      <c r="C715" s="6" t="s">
        <v>1972</v>
      </c>
      <c r="D715" s="6" t="s">
        <v>2292</v>
      </c>
      <c r="E715" s="6">
        <v>1</v>
      </c>
      <c r="F715" s="6" t="s">
        <v>2004</v>
      </c>
      <c r="G715" s="32" t="s">
        <v>2299</v>
      </c>
      <c r="H715" s="32" t="s">
        <v>2300</v>
      </c>
      <c r="I715" s="6" t="str">
        <f t="shared" ref="I715:I778" si="26">IF(ISBLANK(C715),B715,C715)</f>
        <v>Stone Grapple</v>
      </c>
      <c r="J715" s="6" t="s">
        <v>193</v>
      </c>
      <c r="K715" s="6">
        <v>1</v>
      </c>
      <c r="L715" s="6">
        <f t="shared" ref="L715:L778" si="27">FLOOR(((M715*100)/85)/10000, 1)*10000</f>
        <v>3050000</v>
      </c>
      <c r="M715" s="6">
        <v>2600000</v>
      </c>
      <c r="N715" s="6" t="s">
        <v>2003</v>
      </c>
      <c r="O715" s="6" t="s">
        <v>2007</v>
      </c>
      <c r="P715" s="6">
        <v>2014</v>
      </c>
      <c r="Q715" s="6">
        <v>1</v>
      </c>
      <c r="R715" s="6" t="s">
        <v>45</v>
      </c>
      <c r="S715" s="31" t="s">
        <v>2113</v>
      </c>
      <c r="T715" s="6">
        <v>1</v>
      </c>
      <c r="U715" s="26">
        <v>2400000</v>
      </c>
      <c r="V715" s="26">
        <v>2400000</v>
      </c>
      <c r="W715" s="26">
        <v>2400000</v>
      </c>
      <c r="X715" s="6" t="s">
        <v>2003</v>
      </c>
      <c r="Y715" s="6" t="s">
        <v>49</v>
      </c>
      <c r="Z715" s="6">
        <v>226060</v>
      </c>
    </row>
    <row r="716" spans="1:26" x14ac:dyDescent="0.3">
      <c r="A716" s="28" t="s">
        <v>42</v>
      </c>
      <c r="B716" s="6" t="s">
        <v>1326</v>
      </c>
      <c r="C716" s="6" t="s">
        <v>1972</v>
      </c>
      <c r="D716" s="6" t="s">
        <v>2292</v>
      </c>
      <c r="E716" s="6">
        <v>1</v>
      </c>
      <c r="F716" s="6" t="s">
        <v>2004</v>
      </c>
      <c r="G716" s="32" t="s">
        <v>2299</v>
      </c>
      <c r="H716" s="32" t="s">
        <v>2300</v>
      </c>
      <c r="I716" s="6" t="str">
        <f t="shared" si="26"/>
        <v>Stone Grapple</v>
      </c>
      <c r="J716" s="6" t="s">
        <v>120</v>
      </c>
      <c r="K716" s="6">
        <v>1</v>
      </c>
      <c r="L716" s="6">
        <f t="shared" si="27"/>
        <v>5520000</v>
      </c>
      <c r="M716" s="6">
        <v>4700000</v>
      </c>
      <c r="N716" s="6" t="s">
        <v>2003</v>
      </c>
      <c r="O716" s="6" t="s">
        <v>54</v>
      </c>
      <c r="P716" s="6">
        <v>2010</v>
      </c>
      <c r="Q716" s="6">
        <v>1</v>
      </c>
      <c r="R716" s="6" t="s">
        <v>45</v>
      </c>
      <c r="S716" s="31" t="s">
        <v>2114</v>
      </c>
      <c r="T716" s="6">
        <v>1</v>
      </c>
      <c r="U716" s="26">
        <v>4500000</v>
      </c>
      <c r="V716" s="26">
        <v>4500000</v>
      </c>
      <c r="W716" s="26">
        <v>4500000</v>
      </c>
      <c r="X716" s="6" t="s">
        <v>2003</v>
      </c>
      <c r="Y716" s="6" t="s">
        <v>54</v>
      </c>
      <c r="Z716" s="6">
        <v>226064</v>
      </c>
    </row>
    <row r="717" spans="1:26" x14ac:dyDescent="0.3">
      <c r="A717" s="28" t="s">
        <v>42</v>
      </c>
      <c r="B717" s="6" t="s">
        <v>1326</v>
      </c>
      <c r="C717" s="6" t="s">
        <v>1972</v>
      </c>
      <c r="D717" s="6" t="s">
        <v>2001</v>
      </c>
      <c r="E717" s="6">
        <v>1</v>
      </c>
      <c r="F717" s="6" t="s">
        <v>2004</v>
      </c>
      <c r="G717" s="32" t="s">
        <v>2299</v>
      </c>
      <c r="H717" s="32" t="s">
        <v>2300</v>
      </c>
      <c r="I717" s="6" t="str">
        <f t="shared" si="26"/>
        <v>Stone Grapple</v>
      </c>
      <c r="J717" s="6" t="s">
        <v>472</v>
      </c>
      <c r="K717" s="6">
        <v>1</v>
      </c>
      <c r="L717" s="6">
        <f t="shared" si="27"/>
        <v>12350000</v>
      </c>
      <c r="M717" s="6">
        <v>10500000</v>
      </c>
      <c r="N717" s="6" t="s">
        <v>2003</v>
      </c>
      <c r="O717" s="6" t="s">
        <v>1073</v>
      </c>
      <c r="P717" s="6">
        <v>2016</v>
      </c>
      <c r="Q717" s="6">
        <v>1</v>
      </c>
      <c r="R717" s="6" t="s">
        <v>45</v>
      </c>
      <c r="S717" s="31" t="s">
        <v>2119</v>
      </c>
      <c r="T717" s="6">
        <v>1</v>
      </c>
      <c r="U717" s="26">
        <v>10000000</v>
      </c>
      <c r="V717" s="26">
        <v>10000000</v>
      </c>
      <c r="W717" s="26">
        <v>10000000</v>
      </c>
      <c r="X717" s="6" t="s">
        <v>2003</v>
      </c>
      <c r="Y717" s="6" t="s">
        <v>1165</v>
      </c>
      <c r="Z717" s="6">
        <v>226071</v>
      </c>
    </row>
    <row r="718" spans="1:26" x14ac:dyDescent="0.3">
      <c r="A718" s="28" t="s">
        <v>42</v>
      </c>
      <c r="B718" s="6" t="s">
        <v>1326</v>
      </c>
      <c r="C718" s="6" t="s">
        <v>1972</v>
      </c>
      <c r="D718" s="6" t="s">
        <v>2292</v>
      </c>
      <c r="E718" s="6">
        <v>1</v>
      </c>
      <c r="F718" s="6" t="s">
        <v>2004</v>
      </c>
      <c r="G718" s="32" t="s">
        <v>2299</v>
      </c>
      <c r="H718" s="32" t="s">
        <v>2300</v>
      </c>
      <c r="I718" s="6" t="str">
        <f t="shared" si="26"/>
        <v>Stone Grapple</v>
      </c>
      <c r="J718" s="6" t="s">
        <v>232</v>
      </c>
      <c r="K718" s="6">
        <v>1</v>
      </c>
      <c r="L718" s="6">
        <f t="shared" si="27"/>
        <v>2110000</v>
      </c>
      <c r="M718" s="6">
        <v>1800000</v>
      </c>
      <c r="N718" s="6" t="s">
        <v>2003</v>
      </c>
      <c r="O718" s="6" t="s">
        <v>2007</v>
      </c>
      <c r="P718" s="6">
        <v>2012</v>
      </c>
      <c r="Q718" s="6">
        <v>1</v>
      </c>
      <c r="R718" s="6" t="s">
        <v>45</v>
      </c>
      <c r="S718" s="31" t="s">
        <v>2113</v>
      </c>
      <c r="T718" s="6">
        <v>1</v>
      </c>
      <c r="U718" s="26">
        <v>1700000</v>
      </c>
      <c r="V718" s="26">
        <v>1700000</v>
      </c>
      <c r="W718" s="26">
        <v>1700000</v>
      </c>
      <c r="X718" s="6" t="s">
        <v>2003</v>
      </c>
      <c r="Y718" s="6" t="s">
        <v>49</v>
      </c>
      <c r="Z718" s="6">
        <v>226078</v>
      </c>
    </row>
    <row r="719" spans="1:26" x14ac:dyDescent="0.3">
      <c r="A719" s="28" t="s">
        <v>42</v>
      </c>
      <c r="B719" s="6" t="s">
        <v>1328</v>
      </c>
      <c r="C719" s="19" t="s">
        <v>1975</v>
      </c>
      <c r="D719" s="6" t="s">
        <v>2001</v>
      </c>
      <c r="E719" s="6">
        <v>1</v>
      </c>
      <c r="F719" s="6" t="s">
        <v>2004</v>
      </c>
      <c r="G719" s="32" t="s">
        <v>2299</v>
      </c>
      <c r="H719" s="32" t="s">
        <v>2300</v>
      </c>
      <c r="I719" s="6" t="str">
        <f t="shared" si="26"/>
        <v>Side Breaker</v>
      </c>
      <c r="J719" s="6" t="s">
        <v>602</v>
      </c>
      <c r="K719" s="6">
        <v>1</v>
      </c>
      <c r="L719" s="6">
        <f t="shared" si="27"/>
        <v>8820000</v>
      </c>
      <c r="M719" s="6">
        <v>7500000</v>
      </c>
      <c r="N719" s="6" t="s">
        <v>2003</v>
      </c>
      <c r="O719" s="6" t="s">
        <v>993</v>
      </c>
      <c r="P719" s="6">
        <v>2015</v>
      </c>
      <c r="Q719" s="6">
        <v>7</v>
      </c>
      <c r="R719" s="6" t="s">
        <v>45</v>
      </c>
      <c r="S719" s="31" t="s">
        <v>2116</v>
      </c>
      <c r="T719" s="6">
        <v>1</v>
      </c>
      <c r="U719" s="26">
        <v>7000000</v>
      </c>
      <c r="V719" s="26">
        <v>7000000</v>
      </c>
      <c r="W719" s="26">
        <v>7000000</v>
      </c>
      <c r="X719" s="6" t="s">
        <v>2003</v>
      </c>
      <c r="Y719" s="6" t="s">
        <v>1162</v>
      </c>
      <c r="Z719" s="6">
        <v>226081</v>
      </c>
    </row>
    <row r="720" spans="1:26" x14ac:dyDescent="0.3">
      <c r="A720" s="28" t="s">
        <v>42</v>
      </c>
      <c r="B720" s="6" t="s">
        <v>1326</v>
      </c>
      <c r="C720" s="6" t="s">
        <v>1972</v>
      </c>
      <c r="D720" s="6" t="s">
        <v>2292</v>
      </c>
      <c r="E720" s="6">
        <v>1</v>
      </c>
      <c r="F720" s="6" t="s">
        <v>2004</v>
      </c>
      <c r="G720" s="32" t="s">
        <v>2299</v>
      </c>
      <c r="H720" s="32" t="s">
        <v>2300</v>
      </c>
      <c r="I720" s="6" t="str">
        <f t="shared" si="26"/>
        <v>Stone Grapple</v>
      </c>
      <c r="J720" s="6" t="s">
        <v>193</v>
      </c>
      <c r="K720" s="6">
        <v>1</v>
      </c>
      <c r="L720" s="6">
        <f t="shared" si="27"/>
        <v>2940000</v>
      </c>
      <c r="M720" s="6">
        <v>2500000</v>
      </c>
      <c r="N720" s="6" t="s">
        <v>2003</v>
      </c>
      <c r="O720" s="6" t="s">
        <v>2007</v>
      </c>
      <c r="P720" s="6">
        <v>2014</v>
      </c>
      <c r="Q720" s="6">
        <v>1</v>
      </c>
      <c r="R720" s="6" t="s">
        <v>45</v>
      </c>
      <c r="S720" s="31" t="s">
        <v>2113</v>
      </c>
      <c r="T720" s="6">
        <v>1</v>
      </c>
      <c r="U720" s="26">
        <v>2300000</v>
      </c>
      <c r="V720" s="26">
        <v>2300000</v>
      </c>
      <c r="W720" s="26">
        <v>2300000</v>
      </c>
      <c r="X720" s="6" t="s">
        <v>2003</v>
      </c>
      <c r="Y720" s="6" t="s">
        <v>49</v>
      </c>
      <c r="Z720" s="6">
        <v>226085</v>
      </c>
    </row>
    <row r="721" spans="1:26" x14ac:dyDescent="0.3">
      <c r="A721" s="28" t="s">
        <v>42</v>
      </c>
      <c r="B721" s="6" t="s">
        <v>1337</v>
      </c>
      <c r="C721" s="6"/>
      <c r="D721" s="6" t="s">
        <v>2292</v>
      </c>
      <c r="E721" s="6">
        <v>1</v>
      </c>
      <c r="F721" s="6" t="s">
        <v>2004</v>
      </c>
      <c r="G721" s="32" t="s">
        <v>2299</v>
      </c>
      <c r="H721" s="32" t="s">
        <v>2300</v>
      </c>
      <c r="I721" s="6" t="str">
        <f t="shared" si="26"/>
        <v>ETC</v>
      </c>
      <c r="J721" s="6" t="s">
        <v>476</v>
      </c>
      <c r="K721" s="6">
        <v>1</v>
      </c>
      <c r="L721" s="6">
        <f t="shared" si="27"/>
        <v>13520000</v>
      </c>
      <c r="M721" s="6">
        <v>11500000</v>
      </c>
      <c r="N721" s="6" t="s">
        <v>2003</v>
      </c>
      <c r="O721" s="6" t="s">
        <v>2033</v>
      </c>
      <c r="P721" s="6">
        <v>2014</v>
      </c>
      <c r="Q721" s="6">
        <v>9</v>
      </c>
      <c r="R721" s="6" t="s">
        <v>45</v>
      </c>
      <c r="S721" s="31" t="s">
        <v>2121</v>
      </c>
      <c r="T721" s="6">
        <v>1</v>
      </c>
      <c r="U721" s="26">
        <v>11000000</v>
      </c>
      <c r="V721" s="26">
        <v>11000000</v>
      </c>
      <c r="W721" s="26">
        <v>11000000</v>
      </c>
      <c r="X721" s="6" t="s">
        <v>2003</v>
      </c>
      <c r="Y721" s="6" t="s">
        <v>1219</v>
      </c>
      <c r="Z721" s="6">
        <v>226091</v>
      </c>
    </row>
    <row r="722" spans="1:26" x14ac:dyDescent="0.3">
      <c r="A722" s="28" t="s">
        <v>42</v>
      </c>
      <c r="B722" s="6" t="s">
        <v>1326</v>
      </c>
      <c r="C722" s="6" t="s">
        <v>1972</v>
      </c>
      <c r="D722" s="6" t="s">
        <v>2292</v>
      </c>
      <c r="E722" s="6">
        <v>1</v>
      </c>
      <c r="F722" s="6" t="s">
        <v>2004</v>
      </c>
      <c r="G722" s="32" t="s">
        <v>2299</v>
      </c>
      <c r="H722" s="32" t="s">
        <v>2300</v>
      </c>
      <c r="I722" s="6" t="str">
        <f t="shared" si="26"/>
        <v>Stone Grapple</v>
      </c>
      <c r="J722" s="6" t="s">
        <v>120</v>
      </c>
      <c r="K722" s="6">
        <v>1</v>
      </c>
      <c r="L722" s="6">
        <f t="shared" si="27"/>
        <v>8700000</v>
      </c>
      <c r="M722" s="6">
        <v>7400000</v>
      </c>
      <c r="N722" s="6" t="s">
        <v>2003</v>
      </c>
      <c r="O722" s="6" t="s">
        <v>1074</v>
      </c>
      <c r="P722" s="6">
        <v>2017</v>
      </c>
      <c r="Q722" s="6">
        <v>1</v>
      </c>
      <c r="R722" s="6" t="s">
        <v>45</v>
      </c>
      <c r="S722" s="31" t="s">
        <v>2110</v>
      </c>
      <c r="T722" s="6">
        <v>1</v>
      </c>
      <c r="U722" s="26">
        <v>6900000</v>
      </c>
      <c r="V722" s="26">
        <v>6900000</v>
      </c>
      <c r="W722" s="26">
        <v>6900000</v>
      </c>
      <c r="X722" s="6" t="s">
        <v>2003</v>
      </c>
      <c r="Y722" s="6" t="s">
        <v>1284</v>
      </c>
      <c r="Z722" s="6">
        <v>226096</v>
      </c>
    </row>
    <row r="723" spans="1:26" x14ac:dyDescent="0.3">
      <c r="A723" s="28" t="s">
        <v>42</v>
      </c>
      <c r="B723" s="6" t="s">
        <v>1327</v>
      </c>
      <c r="C723" s="6" t="s">
        <v>1976</v>
      </c>
      <c r="D723" s="6" t="s">
        <v>2292</v>
      </c>
      <c r="E723" s="6">
        <v>1</v>
      </c>
      <c r="F723" s="6" t="s">
        <v>2004</v>
      </c>
      <c r="G723" s="32" t="s">
        <v>2299</v>
      </c>
      <c r="H723" s="32" t="s">
        <v>2300</v>
      </c>
      <c r="I723" s="6" t="str">
        <f t="shared" si="26"/>
        <v>Skeleton Bucket</v>
      </c>
      <c r="J723" s="6" t="s">
        <v>62</v>
      </c>
      <c r="K723" s="6">
        <v>1</v>
      </c>
      <c r="L723" s="6">
        <f t="shared" si="27"/>
        <v>1050000</v>
      </c>
      <c r="M723" s="6">
        <v>900000</v>
      </c>
      <c r="N723" s="6" t="s">
        <v>2003</v>
      </c>
      <c r="O723" s="6" t="s">
        <v>2007</v>
      </c>
      <c r="P723" s="6">
        <v>2013</v>
      </c>
      <c r="Q723" s="6">
        <v>1</v>
      </c>
      <c r="R723" s="6" t="s">
        <v>45</v>
      </c>
      <c r="S723" s="31" t="s">
        <v>2113</v>
      </c>
      <c r="T723" s="6">
        <v>1</v>
      </c>
      <c r="U723" s="26">
        <v>800000</v>
      </c>
      <c r="V723" s="26">
        <v>800000</v>
      </c>
      <c r="W723" s="26">
        <v>800000</v>
      </c>
      <c r="X723" s="6" t="s">
        <v>2003</v>
      </c>
      <c r="Y723" s="6" t="s">
        <v>49</v>
      </c>
      <c r="Z723" s="6">
        <v>226098</v>
      </c>
    </row>
    <row r="724" spans="1:26" x14ac:dyDescent="0.3">
      <c r="A724" s="28" t="s">
        <v>42</v>
      </c>
      <c r="B724" s="6" t="s">
        <v>1328</v>
      </c>
      <c r="C724" s="6" t="s">
        <v>1975</v>
      </c>
      <c r="D724" s="6" t="s">
        <v>2291</v>
      </c>
      <c r="E724" s="6">
        <v>1</v>
      </c>
      <c r="F724" s="6" t="s">
        <v>2004</v>
      </c>
      <c r="G724" s="32" t="s">
        <v>2299</v>
      </c>
      <c r="H724" s="32" t="s">
        <v>2300</v>
      </c>
      <c r="I724" s="6" t="str">
        <f t="shared" si="26"/>
        <v>Side Breaker</v>
      </c>
      <c r="J724" s="6" t="s">
        <v>704</v>
      </c>
      <c r="K724" s="6">
        <v>1</v>
      </c>
      <c r="L724" s="6">
        <f t="shared" si="27"/>
        <v>1940000</v>
      </c>
      <c r="M724" s="6">
        <v>1650000</v>
      </c>
      <c r="N724" s="6" t="s">
        <v>2003</v>
      </c>
      <c r="O724" s="6" t="s">
        <v>1075</v>
      </c>
      <c r="P724" s="6">
        <v>2015</v>
      </c>
      <c r="Q724" s="6">
        <v>1</v>
      </c>
      <c r="R724" s="6" t="s">
        <v>45</v>
      </c>
      <c r="S724" s="31" t="s">
        <v>2119</v>
      </c>
      <c r="T724" s="6">
        <v>1</v>
      </c>
      <c r="U724" s="26">
        <v>1550000</v>
      </c>
      <c r="V724" s="26">
        <v>1550000</v>
      </c>
      <c r="W724" s="26">
        <v>1550000</v>
      </c>
      <c r="X724" s="6" t="s">
        <v>2003</v>
      </c>
      <c r="Y724" s="6" t="s">
        <v>1165</v>
      </c>
      <c r="Z724" s="6">
        <v>226104</v>
      </c>
    </row>
    <row r="725" spans="1:26" x14ac:dyDescent="0.3">
      <c r="A725" s="28" t="s">
        <v>42</v>
      </c>
      <c r="B725" s="6" t="s">
        <v>1337</v>
      </c>
      <c r="C725" s="6"/>
      <c r="D725" s="6" t="s">
        <v>2292</v>
      </c>
      <c r="E725" s="6">
        <v>1</v>
      </c>
      <c r="F725" s="6" t="s">
        <v>2004</v>
      </c>
      <c r="G725" s="32" t="s">
        <v>2299</v>
      </c>
      <c r="H725" s="32" t="s">
        <v>2300</v>
      </c>
      <c r="I725" s="6" t="str">
        <f t="shared" si="26"/>
        <v>ETC</v>
      </c>
      <c r="J725" s="6" t="s">
        <v>705</v>
      </c>
      <c r="K725" s="6">
        <v>1</v>
      </c>
      <c r="L725" s="6">
        <f t="shared" si="27"/>
        <v>1050000</v>
      </c>
      <c r="M725" s="6">
        <v>900000</v>
      </c>
      <c r="N725" s="6" t="s">
        <v>2003</v>
      </c>
      <c r="O725" s="6" t="s">
        <v>2007</v>
      </c>
      <c r="P725" s="6">
        <v>2014</v>
      </c>
      <c r="Q725" s="6">
        <v>1</v>
      </c>
      <c r="R725" s="6" t="s">
        <v>45</v>
      </c>
      <c r="S725" s="31" t="s">
        <v>2113</v>
      </c>
      <c r="T725" s="6">
        <v>1</v>
      </c>
      <c r="U725" s="26">
        <v>800000</v>
      </c>
      <c r="V725" s="26">
        <v>800000</v>
      </c>
      <c r="W725" s="26">
        <v>800000</v>
      </c>
      <c r="X725" s="6" t="s">
        <v>2003</v>
      </c>
      <c r="Y725" s="6" t="s">
        <v>49</v>
      </c>
      <c r="Z725" s="6">
        <v>226115</v>
      </c>
    </row>
    <row r="726" spans="1:26" x14ac:dyDescent="0.3">
      <c r="A726" s="28" t="s">
        <v>42</v>
      </c>
      <c r="B726" s="6" t="s">
        <v>1328</v>
      </c>
      <c r="C726" s="6" t="s">
        <v>1975</v>
      </c>
      <c r="D726" s="6" t="s">
        <v>2001</v>
      </c>
      <c r="E726" s="6">
        <v>1</v>
      </c>
      <c r="F726" s="6" t="s">
        <v>2004</v>
      </c>
      <c r="G726" s="32" t="s">
        <v>2299</v>
      </c>
      <c r="H726" s="32" t="s">
        <v>2300</v>
      </c>
      <c r="I726" s="6" t="str">
        <f t="shared" si="26"/>
        <v>Side Breaker</v>
      </c>
      <c r="J726" s="6" t="s">
        <v>306</v>
      </c>
      <c r="K726" s="6">
        <v>1</v>
      </c>
      <c r="L726" s="6">
        <f t="shared" si="27"/>
        <v>7050000</v>
      </c>
      <c r="M726" s="6">
        <v>6000000</v>
      </c>
      <c r="N726" s="6" t="s">
        <v>2003</v>
      </c>
      <c r="O726" s="6" t="s">
        <v>2033</v>
      </c>
      <c r="P726" s="6">
        <v>2009</v>
      </c>
      <c r="Q726" s="6">
        <v>1</v>
      </c>
      <c r="R726" s="6" t="s">
        <v>45</v>
      </c>
      <c r="S726" s="31" t="s">
        <v>2121</v>
      </c>
      <c r="T726" s="6">
        <v>1</v>
      </c>
      <c r="U726" s="26">
        <v>5500000</v>
      </c>
      <c r="V726" s="26">
        <v>5500000</v>
      </c>
      <c r="W726" s="26">
        <v>5500000</v>
      </c>
      <c r="X726" s="6" t="s">
        <v>2003</v>
      </c>
      <c r="Y726" s="6" t="s">
        <v>1219</v>
      </c>
      <c r="Z726" s="6">
        <v>226122</v>
      </c>
    </row>
    <row r="727" spans="1:26" x14ac:dyDescent="0.3">
      <c r="A727" s="28" t="s">
        <v>42</v>
      </c>
      <c r="B727" s="6" t="s">
        <v>1327</v>
      </c>
      <c r="C727" s="6" t="s">
        <v>1980</v>
      </c>
      <c r="D727" s="6" t="s">
        <v>2292</v>
      </c>
      <c r="E727" s="6">
        <v>1</v>
      </c>
      <c r="F727" s="6" t="s">
        <v>2004</v>
      </c>
      <c r="G727" s="32" t="s">
        <v>2299</v>
      </c>
      <c r="H727" s="32" t="s">
        <v>2300</v>
      </c>
      <c r="I727" s="6" t="str">
        <f t="shared" si="26"/>
        <v>Small Bucket</v>
      </c>
      <c r="J727" s="6" t="s">
        <v>97</v>
      </c>
      <c r="K727" s="6">
        <v>1</v>
      </c>
      <c r="L727" s="6">
        <f t="shared" si="27"/>
        <v>700000</v>
      </c>
      <c r="M727" s="6">
        <v>600000</v>
      </c>
      <c r="N727" s="6" t="s">
        <v>2003</v>
      </c>
      <c r="O727" s="6" t="s">
        <v>813</v>
      </c>
      <c r="P727" s="6">
        <v>2013</v>
      </c>
      <c r="Q727" s="6">
        <v>1</v>
      </c>
      <c r="R727" s="6" t="s">
        <v>45</v>
      </c>
      <c r="S727" s="31" t="s">
        <v>2113</v>
      </c>
      <c r="T727" s="6">
        <v>1</v>
      </c>
      <c r="U727" s="26">
        <v>500000</v>
      </c>
      <c r="V727" s="26">
        <v>500000</v>
      </c>
      <c r="W727" s="26">
        <v>500000</v>
      </c>
      <c r="X727" s="6" t="s">
        <v>2003</v>
      </c>
      <c r="Y727" s="6" t="s">
        <v>79</v>
      </c>
      <c r="Z727" s="6">
        <v>226128</v>
      </c>
    </row>
    <row r="728" spans="1:26" x14ac:dyDescent="0.3">
      <c r="A728" s="28" t="s">
        <v>42</v>
      </c>
      <c r="B728" s="6" t="s">
        <v>1326</v>
      </c>
      <c r="C728" s="6" t="s">
        <v>1972</v>
      </c>
      <c r="D728" s="6" t="s">
        <v>2292</v>
      </c>
      <c r="E728" s="6">
        <v>1</v>
      </c>
      <c r="F728" s="6" t="s">
        <v>2004</v>
      </c>
      <c r="G728" s="32" t="s">
        <v>2299</v>
      </c>
      <c r="H728" s="32" t="s">
        <v>2300</v>
      </c>
      <c r="I728" s="6" t="str">
        <f t="shared" si="26"/>
        <v>Stone Grapple</v>
      </c>
      <c r="J728" s="6" t="s">
        <v>340</v>
      </c>
      <c r="K728" s="6">
        <v>1</v>
      </c>
      <c r="L728" s="6">
        <f t="shared" si="27"/>
        <v>2940000</v>
      </c>
      <c r="M728" s="6">
        <v>2500000</v>
      </c>
      <c r="N728" s="6" t="s">
        <v>2003</v>
      </c>
      <c r="O728" s="6" t="s">
        <v>814</v>
      </c>
      <c r="P728" s="6">
        <v>2014</v>
      </c>
      <c r="Q728" s="6">
        <v>12</v>
      </c>
      <c r="R728" s="6" t="s">
        <v>45</v>
      </c>
      <c r="S728" s="31" t="s">
        <v>2119</v>
      </c>
      <c r="T728" s="6">
        <v>1</v>
      </c>
      <c r="U728" s="26">
        <v>2300000</v>
      </c>
      <c r="V728" s="26">
        <v>2300000</v>
      </c>
      <c r="W728" s="26">
        <v>2300000</v>
      </c>
      <c r="X728" s="6" t="s">
        <v>2003</v>
      </c>
      <c r="Y728" s="6" t="s">
        <v>1194</v>
      </c>
      <c r="Z728" s="6">
        <v>226134</v>
      </c>
    </row>
    <row r="729" spans="1:26" x14ac:dyDescent="0.3">
      <c r="A729" s="28" t="s">
        <v>42</v>
      </c>
      <c r="B729" s="6" t="s">
        <v>1328</v>
      </c>
      <c r="C729" s="6" t="s">
        <v>1975</v>
      </c>
      <c r="D729" s="6" t="s">
        <v>2291</v>
      </c>
      <c r="E729" s="6">
        <v>1</v>
      </c>
      <c r="F729" s="6" t="s">
        <v>2004</v>
      </c>
      <c r="G729" s="32" t="s">
        <v>2299</v>
      </c>
      <c r="H729" s="32" t="s">
        <v>2300</v>
      </c>
      <c r="I729" s="6" t="str">
        <f t="shared" si="26"/>
        <v>Side Breaker</v>
      </c>
      <c r="J729" s="6" t="s">
        <v>355</v>
      </c>
      <c r="K729" s="6">
        <v>1</v>
      </c>
      <c r="L729" s="6">
        <f t="shared" si="27"/>
        <v>1640000</v>
      </c>
      <c r="M729" s="6">
        <v>1400000</v>
      </c>
      <c r="N729" s="6" t="s">
        <v>2003</v>
      </c>
      <c r="O729" s="6" t="s">
        <v>2079</v>
      </c>
      <c r="P729" s="6">
        <v>2005</v>
      </c>
      <c r="Q729" s="6">
        <v>1</v>
      </c>
      <c r="R729" s="6" t="s">
        <v>45</v>
      </c>
      <c r="S729" s="31" t="s">
        <v>2122</v>
      </c>
      <c r="T729" s="6">
        <v>1</v>
      </c>
      <c r="U729" s="26">
        <v>1300000</v>
      </c>
      <c r="V729" s="26">
        <v>1300000</v>
      </c>
      <c r="W729" s="26">
        <v>1300000</v>
      </c>
      <c r="X729" s="6" t="s">
        <v>2003</v>
      </c>
      <c r="Y729" s="6" t="s">
        <v>1201</v>
      </c>
      <c r="Z729" s="6">
        <v>226139</v>
      </c>
    </row>
    <row r="730" spans="1:26" x14ac:dyDescent="0.3">
      <c r="A730" s="28" t="s">
        <v>42</v>
      </c>
      <c r="B730" s="6" t="s">
        <v>1326</v>
      </c>
      <c r="C730" s="6" t="s">
        <v>1974</v>
      </c>
      <c r="D730" s="6" t="s">
        <v>2292</v>
      </c>
      <c r="E730" s="6">
        <v>1</v>
      </c>
      <c r="F730" s="6" t="s">
        <v>2004</v>
      </c>
      <c r="G730" s="32" t="s">
        <v>2299</v>
      </c>
      <c r="H730" s="32" t="s">
        <v>2300</v>
      </c>
      <c r="I730" s="6" t="str">
        <f t="shared" si="26"/>
        <v>Etc Grapple</v>
      </c>
      <c r="J730" s="6" t="s">
        <v>125</v>
      </c>
      <c r="K730" s="6">
        <v>1</v>
      </c>
      <c r="L730" s="6">
        <f t="shared" si="27"/>
        <v>4470000</v>
      </c>
      <c r="M730" s="6">
        <v>3800000</v>
      </c>
      <c r="N730" s="6" t="s">
        <v>2003</v>
      </c>
      <c r="O730" s="6" t="s">
        <v>850</v>
      </c>
      <c r="P730" s="6">
        <v>2013</v>
      </c>
      <c r="Q730" s="6">
        <v>1</v>
      </c>
      <c r="R730" s="6" t="s">
        <v>45</v>
      </c>
      <c r="S730" s="31" t="s">
        <v>2116</v>
      </c>
      <c r="T730" s="6">
        <v>1</v>
      </c>
      <c r="U730" s="26">
        <v>3600000</v>
      </c>
      <c r="V730" s="26">
        <v>3600000</v>
      </c>
      <c r="W730" s="26">
        <v>3600000</v>
      </c>
      <c r="X730" s="6" t="s">
        <v>2003</v>
      </c>
      <c r="Y730" s="6" t="s">
        <v>90</v>
      </c>
      <c r="Z730" s="6">
        <v>226143</v>
      </c>
    </row>
    <row r="731" spans="1:26" x14ac:dyDescent="0.3">
      <c r="A731" s="28" t="s">
        <v>42</v>
      </c>
      <c r="B731" s="6" t="s">
        <v>1327</v>
      </c>
      <c r="C731" s="6" t="s">
        <v>1971</v>
      </c>
      <c r="D731" s="6" t="s">
        <v>2289</v>
      </c>
      <c r="E731" s="6">
        <v>1</v>
      </c>
      <c r="F731" s="6" t="s">
        <v>2004</v>
      </c>
      <c r="G731" s="32" t="s">
        <v>2299</v>
      </c>
      <c r="H731" s="32" t="s">
        <v>2300</v>
      </c>
      <c r="I731" s="6" t="str">
        <f t="shared" si="26"/>
        <v>Special Bucket</v>
      </c>
      <c r="J731" s="6" t="s">
        <v>674</v>
      </c>
      <c r="K731" s="6">
        <v>1</v>
      </c>
      <c r="L731" s="6">
        <f t="shared" si="27"/>
        <v>5520000</v>
      </c>
      <c r="M731" s="6">
        <v>4700000</v>
      </c>
      <c r="N731" s="6" t="s">
        <v>2003</v>
      </c>
      <c r="O731" s="6" t="s">
        <v>107</v>
      </c>
      <c r="P731" s="6">
        <v>2014</v>
      </c>
      <c r="Q731" s="6">
        <v>7</v>
      </c>
      <c r="R731" s="6" t="s">
        <v>45</v>
      </c>
      <c r="S731" s="31" t="s">
        <v>2121</v>
      </c>
      <c r="T731" s="6">
        <v>1</v>
      </c>
      <c r="U731" s="26">
        <v>4500000</v>
      </c>
      <c r="V731" s="26">
        <v>4500000</v>
      </c>
      <c r="W731" s="26">
        <v>4500000</v>
      </c>
      <c r="X731" s="6" t="s">
        <v>2003</v>
      </c>
      <c r="Y731" s="6" t="s">
        <v>1215</v>
      </c>
      <c r="Z731" s="6">
        <v>226149</v>
      </c>
    </row>
    <row r="732" spans="1:26" x14ac:dyDescent="0.3">
      <c r="A732" s="28" t="s">
        <v>42</v>
      </c>
      <c r="B732" s="6" t="s">
        <v>1337</v>
      </c>
      <c r="C732" s="6"/>
      <c r="D732" s="6" t="s">
        <v>2002</v>
      </c>
      <c r="E732" s="6">
        <v>1</v>
      </c>
      <c r="F732" s="6" t="s">
        <v>2004</v>
      </c>
      <c r="G732" s="32" t="s">
        <v>2299</v>
      </c>
      <c r="H732" s="32" t="s">
        <v>2300</v>
      </c>
      <c r="I732" s="6" t="str">
        <f t="shared" si="26"/>
        <v>ETC</v>
      </c>
      <c r="J732" s="6" t="s">
        <v>707</v>
      </c>
      <c r="K732" s="6">
        <v>1</v>
      </c>
      <c r="L732" s="6">
        <f t="shared" si="27"/>
        <v>410000</v>
      </c>
      <c r="M732" s="6">
        <v>350000</v>
      </c>
      <c r="N732" s="6" t="s">
        <v>2003</v>
      </c>
      <c r="O732" s="6" t="s">
        <v>1076</v>
      </c>
      <c r="P732" s="6">
        <v>2016</v>
      </c>
      <c r="Q732" s="6">
        <v>1</v>
      </c>
      <c r="R732" s="6" t="s">
        <v>45</v>
      </c>
      <c r="S732" s="31" t="s">
        <v>2123</v>
      </c>
      <c r="T732" s="6">
        <v>1</v>
      </c>
      <c r="U732" s="26">
        <v>300000</v>
      </c>
      <c r="V732" s="26">
        <v>300000</v>
      </c>
      <c r="W732" s="26">
        <v>300000</v>
      </c>
      <c r="X732" s="6" t="s">
        <v>2003</v>
      </c>
      <c r="Y732" s="6" t="s">
        <v>69</v>
      </c>
      <c r="Z732" s="6">
        <v>226150</v>
      </c>
    </row>
    <row r="733" spans="1:26" x14ac:dyDescent="0.3">
      <c r="A733" s="28" t="s">
        <v>42</v>
      </c>
      <c r="B733" s="6" t="s">
        <v>2172</v>
      </c>
      <c r="C733" s="6"/>
      <c r="D733" s="6" t="s">
        <v>2001</v>
      </c>
      <c r="E733" s="6">
        <v>1</v>
      </c>
      <c r="F733" s="6" t="s">
        <v>2004</v>
      </c>
      <c r="G733" s="32" t="s">
        <v>2299</v>
      </c>
      <c r="H733" s="32" t="s">
        <v>2300</v>
      </c>
      <c r="I733" s="6" t="str">
        <f t="shared" si="26"/>
        <v>Quick Coupler</v>
      </c>
      <c r="J733" s="6" t="s">
        <v>255</v>
      </c>
      <c r="K733" s="6">
        <v>1</v>
      </c>
      <c r="L733" s="6">
        <f t="shared" si="27"/>
        <v>1640000</v>
      </c>
      <c r="M733" s="6">
        <v>1400000</v>
      </c>
      <c r="N733" s="6" t="s">
        <v>2003</v>
      </c>
      <c r="O733" s="6" t="s">
        <v>2007</v>
      </c>
      <c r="P733" s="6">
        <v>2014</v>
      </c>
      <c r="Q733" s="6">
        <v>1</v>
      </c>
      <c r="R733" s="6" t="s">
        <v>45</v>
      </c>
      <c r="S733" s="31" t="s">
        <v>2113</v>
      </c>
      <c r="T733" s="6">
        <v>1</v>
      </c>
      <c r="U733" s="26">
        <v>1300000</v>
      </c>
      <c r="V733" s="26">
        <v>1300000</v>
      </c>
      <c r="W733" s="26">
        <v>1300000</v>
      </c>
      <c r="X733" s="6" t="s">
        <v>2003</v>
      </c>
      <c r="Y733" s="6" t="s">
        <v>49</v>
      </c>
      <c r="Z733" s="6">
        <v>226152</v>
      </c>
    </row>
    <row r="734" spans="1:26" x14ac:dyDescent="0.3">
      <c r="A734" s="28" t="s">
        <v>42</v>
      </c>
      <c r="B734" s="6" t="s">
        <v>1328</v>
      </c>
      <c r="C734" s="6" t="s">
        <v>1975</v>
      </c>
      <c r="D734" s="6" t="s">
        <v>2001</v>
      </c>
      <c r="E734" s="6">
        <v>1</v>
      </c>
      <c r="F734" s="6" t="s">
        <v>2004</v>
      </c>
      <c r="G734" s="32" t="s">
        <v>2299</v>
      </c>
      <c r="H734" s="32" t="s">
        <v>2300</v>
      </c>
      <c r="I734" s="6" t="str">
        <f t="shared" si="26"/>
        <v>Side Breaker</v>
      </c>
      <c r="J734" s="6" t="s">
        <v>709</v>
      </c>
      <c r="K734" s="6">
        <v>1</v>
      </c>
      <c r="L734" s="6">
        <f t="shared" si="27"/>
        <v>4940000</v>
      </c>
      <c r="M734" s="6">
        <v>4200000</v>
      </c>
      <c r="N734" s="6" t="s">
        <v>2003</v>
      </c>
      <c r="O734" s="6" t="s">
        <v>1077</v>
      </c>
      <c r="P734" s="6">
        <v>2009</v>
      </c>
      <c r="Q734" s="6">
        <v>1</v>
      </c>
      <c r="R734" s="6" t="s">
        <v>45</v>
      </c>
      <c r="S734" s="31" t="s">
        <v>2116</v>
      </c>
      <c r="T734" s="6">
        <v>1</v>
      </c>
      <c r="U734" s="26">
        <v>4000000</v>
      </c>
      <c r="V734" s="26">
        <v>4000000</v>
      </c>
      <c r="W734" s="26">
        <v>4000000</v>
      </c>
      <c r="X734" s="6" t="s">
        <v>2003</v>
      </c>
      <c r="Y734" s="6" t="s">
        <v>1146</v>
      </c>
      <c r="Z734" s="6">
        <v>226155</v>
      </c>
    </row>
    <row r="735" spans="1:26" x14ac:dyDescent="0.3">
      <c r="A735" s="28" t="s">
        <v>42</v>
      </c>
      <c r="B735" s="6" t="s">
        <v>1327</v>
      </c>
      <c r="C735" s="19" t="s">
        <v>2209</v>
      </c>
      <c r="D735" s="6" t="s">
        <v>2289</v>
      </c>
      <c r="E735" s="6">
        <v>1</v>
      </c>
      <c r="F735" s="6" t="s">
        <v>2004</v>
      </c>
      <c r="G735" s="32" t="s">
        <v>2299</v>
      </c>
      <c r="H735" s="32" t="s">
        <v>2300</v>
      </c>
      <c r="I735" s="6" t="str">
        <f t="shared" si="26"/>
        <v>Etc Bucket</v>
      </c>
      <c r="J735" s="6" t="s">
        <v>372</v>
      </c>
      <c r="K735" s="6">
        <v>1</v>
      </c>
      <c r="L735" s="6">
        <f t="shared" si="27"/>
        <v>5170000</v>
      </c>
      <c r="M735" s="6">
        <v>4400000</v>
      </c>
      <c r="N735" s="6" t="s">
        <v>2003</v>
      </c>
      <c r="O735" s="6" t="s">
        <v>1044</v>
      </c>
      <c r="P735" s="6">
        <v>2015</v>
      </c>
      <c r="Q735" s="6">
        <v>10</v>
      </c>
      <c r="R735" s="6" t="s">
        <v>45</v>
      </c>
      <c r="S735" s="31" t="s">
        <v>2122</v>
      </c>
      <c r="T735" s="6">
        <v>1</v>
      </c>
      <c r="U735" s="26">
        <v>4200000</v>
      </c>
      <c r="V735" s="26">
        <v>4200000</v>
      </c>
      <c r="W735" s="26">
        <v>4200000</v>
      </c>
      <c r="X735" s="6" t="s">
        <v>2003</v>
      </c>
      <c r="Y735" s="6" t="s">
        <v>1238</v>
      </c>
      <c r="Z735" s="6">
        <v>226156</v>
      </c>
    </row>
    <row r="736" spans="1:26" x14ac:dyDescent="0.3">
      <c r="A736" s="28" t="s">
        <v>42</v>
      </c>
      <c r="B736" s="6" t="s">
        <v>2172</v>
      </c>
      <c r="C736" s="6"/>
      <c r="D736" s="6" t="s">
        <v>2292</v>
      </c>
      <c r="E736" s="6">
        <v>1</v>
      </c>
      <c r="F736" s="6" t="s">
        <v>2004</v>
      </c>
      <c r="G736" s="32" t="s">
        <v>2299</v>
      </c>
      <c r="H736" s="32" t="s">
        <v>2300</v>
      </c>
      <c r="I736" s="6" t="str">
        <f t="shared" si="26"/>
        <v>Quick Coupler</v>
      </c>
      <c r="J736" s="6" t="s">
        <v>710</v>
      </c>
      <c r="K736" s="6">
        <v>1</v>
      </c>
      <c r="L736" s="6">
        <f t="shared" si="27"/>
        <v>940000</v>
      </c>
      <c r="M736" s="6">
        <v>800000</v>
      </c>
      <c r="N736" s="6" t="s">
        <v>2003</v>
      </c>
      <c r="O736" s="6" t="s">
        <v>2080</v>
      </c>
      <c r="P736" s="6">
        <v>2017</v>
      </c>
      <c r="Q736" s="6">
        <v>1</v>
      </c>
      <c r="R736" s="6" t="s">
        <v>45</v>
      </c>
      <c r="S736" s="31" t="s">
        <v>2113</v>
      </c>
      <c r="T736" s="6">
        <v>1</v>
      </c>
      <c r="U736" s="26">
        <v>700000</v>
      </c>
      <c r="V736" s="26">
        <v>700000</v>
      </c>
      <c r="W736" s="26">
        <v>700000</v>
      </c>
      <c r="X736" s="6" t="s">
        <v>2003</v>
      </c>
      <c r="Y736" s="6" t="s">
        <v>49</v>
      </c>
      <c r="Z736" s="6">
        <v>226158</v>
      </c>
    </row>
    <row r="737" spans="1:26" x14ac:dyDescent="0.3">
      <c r="A737" s="28" t="s">
        <v>42</v>
      </c>
      <c r="B737" s="6" t="s">
        <v>1326</v>
      </c>
      <c r="C737" s="6" t="s">
        <v>1974</v>
      </c>
      <c r="D737" s="6" t="s">
        <v>2292</v>
      </c>
      <c r="E737" s="6">
        <v>1</v>
      </c>
      <c r="F737" s="6" t="s">
        <v>2004</v>
      </c>
      <c r="G737" s="32" t="s">
        <v>2299</v>
      </c>
      <c r="H737" s="32" t="s">
        <v>2300</v>
      </c>
      <c r="I737" s="6" t="str">
        <f t="shared" si="26"/>
        <v>Etc Grapple</v>
      </c>
      <c r="J737" s="6" t="s">
        <v>247</v>
      </c>
      <c r="K737" s="6">
        <v>1</v>
      </c>
      <c r="L737" s="6">
        <f t="shared" si="27"/>
        <v>2820000</v>
      </c>
      <c r="M737" s="6">
        <v>2400000</v>
      </c>
      <c r="N737" s="6" t="s">
        <v>2003</v>
      </c>
      <c r="O737" s="6" t="s">
        <v>824</v>
      </c>
      <c r="P737" s="6">
        <v>2012</v>
      </c>
      <c r="Q737" s="6">
        <v>1</v>
      </c>
      <c r="R737" s="6" t="s">
        <v>45</v>
      </c>
      <c r="S737" s="31" t="s">
        <v>2122</v>
      </c>
      <c r="T737" s="6">
        <v>1</v>
      </c>
      <c r="U737" s="26">
        <v>2200000</v>
      </c>
      <c r="V737" s="26">
        <v>2200000</v>
      </c>
      <c r="W737" s="26">
        <v>2200000</v>
      </c>
      <c r="X737" s="6" t="s">
        <v>2003</v>
      </c>
      <c r="Y737" s="6" t="s">
        <v>1201</v>
      </c>
      <c r="Z737" s="6">
        <v>226159</v>
      </c>
    </row>
    <row r="738" spans="1:26" x14ac:dyDescent="0.3">
      <c r="A738" s="28" t="s">
        <v>42</v>
      </c>
      <c r="B738" s="6" t="s">
        <v>1325</v>
      </c>
      <c r="C738" s="19" t="s">
        <v>2156</v>
      </c>
      <c r="D738" s="6" t="s">
        <v>2292</v>
      </c>
      <c r="E738" s="6">
        <v>1</v>
      </c>
      <c r="F738" s="6" t="s">
        <v>2004</v>
      </c>
      <c r="G738" s="32" t="s">
        <v>2299</v>
      </c>
      <c r="H738" s="32" t="s">
        <v>2300</v>
      </c>
      <c r="I738" s="6" t="str">
        <f t="shared" si="26"/>
        <v>Hydraulic Crusher</v>
      </c>
      <c r="J738" s="6" t="s">
        <v>319</v>
      </c>
      <c r="K738" s="6">
        <v>1</v>
      </c>
      <c r="L738" s="6">
        <f t="shared" si="27"/>
        <v>8820000</v>
      </c>
      <c r="M738" s="6">
        <v>7500000</v>
      </c>
      <c r="N738" s="6" t="s">
        <v>2003</v>
      </c>
      <c r="O738" s="6" t="s">
        <v>2012</v>
      </c>
      <c r="P738" s="6">
        <v>2014</v>
      </c>
      <c r="Q738" s="6">
        <v>1</v>
      </c>
      <c r="R738" s="6" t="s">
        <v>45</v>
      </c>
      <c r="S738" s="31" t="s">
        <v>2113</v>
      </c>
      <c r="T738" s="6">
        <v>1</v>
      </c>
      <c r="U738" s="26">
        <v>7000000</v>
      </c>
      <c r="V738" s="26">
        <v>7000000</v>
      </c>
      <c r="W738" s="26">
        <v>7000000</v>
      </c>
      <c r="X738" s="6" t="s">
        <v>2003</v>
      </c>
      <c r="Y738" s="6" t="s">
        <v>49</v>
      </c>
      <c r="Z738" s="6">
        <v>226162</v>
      </c>
    </row>
    <row r="739" spans="1:26" x14ac:dyDescent="0.3">
      <c r="A739" s="28" t="s">
        <v>42</v>
      </c>
      <c r="B739" s="6" t="s">
        <v>1326</v>
      </c>
      <c r="C739" s="6" t="s">
        <v>1972</v>
      </c>
      <c r="D739" s="6" t="s">
        <v>2292</v>
      </c>
      <c r="E739" s="6">
        <v>1</v>
      </c>
      <c r="F739" s="6" t="s">
        <v>2004</v>
      </c>
      <c r="G739" s="32" t="s">
        <v>2299</v>
      </c>
      <c r="H739" s="32" t="s">
        <v>2300</v>
      </c>
      <c r="I739" s="6" t="str">
        <f t="shared" si="26"/>
        <v>Stone Grapple</v>
      </c>
      <c r="J739" s="6" t="s">
        <v>72</v>
      </c>
      <c r="K739" s="6">
        <v>1</v>
      </c>
      <c r="L739" s="6">
        <f t="shared" si="27"/>
        <v>6470000</v>
      </c>
      <c r="M739" s="6">
        <v>5500000</v>
      </c>
      <c r="N739" s="6" t="s">
        <v>2003</v>
      </c>
      <c r="O739" s="6" t="s">
        <v>2007</v>
      </c>
      <c r="P739" s="6">
        <v>2014</v>
      </c>
      <c r="Q739" s="6">
        <v>1</v>
      </c>
      <c r="R739" s="6" t="s">
        <v>45</v>
      </c>
      <c r="S739" s="31" t="s">
        <v>2113</v>
      </c>
      <c r="T739" s="6">
        <v>1</v>
      </c>
      <c r="U739" s="26">
        <v>5000000</v>
      </c>
      <c r="V739" s="26">
        <v>5000000</v>
      </c>
      <c r="W739" s="26">
        <v>5000000</v>
      </c>
      <c r="X739" s="6" t="s">
        <v>2003</v>
      </c>
      <c r="Y739" s="6" t="s">
        <v>49</v>
      </c>
      <c r="Z739" s="6">
        <v>226164</v>
      </c>
    </row>
    <row r="740" spans="1:26" x14ac:dyDescent="0.3">
      <c r="A740" s="28" t="s">
        <v>42</v>
      </c>
      <c r="B740" s="6" t="s">
        <v>1327</v>
      </c>
      <c r="C740" s="6" t="s">
        <v>1980</v>
      </c>
      <c r="D740" s="6" t="s">
        <v>2291</v>
      </c>
      <c r="E740" s="6">
        <v>1</v>
      </c>
      <c r="F740" s="6" t="s">
        <v>2004</v>
      </c>
      <c r="G740" s="32" t="s">
        <v>2299</v>
      </c>
      <c r="H740" s="32" t="s">
        <v>2300</v>
      </c>
      <c r="I740" s="6" t="str">
        <f t="shared" si="26"/>
        <v>Small Bucket</v>
      </c>
      <c r="J740" s="6" t="s">
        <v>276</v>
      </c>
      <c r="K740" s="6">
        <v>1</v>
      </c>
      <c r="L740" s="6">
        <f t="shared" si="27"/>
        <v>700000</v>
      </c>
      <c r="M740" s="6">
        <v>600000</v>
      </c>
      <c r="N740" s="6" t="s">
        <v>2003</v>
      </c>
      <c r="O740" s="6" t="s">
        <v>793</v>
      </c>
      <c r="P740" s="6">
        <v>2012</v>
      </c>
      <c r="Q740" s="6">
        <v>1</v>
      </c>
      <c r="R740" s="6" t="s">
        <v>45</v>
      </c>
      <c r="S740" s="31" t="s">
        <v>2116</v>
      </c>
      <c r="T740" s="6">
        <v>1</v>
      </c>
      <c r="U740" s="26">
        <v>500000</v>
      </c>
      <c r="V740" s="26">
        <v>500000</v>
      </c>
      <c r="W740" s="26">
        <v>500000</v>
      </c>
      <c r="X740" s="6" t="s">
        <v>2003</v>
      </c>
      <c r="Y740" s="6" t="s">
        <v>1146</v>
      </c>
      <c r="Z740" s="6">
        <v>226165</v>
      </c>
    </row>
    <row r="741" spans="1:26" x14ac:dyDescent="0.3">
      <c r="A741" s="28" t="s">
        <v>42</v>
      </c>
      <c r="B741" s="6" t="s">
        <v>1337</v>
      </c>
      <c r="C741" s="6"/>
      <c r="D741" s="6" t="s">
        <v>2292</v>
      </c>
      <c r="E741" s="6">
        <v>1</v>
      </c>
      <c r="F741" s="6" t="s">
        <v>2004</v>
      </c>
      <c r="G741" s="32" t="s">
        <v>2299</v>
      </c>
      <c r="H741" s="32" t="s">
        <v>2300</v>
      </c>
      <c r="I741" s="6" t="str">
        <f t="shared" si="26"/>
        <v>ETC</v>
      </c>
      <c r="J741" s="6" t="s">
        <v>712</v>
      </c>
      <c r="K741" s="6">
        <v>1</v>
      </c>
      <c r="L741" s="6">
        <f t="shared" si="27"/>
        <v>14700000</v>
      </c>
      <c r="M741" s="6">
        <v>12500000</v>
      </c>
      <c r="N741" s="6" t="s">
        <v>2003</v>
      </c>
      <c r="O741" s="6" t="s">
        <v>2012</v>
      </c>
      <c r="P741" s="6">
        <v>2014</v>
      </c>
      <c r="Q741" s="6">
        <v>1</v>
      </c>
      <c r="R741" s="6" t="s">
        <v>45</v>
      </c>
      <c r="S741" s="31" t="s">
        <v>2113</v>
      </c>
      <c r="T741" s="6">
        <v>1</v>
      </c>
      <c r="U741" s="26">
        <v>12000000</v>
      </c>
      <c r="V741" s="26">
        <v>12000000</v>
      </c>
      <c r="W741" s="26">
        <v>12000000</v>
      </c>
      <c r="X741" s="6" t="s">
        <v>2003</v>
      </c>
      <c r="Y741" s="6" t="s">
        <v>49</v>
      </c>
      <c r="Z741" s="6">
        <v>226168</v>
      </c>
    </row>
    <row r="742" spans="1:26" x14ac:dyDescent="0.3">
      <c r="A742" s="28" t="s">
        <v>42</v>
      </c>
      <c r="B742" s="6" t="s">
        <v>1326</v>
      </c>
      <c r="C742" s="6" t="s">
        <v>1974</v>
      </c>
      <c r="D742" s="6" t="s">
        <v>2291</v>
      </c>
      <c r="E742" s="6">
        <v>1</v>
      </c>
      <c r="F742" s="6" t="s">
        <v>2004</v>
      </c>
      <c r="G742" s="32" t="s">
        <v>2299</v>
      </c>
      <c r="H742" s="32" t="s">
        <v>2300</v>
      </c>
      <c r="I742" s="6" t="str">
        <f t="shared" si="26"/>
        <v>Etc Grapple</v>
      </c>
      <c r="J742" s="6" t="s">
        <v>713</v>
      </c>
      <c r="K742" s="6">
        <v>1</v>
      </c>
      <c r="L742" s="6">
        <f t="shared" si="27"/>
        <v>1880000</v>
      </c>
      <c r="M742" s="6">
        <v>1600000</v>
      </c>
      <c r="N742" s="6" t="s">
        <v>2003</v>
      </c>
      <c r="O742" s="6" t="s">
        <v>1078</v>
      </c>
      <c r="P742" s="6">
        <v>2014</v>
      </c>
      <c r="Q742" s="6">
        <v>1</v>
      </c>
      <c r="R742" s="6" t="s">
        <v>45</v>
      </c>
      <c r="S742" s="31" t="s">
        <v>2111</v>
      </c>
      <c r="T742" s="6">
        <v>1</v>
      </c>
      <c r="U742" s="26">
        <v>1500000</v>
      </c>
      <c r="V742" s="26">
        <v>1500000</v>
      </c>
      <c r="W742" s="26">
        <v>1500000</v>
      </c>
      <c r="X742" s="6" t="s">
        <v>2003</v>
      </c>
      <c r="Y742" s="6" t="s">
        <v>1191</v>
      </c>
      <c r="Z742" s="6">
        <v>226170</v>
      </c>
    </row>
    <row r="743" spans="1:26" x14ac:dyDescent="0.3">
      <c r="A743" s="28" t="s">
        <v>42</v>
      </c>
      <c r="B743" s="6" t="s">
        <v>2242</v>
      </c>
      <c r="C743" s="6"/>
      <c r="D743" s="6" t="s">
        <v>2292</v>
      </c>
      <c r="E743" s="6">
        <v>1</v>
      </c>
      <c r="F743" s="6" t="s">
        <v>2004</v>
      </c>
      <c r="G743" s="32" t="s">
        <v>2299</v>
      </c>
      <c r="H743" s="32" t="s">
        <v>2300</v>
      </c>
      <c r="I743" s="6" t="str">
        <f t="shared" si="26"/>
        <v>Quick Coupler</v>
      </c>
      <c r="J743" s="6" t="s">
        <v>714</v>
      </c>
      <c r="K743" s="6">
        <v>1</v>
      </c>
      <c r="L743" s="6">
        <f t="shared" si="27"/>
        <v>4940000</v>
      </c>
      <c r="M743" s="6">
        <v>4200000</v>
      </c>
      <c r="N743" s="6" t="s">
        <v>2003</v>
      </c>
      <c r="O743" s="6" t="s">
        <v>1079</v>
      </c>
      <c r="P743" s="6">
        <v>2016</v>
      </c>
      <c r="Q743" s="6">
        <v>8</v>
      </c>
      <c r="R743" s="6" t="s">
        <v>45</v>
      </c>
      <c r="S743" s="31" t="s">
        <v>2124</v>
      </c>
      <c r="T743" s="6">
        <v>1</v>
      </c>
      <c r="U743" s="26">
        <v>4000000</v>
      </c>
      <c r="V743" s="26">
        <v>4000000</v>
      </c>
      <c r="W743" s="26">
        <v>4000000</v>
      </c>
      <c r="X743" s="6" t="s">
        <v>2003</v>
      </c>
      <c r="Y743" s="6" t="s">
        <v>1303</v>
      </c>
      <c r="Z743" s="6">
        <v>226172</v>
      </c>
    </row>
    <row r="744" spans="1:26" x14ac:dyDescent="0.3">
      <c r="A744" s="28" t="s">
        <v>42</v>
      </c>
      <c r="B744" s="6" t="s">
        <v>1326</v>
      </c>
      <c r="C744" s="6" t="s">
        <v>1974</v>
      </c>
      <c r="D744" s="6" t="s">
        <v>2291</v>
      </c>
      <c r="E744" s="6">
        <v>1</v>
      </c>
      <c r="F744" s="6" t="s">
        <v>2004</v>
      </c>
      <c r="G744" s="32" t="s">
        <v>2299</v>
      </c>
      <c r="H744" s="32" t="s">
        <v>2300</v>
      </c>
      <c r="I744" s="6" t="str">
        <f t="shared" si="26"/>
        <v>Etc Grapple</v>
      </c>
      <c r="J744" s="6" t="s">
        <v>136</v>
      </c>
      <c r="K744" s="6">
        <v>1</v>
      </c>
      <c r="L744" s="6">
        <f t="shared" si="27"/>
        <v>2230000</v>
      </c>
      <c r="M744" s="6">
        <v>1900000</v>
      </c>
      <c r="N744" s="6" t="s">
        <v>2003</v>
      </c>
      <c r="O744" s="6" t="s">
        <v>107</v>
      </c>
      <c r="P744" s="6">
        <v>2010</v>
      </c>
      <c r="Q744" s="6">
        <v>1</v>
      </c>
      <c r="R744" s="6" t="s">
        <v>45</v>
      </c>
      <c r="S744" s="31" t="s">
        <v>2116</v>
      </c>
      <c r="T744" s="6">
        <v>1</v>
      </c>
      <c r="U744" s="26">
        <v>1800000</v>
      </c>
      <c r="V744" s="26">
        <v>1800000</v>
      </c>
      <c r="W744" s="26">
        <v>1800000</v>
      </c>
      <c r="X744" s="6" t="s">
        <v>2003</v>
      </c>
      <c r="Y744" s="6" t="s">
        <v>830</v>
      </c>
      <c r="Z744" s="6">
        <v>226173</v>
      </c>
    </row>
    <row r="745" spans="1:26" x14ac:dyDescent="0.3">
      <c r="A745" s="28" t="s">
        <v>42</v>
      </c>
      <c r="B745" s="6" t="s">
        <v>2245</v>
      </c>
      <c r="C745" s="6" t="s">
        <v>2246</v>
      </c>
      <c r="D745" s="6" t="s">
        <v>2292</v>
      </c>
      <c r="E745" s="6">
        <v>1</v>
      </c>
      <c r="F745" s="6" t="s">
        <v>2004</v>
      </c>
      <c r="G745" s="32" t="s">
        <v>2299</v>
      </c>
      <c r="H745" s="32" t="s">
        <v>2300</v>
      </c>
      <c r="I745" s="6" t="str">
        <f t="shared" si="26"/>
        <v>Side Breaker</v>
      </c>
      <c r="J745" s="6" t="s">
        <v>715</v>
      </c>
      <c r="K745" s="6">
        <v>1</v>
      </c>
      <c r="L745" s="6">
        <f t="shared" si="27"/>
        <v>4350000</v>
      </c>
      <c r="M745" s="6">
        <v>3700000</v>
      </c>
      <c r="N745" s="6" t="s">
        <v>2003</v>
      </c>
      <c r="O745" s="6" t="s">
        <v>801</v>
      </c>
      <c r="P745" s="6">
        <v>2013</v>
      </c>
      <c r="Q745" s="6">
        <v>1</v>
      </c>
      <c r="R745" s="6" t="s">
        <v>45</v>
      </c>
      <c r="S745" s="31" t="s">
        <v>2110</v>
      </c>
      <c r="T745" s="6">
        <v>1</v>
      </c>
      <c r="U745" s="26">
        <v>3500000</v>
      </c>
      <c r="V745" s="26">
        <v>3500000</v>
      </c>
      <c r="W745" s="26">
        <v>3500000</v>
      </c>
      <c r="X745" s="6" t="s">
        <v>2003</v>
      </c>
      <c r="Y745" s="6" t="s">
        <v>1182</v>
      </c>
      <c r="Z745" s="6">
        <v>226180</v>
      </c>
    </row>
    <row r="746" spans="1:26" x14ac:dyDescent="0.3">
      <c r="A746" s="28" t="s">
        <v>42</v>
      </c>
      <c r="B746" s="6" t="s">
        <v>1328</v>
      </c>
      <c r="C746" s="6" t="s">
        <v>1975</v>
      </c>
      <c r="D746" s="6" t="s">
        <v>2291</v>
      </c>
      <c r="E746" s="6">
        <v>1</v>
      </c>
      <c r="F746" s="6" t="s">
        <v>2004</v>
      </c>
      <c r="G746" s="32" t="s">
        <v>2299</v>
      </c>
      <c r="H746" s="32" t="s">
        <v>2300</v>
      </c>
      <c r="I746" s="6" t="str">
        <f t="shared" si="26"/>
        <v>Side Breaker</v>
      </c>
      <c r="J746" s="6" t="s">
        <v>429</v>
      </c>
      <c r="K746" s="6">
        <v>1</v>
      </c>
      <c r="L746" s="6">
        <f t="shared" si="27"/>
        <v>1880000</v>
      </c>
      <c r="M746" s="6">
        <v>1600000</v>
      </c>
      <c r="N746" s="6" t="s">
        <v>2003</v>
      </c>
      <c r="O746" s="6" t="s">
        <v>1080</v>
      </c>
      <c r="P746" s="6">
        <v>1975</v>
      </c>
      <c r="Q746" s="6">
        <v>1</v>
      </c>
      <c r="R746" s="6" t="s">
        <v>45</v>
      </c>
      <c r="S746" s="31" t="s">
        <v>2120</v>
      </c>
      <c r="T746" s="6">
        <v>1</v>
      </c>
      <c r="U746" s="26">
        <v>1500000</v>
      </c>
      <c r="V746" s="26">
        <v>1500000</v>
      </c>
      <c r="W746" s="26">
        <v>1500000</v>
      </c>
      <c r="X746" s="6" t="s">
        <v>2003</v>
      </c>
      <c r="Y746" s="6" t="s">
        <v>1306</v>
      </c>
      <c r="Z746" s="6">
        <v>226181</v>
      </c>
    </row>
    <row r="747" spans="1:26" x14ac:dyDescent="0.3">
      <c r="A747" s="28" t="s">
        <v>42</v>
      </c>
      <c r="B747" s="6" t="s">
        <v>1326</v>
      </c>
      <c r="C747" s="6" t="s">
        <v>1979</v>
      </c>
      <c r="D747" s="6" t="s">
        <v>2292</v>
      </c>
      <c r="E747" s="6">
        <v>1</v>
      </c>
      <c r="F747" s="6" t="s">
        <v>2004</v>
      </c>
      <c r="G747" s="32" t="s">
        <v>2299</v>
      </c>
      <c r="H747" s="32" t="s">
        <v>2300</v>
      </c>
      <c r="I747" s="6" t="str">
        <f t="shared" si="26"/>
        <v>Thumb Grapple</v>
      </c>
      <c r="J747" s="6" t="s">
        <v>176</v>
      </c>
      <c r="K747" s="6">
        <v>1</v>
      </c>
      <c r="L747" s="6">
        <f t="shared" si="27"/>
        <v>940000</v>
      </c>
      <c r="M747" s="6">
        <v>800000</v>
      </c>
      <c r="N747" s="6" t="s">
        <v>2003</v>
      </c>
      <c r="O747" s="6" t="s">
        <v>2012</v>
      </c>
      <c r="P747" s="6">
        <v>2013</v>
      </c>
      <c r="Q747" s="6">
        <v>1</v>
      </c>
      <c r="R747" s="6" t="s">
        <v>45</v>
      </c>
      <c r="S747" s="31" t="s">
        <v>2113</v>
      </c>
      <c r="T747" s="6">
        <v>1</v>
      </c>
      <c r="U747" s="26">
        <v>700000</v>
      </c>
      <c r="V747" s="26">
        <v>700000</v>
      </c>
      <c r="W747" s="26">
        <v>700000</v>
      </c>
      <c r="X747" s="6" t="s">
        <v>2003</v>
      </c>
      <c r="Y747" s="6" t="s">
        <v>49</v>
      </c>
      <c r="Z747" s="6">
        <v>226187</v>
      </c>
    </row>
    <row r="748" spans="1:26" x14ac:dyDescent="0.3">
      <c r="A748" s="28" t="s">
        <v>42</v>
      </c>
      <c r="B748" s="6" t="s">
        <v>1327</v>
      </c>
      <c r="C748" s="6" t="s">
        <v>1980</v>
      </c>
      <c r="D748" s="6" t="s">
        <v>2292</v>
      </c>
      <c r="E748" s="6">
        <v>1</v>
      </c>
      <c r="F748" s="6" t="s">
        <v>2004</v>
      </c>
      <c r="G748" s="32" t="s">
        <v>2299</v>
      </c>
      <c r="H748" s="32" t="s">
        <v>2300</v>
      </c>
      <c r="I748" s="6" t="str">
        <f t="shared" si="26"/>
        <v>Small Bucket</v>
      </c>
      <c r="J748" s="6" t="s">
        <v>97</v>
      </c>
      <c r="K748" s="6">
        <v>1</v>
      </c>
      <c r="L748" s="6">
        <f t="shared" si="27"/>
        <v>880000</v>
      </c>
      <c r="M748" s="6">
        <v>750000</v>
      </c>
      <c r="N748" s="6" t="s">
        <v>2003</v>
      </c>
      <c r="O748" s="6" t="s">
        <v>2081</v>
      </c>
      <c r="P748" s="6">
        <v>2013</v>
      </c>
      <c r="Q748" s="6">
        <v>1</v>
      </c>
      <c r="R748" s="6" t="s">
        <v>45</v>
      </c>
      <c r="S748" s="31" t="s">
        <v>2113</v>
      </c>
      <c r="T748" s="6">
        <v>1</v>
      </c>
      <c r="U748" s="26">
        <v>650000</v>
      </c>
      <c r="V748" s="26">
        <v>650000</v>
      </c>
      <c r="W748" s="26">
        <v>650000</v>
      </c>
      <c r="X748" s="6" t="s">
        <v>2003</v>
      </c>
      <c r="Y748" s="6" t="s">
        <v>49</v>
      </c>
      <c r="Z748" s="6">
        <v>226196</v>
      </c>
    </row>
    <row r="749" spans="1:26" x14ac:dyDescent="0.3">
      <c r="A749" s="28" t="s">
        <v>42</v>
      </c>
      <c r="B749" s="6" t="s">
        <v>1337</v>
      </c>
      <c r="C749" s="6"/>
      <c r="D749" s="6" t="s">
        <v>2289</v>
      </c>
      <c r="E749" s="6">
        <v>1</v>
      </c>
      <c r="F749" s="6" t="s">
        <v>2004</v>
      </c>
      <c r="G749" s="32" t="s">
        <v>2299</v>
      </c>
      <c r="H749" s="32" t="s">
        <v>2300</v>
      </c>
      <c r="I749" s="6" t="str">
        <f t="shared" si="26"/>
        <v>ETC</v>
      </c>
      <c r="J749" s="6" t="s">
        <v>287</v>
      </c>
      <c r="K749" s="6">
        <v>1</v>
      </c>
      <c r="L749" s="6">
        <f t="shared" si="27"/>
        <v>3170000</v>
      </c>
      <c r="M749" s="6">
        <v>2700000</v>
      </c>
      <c r="N749" s="6" t="s">
        <v>2003</v>
      </c>
      <c r="O749" s="6" t="s">
        <v>826</v>
      </c>
      <c r="P749" s="6">
        <v>2007</v>
      </c>
      <c r="Q749" s="6">
        <v>1</v>
      </c>
      <c r="R749" s="6" t="s">
        <v>45</v>
      </c>
      <c r="S749" s="31" t="s">
        <v>2117</v>
      </c>
      <c r="T749" s="6">
        <v>1</v>
      </c>
      <c r="U749" s="26">
        <v>2500000</v>
      </c>
      <c r="V749" s="26">
        <v>2500000</v>
      </c>
      <c r="W749" s="26">
        <v>2500000</v>
      </c>
      <c r="X749" s="6" t="s">
        <v>2003</v>
      </c>
      <c r="Y749" s="6" t="s">
        <v>1179</v>
      </c>
      <c r="Z749" s="6">
        <v>226220</v>
      </c>
    </row>
    <row r="750" spans="1:26" x14ac:dyDescent="0.3">
      <c r="A750" s="28" t="s">
        <v>42</v>
      </c>
      <c r="B750" s="6" t="s">
        <v>1325</v>
      </c>
      <c r="C750" s="19" t="s">
        <v>2156</v>
      </c>
      <c r="D750" s="6" t="s">
        <v>2293</v>
      </c>
      <c r="E750" s="6">
        <v>1</v>
      </c>
      <c r="F750" s="6" t="s">
        <v>2004</v>
      </c>
      <c r="G750" s="32" t="s">
        <v>2299</v>
      </c>
      <c r="H750" s="32" t="s">
        <v>2300</v>
      </c>
      <c r="I750" s="6" t="str">
        <f t="shared" si="26"/>
        <v>Hydraulic Crusher</v>
      </c>
      <c r="J750" s="6" t="s">
        <v>651</v>
      </c>
      <c r="K750" s="6">
        <v>1</v>
      </c>
      <c r="L750" s="6">
        <f t="shared" si="27"/>
        <v>5290000</v>
      </c>
      <c r="M750" s="6">
        <v>4500000</v>
      </c>
      <c r="N750" s="6" t="s">
        <v>2003</v>
      </c>
      <c r="O750" s="6" t="s">
        <v>798</v>
      </c>
      <c r="P750" s="6">
        <v>2014</v>
      </c>
      <c r="Q750" s="6">
        <v>1</v>
      </c>
      <c r="R750" s="6" t="s">
        <v>45</v>
      </c>
      <c r="S750" s="31" t="s">
        <v>2113</v>
      </c>
      <c r="T750" s="6">
        <v>1</v>
      </c>
      <c r="U750" s="26">
        <v>4300000</v>
      </c>
      <c r="V750" s="26">
        <v>4300000</v>
      </c>
      <c r="W750" s="26">
        <v>4300000</v>
      </c>
      <c r="X750" s="6" t="s">
        <v>2003</v>
      </c>
      <c r="Y750" s="6" t="s">
        <v>71</v>
      </c>
      <c r="Z750" s="6">
        <v>226232</v>
      </c>
    </row>
    <row r="751" spans="1:26" x14ac:dyDescent="0.3">
      <c r="A751" s="28" t="s">
        <v>42</v>
      </c>
      <c r="B751" s="6" t="s">
        <v>1328</v>
      </c>
      <c r="C751" s="6" t="s">
        <v>1975</v>
      </c>
      <c r="D751" s="6" t="s">
        <v>2294</v>
      </c>
      <c r="E751" s="6">
        <v>1</v>
      </c>
      <c r="F751" s="6" t="s">
        <v>2004</v>
      </c>
      <c r="G751" s="32" t="s">
        <v>2299</v>
      </c>
      <c r="H751" s="32" t="s">
        <v>2300</v>
      </c>
      <c r="I751" s="6" t="str">
        <f t="shared" si="26"/>
        <v>Side Breaker</v>
      </c>
      <c r="J751" s="6" t="s">
        <v>215</v>
      </c>
      <c r="K751" s="6">
        <v>1</v>
      </c>
      <c r="L751" s="6">
        <f t="shared" si="27"/>
        <v>2110000</v>
      </c>
      <c r="M751" s="6">
        <v>1800000</v>
      </c>
      <c r="N751" s="6" t="s">
        <v>2003</v>
      </c>
      <c r="O751" s="6" t="s">
        <v>2007</v>
      </c>
      <c r="P751" s="6">
        <v>2013</v>
      </c>
      <c r="Q751" s="6">
        <v>1</v>
      </c>
      <c r="R751" s="6" t="s">
        <v>45</v>
      </c>
      <c r="S751" s="31" t="s">
        <v>2113</v>
      </c>
      <c r="T751" s="6">
        <v>1</v>
      </c>
      <c r="U751" s="26">
        <v>1700000</v>
      </c>
      <c r="V751" s="26">
        <v>1700000</v>
      </c>
      <c r="W751" s="26">
        <v>1700000</v>
      </c>
      <c r="X751" s="6" t="s">
        <v>2003</v>
      </c>
      <c r="Y751" s="6" t="s">
        <v>49</v>
      </c>
      <c r="Z751" s="6">
        <v>226235</v>
      </c>
    </row>
    <row r="752" spans="1:26" x14ac:dyDescent="0.3">
      <c r="A752" s="28" t="s">
        <v>42</v>
      </c>
      <c r="B752" s="6" t="s">
        <v>1327</v>
      </c>
      <c r="C752" s="6" t="s">
        <v>1980</v>
      </c>
      <c r="D752" s="6" t="s">
        <v>2292</v>
      </c>
      <c r="E752" s="6">
        <v>1</v>
      </c>
      <c r="F752" s="6" t="s">
        <v>2004</v>
      </c>
      <c r="G752" s="32" t="s">
        <v>2299</v>
      </c>
      <c r="H752" s="32" t="s">
        <v>2300</v>
      </c>
      <c r="I752" s="6" t="str">
        <f t="shared" si="26"/>
        <v>Small Bucket</v>
      </c>
      <c r="J752" s="6" t="s">
        <v>97</v>
      </c>
      <c r="K752" s="6">
        <v>1</v>
      </c>
      <c r="L752" s="6">
        <f t="shared" si="27"/>
        <v>1000000</v>
      </c>
      <c r="M752" s="6">
        <v>850000</v>
      </c>
      <c r="N752" s="6" t="s">
        <v>2003</v>
      </c>
      <c r="O752" s="6" t="s">
        <v>1083</v>
      </c>
      <c r="P752" s="6">
        <v>2016</v>
      </c>
      <c r="Q752" s="6">
        <v>1</v>
      </c>
      <c r="R752" s="6" t="s">
        <v>45</v>
      </c>
      <c r="S752" s="31" t="s">
        <v>2118</v>
      </c>
      <c r="T752" s="6">
        <v>1</v>
      </c>
      <c r="U752" s="26">
        <v>750000</v>
      </c>
      <c r="V752" s="26">
        <v>750000</v>
      </c>
      <c r="W752" s="26">
        <v>750000</v>
      </c>
      <c r="X752" s="6" t="s">
        <v>2003</v>
      </c>
      <c r="Y752" s="6" t="s">
        <v>67</v>
      </c>
      <c r="Z752" s="6">
        <v>226240</v>
      </c>
    </row>
    <row r="753" spans="1:26" x14ac:dyDescent="0.3">
      <c r="A753" s="28" t="s">
        <v>42</v>
      </c>
      <c r="B753" s="6" t="s">
        <v>1327</v>
      </c>
      <c r="C753" s="19" t="s">
        <v>1982</v>
      </c>
      <c r="D753" s="6" t="s">
        <v>2292</v>
      </c>
      <c r="E753" s="6">
        <v>1</v>
      </c>
      <c r="F753" s="6" t="s">
        <v>2004</v>
      </c>
      <c r="G753" s="32" t="s">
        <v>2299</v>
      </c>
      <c r="H753" s="32" t="s">
        <v>2300</v>
      </c>
      <c r="I753" s="6" t="str">
        <f t="shared" si="26"/>
        <v>Standard Bucket</v>
      </c>
      <c r="J753" s="6" t="s">
        <v>292</v>
      </c>
      <c r="K753" s="6">
        <v>1</v>
      </c>
      <c r="L753" s="6">
        <f t="shared" si="27"/>
        <v>1880000</v>
      </c>
      <c r="M753" s="6">
        <v>1600000</v>
      </c>
      <c r="N753" s="6" t="s">
        <v>2003</v>
      </c>
      <c r="O753" s="6" t="s">
        <v>828</v>
      </c>
      <c r="P753" s="6">
        <v>2017</v>
      </c>
      <c r="Q753" s="6">
        <v>2</v>
      </c>
      <c r="R753" s="6" t="s">
        <v>45</v>
      </c>
      <c r="S753" s="31" t="s">
        <v>2124</v>
      </c>
      <c r="T753" s="6">
        <v>1</v>
      </c>
      <c r="U753" s="26">
        <v>1500000</v>
      </c>
      <c r="V753" s="26">
        <v>1500000</v>
      </c>
      <c r="W753" s="26">
        <v>1500000</v>
      </c>
      <c r="X753" s="6" t="s">
        <v>2003</v>
      </c>
      <c r="Y753" s="6" t="s">
        <v>1144</v>
      </c>
      <c r="Z753" s="6">
        <v>226241</v>
      </c>
    </row>
    <row r="754" spans="1:26" x14ac:dyDescent="0.3">
      <c r="A754" s="28" t="s">
        <v>42</v>
      </c>
      <c r="B754" s="6" t="s">
        <v>1325</v>
      </c>
      <c r="C754" s="6" t="s">
        <v>1978</v>
      </c>
      <c r="D754" s="6" t="s">
        <v>2001</v>
      </c>
      <c r="E754" s="6">
        <v>1</v>
      </c>
      <c r="F754" s="6" t="s">
        <v>2004</v>
      </c>
      <c r="G754" s="32" t="s">
        <v>2299</v>
      </c>
      <c r="H754" s="32" t="s">
        <v>2300</v>
      </c>
      <c r="I754" s="6" t="str">
        <f t="shared" si="26"/>
        <v>Hydraulic Pulverizer</v>
      </c>
      <c r="J754" s="6" t="s">
        <v>412</v>
      </c>
      <c r="K754" s="6">
        <v>1</v>
      </c>
      <c r="L754" s="6">
        <f t="shared" si="27"/>
        <v>19410000</v>
      </c>
      <c r="M754" s="6">
        <v>16500000</v>
      </c>
      <c r="N754" s="6" t="s">
        <v>2003</v>
      </c>
      <c r="O754" s="6" t="s">
        <v>813</v>
      </c>
      <c r="P754" s="6">
        <v>2013</v>
      </c>
      <c r="Q754" s="6">
        <v>1</v>
      </c>
      <c r="R754" s="6" t="s">
        <v>45</v>
      </c>
      <c r="S754" s="31" t="s">
        <v>2113</v>
      </c>
      <c r="T754" s="6">
        <v>1</v>
      </c>
      <c r="U754" s="26">
        <v>16000000</v>
      </c>
      <c r="V754" s="26">
        <v>16000000</v>
      </c>
      <c r="W754" s="26">
        <v>16000000</v>
      </c>
      <c r="X754" s="6" t="s">
        <v>2003</v>
      </c>
      <c r="Y754" s="6" t="s">
        <v>80</v>
      </c>
      <c r="Z754" s="6">
        <v>226244</v>
      </c>
    </row>
    <row r="755" spans="1:26" x14ac:dyDescent="0.3">
      <c r="A755" s="28" t="s">
        <v>42</v>
      </c>
      <c r="B755" s="6" t="s">
        <v>1325</v>
      </c>
      <c r="C755" s="19" t="s">
        <v>2156</v>
      </c>
      <c r="D755" s="6" t="s">
        <v>2001</v>
      </c>
      <c r="E755" s="6">
        <v>1</v>
      </c>
      <c r="F755" s="6" t="s">
        <v>2004</v>
      </c>
      <c r="G755" s="32" t="s">
        <v>2299</v>
      </c>
      <c r="H755" s="32" t="s">
        <v>2300</v>
      </c>
      <c r="I755" s="6" t="str">
        <f t="shared" si="26"/>
        <v>Hydraulic Crusher</v>
      </c>
      <c r="J755" s="6" t="s">
        <v>181</v>
      </c>
      <c r="K755" s="6">
        <v>1</v>
      </c>
      <c r="L755" s="6">
        <f t="shared" si="27"/>
        <v>6470000</v>
      </c>
      <c r="M755" s="6">
        <v>5500000</v>
      </c>
      <c r="N755" s="6" t="s">
        <v>2003</v>
      </c>
      <c r="O755" s="6" t="s">
        <v>1085</v>
      </c>
      <c r="P755" s="6">
        <v>2008</v>
      </c>
      <c r="Q755" s="6">
        <v>1</v>
      </c>
      <c r="R755" s="6" t="s">
        <v>45</v>
      </c>
      <c r="S755" s="31" t="s">
        <v>2118</v>
      </c>
      <c r="T755" s="6">
        <v>1</v>
      </c>
      <c r="U755" s="26">
        <v>5000000</v>
      </c>
      <c r="V755" s="26">
        <v>5000000</v>
      </c>
      <c r="W755" s="26">
        <v>5000000</v>
      </c>
      <c r="X755" s="6" t="s">
        <v>2003</v>
      </c>
      <c r="Y755" s="6" t="s">
        <v>67</v>
      </c>
      <c r="Z755" s="6">
        <v>226251</v>
      </c>
    </row>
    <row r="756" spans="1:26" x14ac:dyDescent="0.3">
      <c r="A756" s="28" t="s">
        <v>42</v>
      </c>
      <c r="B756" s="6" t="s">
        <v>1325</v>
      </c>
      <c r="C756" s="19" t="s">
        <v>2156</v>
      </c>
      <c r="D756" s="6" t="s">
        <v>2001</v>
      </c>
      <c r="E756" s="6">
        <v>1</v>
      </c>
      <c r="F756" s="6" t="s">
        <v>2004</v>
      </c>
      <c r="G756" s="32" t="s">
        <v>2299</v>
      </c>
      <c r="H756" s="32" t="s">
        <v>2300</v>
      </c>
      <c r="I756" s="6" t="str">
        <f t="shared" si="26"/>
        <v>Hydraulic Crusher</v>
      </c>
      <c r="J756" s="6" t="s">
        <v>273</v>
      </c>
      <c r="K756" s="6">
        <v>1</v>
      </c>
      <c r="L756" s="6">
        <f t="shared" si="27"/>
        <v>20000000</v>
      </c>
      <c r="M756" s="6">
        <v>17000000</v>
      </c>
      <c r="N756" s="6" t="s">
        <v>2003</v>
      </c>
      <c r="O756" s="6" t="s">
        <v>813</v>
      </c>
      <c r="P756" s="6">
        <v>2014</v>
      </c>
      <c r="Q756" s="6">
        <v>1</v>
      </c>
      <c r="R756" s="6" t="s">
        <v>45</v>
      </c>
      <c r="S756" s="31" t="s">
        <v>2113</v>
      </c>
      <c r="T756" s="6">
        <v>1</v>
      </c>
      <c r="U756" s="26">
        <v>16500000</v>
      </c>
      <c r="V756" s="26">
        <v>16500000</v>
      </c>
      <c r="W756" s="26">
        <v>16500000</v>
      </c>
      <c r="X756" s="6" t="s">
        <v>2003</v>
      </c>
      <c r="Y756" s="6" t="s">
        <v>80</v>
      </c>
      <c r="Z756" s="6">
        <v>226254</v>
      </c>
    </row>
    <row r="757" spans="1:26" x14ac:dyDescent="0.3">
      <c r="A757" s="28" t="s">
        <v>42</v>
      </c>
      <c r="B757" s="6" t="s">
        <v>1326</v>
      </c>
      <c r="C757" s="6" t="s">
        <v>1974</v>
      </c>
      <c r="D757" s="6" t="s">
        <v>2292</v>
      </c>
      <c r="E757" s="6">
        <v>1</v>
      </c>
      <c r="F757" s="6" t="s">
        <v>2004</v>
      </c>
      <c r="G757" s="32" t="s">
        <v>2299</v>
      </c>
      <c r="H757" s="32" t="s">
        <v>2300</v>
      </c>
      <c r="I757" s="6" t="str">
        <f t="shared" si="26"/>
        <v>Etc Grapple</v>
      </c>
      <c r="J757" s="6" t="s">
        <v>125</v>
      </c>
      <c r="K757" s="6">
        <v>1</v>
      </c>
      <c r="L757" s="6">
        <f t="shared" si="27"/>
        <v>6470000</v>
      </c>
      <c r="M757" s="6">
        <v>5500000</v>
      </c>
      <c r="N757" s="6" t="s">
        <v>2003</v>
      </c>
      <c r="O757" s="6" t="s">
        <v>830</v>
      </c>
      <c r="P757" s="6">
        <v>2009</v>
      </c>
      <c r="Q757" s="6">
        <v>1</v>
      </c>
      <c r="R757" s="6" t="s">
        <v>45</v>
      </c>
      <c r="S757" s="31" t="s">
        <v>2114</v>
      </c>
      <c r="T757" s="6">
        <v>1</v>
      </c>
      <c r="U757" s="26">
        <v>5000000</v>
      </c>
      <c r="V757" s="26">
        <v>5000000</v>
      </c>
      <c r="W757" s="26">
        <v>5000000</v>
      </c>
      <c r="X757" s="6" t="s">
        <v>2003</v>
      </c>
      <c r="Y757" s="6" t="s">
        <v>830</v>
      </c>
      <c r="Z757" s="6">
        <v>226257</v>
      </c>
    </row>
    <row r="758" spans="1:26" x14ac:dyDescent="0.3">
      <c r="A758" s="28" t="s">
        <v>42</v>
      </c>
      <c r="B758" s="6" t="s">
        <v>1337</v>
      </c>
      <c r="C758" s="6"/>
      <c r="D758" s="6" t="s">
        <v>2292</v>
      </c>
      <c r="E758" s="6">
        <v>1</v>
      </c>
      <c r="F758" s="6" t="s">
        <v>2004</v>
      </c>
      <c r="G758" s="32" t="s">
        <v>2299</v>
      </c>
      <c r="H758" s="32" t="s">
        <v>2300</v>
      </c>
      <c r="I758" s="6" t="str">
        <f t="shared" si="26"/>
        <v>ETC</v>
      </c>
      <c r="J758" s="6" t="s">
        <v>476</v>
      </c>
      <c r="K758" s="6">
        <v>1</v>
      </c>
      <c r="L758" s="6">
        <f t="shared" si="27"/>
        <v>13520000</v>
      </c>
      <c r="M758" s="6">
        <v>11500000</v>
      </c>
      <c r="N758" s="6" t="s">
        <v>2003</v>
      </c>
      <c r="O758" s="6" t="s">
        <v>2082</v>
      </c>
      <c r="P758" s="6">
        <v>2014</v>
      </c>
      <c r="Q758" s="6">
        <v>9</v>
      </c>
      <c r="R758" s="6" t="s">
        <v>45</v>
      </c>
      <c r="S758" s="31" t="s">
        <v>2121</v>
      </c>
      <c r="T758" s="6">
        <v>1</v>
      </c>
      <c r="U758" s="26">
        <v>11000000</v>
      </c>
      <c r="V758" s="26">
        <v>11000000</v>
      </c>
      <c r="W758" s="26">
        <v>11000000</v>
      </c>
      <c r="X758" s="6" t="s">
        <v>2003</v>
      </c>
      <c r="Y758" s="6" t="s">
        <v>1218</v>
      </c>
      <c r="Z758" s="6">
        <v>226258</v>
      </c>
    </row>
    <row r="759" spans="1:26" x14ac:dyDescent="0.3">
      <c r="A759" s="28" t="s">
        <v>42</v>
      </c>
      <c r="B759" s="6" t="s">
        <v>1326</v>
      </c>
      <c r="C759" s="19" t="s">
        <v>1974</v>
      </c>
      <c r="D759" s="6" t="s">
        <v>2292</v>
      </c>
      <c r="E759" s="6">
        <v>1</v>
      </c>
      <c r="F759" s="6" t="s">
        <v>2004</v>
      </c>
      <c r="G759" s="32" t="s">
        <v>2299</v>
      </c>
      <c r="H759" s="32" t="s">
        <v>2300</v>
      </c>
      <c r="I759" s="6" t="str">
        <f t="shared" si="26"/>
        <v>Etc Grapple</v>
      </c>
      <c r="J759" s="6" t="s">
        <v>719</v>
      </c>
      <c r="K759" s="6">
        <v>1</v>
      </c>
      <c r="L759" s="6">
        <f t="shared" si="27"/>
        <v>2230000</v>
      </c>
      <c r="M759" s="6">
        <v>1900000</v>
      </c>
      <c r="N759" s="6" t="s">
        <v>2003</v>
      </c>
      <c r="O759" s="6" t="s">
        <v>1086</v>
      </c>
      <c r="P759" s="6">
        <v>2012</v>
      </c>
      <c r="Q759" s="6">
        <v>1</v>
      </c>
      <c r="R759" s="6" t="s">
        <v>45</v>
      </c>
      <c r="S759" s="31" t="s">
        <v>2117</v>
      </c>
      <c r="T759" s="6">
        <v>1</v>
      </c>
      <c r="U759" s="26">
        <v>1800000</v>
      </c>
      <c r="V759" s="26">
        <v>1800000</v>
      </c>
      <c r="W759" s="26">
        <v>1800000</v>
      </c>
      <c r="X759" s="6" t="s">
        <v>2003</v>
      </c>
      <c r="Y759" s="6" t="s">
        <v>1242</v>
      </c>
      <c r="Z759" s="6">
        <v>226261</v>
      </c>
    </row>
    <row r="760" spans="1:26" x14ac:dyDescent="0.3">
      <c r="A760" s="28" t="s">
        <v>42</v>
      </c>
      <c r="B760" s="6" t="s">
        <v>1326</v>
      </c>
      <c r="C760" s="6" t="s">
        <v>1972</v>
      </c>
      <c r="D760" s="6" t="s">
        <v>2292</v>
      </c>
      <c r="E760" s="6">
        <v>1</v>
      </c>
      <c r="F760" s="6" t="s">
        <v>2004</v>
      </c>
      <c r="G760" s="32" t="s">
        <v>2299</v>
      </c>
      <c r="H760" s="32" t="s">
        <v>2300</v>
      </c>
      <c r="I760" s="6" t="str">
        <f t="shared" si="26"/>
        <v>Stone Grapple</v>
      </c>
      <c r="J760" s="6" t="s">
        <v>120</v>
      </c>
      <c r="K760" s="6">
        <v>1</v>
      </c>
      <c r="L760" s="6">
        <f t="shared" si="27"/>
        <v>6700000</v>
      </c>
      <c r="M760" s="6">
        <v>5700000</v>
      </c>
      <c r="N760" s="6" t="s">
        <v>2003</v>
      </c>
      <c r="O760" s="6" t="s">
        <v>1087</v>
      </c>
      <c r="P760" s="6">
        <v>2014</v>
      </c>
      <c r="Q760" s="6">
        <v>1</v>
      </c>
      <c r="R760" s="6" t="s">
        <v>45</v>
      </c>
      <c r="S760" s="31" t="s">
        <v>2118</v>
      </c>
      <c r="T760" s="6">
        <v>1</v>
      </c>
      <c r="U760" s="26">
        <v>5200000</v>
      </c>
      <c r="V760" s="26">
        <v>5200000</v>
      </c>
      <c r="W760" s="26">
        <v>5200000</v>
      </c>
      <c r="X760" s="6" t="s">
        <v>2003</v>
      </c>
      <c r="Y760" s="6" t="s">
        <v>67</v>
      </c>
      <c r="Z760" s="6">
        <v>226265</v>
      </c>
    </row>
    <row r="761" spans="1:26" x14ac:dyDescent="0.3">
      <c r="A761" s="28" t="s">
        <v>42</v>
      </c>
      <c r="B761" s="6" t="s">
        <v>2169</v>
      </c>
      <c r="C761" s="6"/>
      <c r="D761" s="6" t="s">
        <v>2001</v>
      </c>
      <c r="E761" s="6">
        <v>1</v>
      </c>
      <c r="F761" s="6" t="s">
        <v>2004</v>
      </c>
      <c r="G761" s="32" t="s">
        <v>2299</v>
      </c>
      <c r="H761" s="32" t="s">
        <v>2300</v>
      </c>
      <c r="I761" s="6" t="str">
        <f t="shared" si="26"/>
        <v>Ripper</v>
      </c>
      <c r="J761" s="6" t="s">
        <v>254</v>
      </c>
      <c r="K761" s="6">
        <v>1</v>
      </c>
      <c r="L761" s="6">
        <f t="shared" si="27"/>
        <v>2230000</v>
      </c>
      <c r="M761" s="6">
        <v>1900000</v>
      </c>
      <c r="N761" s="6" t="s">
        <v>2003</v>
      </c>
      <c r="O761" s="6" t="s">
        <v>2059</v>
      </c>
      <c r="P761" s="6">
        <v>2017</v>
      </c>
      <c r="Q761" s="6">
        <v>1</v>
      </c>
      <c r="R761" s="6" t="s">
        <v>45</v>
      </c>
      <c r="S761" s="31" t="s">
        <v>2110</v>
      </c>
      <c r="T761" s="6">
        <v>1</v>
      </c>
      <c r="U761" s="26">
        <v>1800000</v>
      </c>
      <c r="V761" s="26">
        <v>1800000</v>
      </c>
      <c r="W761" s="26">
        <v>1800000</v>
      </c>
      <c r="X761" s="6" t="s">
        <v>2003</v>
      </c>
      <c r="Y761" s="6" t="s">
        <v>1155</v>
      </c>
      <c r="Z761" s="6">
        <v>226267</v>
      </c>
    </row>
    <row r="762" spans="1:26" x14ac:dyDescent="0.3">
      <c r="A762" s="28" t="s">
        <v>42</v>
      </c>
      <c r="B762" s="6" t="s">
        <v>1328</v>
      </c>
      <c r="C762" s="6" t="s">
        <v>1975</v>
      </c>
      <c r="D762" s="6" t="s">
        <v>2291</v>
      </c>
      <c r="E762" s="6">
        <v>1</v>
      </c>
      <c r="F762" s="6" t="s">
        <v>2004</v>
      </c>
      <c r="G762" s="32" t="s">
        <v>2299</v>
      </c>
      <c r="H762" s="32" t="s">
        <v>2300</v>
      </c>
      <c r="I762" s="6" t="str">
        <f t="shared" si="26"/>
        <v>Side Breaker</v>
      </c>
      <c r="J762" s="6" t="s">
        <v>704</v>
      </c>
      <c r="K762" s="6">
        <v>1</v>
      </c>
      <c r="L762" s="6">
        <f t="shared" si="27"/>
        <v>1880000</v>
      </c>
      <c r="M762" s="6">
        <v>1600000</v>
      </c>
      <c r="N762" s="6" t="s">
        <v>2003</v>
      </c>
      <c r="O762" s="6" t="s">
        <v>1088</v>
      </c>
      <c r="P762" s="6">
        <v>2015</v>
      </c>
      <c r="Q762" s="6">
        <v>1</v>
      </c>
      <c r="R762" s="6" t="s">
        <v>45</v>
      </c>
      <c r="S762" s="31" t="s">
        <v>2119</v>
      </c>
      <c r="T762" s="6">
        <v>1</v>
      </c>
      <c r="U762" s="26">
        <v>1500000</v>
      </c>
      <c r="V762" s="26">
        <v>1500000</v>
      </c>
      <c r="W762" s="26">
        <v>1500000</v>
      </c>
      <c r="X762" s="6" t="s">
        <v>2003</v>
      </c>
      <c r="Y762" s="6" t="s">
        <v>1165</v>
      </c>
      <c r="Z762" s="6">
        <v>226269</v>
      </c>
    </row>
    <row r="763" spans="1:26" x14ac:dyDescent="0.3">
      <c r="A763" s="28" t="s">
        <v>42</v>
      </c>
      <c r="B763" s="6" t="s">
        <v>1327</v>
      </c>
      <c r="C763" s="6" t="s">
        <v>1976</v>
      </c>
      <c r="D763" s="6" t="s">
        <v>2290</v>
      </c>
      <c r="E763" s="6">
        <v>1</v>
      </c>
      <c r="F763" s="6" t="s">
        <v>2004</v>
      </c>
      <c r="G763" s="32" t="s">
        <v>2299</v>
      </c>
      <c r="H763" s="32" t="s">
        <v>2300</v>
      </c>
      <c r="I763" s="6" t="str">
        <f t="shared" si="26"/>
        <v>Skeleton Bucket</v>
      </c>
      <c r="J763" s="6" t="s">
        <v>685</v>
      </c>
      <c r="K763" s="6">
        <v>1</v>
      </c>
      <c r="L763" s="6">
        <f t="shared" si="27"/>
        <v>2940000</v>
      </c>
      <c r="M763" s="6">
        <v>2500000</v>
      </c>
      <c r="N763" s="6" t="s">
        <v>2003</v>
      </c>
      <c r="O763" s="6" t="s">
        <v>813</v>
      </c>
      <c r="P763" s="6">
        <v>2016</v>
      </c>
      <c r="Q763" s="6">
        <v>1</v>
      </c>
      <c r="R763" s="6" t="s">
        <v>45</v>
      </c>
      <c r="S763" s="31" t="s">
        <v>2113</v>
      </c>
      <c r="T763" s="6">
        <v>1</v>
      </c>
      <c r="U763" s="26">
        <v>2300000</v>
      </c>
      <c r="V763" s="26">
        <v>2300000</v>
      </c>
      <c r="W763" s="26">
        <v>2300000</v>
      </c>
      <c r="X763" s="6" t="s">
        <v>2003</v>
      </c>
      <c r="Y763" s="6" t="s">
        <v>80</v>
      </c>
      <c r="Z763" s="6">
        <v>226270</v>
      </c>
    </row>
    <row r="764" spans="1:26" x14ac:dyDescent="0.3">
      <c r="A764" s="28" t="s">
        <v>42</v>
      </c>
      <c r="B764" s="6" t="s">
        <v>1326</v>
      </c>
      <c r="C764" s="6" t="s">
        <v>1979</v>
      </c>
      <c r="D764" s="6" t="s">
        <v>2290</v>
      </c>
      <c r="E764" s="6">
        <v>1</v>
      </c>
      <c r="F764" s="6" t="s">
        <v>2004</v>
      </c>
      <c r="G764" s="32" t="s">
        <v>2299</v>
      </c>
      <c r="H764" s="32" t="s">
        <v>2300</v>
      </c>
      <c r="I764" s="6" t="str">
        <f t="shared" si="26"/>
        <v>Thumb Grapple</v>
      </c>
      <c r="J764" s="6" t="s">
        <v>654</v>
      </c>
      <c r="K764" s="6">
        <v>1</v>
      </c>
      <c r="L764" s="6">
        <f t="shared" si="27"/>
        <v>2580000</v>
      </c>
      <c r="M764" s="6">
        <v>2200000</v>
      </c>
      <c r="N764" s="6" t="s">
        <v>2003</v>
      </c>
      <c r="O764" s="6" t="s">
        <v>813</v>
      </c>
      <c r="P764" s="6">
        <v>2013</v>
      </c>
      <c r="Q764" s="6">
        <v>1</v>
      </c>
      <c r="R764" s="6" t="s">
        <v>45</v>
      </c>
      <c r="S764" s="31" t="s">
        <v>2113</v>
      </c>
      <c r="T764" s="6">
        <v>1</v>
      </c>
      <c r="U764" s="26">
        <v>2000000</v>
      </c>
      <c r="V764" s="26">
        <v>2000000</v>
      </c>
      <c r="W764" s="26">
        <v>2000000</v>
      </c>
      <c r="X764" s="6" t="s">
        <v>2003</v>
      </c>
      <c r="Y764" s="6" t="s">
        <v>79</v>
      </c>
      <c r="Z764" s="6">
        <v>226271</v>
      </c>
    </row>
    <row r="765" spans="1:26" x14ac:dyDescent="0.3">
      <c r="A765" s="28" t="s">
        <v>42</v>
      </c>
      <c r="B765" s="6" t="s">
        <v>1328</v>
      </c>
      <c r="C765" s="6" t="s">
        <v>1975</v>
      </c>
      <c r="D765" s="6" t="s">
        <v>2290</v>
      </c>
      <c r="E765" s="6">
        <v>1</v>
      </c>
      <c r="F765" s="6" t="s">
        <v>2004</v>
      </c>
      <c r="G765" s="32" t="s">
        <v>2299</v>
      </c>
      <c r="H765" s="32" t="s">
        <v>2300</v>
      </c>
      <c r="I765" s="6" t="str">
        <f t="shared" si="26"/>
        <v>Side Breaker</v>
      </c>
      <c r="J765" s="6" t="s">
        <v>443</v>
      </c>
      <c r="K765" s="6">
        <v>1</v>
      </c>
      <c r="L765" s="6">
        <f t="shared" si="27"/>
        <v>5170000</v>
      </c>
      <c r="M765" s="6">
        <v>4400000</v>
      </c>
      <c r="N765" s="6" t="s">
        <v>2003</v>
      </c>
      <c r="O765" s="6" t="s">
        <v>803</v>
      </c>
      <c r="P765" s="6">
        <v>2007</v>
      </c>
      <c r="Q765" s="6">
        <v>1</v>
      </c>
      <c r="R765" s="6" t="s">
        <v>45</v>
      </c>
      <c r="S765" s="31" t="s">
        <v>2123</v>
      </c>
      <c r="T765" s="6">
        <v>1</v>
      </c>
      <c r="U765" s="26">
        <v>4200000</v>
      </c>
      <c r="V765" s="26">
        <v>4200000</v>
      </c>
      <c r="W765" s="26">
        <v>4200000</v>
      </c>
      <c r="X765" s="6" t="s">
        <v>2003</v>
      </c>
      <c r="Y765" s="6" t="s">
        <v>1181</v>
      </c>
      <c r="Z765" s="6">
        <v>226276</v>
      </c>
    </row>
    <row r="766" spans="1:26" x14ac:dyDescent="0.3">
      <c r="A766" s="28" t="s">
        <v>42</v>
      </c>
      <c r="B766" s="6" t="s">
        <v>1325</v>
      </c>
      <c r="C766" s="6" t="s">
        <v>1978</v>
      </c>
      <c r="D766" s="6" t="s">
        <v>2290</v>
      </c>
      <c r="E766" s="6">
        <v>1</v>
      </c>
      <c r="F766" s="6" t="s">
        <v>2004</v>
      </c>
      <c r="G766" s="32" t="s">
        <v>2299</v>
      </c>
      <c r="H766" s="32" t="s">
        <v>2300</v>
      </c>
      <c r="I766" s="6" t="str">
        <f t="shared" si="26"/>
        <v>Hydraulic Pulverizer</v>
      </c>
      <c r="J766" s="6" t="s">
        <v>409</v>
      </c>
      <c r="K766" s="6">
        <v>1</v>
      </c>
      <c r="L766" s="6">
        <f t="shared" si="27"/>
        <v>7640000</v>
      </c>
      <c r="M766" s="6">
        <v>6500000</v>
      </c>
      <c r="N766" s="6" t="s">
        <v>2003</v>
      </c>
      <c r="O766" s="6" t="s">
        <v>813</v>
      </c>
      <c r="P766" s="6">
        <v>2013</v>
      </c>
      <c r="Q766" s="6">
        <v>1</v>
      </c>
      <c r="R766" s="6" t="s">
        <v>45</v>
      </c>
      <c r="S766" s="31" t="s">
        <v>2113</v>
      </c>
      <c r="T766" s="6">
        <v>1</v>
      </c>
      <c r="U766" s="26">
        <v>6000000</v>
      </c>
      <c r="V766" s="26">
        <v>6000000</v>
      </c>
      <c r="W766" s="26">
        <v>6000000</v>
      </c>
      <c r="X766" s="6" t="s">
        <v>2003</v>
      </c>
      <c r="Y766" s="6" t="s">
        <v>79</v>
      </c>
      <c r="Z766" s="6">
        <v>226278</v>
      </c>
    </row>
    <row r="767" spans="1:26" x14ac:dyDescent="0.3">
      <c r="A767" s="28" t="s">
        <v>42</v>
      </c>
      <c r="B767" s="6" t="s">
        <v>1327</v>
      </c>
      <c r="C767" s="6" t="s">
        <v>1977</v>
      </c>
      <c r="D767" s="6" t="s">
        <v>2292</v>
      </c>
      <c r="E767" s="6">
        <v>1</v>
      </c>
      <c r="F767" s="6" t="s">
        <v>2004</v>
      </c>
      <c r="G767" s="32" t="s">
        <v>2299</v>
      </c>
      <c r="H767" s="32" t="s">
        <v>2300</v>
      </c>
      <c r="I767" s="6" t="str">
        <f t="shared" si="26"/>
        <v>Wide Bucket</v>
      </c>
      <c r="J767" s="6" t="s">
        <v>123</v>
      </c>
      <c r="K767" s="6">
        <v>1</v>
      </c>
      <c r="L767" s="6">
        <f t="shared" si="27"/>
        <v>1410000</v>
      </c>
      <c r="M767" s="6">
        <v>1200000</v>
      </c>
      <c r="N767" s="6" t="s">
        <v>2003</v>
      </c>
      <c r="O767" s="6" t="s">
        <v>813</v>
      </c>
      <c r="P767" s="6">
        <v>2013</v>
      </c>
      <c r="Q767" s="6">
        <v>1</v>
      </c>
      <c r="R767" s="6" t="s">
        <v>45</v>
      </c>
      <c r="S767" s="31" t="s">
        <v>2113</v>
      </c>
      <c r="T767" s="6">
        <v>1</v>
      </c>
      <c r="U767" s="26">
        <v>1100000</v>
      </c>
      <c r="V767" s="26">
        <v>1100000</v>
      </c>
      <c r="W767" s="26">
        <v>1100000</v>
      </c>
      <c r="X767" s="6" t="s">
        <v>2003</v>
      </c>
      <c r="Y767" s="6" t="s">
        <v>79</v>
      </c>
      <c r="Z767" s="6">
        <v>226280</v>
      </c>
    </row>
    <row r="768" spans="1:26" x14ac:dyDescent="0.3">
      <c r="A768" s="28" t="s">
        <v>42</v>
      </c>
      <c r="B768" s="6" t="s">
        <v>2169</v>
      </c>
      <c r="C768" s="6"/>
      <c r="D768" s="6" t="s">
        <v>2289</v>
      </c>
      <c r="E768" s="6">
        <v>1</v>
      </c>
      <c r="F768" s="6" t="s">
        <v>2004</v>
      </c>
      <c r="G768" s="32" t="s">
        <v>2299</v>
      </c>
      <c r="H768" s="32" t="s">
        <v>2300</v>
      </c>
      <c r="I768" s="6" t="str">
        <f t="shared" si="26"/>
        <v>Ripper</v>
      </c>
      <c r="J768" s="6" t="s">
        <v>708</v>
      </c>
      <c r="K768" s="6">
        <v>1</v>
      </c>
      <c r="L768" s="6">
        <f t="shared" si="27"/>
        <v>2580000</v>
      </c>
      <c r="M768" s="6">
        <v>2200000</v>
      </c>
      <c r="N768" s="6" t="s">
        <v>2003</v>
      </c>
      <c r="O768" s="6" t="s">
        <v>708</v>
      </c>
      <c r="P768" s="6">
        <v>2014</v>
      </c>
      <c r="Q768" s="6">
        <v>6</v>
      </c>
      <c r="R768" s="6" t="s">
        <v>45</v>
      </c>
      <c r="S768" s="31" t="s">
        <v>2113</v>
      </c>
      <c r="T768" s="6">
        <v>1</v>
      </c>
      <c r="U768" s="26">
        <v>2000000</v>
      </c>
      <c r="V768" s="26">
        <v>2000000</v>
      </c>
      <c r="W768" s="26">
        <v>2000000</v>
      </c>
      <c r="X768" s="6" t="s">
        <v>2003</v>
      </c>
      <c r="Y768" s="6" t="s">
        <v>1215</v>
      </c>
      <c r="Z768" s="6">
        <v>226285</v>
      </c>
    </row>
    <row r="769" spans="1:26" x14ac:dyDescent="0.3">
      <c r="A769" s="28" t="s">
        <v>42</v>
      </c>
      <c r="B769" s="6" t="s">
        <v>1326</v>
      </c>
      <c r="C769" s="6" t="s">
        <v>1972</v>
      </c>
      <c r="D769" s="6" t="s">
        <v>2001</v>
      </c>
      <c r="E769" s="6">
        <v>1</v>
      </c>
      <c r="F769" s="6" t="s">
        <v>2004</v>
      </c>
      <c r="G769" s="32" t="s">
        <v>2299</v>
      </c>
      <c r="H769" s="32" t="s">
        <v>2300</v>
      </c>
      <c r="I769" s="6" t="str">
        <f t="shared" si="26"/>
        <v>Stone Grapple</v>
      </c>
      <c r="J769" s="6" t="s">
        <v>472</v>
      </c>
      <c r="K769" s="6">
        <v>1</v>
      </c>
      <c r="L769" s="6">
        <f t="shared" si="27"/>
        <v>11760000</v>
      </c>
      <c r="M769" s="6">
        <v>10000000</v>
      </c>
      <c r="N769" s="6" t="s">
        <v>2003</v>
      </c>
      <c r="O769" s="6" t="s">
        <v>814</v>
      </c>
      <c r="P769" s="6">
        <v>2016</v>
      </c>
      <c r="Q769" s="6">
        <v>5</v>
      </c>
      <c r="R769" s="6" t="s">
        <v>45</v>
      </c>
      <c r="S769" s="31" t="s">
        <v>2119</v>
      </c>
      <c r="T769" s="6">
        <v>1</v>
      </c>
      <c r="U769" s="26">
        <v>9500000</v>
      </c>
      <c r="V769" s="26">
        <v>9500000</v>
      </c>
      <c r="W769" s="26">
        <v>9500000</v>
      </c>
      <c r="X769" s="6" t="s">
        <v>2003</v>
      </c>
      <c r="Y769" s="6" t="s">
        <v>1194</v>
      </c>
      <c r="Z769" s="6">
        <v>226290</v>
      </c>
    </row>
    <row r="770" spans="1:26" x14ac:dyDescent="0.3">
      <c r="A770" s="28" t="s">
        <v>42</v>
      </c>
      <c r="B770" s="6" t="s">
        <v>1327</v>
      </c>
      <c r="C770" s="6" t="s">
        <v>1976</v>
      </c>
      <c r="D770" s="6" t="s">
        <v>2292</v>
      </c>
      <c r="E770" s="6">
        <v>1</v>
      </c>
      <c r="F770" s="6" t="s">
        <v>2004</v>
      </c>
      <c r="G770" s="32" t="s">
        <v>2299</v>
      </c>
      <c r="H770" s="32" t="s">
        <v>2300</v>
      </c>
      <c r="I770" s="6" t="str">
        <f t="shared" si="26"/>
        <v>Skeleton Bucket</v>
      </c>
      <c r="J770" s="6" t="s">
        <v>110</v>
      </c>
      <c r="K770" s="6">
        <v>1</v>
      </c>
      <c r="L770" s="6">
        <f t="shared" si="27"/>
        <v>1050000</v>
      </c>
      <c r="M770" s="6">
        <v>900000</v>
      </c>
      <c r="N770" s="6" t="s">
        <v>2003</v>
      </c>
      <c r="O770" s="6" t="s">
        <v>813</v>
      </c>
      <c r="P770" s="6">
        <v>2013</v>
      </c>
      <c r="Q770" s="6">
        <v>1</v>
      </c>
      <c r="R770" s="6" t="s">
        <v>45</v>
      </c>
      <c r="S770" s="31" t="s">
        <v>2113</v>
      </c>
      <c r="T770" s="6">
        <v>1</v>
      </c>
      <c r="U770" s="26">
        <v>800000</v>
      </c>
      <c r="V770" s="26">
        <v>800000</v>
      </c>
      <c r="W770" s="26">
        <v>800000</v>
      </c>
      <c r="X770" s="6" t="s">
        <v>2003</v>
      </c>
      <c r="Y770" s="6" t="s">
        <v>80</v>
      </c>
      <c r="Z770" s="6">
        <v>226293</v>
      </c>
    </row>
    <row r="771" spans="1:26" x14ac:dyDescent="0.3">
      <c r="A771" s="28" t="s">
        <v>42</v>
      </c>
      <c r="B771" s="6" t="s">
        <v>1326</v>
      </c>
      <c r="C771" s="6" t="s">
        <v>1973</v>
      </c>
      <c r="D771" s="6" t="s">
        <v>2291</v>
      </c>
      <c r="E771" s="6">
        <v>1</v>
      </c>
      <c r="F771" s="6" t="s">
        <v>2004</v>
      </c>
      <c r="G771" s="32" t="s">
        <v>2299</v>
      </c>
      <c r="H771" s="32" t="s">
        <v>2300</v>
      </c>
      <c r="I771" s="6" t="str">
        <f t="shared" si="26"/>
        <v>Wood Grapple</v>
      </c>
      <c r="J771" s="6" t="s">
        <v>127</v>
      </c>
      <c r="K771" s="6">
        <v>1</v>
      </c>
      <c r="L771" s="6">
        <f t="shared" si="27"/>
        <v>2350000</v>
      </c>
      <c r="M771" s="6">
        <v>2000000</v>
      </c>
      <c r="N771" s="6" t="s">
        <v>2003</v>
      </c>
      <c r="O771" s="6" t="s">
        <v>54</v>
      </c>
      <c r="P771" s="6">
        <v>2011</v>
      </c>
      <c r="Q771" s="6">
        <v>1</v>
      </c>
      <c r="R771" s="6" t="s">
        <v>45</v>
      </c>
      <c r="S771" s="31" t="s">
        <v>2114</v>
      </c>
      <c r="T771" s="6">
        <v>1</v>
      </c>
      <c r="U771" s="26">
        <v>1900000</v>
      </c>
      <c r="V771" s="26">
        <v>1900000</v>
      </c>
      <c r="W771" s="26">
        <v>1900000</v>
      </c>
      <c r="X771" s="6" t="s">
        <v>2003</v>
      </c>
      <c r="Y771" s="6" t="s">
        <v>54</v>
      </c>
      <c r="Z771" s="6">
        <v>226297</v>
      </c>
    </row>
    <row r="772" spans="1:26" x14ac:dyDescent="0.3">
      <c r="A772" s="28" t="s">
        <v>42</v>
      </c>
      <c r="B772" s="6" t="s">
        <v>1326</v>
      </c>
      <c r="C772" s="6" t="s">
        <v>1972</v>
      </c>
      <c r="D772" s="6" t="s">
        <v>2292</v>
      </c>
      <c r="E772" s="6">
        <v>1</v>
      </c>
      <c r="F772" s="6" t="s">
        <v>2004</v>
      </c>
      <c r="G772" s="32" t="s">
        <v>2299</v>
      </c>
      <c r="H772" s="32" t="s">
        <v>2300</v>
      </c>
      <c r="I772" s="6" t="str">
        <f t="shared" si="26"/>
        <v>Stone Grapple</v>
      </c>
      <c r="J772" s="6" t="s">
        <v>120</v>
      </c>
      <c r="K772" s="6">
        <v>1</v>
      </c>
      <c r="L772" s="6">
        <f t="shared" si="27"/>
        <v>8470000</v>
      </c>
      <c r="M772" s="6">
        <v>7200000</v>
      </c>
      <c r="N772" s="6" t="s">
        <v>2003</v>
      </c>
      <c r="O772" s="6" t="s">
        <v>1881</v>
      </c>
      <c r="P772" s="6">
        <v>2017</v>
      </c>
      <c r="Q772" s="6">
        <v>1</v>
      </c>
      <c r="R772" s="6" t="s">
        <v>45</v>
      </c>
      <c r="S772" s="31" t="s">
        <v>2110</v>
      </c>
      <c r="T772" s="6">
        <v>1</v>
      </c>
      <c r="U772" s="26">
        <v>6700000</v>
      </c>
      <c r="V772" s="26">
        <v>6700000</v>
      </c>
      <c r="W772" s="26">
        <v>6700000</v>
      </c>
      <c r="X772" s="6" t="s">
        <v>2003</v>
      </c>
      <c r="Y772" s="6" t="s">
        <v>1284</v>
      </c>
      <c r="Z772" s="6">
        <v>226298</v>
      </c>
    </row>
    <row r="773" spans="1:26" x14ac:dyDescent="0.3">
      <c r="A773" s="28" t="s">
        <v>42</v>
      </c>
      <c r="B773" s="6" t="s">
        <v>1328</v>
      </c>
      <c r="C773" s="6" t="s">
        <v>1975</v>
      </c>
      <c r="D773" s="6" t="s">
        <v>2292</v>
      </c>
      <c r="E773" s="6">
        <v>1</v>
      </c>
      <c r="F773" s="6" t="s">
        <v>2004</v>
      </c>
      <c r="G773" s="32" t="s">
        <v>2299</v>
      </c>
      <c r="H773" s="32" t="s">
        <v>2300</v>
      </c>
      <c r="I773" s="6" t="str">
        <f t="shared" si="26"/>
        <v>Side Breaker</v>
      </c>
      <c r="J773" s="6" t="s">
        <v>722</v>
      </c>
      <c r="K773" s="6">
        <v>1</v>
      </c>
      <c r="L773" s="6">
        <f t="shared" si="27"/>
        <v>4350000</v>
      </c>
      <c r="M773" s="6">
        <v>3700000</v>
      </c>
      <c r="N773" s="6" t="s">
        <v>2003</v>
      </c>
      <c r="O773" s="6" t="s">
        <v>799</v>
      </c>
      <c r="P773" s="6">
        <v>2009</v>
      </c>
      <c r="Q773" s="6">
        <v>1</v>
      </c>
      <c r="R773" s="6" t="s">
        <v>45</v>
      </c>
      <c r="S773" s="31" t="s">
        <v>2123</v>
      </c>
      <c r="T773" s="6">
        <v>1</v>
      </c>
      <c r="U773" s="26">
        <v>3500000</v>
      </c>
      <c r="V773" s="26">
        <v>3500000</v>
      </c>
      <c r="W773" s="26">
        <v>3500000</v>
      </c>
      <c r="X773" s="6" t="s">
        <v>2003</v>
      </c>
      <c r="Y773" s="6" t="s">
        <v>1181</v>
      </c>
      <c r="Z773" s="6">
        <v>226305</v>
      </c>
    </row>
    <row r="774" spans="1:26" x14ac:dyDescent="0.3">
      <c r="A774" s="28" t="s">
        <v>42</v>
      </c>
      <c r="B774" s="6" t="s">
        <v>1326</v>
      </c>
      <c r="C774" s="6" t="s">
        <v>1974</v>
      </c>
      <c r="D774" s="6" t="s">
        <v>2292</v>
      </c>
      <c r="E774" s="6">
        <v>1</v>
      </c>
      <c r="F774" s="6" t="s">
        <v>2004</v>
      </c>
      <c r="G774" s="32" t="s">
        <v>2299</v>
      </c>
      <c r="H774" s="32" t="s">
        <v>2300</v>
      </c>
      <c r="I774" s="6" t="str">
        <f t="shared" si="26"/>
        <v>Etc Grapple</v>
      </c>
      <c r="J774" s="6" t="s">
        <v>125</v>
      </c>
      <c r="K774" s="6">
        <v>1</v>
      </c>
      <c r="L774" s="6">
        <f t="shared" si="27"/>
        <v>5290000</v>
      </c>
      <c r="M774" s="6">
        <v>4500000</v>
      </c>
      <c r="N774" s="6" t="s">
        <v>2003</v>
      </c>
      <c r="O774" s="6" t="s">
        <v>54</v>
      </c>
      <c r="P774" s="6">
        <v>2010</v>
      </c>
      <c r="Q774" s="6">
        <v>1</v>
      </c>
      <c r="R774" s="6" t="s">
        <v>45</v>
      </c>
      <c r="S774" s="31" t="s">
        <v>2114</v>
      </c>
      <c r="T774" s="6">
        <v>1</v>
      </c>
      <c r="U774" s="26">
        <v>4300000</v>
      </c>
      <c r="V774" s="26">
        <v>4300000</v>
      </c>
      <c r="W774" s="26">
        <v>4300000</v>
      </c>
      <c r="X774" s="6" t="s">
        <v>2003</v>
      </c>
      <c r="Y774" s="6" t="s">
        <v>54</v>
      </c>
      <c r="Z774" s="6">
        <v>226306</v>
      </c>
    </row>
    <row r="775" spans="1:26" x14ac:dyDescent="0.3">
      <c r="A775" s="28" t="s">
        <v>42</v>
      </c>
      <c r="B775" s="6" t="s">
        <v>1328</v>
      </c>
      <c r="C775" s="6" t="s">
        <v>1975</v>
      </c>
      <c r="D775" s="6" t="s">
        <v>2001</v>
      </c>
      <c r="E775" s="6">
        <v>1</v>
      </c>
      <c r="F775" s="6" t="s">
        <v>2004</v>
      </c>
      <c r="G775" s="32" t="s">
        <v>2299</v>
      </c>
      <c r="H775" s="32" t="s">
        <v>2300</v>
      </c>
      <c r="I775" s="6" t="str">
        <f t="shared" si="26"/>
        <v>Side Breaker</v>
      </c>
      <c r="J775" s="6" t="s">
        <v>164</v>
      </c>
      <c r="K775" s="6">
        <v>1</v>
      </c>
      <c r="L775" s="6">
        <f t="shared" si="27"/>
        <v>6470000</v>
      </c>
      <c r="M775" s="6">
        <v>5500000</v>
      </c>
      <c r="N775" s="6" t="s">
        <v>2003</v>
      </c>
      <c r="O775" s="6" t="s">
        <v>54</v>
      </c>
      <c r="P775" s="6">
        <v>2008</v>
      </c>
      <c r="Q775" s="6">
        <v>1</v>
      </c>
      <c r="R775" s="6" t="s">
        <v>45</v>
      </c>
      <c r="S775" s="31" t="s">
        <v>2111</v>
      </c>
      <c r="T775" s="6">
        <v>1</v>
      </c>
      <c r="U775" s="26">
        <v>5000000</v>
      </c>
      <c r="V775" s="26">
        <v>5000000</v>
      </c>
      <c r="W775" s="26">
        <v>5000000</v>
      </c>
      <c r="X775" s="6" t="s">
        <v>2003</v>
      </c>
      <c r="Y775" s="6" t="s">
        <v>54</v>
      </c>
      <c r="Z775" s="6">
        <v>226310</v>
      </c>
    </row>
    <row r="776" spans="1:26" x14ac:dyDescent="0.3">
      <c r="A776" s="28" t="s">
        <v>42</v>
      </c>
      <c r="B776" s="6" t="s">
        <v>1378</v>
      </c>
      <c r="C776" s="6"/>
      <c r="D776" s="6" t="s">
        <v>2001</v>
      </c>
      <c r="E776" s="6">
        <v>1</v>
      </c>
      <c r="F776" s="6" t="s">
        <v>2004</v>
      </c>
      <c r="G776" s="32" t="s">
        <v>2299</v>
      </c>
      <c r="H776" s="32" t="s">
        <v>2300</v>
      </c>
      <c r="I776" s="6" t="str">
        <f t="shared" si="26"/>
        <v>Shear&amp;Cutter</v>
      </c>
      <c r="J776" s="6" t="s">
        <v>723</v>
      </c>
      <c r="K776" s="6">
        <v>1</v>
      </c>
      <c r="L776" s="6">
        <f t="shared" si="27"/>
        <v>21760000</v>
      </c>
      <c r="M776" s="6">
        <v>18500000</v>
      </c>
      <c r="N776" s="6" t="s">
        <v>2003</v>
      </c>
      <c r="O776" s="6" t="s">
        <v>1089</v>
      </c>
      <c r="P776" s="6">
        <v>2006</v>
      </c>
      <c r="Q776" s="6">
        <v>9</v>
      </c>
      <c r="R776" s="6" t="s">
        <v>45</v>
      </c>
      <c r="S776" s="31" t="s">
        <v>2122</v>
      </c>
      <c r="T776" s="6">
        <v>1</v>
      </c>
      <c r="U776" s="26">
        <v>18000000</v>
      </c>
      <c r="V776" s="26">
        <v>18000000</v>
      </c>
      <c r="W776" s="26">
        <v>18000000</v>
      </c>
      <c r="X776" s="6" t="s">
        <v>2003</v>
      </c>
      <c r="Y776" s="6" t="s">
        <v>1198</v>
      </c>
      <c r="Z776" s="6">
        <v>226315</v>
      </c>
    </row>
    <row r="777" spans="1:26" x14ac:dyDescent="0.3">
      <c r="A777" s="28" t="s">
        <v>42</v>
      </c>
      <c r="B777" s="6" t="s">
        <v>1326</v>
      </c>
      <c r="C777" s="6" t="s">
        <v>1972</v>
      </c>
      <c r="D777" s="6" t="s">
        <v>2292</v>
      </c>
      <c r="E777" s="6">
        <v>1</v>
      </c>
      <c r="F777" s="6" t="s">
        <v>2004</v>
      </c>
      <c r="G777" s="32" t="s">
        <v>2299</v>
      </c>
      <c r="H777" s="32" t="s">
        <v>2300</v>
      </c>
      <c r="I777" s="6" t="str">
        <f t="shared" si="26"/>
        <v>Stone Grapple</v>
      </c>
      <c r="J777" s="6" t="s">
        <v>44</v>
      </c>
      <c r="K777" s="6">
        <v>1</v>
      </c>
      <c r="L777" s="6">
        <f t="shared" si="27"/>
        <v>4110000</v>
      </c>
      <c r="M777" s="6">
        <v>3500000</v>
      </c>
      <c r="N777" s="6" t="s">
        <v>2003</v>
      </c>
      <c r="O777" s="6" t="s">
        <v>1090</v>
      </c>
      <c r="P777" s="6">
        <v>2015</v>
      </c>
      <c r="Q777" s="6">
        <v>6</v>
      </c>
      <c r="R777" s="6" t="s">
        <v>45</v>
      </c>
      <c r="S777" s="31" t="s">
        <v>2118</v>
      </c>
      <c r="T777" s="6">
        <v>1</v>
      </c>
      <c r="U777" s="26">
        <v>3300000</v>
      </c>
      <c r="V777" s="26">
        <v>3300000</v>
      </c>
      <c r="W777" s="26">
        <v>3300000</v>
      </c>
      <c r="X777" s="6" t="s">
        <v>2003</v>
      </c>
      <c r="Y777" s="6" t="s">
        <v>63</v>
      </c>
      <c r="Z777" s="6">
        <v>226318</v>
      </c>
    </row>
    <row r="778" spans="1:26" x14ac:dyDescent="0.3">
      <c r="A778" s="28" t="s">
        <v>42</v>
      </c>
      <c r="B778" s="6" t="s">
        <v>1326</v>
      </c>
      <c r="C778" s="6" t="s">
        <v>1974</v>
      </c>
      <c r="D778" s="6" t="s">
        <v>2291</v>
      </c>
      <c r="E778" s="6">
        <v>1</v>
      </c>
      <c r="F778" s="6" t="s">
        <v>2004</v>
      </c>
      <c r="G778" s="32" t="s">
        <v>2299</v>
      </c>
      <c r="H778" s="32" t="s">
        <v>2300</v>
      </c>
      <c r="I778" s="6" t="str">
        <f t="shared" si="26"/>
        <v>Etc Grapple</v>
      </c>
      <c r="J778" s="6" t="s">
        <v>724</v>
      </c>
      <c r="K778" s="6">
        <v>1</v>
      </c>
      <c r="L778" s="6">
        <f t="shared" si="27"/>
        <v>3170000</v>
      </c>
      <c r="M778" s="6">
        <v>2700000</v>
      </c>
      <c r="N778" s="6" t="s">
        <v>2003</v>
      </c>
      <c r="O778" s="6" t="s">
        <v>1091</v>
      </c>
      <c r="P778" s="6">
        <v>2014</v>
      </c>
      <c r="Q778" s="6">
        <v>1</v>
      </c>
      <c r="R778" s="6" t="s">
        <v>45</v>
      </c>
      <c r="S778" s="31" t="s">
        <v>2122</v>
      </c>
      <c r="T778" s="6">
        <v>1</v>
      </c>
      <c r="U778" s="26">
        <v>2500000</v>
      </c>
      <c r="V778" s="26">
        <v>2500000</v>
      </c>
      <c r="W778" s="26">
        <v>2500000</v>
      </c>
      <c r="X778" s="6" t="s">
        <v>2003</v>
      </c>
      <c r="Y778" s="6" t="s">
        <v>1227</v>
      </c>
      <c r="Z778" s="6">
        <v>226320</v>
      </c>
    </row>
    <row r="779" spans="1:26" x14ac:dyDescent="0.3">
      <c r="A779" s="28" t="s">
        <v>42</v>
      </c>
      <c r="B779" s="6" t="s">
        <v>1328</v>
      </c>
      <c r="C779" s="6" t="s">
        <v>1975</v>
      </c>
      <c r="D779" s="6" t="s">
        <v>2291</v>
      </c>
      <c r="E779" s="6">
        <v>1</v>
      </c>
      <c r="F779" s="6" t="s">
        <v>2004</v>
      </c>
      <c r="G779" s="32" t="s">
        <v>2299</v>
      </c>
      <c r="H779" s="32" t="s">
        <v>2300</v>
      </c>
      <c r="I779" s="6" t="str">
        <f t="shared" ref="I779:I842" si="28">IF(ISBLANK(C779),B779,C779)</f>
        <v>Side Breaker</v>
      </c>
      <c r="J779" s="6" t="s">
        <v>2147</v>
      </c>
      <c r="K779" s="6">
        <v>1</v>
      </c>
      <c r="L779" s="6">
        <f t="shared" ref="L779:L842" si="29">FLOOR(((M779*100)/85)/10000, 1)*10000</f>
        <v>5520000</v>
      </c>
      <c r="M779" s="6">
        <v>4700000</v>
      </c>
      <c r="N779" s="6" t="s">
        <v>2003</v>
      </c>
      <c r="O779" s="6" t="s">
        <v>2084</v>
      </c>
      <c r="P779" s="6">
        <v>2014</v>
      </c>
      <c r="Q779" s="6">
        <v>1</v>
      </c>
      <c r="R779" s="6" t="s">
        <v>45</v>
      </c>
      <c r="S779" s="31" t="s">
        <v>2122</v>
      </c>
      <c r="T779" s="6">
        <v>1</v>
      </c>
      <c r="U779" s="26">
        <v>4500000</v>
      </c>
      <c r="V779" s="26">
        <v>4500000</v>
      </c>
      <c r="W779" s="26">
        <v>4500000</v>
      </c>
      <c r="X779" s="6" t="s">
        <v>2003</v>
      </c>
      <c r="Y779" s="6" t="s">
        <v>1227</v>
      </c>
      <c r="Z779" s="6">
        <v>226325</v>
      </c>
    </row>
    <row r="780" spans="1:26" x14ac:dyDescent="0.3">
      <c r="A780" s="28" t="s">
        <v>42</v>
      </c>
      <c r="B780" s="6" t="s">
        <v>1327</v>
      </c>
      <c r="C780" s="6" t="s">
        <v>1977</v>
      </c>
      <c r="D780" s="6" t="s">
        <v>2291</v>
      </c>
      <c r="E780" s="6">
        <v>1</v>
      </c>
      <c r="F780" s="6" t="s">
        <v>2004</v>
      </c>
      <c r="G780" s="32" t="s">
        <v>2299</v>
      </c>
      <c r="H780" s="32" t="s">
        <v>2300</v>
      </c>
      <c r="I780" s="6" t="str">
        <f t="shared" si="28"/>
        <v>Wide Bucket</v>
      </c>
      <c r="J780" s="6" t="s">
        <v>175</v>
      </c>
      <c r="K780" s="6">
        <v>1</v>
      </c>
      <c r="L780" s="6">
        <f t="shared" si="29"/>
        <v>430000</v>
      </c>
      <c r="M780" s="6">
        <v>370000</v>
      </c>
      <c r="N780" s="6" t="s">
        <v>2003</v>
      </c>
      <c r="O780" s="6" t="s">
        <v>2012</v>
      </c>
      <c r="P780" s="6">
        <v>2013</v>
      </c>
      <c r="Q780" s="6">
        <v>1</v>
      </c>
      <c r="R780" s="6" t="s">
        <v>45</v>
      </c>
      <c r="S780" s="31" t="s">
        <v>2113</v>
      </c>
      <c r="T780" s="6">
        <v>1</v>
      </c>
      <c r="U780" s="26">
        <v>320000</v>
      </c>
      <c r="V780" s="26">
        <v>320000</v>
      </c>
      <c r="W780" s="26">
        <v>320000</v>
      </c>
      <c r="X780" s="6" t="s">
        <v>2003</v>
      </c>
      <c r="Y780" s="6" t="s">
        <v>49</v>
      </c>
      <c r="Z780" s="6">
        <v>226331</v>
      </c>
    </row>
    <row r="781" spans="1:26" x14ac:dyDescent="0.3">
      <c r="A781" s="28" t="s">
        <v>42</v>
      </c>
      <c r="B781" s="6" t="s">
        <v>1328</v>
      </c>
      <c r="C781" s="6" t="s">
        <v>1975</v>
      </c>
      <c r="D781" s="6" t="s">
        <v>2001</v>
      </c>
      <c r="E781" s="6">
        <v>1</v>
      </c>
      <c r="F781" s="6" t="s">
        <v>2004</v>
      </c>
      <c r="G781" s="32" t="s">
        <v>2299</v>
      </c>
      <c r="H781" s="32" t="s">
        <v>2300</v>
      </c>
      <c r="I781" s="6" t="str">
        <f t="shared" si="28"/>
        <v>Side Breaker</v>
      </c>
      <c r="J781" s="6" t="s">
        <v>727</v>
      </c>
      <c r="K781" s="6">
        <v>1</v>
      </c>
      <c r="L781" s="6">
        <f t="shared" si="29"/>
        <v>11760000</v>
      </c>
      <c r="M781" s="6">
        <v>10000000</v>
      </c>
      <c r="N781" s="6" t="s">
        <v>2003</v>
      </c>
      <c r="O781" s="6" t="s">
        <v>1093</v>
      </c>
      <c r="P781" s="6">
        <v>2016</v>
      </c>
      <c r="Q781" s="6">
        <v>1</v>
      </c>
      <c r="R781" s="6" t="s">
        <v>45</v>
      </c>
      <c r="S781" s="31" t="s">
        <v>2113</v>
      </c>
      <c r="T781" s="6">
        <v>1</v>
      </c>
      <c r="U781" s="26">
        <v>9500000</v>
      </c>
      <c r="V781" s="26">
        <v>9500000</v>
      </c>
      <c r="W781" s="26">
        <v>9500000</v>
      </c>
      <c r="X781" s="6" t="s">
        <v>2003</v>
      </c>
      <c r="Y781" s="6" t="s">
        <v>1307</v>
      </c>
      <c r="Z781" s="6">
        <v>226334</v>
      </c>
    </row>
    <row r="782" spans="1:26" x14ac:dyDescent="0.3">
      <c r="A782" s="28" t="s">
        <v>42</v>
      </c>
      <c r="B782" s="6" t="s">
        <v>1326</v>
      </c>
      <c r="C782" s="6" t="s">
        <v>1973</v>
      </c>
      <c r="D782" s="6" t="s">
        <v>2291</v>
      </c>
      <c r="E782" s="6">
        <v>1</v>
      </c>
      <c r="F782" s="6" t="s">
        <v>2004</v>
      </c>
      <c r="G782" s="32" t="s">
        <v>2299</v>
      </c>
      <c r="H782" s="32" t="s">
        <v>2300</v>
      </c>
      <c r="I782" s="6" t="str">
        <f t="shared" si="28"/>
        <v>Wood Grapple</v>
      </c>
      <c r="J782" s="6" t="s">
        <v>262</v>
      </c>
      <c r="K782" s="6">
        <v>1</v>
      </c>
      <c r="L782" s="6">
        <f t="shared" si="29"/>
        <v>3410000</v>
      </c>
      <c r="M782" s="6">
        <v>2900000</v>
      </c>
      <c r="N782" s="6" t="s">
        <v>2003</v>
      </c>
      <c r="O782" s="6" t="s">
        <v>2012</v>
      </c>
      <c r="P782" s="6">
        <v>2014</v>
      </c>
      <c r="Q782" s="6">
        <v>1</v>
      </c>
      <c r="R782" s="6" t="s">
        <v>45</v>
      </c>
      <c r="S782" s="31" t="s">
        <v>2113</v>
      </c>
      <c r="T782" s="6">
        <v>1</v>
      </c>
      <c r="U782" s="26">
        <v>2700000</v>
      </c>
      <c r="V782" s="26">
        <v>2700000</v>
      </c>
      <c r="W782" s="26">
        <v>2700000</v>
      </c>
      <c r="X782" s="6" t="s">
        <v>2003</v>
      </c>
      <c r="Y782" s="6" t="s">
        <v>49</v>
      </c>
      <c r="Z782" s="6">
        <v>226336</v>
      </c>
    </row>
    <row r="783" spans="1:26" x14ac:dyDescent="0.3">
      <c r="A783" s="28" t="s">
        <v>42</v>
      </c>
      <c r="B783" s="6" t="s">
        <v>1328</v>
      </c>
      <c r="C783" s="6" t="s">
        <v>1975</v>
      </c>
      <c r="D783" s="6" t="s">
        <v>2291</v>
      </c>
      <c r="E783" s="6">
        <v>1</v>
      </c>
      <c r="F783" s="6" t="s">
        <v>2004</v>
      </c>
      <c r="G783" s="32" t="s">
        <v>2299</v>
      </c>
      <c r="H783" s="32" t="s">
        <v>2300</v>
      </c>
      <c r="I783" s="6" t="str">
        <f t="shared" si="28"/>
        <v>Side Breaker</v>
      </c>
      <c r="J783" s="6" t="s">
        <v>160</v>
      </c>
      <c r="K783" s="6">
        <v>1</v>
      </c>
      <c r="L783" s="6">
        <f t="shared" si="29"/>
        <v>1880000</v>
      </c>
      <c r="M783" s="6">
        <v>1600000</v>
      </c>
      <c r="N783" s="6" t="s">
        <v>2003</v>
      </c>
      <c r="O783" s="6" t="s">
        <v>1882</v>
      </c>
      <c r="P783" s="6">
        <v>2015</v>
      </c>
      <c r="Q783" s="6">
        <v>1</v>
      </c>
      <c r="R783" s="6" t="s">
        <v>45</v>
      </c>
      <c r="S783" s="31" t="s">
        <v>2119</v>
      </c>
      <c r="T783" s="6">
        <v>1</v>
      </c>
      <c r="U783" s="26">
        <v>1500000</v>
      </c>
      <c r="V783" s="26">
        <v>1500000</v>
      </c>
      <c r="W783" s="26">
        <v>1500000</v>
      </c>
      <c r="X783" s="6" t="s">
        <v>2003</v>
      </c>
      <c r="Y783" s="6" t="s">
        <v>1165</v>
      </c>
      <c r="Z783" s="6">
        <v>226337</v>
      </c>
    </row>
    <row r="784" spans="1:26" x14ac:dyDescent="0.3">
      <c r="A784" s="28" t="s">
        <v>42</v>
      </c>
      <c r="B784" s="6" t="s">
        <v>1326</v>
      </c>
      <c r="C784" s="6" t="s">
        <v>1979</v>
      </c>
      <c r="D784" s="6" t="s">
        <v>2001</v>
      </c>
      <c r="E784" s="6">
        <v>1</v>
      </c>
      <c r="F784" s="6" t="s">
        <v>2004</v>
      </c>
      <c r="G784" s="32" t="s">
        <v>2299</v>
      </c>
      <c r="H784" s="32" t="s">
        <v>2300</v>
      </c>
      <c r="I784" s="6" t="str">
        <f t="shared" si="28"/>
        <v>Thumb Grapple</v>
      </c>
      <c r="J784" s="6" t="s">
        <v>728</v>
      </c>
      <c r="K784" s="6">
        <v>1</v>
      </c>
      <c r="L784" s="6">
        <f t="shared" si="29"/>
        <v>4940000</v>
      </c>
      <c r="M784" s="6">
        <v>4200000</v>
      </c>
      <c r="N784" s="6" t="s">
        <v>2003</v>
      </c>
      <c r="O784" s="6" t="s">
        <v>54</v>
      </c>
      <c r="P784" s="6">
        <v>2014</v>
      </c>
      <c r="Q784" s="6">
        <v>1</v>
      </c>
      <c r="R784" s="6" t="s">
        <v>45</v>
      </c>
      <c r="S784" s="31" t="s">
        <v>2114</v>
      </c>
      <c r="T784" s="6">
        <v>1</v>
      </c>
      <c r="U784" s="26">
        <v>4000000</v>
      </c>
      <c r="V784" s="26">
        <v>4000000</v>
      </c>
      <c r="W784" s="26">
        <v>4000000</v>
      </c>
      <c r="X784" s="6" t="s">
        <v>2003</v>
      </c>
      <c r="Y784" s="6" t="s">
        <v>54</v>
      </c>
      <c r="Z784" s="6">
        <v>226338</v>
      </c>
    </row>
    <row r="785" spans="1:26" x14ac:dyDescent="0.3">
      <c r="A785" s="28" t="s">
        <v>42</v>
      </c>
      <c r="B785" s="6" t="s">
        <v>1326</v>
      </c>
      <c r="C785" s="6" t="s">
        <v>1973</v>
      </c>
      <c r="D785" s="6" t="s">
        <v>2291</v>
      </c>
      <c r="E785" s="6">
        <v>1</v>
      </c>
      <c r="F785" s="6" t="s">
        <v>2004</v>
      </c>
      <c r="G785" s="32" t="s">
        <v>2299</v>
      </c>
      <c r="H785" s="32" t="s">
        <v>2300</v>
      </c>
      <c r="I785" s="6" t="str">
        <f t="shared" si="28"/>
        <v>Wood Grapple</v>
      </c>
      <c r="J785" s="6" t="s">
        <v>730</v>
      </c>
      <c r="K785" s="6">
        <v>1</v>
      </c>
      <c r="L785" s="6">
        <f t="shared" si="29"/>
        <v>3880000</v>
      </c>
      <c r="M785" s="6">
        <v>3300000</v>
      </c>
      <c r="N785" s="6" t="s">
        <v>2003</v>
      </c>
      <c r="O785" s="6" t="s">
        <v>2012</v>
      </c>
      <c r="P785" s="6">
        <v>2014</v>
      </c>
      <c r="Q785" s="6">
        <v>1</v>
      </c>
      <c r="R785" s="6" t="s">
        <v>45</v>
      </c>
      <c r="S785" s="31" t="s">
        <v>2113</v>
      </c>
      <c r="T785" s="6">
        <v>1</v>
      </c>
      <c r="U785" s="26">
        <v>3100000</v>
      </c>
      <c r="V785" s="26">
        <v>3100000</v>
      </c>
      <c r="W785" s="26">
        <v>3100000</v>
      </c>
      <c r="X785" s="6" t="s">
        <v>2003</v>
      </c>
      <c r="Y785" s="6" t="s">
        <v>49</v>
      </c>
      <c r="Z785" s="6">
        <v>226340</v>
      </c>
    </row>
    <row r="786" spans="1:26" x14ac:dyDescent="0.3">
      <c r="A786" s="28" t="s">
        <v>42</v>
      </c>
      <c r="B786" s="6" t="s">
        <v>1326</v>
      </c>
      <c r="C786" s="6" t="s">
        <v>1972</v>
      </c>
      <c r="D786" s="6" t="s">
        <v>2291</v>
      </c>
      <c r="E786" s="6">
        <v>1</v>
      </c>
      <c r="F786" s="6" t="s">
        <v>2004</v>
      </c>
      <c r="G786" s="32" t="s">
        <v>2299</v>
      </c>
      <c r="H786" s="32" t="s">
        <v>2300</v>
      </c>
      <c r="I786" s="6" t="str">
        <f t="shared" si="28"/>
        <v>Stone Grapple</v>
      </c>
      <c r="J786" s="6" t="s">
        <v>470</v>
      </c>
      <c r="K786" s="6">
        <v>1</v>
      </c>
      <c r="L786" s="6">
        <f t="shared" si="29"/>
        <v>2000000</v>
      </c>
      <c r="M786" s="6">
        <v>1700000</v>
      </c>
      <c r="N786" s="6" t="s">
        <v>2003</v>
      </c>
      <c r="O786" s="6" t="s">
        <v>2033</v>
      </c>
      <c r="P786" s="6">
        <v>2010</v>
      </c>
      <c r="Q786" s="6">
        <v>5</v>
      </c>
      <c r="R786" s="6" t="s">
        <v>45</v>
      </c>
      <c r="S786" s="31" t="s">
        <v>2122</v>
      </c>
      <c r="T786" s="6">
        <v>1</v>
      </c>
      <c r="U786" s="26">
        <v>1600000</v>
      </c>
      <c r="V786" s="26">
        <v>1600000</v>
      </c>
      <c r="W786" s="26">
        <v>1600000</v>
      </c>
      <c r="X786" s="6" t="s">
        <v>2003</v>
      </c>
      <c r="Y786" s="6" t="s">
        <v>1219</v>
      </c>
      <c r="Z786" s="6">
        <v>226341</v>
      </c>
    </row>
    <row r="787" spans="1:26" x14ac:dyDescent="0.3">
      <c r="A787" s="28" t="s">
        <v>42</v>
      </c>
      <c r="B787" s="6" t="s">
        <v>1327</v>
      </c>
      <c r="C787" s="6" t="s">
        <v>1977</v>
      </c>
      <c r="D787" s="6" t="s">
        <v>2292</v>
      </c>
      <c r="E787" s="6">
        <v>1</v>
      </c>
      <c r="F787" s="6" t="s">
        <v>2004</v>
      </c>
      <c r="G787" s="32" t="s">
        <v>2299</v>
      </c>
      <c r="H787" s="32" t="s">
        <v>2300</v>
      </c>
      <c r="I787" s="6" t="str">
        <f t="shared" si="28"/>
        <v>Wide Bucket</v>
      </c>
      <c r="J787" s="6" t="s">
        <v>731</v>
      </c>
      <c r="K787" s="6">
        <v>1</v>
      </c>
      <c r="L787" s="6">
        <f t="shared" si="29"/>
        <v>1050000</v>
      </c>
      <c r="M787" s="6">
        <v>900000</v>
      </c>
      <c r="N787" s="6" t="s">
        <v>2003</v>
      </c>
      <c r="O787" s="6" t="s">
        <v>1095</v>
      </c>
      <c r="P787" s="6">
        <v>2016</v>
      </c>
      <c r="Q787" s="6">
        <v>12</v>
      </c>
      <c r="R787" s="6" t="s">
        <v>45</v>
      </c>
      <c r="S787" s="31" t="s">
        <v>2114</v>
      </c>
      <c r="T787" s="6">
        <v>1</v>
      </c>
      <c r="U787" s="26">
        <v>800000</v>
      </c>
      <c r="V787" s="26">
        <v>800000</v>
      </c>
      <c r="W787" s="26">
        <v>800000</v>
      </c>
      <c r="X787" s="6" t="s">
        <v>2003</v>
      </c>
      <c r="Y787" s="6" t="s">
        <v>1309</v>
      </c>
      <c r="Z787" s="6">
        <v>226344</v>
      </c>
    </row>
    <row r="788" spans="1:26" x14ac:dyDescent="0.3">
      <c r="A788" s="28" t="s">
        <v>42</v>
      </c>
      <c r="B788" s="6" t="s">
        <v>1326</v>
      </c>
      <c r="C788" s="6" t="s">
        <v>1972</v>
      </c>
      <c r="D788" s="6" t="s">
        <v>2291</v>
      </c>
      <c r="E788" s="6">
        <v>1</v>
      </c>
      <c r="F788" s="6" t="s">
        <v>2004</v>
      </c>
      <c r="G788" s="32" t="s">
        <v>2299</v>
      </c>
      <c r="H788" s="32" t="s">
        <v>2300</v>
      </c>
      <c r="I788" s="6" t="str">
        <f t="shared" si="28"/>
        <v>Stone Grapple</v>
      </c>
      <c r="J788" s="6" t="s">
        <v>149</v>
      </c>
      <c r="K788" s="6">
        <v>1</v>
      </c>
      <c r="L788" s="6">
        <f t="shared" si="29"/>
        <v>1880000</v>
      </c>
      <c r="M788" s="6">
        <v>1600000</v>
      </c>
      <c r="N788" s="6" t="s">
        <v>2003</v>
      </c>
      <c r="O788" s="6" t="s">
        <v>794</v>
      </c>
      <c r="P788" s="6">
        <v>2015</v>
      </c>
      <c r="Q788" s="6">
        <v>6</v>
      </c>
      <c r="R788" s="6" t="s">
        <v>45</v>
      </c>
      <c r="S788" s="31" t="s">
        <v>2122</v>
      </c>
      <c r="T788" s="6">
        <v>1</v>
      </c>
      <c r="U788" s="26">
        <v>1500000</v>
      </c>
      <c r="V788" s="26">
        <v>1500000</v>
      </c>
      <c r="W788" s="26">
        <v>1500000</v>
      </c>
      <c r="X788" s="6" t="s">
        <v>2003</v>
      </c>
      <c r="Y788" s="6" t="s">
        <v>1154</v>
      </c>
      <c r="Z788" s="6">
        <v>226345</v>
      </c>
    </row>
    <row r="789" spans="1:26" x14ac:dyDescent="0.3">
      <c r="A789" s="28" t="s">
        <v>42</v>
      </c>
      <c r="B789" s="6" t="s">
        <v>1328</v>
      </c>
      <c r="C789" s="6" t="s">
        <v>1975</v>
      </c>
      <c r="D789" s="6" t="s">
        <v>2291</v>
      </c>
      <c r="E789" s="6">
        <v>1</v>
      </c>
      <c r="F789" s="6" t="s">
        <v>2004</v>
      </c>
      <c r="G789" s="32" t="s">
        <v>2299</v>
      </c>
      <c r="H789" s="32" t="s">
        <v>2300</v>
      </c>
      <c r="I789" s="6" t="str">
        <f t="shared" si="28"/>
        <v>Side Breaker</v>
      </c>
      <c r="J789" s="6" t="s">
        <v>243</v>
      </c>
      <c r="K789" s="6">
        <v>1</v>
      </c>
      <c r="L789" s="6">
        <f t="shared" si="29"/>
        <v>1410000</v>
      </c>
      <c r="M789" s="6">
        <v>1200000</v>
      </c>
      <c r="N789" s="6" t="s">
        <v>2003</v>
      </c>
      <c r="O789" s="6" t="s">
        <v>803</v>
      </c>
      <c r="P789" s="6">
        <v>2000</v>
      </c>
      <c r="Q789" s="6">
        <v>1</v>
      </c>
      <c r="R789" s="6" t="s">
        <v>45</v>
      </c>
      <c r="S789" s="31" t="s">
        <v>2123</v>
      </c>
      <c r="T789" s="6">
        <v>1</v>
      </c>
      <c r="U789" s="26">
        <v>1100000</v>
      </c>
      <c r="V789" s="26">
        <v>1100000</v>
      </c>
      <c r="W789" s="26">
        <v>1100000</v>
      </c>
      <c r="X789" s="6" t="s">
        <v>2003</v>
      </c>
      <c r="Y789" s="6" t="s">
        <v>1181</v>
      </c>
      <c r="Z789" s="6">
        <v>226346</v>
      </c>
    </row>
    <row r="790" spans="1:26" x14ac:dyDescent="0.3">
      <c r="A790" s="28" t="s">
        <v>42</v>
      </c>
      <c r="B790" s="6" t="s">
        <v>1326</v>
      </c>
      <c r="C790" s="6" t="s">
        <v>1972</v>
      </c>
      <c r="D790" s="6" t="s">
        <v>2292</v>
      </c>
      <c r="E790" s="6">
        <v>1</v>
      </c>
      <c r="F790" s="6" t="s">
        <v>2004</v>
      </c>
      <c r="G790" s="32" t="s">
        <v>2299</v>
      </c>
      <c r="H790" s="32" t="s">
        <v>2300</v>
      </c>
      <c r="I790" s="6" t="str">
        <f t="shared" si="28"/>
        <v>Stone Grapple</v>
      </c>
      <c r="J790" s="6" t="s">
        <v>120</v>
      </c>
      <c r="K790" s="6">
        <v>1</v>
      </c>
      <c r="L790" s="6">
        <f t="shared" si="29"/>
        <v>8000000</v>
      </c>
      <c r="M790" s="6">
        <v>6800000</v>
      </c>
      <c r="N790" s="6" t="s">
        <v>2003</v>
      </c>
      <c r="O790" s="6" t="s">
        <v>1096</v>
      </c>
      <c r="P790" s="6">
        <v>2017</v>
      </c>
      <c r="Q790" s="6">
        <v>1</v>
      </c>
      <c r="R790" s="6" t="s">
        <v>45</v>
      </c>
      <c r="S790" s="31" t="s">
        <v>2122</v>
      </c>
      <c r="T790" s="6">
        <v>1</v>
      </c>
      <c r="U790" s="26">
        <v>6300000</v>
      </c>
      <c r="V790" s="26">
        <v>6300000</v>
      </c>
      <c r="W790" s="26">
        <v>6300000</v>
      </c>
      <c r="X790" s="6" t="s">
        <v>2003</v>
      </c>
      <c r="Y790" s="6" t="s">
        <v>1172</v>
      </c>
      <c r="Z790" s="6">
        <v>226351</v>
      </c>
    </row>
    <row r="791" spans="1:26" x14ac:dyDescent="0.3">
      <c r="A791" s="28" t="s">
        <v>42</v>
      </c>
      <c r="B791" s="6" t="s">
        <v>1328</v>
      </c>
      <c r="C791" s="6" t="s">
        <v>1975</v>
      </c>
      <c r="D791" s="6" t="s">
        <v>2289</v>
      </c>
      <c r="E791" s="6">
        <v>1</v>
      </c>
      <c r="F791" s="6" t="s">
        <v>2004</v>
      </c>
      <c r="G791" s="32" t="s">
        <v>2299</v>
      </c>
      <c r="H791" s="32" t="s">
        <v>2300</v>
      </c>
      <c r="I791" s="6" t="str">
        <f t="shared" si="28"/>
        <v>Side Breaker</v>
      </c>
      <c r="J791" s="6" t="s">
        <v>732</v>
      </c>
      <c r="K791" s="6">
        <v>1</v>
      </c>
      <c r="L791" s="6">
        <f t="shared" si="29"/>
        <v>20580000</v>
      </c>
      <c r="M791" s="6">
        <v>17500000</v>
      </c>
      <c r="N791" s="6" t="s">
        <v>2003</v>
      </c>
      <c r="O791" s="6" t="s">
        <v>54</v>
      </c>
      <c r="P791" s="6">
        <v>2012</v>
      </c>
      <c r="Q791" s="6">
        <v>1</v>
      </c>
      <c r="R791" s="6" t="s">
        <v>45</v>
      </c>
      <c r="S791" s="31" t="s">
        <v>2111</v>
      </c>
      <c r="T791" s="6">
        <v>1</v>
      </c>
      <c r="U791" s="26">
        <v>17000000</v>
      </c>
      <c r="V791" s="26">
        <v>17000000</v>
      </c>
      <c r="W791" s="26">
        <v>17000000</v>
      </c>
      <c r="X791" s="6" t="s">
        <v>2003</v>
      </c>
      <c r="Y791" s="6" t="s">
        <v>54</v>
      </c>
      <c r="Z791" s="6">
        <v>226353</v>
      </c>
    </row>
    <row r="792" spans="1:26" x14ac:dyDescent="0.3">
      <c r="A792" s="28" t="s">
        <v>42</v>
      </c>
      <c r="B792" s="6" t="s">
        <v>2242</v>
      </c>
      <c r="C792" s="6"/>
      <c r="D792" s="6" t="s">
        <v>2292</v>
      </c>
      <c r="E792" s="6">
        <v>1</v>
      </c>
      <c r="F792" s="6" t="s">
        <v>2004</v>
      </c>
      <c r="G792" s="32" t="s">
        <v>2299</v>
      </c>
      <c r="H792" s="32" t="s">
        <v>2300</v>
      </c>
      <c r="I792" s="6" t="str">
        <f t="shared" si="28"/>
        <v>Quick Coupler</v>
      </c>
      <c r="J792" s="6" t="s">
        <v>714</v>
      </c>
      <c r="K792" s="6">
        <v>1</v>
      </c>
      <c r="L792" s="6">
        <f t="shared" si="29"/>
        <v>4940000</v>
      </c>
      <c r="M792" s="6">
        <v>4200000</v>
      </c>
      <c r="N792" s="6" t="s">
        <v>2003</v>
      </c>
      <c r="O792" s="6" t="s">
        <v>1097</v>
      </c>
      <c r="P792" s="6">
        <v>2016</v>
      </c>
      <c r="Q792" s="6">
        <v>8</v>
      </c>
      <c r="R792" s="6" t="s">
        <v>45</v>
      </c>
      <c r="S792" s="31" t="s">
        <v>2124</v>
      </c>
      <c r="T792" s="6">
        <v>1</v>
      </c>
      <c r="U792" s="26">
        <v>4000000</v>
      </c>
      <c r="V792" s="26">
        <v>4000000</v>
      </c>
      <c r="W792" s="26">
        <v>4000000</v>
      </c>
      <c r="X792" s="6" t="s">
        <v>2003</v>
      </c>
      <c r="Y792" s="6" t="s">
        <v>1303</v>
      </c>
      <c r="Z792" s="6">
        <v>226356</v>
      </c>
    </row>
    <row r="793" spans="1:26" x14ac:dyDescent="0.3">
      <c r="A793" s="28" t="s">
        <v>42</v>
      </c>
      <c r="B793" s="6" t="s">
        <v>2245</v>
      </c>
      <c r="C793" s="6" t="s">
        <v>2246</v>
      </c>
      <c r="D793" s="6" t="s">
        <v>2292</v>
      </c>
      <c r="E793" s="6">
        <v>1</v>
      </c>
      <c r="F793" s="6" t="s">
        <v>2004</v>
      </c>
      <c r="G793" s="32" t="s">
        <v>2299</v>
      </c>
      <c r="H793" s="32" t="s">
        <v>2300</v>
      </c>
      <c r="I793" s="6" t="str">
        <f t="shared" si="28"/>
        <v>Side Breaker</v>
      </c>
      <c r="J793" s="6" t="s">
        <v>715</v>
      </c>
      <c r="K793" s="6">
        <v>1</v>
      </c>
      <c r="L793" s="6">
        <f t="shared" si="29"/>
        <v>4350000</v>
      </c>
      <c r="M793" s="6">
        <v>3700000</v>
      </c>
      <c r="N793" s="6" t="s">
        <v>2003</v>
      </c>
      <c r="O793" s="6" t="s">
        <v>801</v>
      </c>
      <c r="P793" s="6">
        <v>2013</v>
      </c>
      <c r="Q793" s="6">
        <v>1</v>
      </c>
      <c r="R793" s="6" t="s">
        <v>45</v>
      </c>
      <c r="S793" s="31" t="s">
        <v>2110</v>
      </c>
      <c r="T793" s="6">
        <v>1</v>
      </c>
      <c r="U793" s="26">
        <v>3500000</v>
      </c>
      <c r="V793" s="26">
        <v>3500000</v>
      </c>
      <c r="W793" s="26">
        <v>3500000</v>
      </c>
      <c r="X793" s="6" t="s">
        <v>2003</v>
      </c>
      <c r="Y793" s="6" t="s">
        <v>1182</v>
      </c>
      <c r="Z793" s="6">
        <v>226360</v>
      </c>
    </row>
    <row r="794" spans="1:26" x14ac:dyDescent="0.3">
      <c r="A794" s="28" t="s">
        <v>42</v>
      </c>
      <c r="B794" s="6" t="s">
        <v>1327</v>
      </c>
      <c r="C794" s="6" t="s">
        <v>1976</v>
      </c>
      <c r="D794" s="6" t="s">
        <v>2290</v>
      </c>
      <c r="E794" s="6">
        <v>1</v>
      </c>
      <c r="F794" s="6" t="s">
        <v>2004</v>
      </c>
      <c r="G794" s="32" t="s">
        <v>2299</v>
      </c>
      <c r="H794" s="32" t="s">
        <v>2300</v>
      </c>
      <c r="I794" s="6" t="str">
        <f t="shared" si="28"/>
        <v>Skeleton Bucket</v>
      </c>
      <c r="J794" s="6" t="s">
        <v>284</v>
      </c>
      <c r="K794" s="6">
        <v>1</v>
      </c>
      <c r="L794" s="6">
        <f t="shared" si="29"/>
        <v>1290000</v>
      </c>
      <c r="M794" s="6">
        <v>1100000</v>
      </c>
      <c r="N794" s="6" t="s">
        <v>2003</v>
      </c>
      <c r="O794" s="6" t="s">
        <v>789</v>
      </c>
      <c r="P794" s="6">
        <v>2008</v>
      </c>
      <c r="Q794" s="6">
        <v>1</v>
      </c>
      <c r="R794" s="6" t="s">
        <v>45</v>
      </c>
      <c r="S794" s="31" t="s">
        <v>2122</v>
      </c>
      <c r="T794" s="6">
        <v>1</v>
      </c>
      <c r="U794" s="26">
        <v>1000000</v>
      </c>
      <c r="V794" s="26">
        <v>1000000</v>
      </c>
      <c r="W794" s="26">
        <v>1000000</v>
      </c>
      <c r="X794" s="6" t="s">
        <v>2003</v>
      </c>
      <c r="Y794" s="6" t="s">
        <v>65</v>
      </c>
      <c r="Z794" s="6">
        <v>226367</v>
      </c>
    </row>
    <row r="795" spans="1:26" x14ac:dyDescent="0.3">
      <c r="A795" s="28" t="s">
        <v>42</v>
      </c>
      <c r="B795" s="6" t="s">
        <v>1325</v>
      </c>
      <c r="C795" s="19" t="s">
        <v>2156</v>
      </c>
      <c r="D795" s="6" t="s">
        <v>2290</v>
      </c>
      <c r="E795" s="6">
        <v>1</v>
      </c>
      <c r="F795" s="6" t="s">
        <v>2004</v>
      </c>
      <c r="G795" s="32" t="s">
        <v>2299</v>
      </c>
      <c r="H795" s="32" t="s">
        <v>2300</v>
      </c>
      <c r="I795" s="6" t="str">
        <f t="shared" si="28"/>
        <v>Hydraulic Crusher</v>
      </c>
      <c r="J795" s="6" t="s">
        <v>299</v>
      </c>
      <c r="K795" s="6">
        <v>1</v>
      </c>
      <c r="L795" s="6">
        <f t="shared" si="29"/>
        <v>6470000</v>
      </c>
      <c r="M795" s="6">
        <v>5500000</v>
      </c>
      <c r="N795" s="6" t="s">
        <v>2003</v>
      </c>
      <c r="O795" s="6" t="s">
        <v>1098</v>
      </c>
      <c r="P795" s="6">
        <v>2010</v>
      </c>
      <c r="Q795" s="6">
        <v>1</v>
      </c>
      <c r="R795" s="6" t="s">
        <v>45</v>
      </c>
      <c r="S795" s="31" t="s">
        <v>2123</v>
      </c>
      <c r="T795" s="6">
        <v>1</v>
      </c>
      <c r="U795" s="26">
        <v>5000000</v>
      </c>
      <c r="V795" s="26">
        <v>5000000</v>
      </c>
      <c r="W795" s="26">
        <v>5000000</v>
      </c>
      <c r="X795" s="6" t="s">
        <v>2003</v>
      </c>
      <c r="Y795" s="6" t="s">
        <v>1244</v>
      </c>
      <c r="Z795" s="6">
        <v>226372</v>
      </c>
    </row>
    <row r="796" spans="1:26" x14ac:dyDescent="0.3">
      <c r="A796" s="28" t="s">
        <v>42</v>
      </c>
      <c r="B796" s="6" t="s">
        <v>1326</v>
      </c>
      <c r="C796" s="6" t="s">
        <v>1972</v>
      </c>
      <c r="D796" s="6" t="s">
        <v>2292</v>
      </c>
      <c r="E796" s="6">
        <v>1</v>
      </c>
      <c r="F796" s="6" t="s">
        <v>2004</v>
      </c>
      <c r="G796" s="32" t="s">
        <v>2299</v>
      </c>
      <c r="H796" s="32" t="s">
        <v>2300</v>
      </c>
      <c r="I796" s="6" t="str">
        <f t="shared" si="28"/>
        <v>Stone Grapple</v>
      </c>
      <c r="J796" s="6" t="s">
        <v>340</v>
      </c>
      <c r="K796" s="6">
        <v>1</v>
      </c>
      <c r="L796" s="6">
        <f t="shared" si="29"/>
        <v>3170000</v>
      </c>
      <c r="M796" s="6">
        <v>2700000</v>
      </c>
      <c r="N796" s="6" t="s">
        <v>2003</v>
      </c>
      <c r="O796" s="6" t="s">
        <v>814</v>
      </c>
      <c r="P796" s="6">
        <v>2015</v>
      </c>
      <c r="Q796" s="6">
        <v>11</v>
      </c>
      <c r="R796" s="6" t="s">
        <v>45</v>
      </c>
      <c r="S796" s="31" t="s">
        <v>2119</v>
      </c>
      <c r="T796" s="6">
        <v>1</v>
      </c>
      <c r="U796" s="26">
        <v>2500000</v>
      </c>
      <c r="V796" s="26">
        <v>2500000</v>
      </c>
      <c r="W796" s="26">
        <v>2500000</v>
      </c>
      <c r="X796" s="6" t="s">
        <v>2003</v>
      </c>
      <c r="Y796" s="6" t="s">
        <v>1194</v>
      </c>
      <c r="Z796" s="6">
        <v>226386</v>
      </c>
    </row>
    <row r="797" spans="1:26" x14ac:dyDescent="0.3">
      <c r="A797" s="28" t="s">
        <v>42</v>
      </c>
      <c r="B797" s="6" t="s">
        <v>1326</v>
      </c>
      <c r="C797" s="6" t="s">
        <v>1979</v>
      </c>
      <c r="D797" s="6" t="s">
        <v>2292</v>
      </c>
      <c r="E797" s="6">
        <v>1</v>
      </c>
      <c r="F797" s="6" t="s">
        <v>2004</v>
      </c>
      <c r="G797" s="32" t="s">
        <v>2299</v>
      </c>
      <c r="H797" s="32" t="s">
        <v>2300</v>
      </c>
      <c r="I797" s="6" t="str">
        <f t="shared" si="28"/>
        <v>Thumb Grapple</v>
      </c>
      <c r="J797" s="6" t="s">
        <v>186</v>
      </c>
      <c r="K797" s="6">
        <v>1</v>
      </c>
      <c r="L797" s="6">
        <f t="shared" si="29"/>
        <v>940000</v>
      </c>
      <c r="M797" s="6">
        <v>800000</v>
      </c>
      <c r="N797" s="6" t="s">
        <v>2003</v>
      </c>
      <c r="O797" s="6" t="s">
        <v>823</v>
      </c>
      <c r="P797" s="6">
        <v>2013</v>
      </c>
      <c r="Q797" s="6">
        <v>1</v>
      </c>
      <c r="R797" s="6" t="s">
        <v>45</v>
      </c>
      <c r="S797" s="31" t="s">
        <v>2113</v>
      </c>
      <c r="T797" s="6">
        <v>1</v>
      </c>
      <c r="U797" s="26">
        <v>700000</v>
      </c>
      <c r="V797" s="26">
        <v>700000</v>
      </c>
      <c r="W797" s="26">
        <v>700000</v>
      </c>
      <c r="X797" s="6" t="s">
        <v>2003</v>
      </c>
      <c r="Y797" s="6" t="s">
        <v>49</v>
      </c>
      <c r="Z797" s="6">
        <v>226393</v>
      </c>
    </row>
    <row r="798" spans="1:26" x14ac:dyDescent="0.3">
      <c r="A798" s="28" t="s">
        <v>42</v>
      </c>
      <c r="B798" s="6" t="s">
        <v>1326</v>
      </c>
      <c r="C798" s="6" t="s">
        <v>1973</v>
      </c>
      <c r="D798" s="6" t="s">
        <v>2291</v>
      </c>
      <c r="E798" s="6">
        <v>1</v>
      </c>
      <c r="F798" s="6" t="s">
        <v>2004</v>
      </c>
      <c r="G798" s="32" t="s">
        <v>2299</v>
      </c>
      <c r="H798" s="32" t="s">
        <v>2300</v>
      </c>
      <c r="I798" s="6" t="str">
        <f t="shared" si="28"/>
        <v>Wood Grapple</v>
      </c>
      <c r="J798" s="6" t="s">
        <v>127</v>
      </c>
      <c r="K798" s="6">
        <v>1</v>
      </c>
      <c r="L798" s="6">
        <f t="shared" si="29"/>
        <v>2230000</v>
      </c>
      <c r="M798" s="6">
        <v>1900000</v>
      </c>
      <c r="N798" s="6" t="s">
        <v>2003</v>
      </c>
      <c r="O798" s="6" t="s">
        <v>1883</v>
      </c>
      <c r="P798" s="6">
        <v>2010</v>
      </c>
      <c r="Q798" s="6">
        <v>1</v>
      </c>
      <c r="R798" s="6" t="s">
        <v>45</v>
      </c>
      <c r="S798" s="31" t="s">
        <v>2114</v>
      </c>
      <c r="T798" s="6">
        <v>1</v>
      </c>
      <c r="U798" s="26">
        <v>1800000</v>
      </c>
      <c r="V798" s="26">
        <v>1800000</v>
      </c>
      <c r="W798" s="26">
        <v>1800000</v>
      </c>
      <c r="X798" s="6" t="s">
        <v>2003</v>
      </c>
      <c r="Y798" s="6" t="s">
        <v>830</v>
      </c>
      <c r="Z798" s="6">
        <v>226401</v>
      </c>
    </row>
    <row r="799" spans="1:26" x14ac:dyDescent="0.3">
      <c r="A799" s="28" t="s">
        <v>42</v>
      </c>
      <c r="B799" s="6" t="s">
        <v>1328</v>
      </c>
      <c r="C799" s="6" t="s">
        <v>1975</v>
      </c>
      <c r="D799" s="6" t="s">
        <v>2289</v>
      </c>
      <c r="E799" s="6">
        <v>1</v>
      </c>
      <c r="F799" s="6" t="s">
        <v>2004</v>
      </c>
      <c r="G799" s="32" t="s">
        <v>2299</v>
      </c>
      <c r="H799" s="32" t="s">
        <v>2300</v>
      </c>
      <c r="I799" s="6" t="str">
        <f t="shared" si="28"/>
        <v>Side Breaker</v>
      </c>
      <c r="J799" s="6" t="s">
        <v>733</v>
      </c>
      <c r="K799" s="6">
        <v>1</v>
      </c>
      <c r="L799" s="6">
        <f t="shared" si="29"/>
        <v>19410000</v>
      </c>
      <c r="M799" s="6">
        <v>16500000</v>
      </c>
      <c r="N799" s="6" t="s">
        <v>2003</v>
      </c>
      <c r="O799" s="6" t="s">
        <v>54</v>
      </c>
      <c r="P799" s="6">
        <v>2008</v>
      </c>
      <c r="Q799" s="6">
        <v>1</v>
      </c>
      <c r="R799" s="6" t="s">
        <v>45</v>
      </c>
      <c r="S799" s="31" t="s">
        <v>2114</v>
      </c>
      <c r="T799" s="6">
        <v>1</v>
      </c>
      <c r="U799" s="26">
        <v>16000000</v>
      </c>
      <c r="V799" s="26">
        <v>16000000</v>
      </c>
      <c r="W799" s="26">
        <v>16000000</v>
      </c>
      <c r="X799" s="6" t="s">
        <v>2003</v>
      </c>
      <c r="Y799" s="6" t="s">
        <v>54</v>
      </c>
      <c r="Z799" s="6">
        <v>226413</v>
      </c>
    </row>
    <row r="800" spans="1:26" x14ac:dyDescent="0.3">
      <c r="A800" s="28" t="s">
        <v>42</v>
      </c>
      <c r="B800" s="6" t="s">
        <v>1326</v>
      </c>
      <c r="C800" s="6" t="s">
        <v>1984</v>
      </c>
      <c r="D800" s="6" t="s">
        <v>2289</v>
      </c>
      <c r="E800" s="6">
        <v>1</v>
      </c>
      <c r="F800" s="6" t="s">
        <v>2004</v>
      </c>
      <c r="G800" s="32" t="s">
        <v>2299</v>
      </c>
      <c r="H800" s="32" t="s">
        <v>2300</v>
      </c>
      <c r="I800" s="6" t="str">
        <f t="shared" si="28"/>
        <v>Scrap Grapple</v>
      </c>
      <c r="J800" s="6" t="s">
        <v>301</v>
      </c>
      <c r="K800" s="6">
        <v>1</v>
      </c>
      <c r="L800" s="6">
        <f t="shared" si="29"/>
        <v>4350000</v>
      </c>
      <c r="M800" s="6">
        <v>3700000</v>
      </c>
      <c r="N800" s="6" t="s">
        <v>2003</v>
      </c>
      <c r="O800" s="6" t="s">
        <v>813</v>
      </c>
      <c r="P800" s="6">
        <v>2013</v>
      </c>
      <c r="Q800" s="6">
        <v>1</v>
      </c>
      <c r="R800" s="6" t="s">
        <v>45</v>
      </c>
      <c r="S800" s="31" t="s">
        <v>2113</v>
      </c>
      <c r="T800" s="6">
        <v>1</v>
      </c>
      <c r="U800" s="26">
        <v>3500000</v>
      </c>
      <c r="V800" s="26">
        <v>3500000</v>
      </c>
      <c r="W800" s="26">
        <v>3500000</v>
      </c>
      <c r="X800" s="6" t="s">
        <v>2003</v>
      </c>
      <c r="Y800" s="6" t="s">
        <v>80</v>
      </c>
      <c r="Z800" s="6">
        <v>226416</v>
      </c>
    </row>
    <row r="801" spans="1:26" x14ac:dyDescent="0.3">
      <c r="A801" s="28" t="s">
        <v>42</v>
      </c>
      <c r="B801" s="6" t="s">
        <v>1337</v>
      </c>
      <c r="C801" s="6"/>
      <c r="D801" s="6" t="s">
        <v>2289</v>
      </c>
      <c r="E801" s="6">
        <v>1</v>
      </c>
      <c r="F801" s="6" t="s">
        <v>2004</v>
      </c>
      <c r="G801" s="32" t="s">
        <v>2299</v>
      </c>
      <c r="H801" s="32" t="s">
        <v>2300</v>
      </c>
      <c r="I801" s="6" t="str">
        <f t="shared" si="28"/>
        <v>ETC</v>
      </c>
      <c r="J801" s="6" t="s">
        <v>363</v>
      </c>
      <c r="K801" s="6">
        <v>1</v>
      </c>
      <c r="L801" s="6">
        <f t="shared" si="29"/>
        <v>15880000</v>
      </c>
      <c r="M801" s="6">
        <v>13500000</v>
      </c>
      <c r="N801" s="6" t="s">
        <v>2003</v>
      </c>
      <c r="O801" s="6" t="s">
        <v>840</v>
      </c>
      <c r="P801" s="6">
        <v>2010</v>
      </c>
      <c r="Q801" s="6">
        <v>1</v>
      </c>
      <c r="R801" s="6" t="s">
        <v>45</v>
      </c>
      <c r="S801" s="31" t="s">
        <v>2117</v>
      </c>
      <c r="T801" s="6">
        <v>1</v>
      </c>
      <c r="U801" s="26">
        <v>13000000</v>
      </c>
      <c r="V801" s="26">
        <v>13000000</v>
      </c>
      <c r="W801" s="26">
        <v>13000000</v>
      </c>
      <c r="X801" s="6" t="s">
        <v>2003</v>
      </c>
      <c r="Y801" s="6" t="s">
        <v>1179</v>
      </c>
      <c r="Z801" s="6">
        <v>226417</v>
      </c>
    </row>
    <row r="802" spans="1:26" x14ac:dyDescent="0.3">
      <c r="A802" s="28" t="s">
        <v>42</v>
      </c>
      <c r="B802" s="6" t="s">
        <v>1327</v>
      </c>
      <c r="C802" s="6" t="s">
        <v>1977</v>
      </c>
      <c r="D802" s="6" t="s">
        <v>2290</v>
      </c>
      <c r="E802" s="6">
        <v>1</v>
      </c>
      <c r="F802" s="6" t="s">
        <v>2004</v>
      </c>
      <c r="G802" s="32" t="s">
        <v>2299</v>
      </c>
      <c r="H802" s="32" t="s">
        <v>2300</v>
      </c>
      <c r="I802" s="6" t="str">
        <f t="shared" si="28"/>
        <v>Wide Bucket</v>
      </c>
      <c r="J802" s="6" t="s">
        <v>275</v>
      </c>
      <c r="K802" s="6">
        <v>1</v>
      </c>
      <c r="L802" s="6">
        <f t="shared" si="29"/>
        <v>3170000</v>
      </c>
      <c r="M802" s="6">
        <v>2700000</v>
      </c>
      <c r="N802" s="6" t="s">
        <v>2003</v>
      </c>
      <c r="O802" s="6" t="s">
        <v>2011</v>
      </c>
      <c r="P802" s="6">
        <v>2012</v>
      </c>
      <c r="Q802" s="6">
        <v>6</v>
      </c>
      <c r="R802" s="6" t="s">
        <v>45</v>
      </c>
      <c r="S802" s="31" t="s">
        <v>2123</v>
      </c>
      <c r="T802" s="6">
        <v>1</v>
      </c>
      <c r="U802" s="26">
        <v>2500000</v>
      </c>
      <c r="V802" s="26">
        <v>2500000</v>
      </c>
      <c r="W802" s="26">
        <v>2500000</v>
      </c>
      <c r="X802" s="6" t="s">
        <v>2003</v>
      </c>
      <c r="Y802" s="6" t="s">
        <v>1200</v>
      </c>
      <c r="Z802" s="6">
        <v>226430</v>
      </c>
    </row>
    <row r="803" spans="1:26" x14ac:dyDescent="0.3">
      <c r="A803" s="28" t="s">
        <v>42</v>
      </c>
      <c r="B803" s="6" t="s">
        <v>1328</v>
      </c>
      <c r="C803" s="6" t="s">
        <v>1975</v>
      </c>
      <c r="D803" s="6" t="s">
        <v>2291</v>
      </c>
      <c r="E803" s="6">
        <v>1</v>
      </c>
      <c r="F803" s="6" t="s">
        <v>2004</v>
      </c>
      <c r="G803" s="32" t="s">
        <v>2299</v>
      </c>
      <c r="H803" s="32" t="s">
        <v>2300</v>
      </c>
      <c r="I803" s="6" t="str">
        <f t="shared" si="28"/>
        <v>Side Breaker</v>
      </c>
      <c r="J803" s="6" t="s">
        <v>160</v>
      </c>
      <c r="K803" s="6">
        <v>1</v>
      </c>
      <c r="L803" s="6">
        <f t="shared" si="29"/>
        <v>1880000</v>
      </c>
      <c r="M803" s="6">
        <v>1600000</v>
      </c>
      <c r="N803" s="6" t="s">
        <v>2003</v>
      </c>
      <c r="O803" s="6" t="s">
        <v>900</v>
      </c>
      <c r="P803" s="6">
        <v>2013</v>
      </c>
      <c r="Q803" s="6">
        <v>3</v>
      </c>
      <c r="R803" s="6" t="s">
        <v>45</v>
      </c>
      <c r="S803" s="31" t="s">
        <v>2122</v>
      </c>
      <c r="T803" s="6">
        <v>1</v>
      </c>
      <c r="U803" s="26">
        <v>1500000</v>
      </c>
      <c r="V803" s="26">
        <v>1500000</v>
      </c>
      <c r="W803" s="26">
        <v>1500000</v>
      </c>
      <c r="X803" s="6" t="s">
        <v>2003</v>
      </c>
      <c r="Y803" s="6" t="s">
        <v>1163</v>
      </c>
      <c r="Z803" s="6">
        <v>226431</v>
      </c>
    </row>
    <row r="804" spans="1:26" x14ac:dyDescent="0.3">
      <c r="A804" s="28" t="s">
        <v>42</v>
      </c>
      <c r="B804" s="6" t="s">
        <v>1327</v>
      </c>
      <c r="C804" s="6" t="s">
        <v>1976</v>
      </c>
      <c r="D804" s="6" t="s">
        <v>2289</v>
      </c>
      <c r="E804" s="6">
        <v>1</v>
      </c>
      <c r="F804" s="6" t="s">
        <v>2004</v>
      </c>
      <c r="G804" s="32" t="s">
        <v>2299</v>
      </c>
      <c r="H804" s="32" t="s">
        <v>2300</v>
      </c>
      <c r="I804" s="6" t="str">
        <f t="shared" si="28"/>
        <v>Skeleton Bucket</v>
      </c>
      <c r="J804" s="6" t="s">
        <v>369</v>
      </c>
      <c r="K804" s="6">
        <v>1</v>
      </c>
      <c r="L804" s="6">
        <f t="shared" si="29"/>
        <v>3170000</v>
      </c>
      <c r="M804" s="6">
        <v>2700000</v>
      </c>
      <c r="N804" s="6" t="s">
        <v>2003</v>
      </c>
      <c r="O804" s="6" t="s">
        <v>822</v>
      </c>
      <c r="P804" s="6">
        <v>2015</v>
      </c>
      <c r="Q804" s="6">
        <v>6</v>
      </c>
      <c r="R804" s="6" t="s">
        <v>45</v>
      </c>
      <c r="S804" s="31" t="s">
        <v>2123</v>
      </c>
      <c r="T804" s="6">
        <v>1</v>
      </c>
      <c r="U804" s="26">
        <v>2500000</v>
      </c>
      <c r="V804" s="26">
        <v>2500000</v>
      </c>
      <c r="W804" s="26">
        <v>2500000</v>
      </c>
      <c r="X804" s="6" t="s">
        <v>2003</v>
      </c>
      <c r="Y804" s="6" t="s">
        <v>92</v>
      </c>
      <c r="Z804" s="6">
        <v>226437</v>
      </c>
    </row>
    <row r="805" spans="1:26" x14ac:dyDescent="0.3">
      <c r="A805" s="28" t="s">
        <v>42</v>
      </c>
      <c r="B805" s="6" t="s">
        <v>1378</v>
      </c>
      <c r="C805" s="6"/>
      <c r="D805" s="6" t="s">
        <v>2001</v>
      </c>
      <c r="E805" s="6">
        <v>1</v>
      </c>
      <c r="F805" s="6" t="s">
        <v>2004</v>
      </c>
      <c r="G805" s="32" t="s">
        <v>2299</v>
      </c>
      <c r="H805" s="32" t="s">
        <v>2300</v>
      </c>
      <c r="I805" s="6" t="str">
        <f t="shared" si="28"/>
        <v>Shear&amp;Cutter</v>
      </c>
      <c r="J805" s="6" t="s">
        <v>665</v>
      </c>
      <c r="K805" s="6">
        <v>1</v>
      </c>
      <c r="L805" s="6">
        <f t="shared" si="29"/>
        <v>8820000</v>
      </c>
      <c r="M805" s="6">
        <v>7500000</v>
      </c>
      <c r="N805" s="6" t="s">
        <v>2003</v>
      </c>
      <c r="O805" s="6" t="s">
        <v>1099</v>
      </c>
      <c r="P805" s="6">
        <v>2010</v>
      </c>
      <c r="Q805" s="6">
        <v>1</v>
      </c>
      <c r="R805" s="6" t="s">
        <v>45</v>
      </c>
      <c r="S805" s="31" t="s">
        <v>2122</v>
      </c>
      <c r="T805" s="6">
        <v>1</v>
      </c>
      <c r="U805" s="26">
        <v>7000000</v>
      </c>
      <c r="V805" s="26">
        <v>7000000</v>
      </c>
      <c r="W805" s="26">
        <v>7000000</v>
      </c>
      <c r="X805" s="6" t="s">
        <v>2003</v>
      </c>
      <c r="Y805" s="6" t="s">
        <v>1227</v>
      </c>
      <c r="Z805" s="6">
        <v>226440</v>
      </c>
    </row>
    <row r="806" spans="1:26" x14ac:dyDescent="0.3">
      <c r="A806" s="28" t="s">
        <v>42</v>
      </c>
      <c r="B806" s="6" t="s">
        <v>1326</v>
      </c>
      <c r="C806" s="6" t="s">
        <v>1972</v>
      </c>
      <c r="D806" s="6" t="s">
        <v>2290</v>
      </c>
      <c r="E806" s="6">
        <v>1</v>
      </c>
      <c r="F806" s="6" t="s">
        <v>2004</v>
      </c>
      <c r="G806" s="32" t="s">
        <v>2299</v>
      </c>
      <c r="H806" s="32" t="s">
        <v>2300</v>
      </c>
      <c r="I806" s="6" t="str">
        <f t="shared" si="28"/>
        <v>Stone Grapple</v>
      </c>
      <c r="J806" s="6" t="s">
        <v>94</v>
      </c>
      <c r="K806" s="6">
        <v>1</v>
      </c>
      <c r="L806" s="6">
        <f t="shared" si="29"/>
        <v>4000000</v>
      </c>
      <c r="M806" s="6">
        <v>3400000</v>
      </c>
      <c r="N806" s="6" t="s">
        <v>2003</v>
      </c>
      <c r="O806" s="6" t="s">
        <v>813</v>
      </c>
      <c r="P806" s="6">
        <v>2013</v>
      </c>
      <c r="Q806" s="6">
        <v>1</v>
      </c>
      <c r="R806" s="6" t="s">
        <v>45</v>
      </c>
      <c r="S806" s="31" t="s">
        <v>2113</v>
      </c>
      <c r="T806" s="6">
        <v>1</v>
      </c>
      <c r="U806" s="26">
        <v>3200000</v>
      </c>
      <c r="V806" s="26">
        <v>3200000</v>
      </c>
      <c r="W806" s="26">
        <v>3200000</v>
      </c>
      <c r="X806" s="6" t="s">
        <v>2003</v>
      </c>
      <c r="Y806" s="6" t="s">
        <v>79</v>
      </c>
      <c r="Z806" s="6">
        <v>226446</v>
      </c>
    </row>
    <row r="807" spans="1:26" x14ac:dyDescent="0.3">
      <c r="A807" s="28" t="s">
        <v>42</v>
      </c>
      <c r="B807" s="6" t="s">
        <v>1327</v>
      </c>
      <c r="C807" s="19" t="s">
        <v>1982</v>
      </c>
      <c r="D807" s="6" t="s">
        <v>2292</v>
      </c>
      <c r="E807" s="6">
        <v>1</v>
      </c>
      <c r="F807" s="6" t="s">
        <v>2004</v>
      </c>
      <c r="G807" s="32" t="s">
        <v>2299</v>
      </c>
      <c r="H807" s="32" t="s">
        <v>2300</v>
      </c>
      <c r="I807" s="6" t="str">
        <f t="shared" si="28"/>
        <v>Standard Bucket</v>
      </c>
      <c r="J807" s="6" t="s">
        <v>737</v>
      </c>
      <c r="K807" s="6">
        <v>1</v>
      </c>
      <c r="L807" s="6">
        <f t="shared" si="29"/>
        <v>1170000</v>
      </c>
      <c r="M807" s="6">
        <v>1000000</v>
      </c>
      <c r="N807" s="6" t="s">
        <v>2003</v>
      </c>
      <c r="O807" s="6" t="s">
        <v>2085</v>
      </c>
      <c r="P807" s="6">
        <v>2017</v>
      </c>
      <c r="Q807" s="6">
        <v>2</v>
      </c>
      <c r="R807" s="6" t="s">
        <v>45</v>
      </c>
      <c r="S807" s="31" t="s">
        <v>2124</v>
      </c>
      <c r="T807" s="6">
        <v>1</v>
      </c>
      <c r="U807" s="26">
        <v>900000</v>
      </c>
      <c r="V807" s="26">
        <v>900000</v>
      </c>
      <c r="W807" s="26">
        <v>900000</v>
      </c>
      <c r="X807" s="6" t="s">
        <v>2003</v>
      </c>
      <c r="Y807" s="6" t="s">
        <v>1144</v>
      </c>
      <c r="Z807" s="6">
        <v>226450</v>
      </c>
    </row>
    <row r="808" spans="1:26" x14ac:dyDescent="0.3">
      <c r="A808" s="28" t="s">
        <v>42</v>
      </c>
      <c r="B808" s="6" t="s">
        <v>1328</v>
      </c>
      <c r="C808" s="6" t="s">
        <v>1975</v>
      </c>
      <c r="D808" s="6" t="s">
        <v>2291</v>
      </c>
      <c r="E808" s="6">
        <v>1</v>
      </c>
      <c r="F808" s="6" t="s">
        <v>2004</v>
      </c>
      <c r="G808" s="32" t="s">
        <v>2299</v>
      </c>
      <c r="H808" s="32" t="s">
        <v>2300</v>
      </c>
      <c r="I808" s="6" t="str">
        <f t="shared" si="28"/>
        <v>Side Breaker</v>
      </c>
      <c r="J808" s="6" t="s">
        <v>212</v>
      </c>
      <c r="K808" s="6">
        <v>1</v>
      </c>
      <c r="L808" s="6">
        <f t="shared" si="29"/>
        <v>1880000</v>
      </c>
      <c r="M808" s="6">
        <v>1600000</v>
      </c>
      <c r="N808" s="6" t="s">
        <v>2003</v>
      </c>
      <c r="O808" s="6" t="s">
        <v>794</v>
      </c>
      <c r="P808" s="6">
        <v>2015</v>
      </c>
      <c r="Q808" s="6">
        <v>1</v>
      </c>
      <c r="R808" s="6" t="s">
        <v>45</v>
      </c>
      <c r="S808" s="31" t="s">
        <v>2122</v>
      </c>
      <c r="T808" s="6">
        <v>1</v>
      </c>
      <c r="U808" s="26">
        <v>1500000</v>
      </c>
      <c r="V808" s="26">
        <v>1500000</v>
      </c>
      <c r="W808" s="26">
        <v>1500000</v>
      </c>
      <c r="X808" s="6" t="s">
        <v>2003</v>
      </c>
      <c r="Y808" s="6" t="s">
        <v>1154</v>
      </c>
      <c r="Z808" s="6">
        <v>226451</v>
      </c>
    </row>
    <row r="809" spans="1:26" x14ac:dyDescent="0.3">
      <c r="A809" s="28" t="s">
        <v>42</v>
      </c>
      <c r="B809" s="6" t="s">
        <v>1326</v>
      </c>
      <c r="C809" s="6" t="s">
        <v>1972</v>
      </c>
      <c r="D809" s="6" t="s">
        <v>2290</v>
      </c>
      <c r="E809" s="6">
        <v>1</v>
      </c>
      <c r="F809" s="6" t="s">
        <v>2004</v>
      </c>
      <c r="G809" s="32" t="s">
        <v>2299</v>
      </c>
      <c r="H809" s="32" t="s">
        <v>2300</v>
      </c>
      <c r="I809" s="6" t="str">
        <f t="shared" si="28"/>
        <v>Stone Grapple</v>
      </c>
      <c r="J809" s="6" t="s">
        <v>94</v>
      </c>
      <c r="K809" s="6">
        <v>1</v>
      </c>
      <c r="L809" s="6">
        <f t="shared" si="29"/>
        <v>3170000</v>
      </c>
      <c r="M809" s="6">
        <v>2700000</v>
      </c>
      <c r="N809" s="6" t="s">
        <v>2003</v>
      </c>
      <c r="O809" s="6" t="s">
        <v>2011</v>
      </c>
      <c r="P809" s="6">
        <v>2010</v>
      </c>
      <c r="Q809" s="6">
        <v>6</v>
      </c>
      <c r="R809" s="6" t="s">
        <v>45</v>
      </c>
      <c r="S809" s="31" t="s">
        <v>2123</v>
      </c>
      <c r="T809" s="6">
        <v>1</v>
      </c>
      <c r="U809" s="26">
        <v>2500000</v>
      </c>
      <c r="V809" s="26">
        <v>2500000</v>
      </c>
      <c r="W809" s="26">
        <v>2500000</v>
      </c>
      <c r="X809" s="6" t="s">
        <v>2003</v>
      </c>
      <c r="Y809" s="6" t="s">
        <v>1200</v>
      </c>
      <c r="Z809" s="6">
        <v>226452</v>
      </c>
    </row>
    <row r="810" spans="1:26" x14ac:dyDescent="0.3">
      <c r="A810" s="28" t="s">
        <v>42</v>
      </c>
      <c r="B810" s="6" t="s">
        <v>1327</v>
      </c>
      <c r="C810" s="6" t="s">
        <v>1976</v>
      </c>
      <c r="D810" s="6" t="s">
        <v>2290</v>
      </c>
      <c r="E810" s="6">
        <v>1</v>
      </c>
      <c r="F810" s="6" t="s">
        <v>2004</v>
      </c>
      <c r="G810" s="32" t="s">
        <v>2299</v>
      </c>
      <c r="H810" s="32" t="s">
        <v>2300</v>
      </c>
      <c r="I810" s="6" t="str">
        <f t="shared" si="28"/>
        <v>Skeleton Bucket</v>
      </c>
      <c r="J810" s="6" t="s">
        <v>402</v>
      </c>
      <c r="K810" s="6">
        <v>1</v>
      </c>
      <c r="L810" s="6">
        <f t="shared" si="29"/>
        <v>2940000</v>
      </c>
      <c r="M810" s="6">
        <v>2500000</v>
      </c>
      <c r="N810" s="6" t="s">
        <v>2003</v>
      </c>
      <c r="O810" s="6" t="s">
        <v>813</v>
      </c>
      <c r="P810" s="6">
        <v>2016</v>
      </c>
      <c r="Q810" s="6">
        <v>1</v>
      </c>
      <c r="R810" s="6" t="s">
        <v>45</v>
      </c>
      <c r="S810" s="31" t="s">
        <v>2113</v>
      </c>
      <c r="T810" s="6">
        <v>1</v>
      </c>
      <c r="U810" s="26">
        <v>2300000</v>
      </c>
      <c r="V810" s="26">
        <v>2300000</v>
      </c>
      <c r="W810" s="26">
        <v>2300000</v>
      </c>
      <c r="X810" s="6" t="s">
        <v>2003</v>
      </c>
      <c r="Y810" s="6" t="s">
        <v>80</v>
      </c>
      <c r="Z810" s="6">
        <v>226454</v>
      </c>
    </row>
    <row r="811" spans="1:26" x14ac:dyDescent="0.3">
      <c r="A811" s="28" t="s">
        <v>42</v>
      </c>
      <c r="B811" s="6" t="s">
        <v>1328</v>
      </c>
      <c r="C811" s="6" t="s">
        <v>1975</v>
      </c>
      <c r="D811" s="6" t="s">
        <v>2296</v>
      </c>
      <c r="E811" s="6">
        <v>1</v>
      </c>
      <c r="F811" s="6" t="s">
        <v>2004</v>
      </c>
      <c r="G811" s="32" t="s">
        <v>2299</v>
      </c>
      <c r="H811" s="32" t="s">
        <v>2300</v>
      </c>
      <c r="I811" s="6" t="str">
        <f t="shared" si="28"/>
        <v>Side Breaker</v>
      </c>
      <c r="J811" s="6" t="s">
        <v>329</v>
      </c>
      <c r="K811" s="6">
        <v>1</v>
      </c>
      <c r="L811" s="6">
        <f t="shared" si="29"/>
        <v>5520000</v>
      </c>
      <c r="M811" s="6">
        <v>4700000</v>
      </c>
      <c r="N811" s="6" t="s">
        <v>2003</v>
      </c>
      <c r="O811" s="6" t="s">
        <v>2086</v>
      </c>
      <c r="P811" s="6">
        <v>2004</v>
      </c>
      <c r="Q811" s="6">
        <v>1</v>
      </c>
      <c r="R811" s="6" t="s">
        <v>45</v>
      </c>
      <c r="S811" s="31" t="s">
        <v>2120</v>
      </c>
      <c r="T811" s="6">
        <v>1</v>
      </c>
      <c r="U811" s="26">
        <v>4500000</v>
      </c>
      <c r="V811" s="26">
        <v>4500000</v>
      </c>
      <c r="W811" s="26">
        <v>4500000</v>
      </c>
      <c r="X811" s="6" t="s">
        <v>2003</v>
      </c>
      <c r="Y811" s="6" t="s">
        <v>82</v>
      </c>
      <c r="Z811" s="6">
        <v>226456</v>
      </c>
    </row>
    <row r="812" spans="1:26" x14ac:dyDescent="0.3">
      <c r="A812" s="28" t="s">
        <v>42</v>
      </c>
      <c r="B812" s="6" t="s">
        <v>1326</v>
      </c>
      <c r="C812" s="6" t="s">
        <v>1972</v>
      </c>
      <c r="D812" s="6" t="s">
        <v>2292</v>
      </c>
      <c r="E812" s="6">
        <v>1</v>
      </c>
      <c r="F812" s="6" t="s">
        <v>2004</v>
      </c>
      <c r="G812" s="32" t="s">
        <v>2299</v>
      </c>
      <c r="H812" s="32" t="s">
        <v>2300</v>
      </c>
      <c r="I812" s="6" t="str">
        <f t="shared" si="28"/>
        <v>Stone Grapple</v>
      </c>
      <c r="J812" s="6" t="s">
        <v>44</v>
      </c>
      <c r="K812" s="6">
        <v>1</v>
      </c>
      <c r="L812" s="6">
        <f t="shared" si="29"/>
        <v>2940000</v>
      </c>
      <c r="M812" s="6">
        <v>2500000</v>
      </c>
      <c r="N812" s="6" t="s">
        <v>2003</v>
      </c>
      <c r="O812" s="6" t="s">
        <v>813</v>
      </c>
      <c r="P812" s="6">
        <v>2013</v>
      </c>
      <c r="Q812" s="6">
        <v>1</v>
      </c>
      <c r="R812" s="6" t="s">
        <v>45</v>
      </c>
      <c r="S812" s="31" t="s">
        <v>2113</v>
      </c>
      <c r="T812" s="6">
        <v>1</v>
      </c>
      <c r="U812" s="26">
        <v>2300000</v>
      </c>
      <c r="V812" s="26">
        <v>2300000</v>
      </c>
      <c r="W812" s="26">
        <v>2300000</v>
      </c>
      <c r="X812" s="6" t="s">
        <v>2003</v>
      </c>
      <c r="Y812" s="6" t="s">
        <v>79</v>
      </c>
      <c r="Z812" s="6">
        <v>226466</v>
      </c>
    </row>
    <row r="813" spans="1:26" x14ac:dyDescent="0.3">
      <c r="A813" s="28" t="s">
        <v>42</v>
      </c>
      <c r="B813" s="6" t="s">
        <v>1328</v>
      </c>
      <c r="C813" s="6" t="s">
        <v>1975</v>
      </c>
      <c r="D813" s="6" t="s">
        <v>2291</v>
      </c>
      <c r="E813" s="6">
        <v>1</v>
      </c>
      <c r="F813" s="6" t="s">
        <v>2004</v>
      </c>
      <c r="G813" s="32" t="s">
        <v>2299</v>
      </c>
      <c r="H813" s="32" t="s">
        <v>2300</v>
      </c>
      <c r="I813" s="6" t="str">
        <f t="shared" si="28"/>
        <v>Side Breaker</v>
      </c>
      <c r="J813" s="6" t="s">
        <v>266</v>
      </c>
      <c r="K813" s="6">
        <v>1</v>
      </c>
      <c r="L813" s="6">
        <f t="shared" si="29"/>
        <v>2820000</v>
      </c>
      <c r="M813" s="6">
        <v>2400000</v>
      </c>
      <c r="N813" s="6" t="s">
        <v>2003</v>
      </c>
      <c r="O813" s="6" t="s">
        <v>2011</v>
      </c>
      <c r="P813" s="6">
        <v>2016</v>
      </c>
      <c r="Q813" s="6">
        <v>6</v>
      </c>
      <c r="R813" s="6" t="s">
        <v>45</v>
      </c>
      <c r="S813" s="31" t="s">
        <v>2123</v>
      </c>
      <c r="T813" s="6">
        <v>1</v>
      </c>
      <c r="U813" s="26">
        <v>2200000</v>
      </c>
      <c r="V813" s="26">
        <v>2200000</v>
      </c>
      <c r="W813" s="26">
        <v>2200000</v>
      </c>
      <c r="X813" s="6" t="s">
        <v>2003</v>
      </c>
      <c r="Y813" s="6" t="s">
        <v>1200</v>
      </c>
      <c r="Z813" s="6">
        <v>226472</v>
      </c>
    </row>
    <row r="814" spans="1:26" x14ac:dyDescent="0.3">
      <c r="A814" s="28" t="s">
        <v>42</v>
      </c>
      <c r="B814" s="6" t="s">
        <v>1327</v>
      </c>
      <c r="C814" s="6" t="s">
        <v>1976</v>
      </c>
      <c r="D814" s="6" t="s">
        <v>2001</v>
      </c>
      <c r="E814" s="6">
        <v>1</v>
      </c>
      <c r="F814" s="6" t="s">
        <v>2004</v>
      </c>
      <c r="G814" s="32" t="s">
        <v>2299</v>
      </c>
      <c r="H814" s="32" t="s">
        <v>2300</v>
      </c>
      <c r="I814" s="6" t="str">
        <f t="shared" si="28"/>
        <v>Skeleton Bucket</v>
      </c>
      <c r="J814" s="6" t="s">
        <v>336</v>
      </c>
      <c r="K814" s="6">
        <v>1</v>
      </c>
      <c r="L814" s="6">
        <f t="shared" si="29"/>
        <v>2580000</v>
      </c>
      <c r="M814" s="6">
        <v>2200000</v>
      </c>
      <c r="N814" s="6" t="s">
        <v>2003</v>
      </c>
      <c r="O814" s="6" t="s">
        <v>2011</v>
      </c>
      <c r="P814" s="6">
        <v>2010</v>
      </c>
      <c r="Q814" s="6">
        <v>6</v>
      </c>
      <c r="R814" s="6" t="s">
        <v>45</v>
      </c>
      <c r="S814" s="31" t="s">
        <v>2123</v>
      </c>
      <c r="T814" s="6">
        <v>1</v>
      </c>
      <c r="U814" s="26">
        <v>2000000</v>
      </c>
      <c r="V814" s="26">
        <v>2000000</v>
      </c>
      <c r="W814" s="26">
        <v>2000000</v>
      </c>
      <c r="X814" s="6" t="s">
        <v>2003</v>
      </c>
      <c r="Y814" s="6" t="s">
        <v>1200</v>
      </c>
      <c r="Z814" s="6">
        <v>226478</v>
      </c>
    </row>
    <row r="815" spans="1:26" x14ac:dyDescent="0.3">
      <c r="A815" s="28" t="s">
        <v>42</v>
      </c>
      <c r="B815" s="6" t="s">
        <v>1327</v>
      </c>
      <c r="C815" s="6" t="s">
        <v>1976</v>
      </c>
      <c r="D815" s="6" t="s">
        <v>2292</v>
      </c>
      <c r="E815" s="6">
        <v>1</v>
      </c>
      <c r="F815" s="6" t="s">
        <v>2004</v>
      </c>
      <c r="G815" s="32" t="s">
        <v>2299</v>
      </c>
      <c r="H815" s="32" t="s">
        <v>2300</v>
      </c>
      <c r="I815" s="6" t="str">
        <f t="shared" si="28"/>
        <v>Skeleton Bucket</v>
      </c>
      <c r="J815" s="6" t="s">
        <v>118</v>
      </c>
      <c r="K815" s="6">
        <v>1</v>
      </c>
      <c r="L815" s="6">
        <f t="shared" si="29"/>
        <v>1290000</v>
      </c>
      <c r="M815" s="6">
        <v>1100000</v>
      </c>
      <c r="N815" s="6" t="s">
        <v>2003</v>
      </c>
      <c r="O815" s="6" t="s">
        <v>939</v>
      </c>
      <c r="P815" s="6">
        <v>2014</v>
      </c>
      <c r="Q815" s="6">
        <v>9</v>
      </c>
      <c r="R815" s="6" t="s">
        <v>45</v>
      </c>
      <c r="S815" s="31" t="s">
        <v>2120</v>
      </c>
      <c r="T815" s="6">
        <v>1</v>
      </c>
      <c r="U815" s="26">
        <v>1000000</v>
      </c>
      <c r="V815" s="26">
        <v>1000000</v>
      </c>
      <c r="W815" s="26">
        <v>1000000</v>
      </c>
      <c r="X815" s="6" t="s">
        <v>2003</v>
      </c>
      <c r="Y815" s="6" t="s">
        <v>939</v>
      </c>
      <c r="Z815" s="6">
        <v>226482</v>
      </c>
    </row>
    <row r="816" spans="1:26" x14ac:dyDescent="0.3">
      <c r="A816" s="28" t="s">
        <v>42</v>
      </c>
      <c r="B816" s="6" t="s">
        <v>1337</v>
      </c>
      <c r="C816" s="6"/>
      <c r="D816" s="6" t="s">
        <v>2292</v>
      </c>
      <c r="E816" s="6">
        <v>1</v>
      </c>
      <c r="F816" s="6" t="s">
        <v>2004</v>
      </c>
      <c r="G816" s="32" t="s">
        <v>2299</v>
      </c>
      <c r="H816" s="32" t="s">
        <v>2300</v>
      </c>
      <c r="I816" s="6" t="str">
        <f t="shared" si="28"/>
        <v>ETC</v>
      </c>
      <c r="J816" s="6" t="s">
        <v>2148</v>
      </c>
      <c r="K816" s="6">
        <v>1</v>
      </c>
      <c r="L816" s="6">
        <f t="shared" si="29"/>
        <v>1050000</v>
      </c>
      <c r="M816" s="6">
        <v>900000</v>
      </c>
      <c r="N816" s="6" t="s">
        <v>2003</v>
      </c>
      <c r="O816" s="6" t="s">
        <v>2087</v>
      </c>
      <c r="P816" s="6">
        <v>2011</v>
      </c>
      <c r="Q816" s="6">
        <v>1</v>
      </c>
      <c r="R816" s="6" t="s">
        <v>45</v>
      </c>
      <c r="S816" s="31" t="s">
        <v>2116</v>
      </c>
      <c r="T816" s="6">
        <v>1</v>
      </c>
      <c r="U816" s="26">
        <v>800000</v>
      </c>
      <c r="V816" s="26">
        <v>800000</v>
      </c>
      <c r="W816" s="26">
        <v>800000</v>
      </c>
      <c r="X816" s="6" t="s">
        <v>2003</v>
      </c>
      <c r="Y816" s="6" t="s">
        <v>90</v>
      </c>
      <c r="Z816" s="6">
        <v>226483</v>
      </c>
    </row>
    <row r="817" spans="1:26" x14ac:dyDescent="0.3">
      <c r="A817" s="28" t="s">
        <v>42</v>
      </c>
      <c r="B817" s="6" t="s">
        <v>2272</v>
      </c>
      <c r="C817" s="6" t="s">
        <v>2281</v>
      </c>
      <c r="D817" s="6" t="s">
        <v>2292</v>
      </c>
      <c r="E817" s="6">
        <v>1</v>
      </c>
      <c r="F817" s="6" t="s">
        <v>2004</v>
      </c>
      <c r="G817" s="32" t="s">
        <v>2299</v>
      </c>
      <c r="H817" s="32" t="s">
        <v>2300</v>
      </c>
      <c r="I817" s="6" t="str">
        <f t="shared" si="28"/>
        <v>Etc Bucket</v>
      </c>
      <c r="J817" s="6" t="s">
        <v>738</v>
      </c>
      <c r="K817" s="6">
        <v>1</v>
      </c>
      <c r="L817" s="6">
        <f t="shared" si="29"/>
        <v>3520000</v>
      </c>
      <c r="M817" s="6">
        <v>3000000</v>
      </c>
      <c r="N817" s="6" t="s">
        <v>2003</v>
      </c>
      <c r="O817" s="6" t="s">
        <v>1100</v>
      </c>
      <c r="P817" s="6">
        <v>2016</v>
      </c>
      <c r="Q817" s="6">
        <v>1</v>
      </c>
      <c r="R817" s="6" t="s">
        <v>45</v>
      </c>
      <c r="S817" s="31" t="s">
        <v>2113</v>
      </c>
      <c r="T817" s="6">
        <v>1</v>
      </c>
      <c r="U817" s="26">
        <v>2800000</v>
      </c>
      <c r="V817" s="26">
        <v>2800000</v>
      </c>
      <c r="W817" s="26">
        <v>2800000</v>
      </c>
      <c r="X817" s="6" t="s">
        <v>2003</v>
      </c>
      <c r="Y817" s="6" t="s">
        <v>1310</v>
      </c>
      <c r="Z817" s="6">
        <v>226493</v>
      </c>
    </row>
    <row r="818" spans="1:26" x14ac:dyDescent="0.3">
      <c r="A818" s="28" t="s">
        <v>42</v>
      </c>
      <c r="B818" s="6" t="s">
        <v>1327</v>
      </c>
      <c r="C818" s="6" t="s">
        <v>1976</v>
      </c>
      <c r="D818" s="6" t="s">
        <v>2291</v>
      </c>
      <c r="E818" s="6">
        <v>1</v>
      </c>
      <c r="F818" s="6" t="s">
        <v>2004</v>
      </c>
      <c r="G818" s="32" t="s">
        <v>2299</v>
      </c>
      <c r="H818" s="32" t="s">
        <v>2300</v>
      </c>
      <c r="I818" s="6" t="str">
        <f t="shared" si="28"/>
        <v>Skeleton Bucket</v>
      </c>
      <c r="J818" s="6" t="s">
        <v>557</v>
      </c>
      <c r="K818" s="6">
        <v>1</v>
      </c>
      <c r="L818" s="6">
        <f t="shared" si="29"/>
        <v>820000</v>
      </c>
      <c r="M818" s="6">
        <v>700000</v>
      </c>
      <c r="N818" s="6" t="s">
        <v>2003</v>
      </c>
      <c r="O818" s="6" t="s">
        <v>2011</v>
      </c>
      <c r="P818" s="6">
        <v>2017</v>
      </c>
      <c r="Q818" s="6">
        <v>2</v>
      </c>
      <c r="R818" s="6" t="s">
        <v>45</v>
      </c>
      <c r="S818" s="31" t="s">
        <v>2123</v>
      </c>
      <c r="T818" s="6">
        <v>1</v>
      </c>
      <c r="U818" s="26">
        <v>600000</v>
      </c>
      <c r="V818" s="26">
        <v>600000</v>
      </c>
      <c r="W818" s="26">
        <v>600000</v>
      </c>
      <c r="X818" s="6" t="s">
        <v>2003</v>
      </c>
      <c r="Y818" s="6" t="s">
        <v>1200</v>
      </c>
      <c r="Z818" s="6">
        <v>226496</v>
      </c>
    </row>
    <row r="819" spans="1:26" x14ac:dyDescent="0.3">
      <c r="A819" s="28" t="s">
        <v>42</v>
      </c>
      <c r="B819" s="6" t="s">
        <v>2272</v>
      </c>
      <c r="C819" s="6" t="s">
        <v>2271</v>
      </c>
      <c r="D819" s="6" t="s">
        <v>2291</v>
      </c>
      <c r="E819" s="6">
        <v>1</v>
      </c>
      <c r="F819" s="6" t="s">
        <v>2004</v>
      </c>
      <c r="G819" s="32" t="s">
        <v>2299</v>
      </c>
      <c r="H819" s="32" t="s">
        <v>2300</v>
      </c>
      <c r="I819" s="6" t="str">
        <f t="shared" si="28"/>
        <v>Skeleton Bucket</v>
      </c>
      <c r="J819" s="6" t="s">
        <v>739</v>
      </c>
      <c r="K819" s="6">
        <v>1</v>
      </c>
      <c r="L819" s="6">
        <f t="shared" si="29"/>
        <v>760000</v>
      </c>
      <c r="M819" s="6">
        <v>650000</v>
      </c>
      <c r="N819" s="6" t="s">
        <v>2003</v>
      </c>
      <c r="O819" s="6" t="s">
        <v>107</v>
      </c>
      <c r="P819" s="6">
        <v>2016</v>
      </c>
      <c r="Q819" s="6">
        <v>1</v>
      </c>
      <c r="R819" s="6" t="s">
        <v>45</v>
      </c>
      <c r="S819" s="31" t="s">
        <v>2120</v>
      </c>
      <c r="T819" s="6">
        <v>1</v>
      </c>
      <c r="U819" s="26">
        <v>550000</v>
      </c>
      <c r="V819" s="26">
        <v>550000</v>
      </c>
      <c r="W819" s="26">
        <v>550000</v>
      </c>
      <c r="X819" s="6" t="s">
        <v>2003</v>
      </c>
      <c r="Y819" s="6" t="s">
        <v>1294</v>
      </c>
      <c r="Z819" s="6">
        <v>226501</v>
      </c>
    </row>
    <row r="820" spans="1:26" x14ac:dyDescent="0.3">
      <c r="A820" s="28" t="s">
        <v>42</v>
      </c>
      <c r="B820" s="6" t="s">
        <v>1326</v>
      </c>
      <c r="C820" s="6" t="s">
        <v>1972</v>
      </c>
      <c r="D820" s="6" t="s">
        <v>2292</v>
      </c>
      <c r="E820" s="6">
        <v>1</v>
      </c>
      <c r="F820" s="6" t="s">
        <v>2004</v>
      </c>
      <c r="G820" s="32" t="s">
        <v>2299</v>
      </c>
      <c r="H820" s="32" t="s">
        <v>2300</v>
      </c>
      <c r="I820" s="6" t="str">
        <f t="shared" si="28"/>
        <v>Stone Grapple</v>
      </c>
      <c r="J820" s="6" t="s">
        <v>250</v>
      </c>
      <c r="K820" s="6">
        <v>1</v>
      </c>
      <c r="L820" s="6">
        <f t="shared" si="29"/>
        <v>2110000</v>
      </c>
      <c r="M820" s="6">
        <v>1800000</v>
      </c>
      <c r="N820" s="6" t="s">
        <v>2003</v>
      </c>
      <c r="O820" s="6" t="s">
        <v>2007</v>
      </c>
      <c r="P820" s="6">
        <v>2013</v>
      </c>
      <c r="Q820" s="6">
        <v>1</v>
      </c>
      <c r="R820" s="6" t="s">
        <v>45</v>
      </c>
      <c r="S820" s="31" t="s">
        <v>2113</v>
      </c>
      <c r="T820" s="6">
        <v>1</v>
      </c>
      <c r="U820" s="26">
        <v>1700000</v>
      </c>
      <c r="V820" s="26">
        <v>1700000</v>
      </c>
      <c r="W820" s="26">
        <v>1700000</v>
      </c>
      <c r="X820" s="6" t="s">
        <v>2003</v>
      </c>
      <c r="Y820" s="6" t="s">
        <v>49</v>
      </c>
      <c r="Z820" s="6">
        <v>226508</v>
      </c>
    </row>
    <row r="821" spans="1:26" x14ac:dyDescent="0.3">
      <c r="A821" s="28" t="s">
        <v>42</v>
      </c>
      <c r="B821" s="6" t="s">
        <v>1325</v>
      </c>
      <c r="C821" s="6" t="s">
        <v>2156</v>
      </c>
      <c r="D821" s="6" t="s">
        <v>2001</v>
      </c>
      <c r="E821" s="6">
        <v>1</v>
      </c>
      <c r="F821" s="6" t="s">
        <v>2004</v>
      </c>
      <c r="G821" s="32" t="s">
        <v>2299</v>
      </c>
      <c r="H821" s="32" t="s">
        <v>2300</v>
      </c>
      <c r="I821" s="6" t="str">
        <f t="shared" si="28"/>
        <v>Hydraulic Crusher</v>
      </c>
      <c r="J821" s="6" t="s">
        <v>53</v>
      </c>
      <c r="K821" s="6">
        <v>1</v>
      </c>
      <c r="L821" s="6">
        <f t="shared" si="29"/>
        <v>14700000</v>
      </c>
      <c r="M821" s="6">
        <v>12500000</v>
      </c>
      <c r="N821" s="6" t="s">
        <v>2003</v>
      </c>
      <c r="O821" s="6" t="s">
        <v>939</v>
      </c>
      <c r="P821" s="6">
        <v>2014</v>
      </c>
      <c r="Q821" s="6">
        <v>3</v>
      </c>
      <c r="R821" s="6" t="s">
        <v>45</v>
      </c>
      <c r="S821" s="31" t="s">
        <v>2120</v>
      </c>
      <c r="T821" s="6">
        <v>1</v>
      </c>
      <c r="U821" s="26">
        <v>12000000</v>
      </c>
      <c r="V821" s="26">
        <v>12000000</v>
      </c>
      <c r="W821" s="26">
        <v>12000000</v>
      </c>
      <c r="X821" s="6" t="s">
        <v>2003</v>
      </c>
      <c r="Y821" s="6" t="s">
        <v>939</v>
      </c>
      <c r="Z821" s="6">
        <v>226514</v>
      </c>
    </row>
    <row r="822" spans="1:26" x14ac:dyDescent="0.3">
      <c r="A822" s="28" t="s">
        <v>42</v>
      </c>
      <c r="B822" s="6" t="s">
        <v>1326</v>
      </c>
      <c r="C822" s="6" t="s">
        <v>1974</v>
      </c>
      <c r="D822" s="6" t="s">
        <v>2291</v>
      </c>
      <c r="E822" s="6">
        <v>1</v>
      </c>
      <c r="F822" s="6" t="s">
        <v>2004</v>
      </c>
      <c r="G822" s="32" t="s">
        <v>2299</v>
      </c>
      <c r="H822" s="32" t="s">
        <v>2300</v>
      </c>
      <c r="I822" s="6" t="str">
        <f t="shared" si="28"/>
        <v>Etc Grapple</v>
      </c>
      <c r="J822" s="6" t="s">
        <v>136</v>
      </c>
      <c r="K822" s="6">
        <v>1</v>
      </c>
      <c r="L822" s="6">
        <f t="shared" si="29"/>
        <v>2230000</v>
      </c>
      <c r="M822" s="6">
        <v>1900000</v>
      </c>
      <c r="N822" s="6" t="s">
        <v>2003</v>
      </c>
      <c r="O822" s="6" t="s">
        <v>2011</v>
      </c>
      <c r="P822" s="6">
        <v>2010</v>
      </c>
      <c r="Q822" s="6">
        <v>5</v>
      </c>
      <c r="R822" s="6" t="s">
        <v>45</v>
      </c>
      <c r="S822" s="31" t="s">
        <v>2123</v>
      </c>
      <c r="T822" s="6">
        <v>1</v>
      </c>
      <c r="U822" s="26">
        <v>1800000</v>
      </c>
      <c r="V822" s="26">
        <v>1800000</v>
      </c>
      <c r="W822" s="26">
        <v>1800000</v>
      </c>
      <c r="X822" s="6" t="s">
        <v>2003</v>
      </c>
      <c r="Y822" s="6" t="s">
        <v>1200</v>
      </c>
      <c r="Z822" s="6">
        <v>226515</v>
      </c>
    </row>
    <row r="823" spans="1:26" x14ac:dyDescent="0.3">
      <c r="A823" s="28" t="s">
        <v>42</v>
      </c>
      <c r="B823" s="6" t="s">
        <v>2172</v>
      </c>
      <c r="C823" s="6"/>
      <c r="D823" s="6" t="s">
        <v>2292</v>
      </c>
      <c r="E823" s="6">
        <v>1</v>
      </c>
      <c r="F823" s="6" t="s">
        <v>2004</v>
      </c>
      <c r="G823" s="32" t="s">
        <v>2299</v>
      </c>
      <c r="H823" s="32" t="s">
        <v>2300</v>
      </c>
      <c r="I823" s="6" t="str">
        <f t="shared" si="28"/>
        <v>Quick Coupler</v>
      </c>
      <c r="J823" s="6" t="s">
        <v>358</v>
      </c>
      <c r="K823" s="6">
        <v>1</v>
      </c>
      <c r="L823" s="6">
        <f t="shared" si="29"/>
        <v>1000000</v>
      </c>
      <c r="M823" s="6">
        <v>850000</v>
      </c>
      <c r="N823" s="6" t="s">
        <v>2003</v>
      </c>
      <c r="O823" s="6" t="s">
        <v>2007</v>
      </c>
      <c r="P823" s="6">
        <v>2014</v>
      </c>
      <c r="Q823" s="6">
        <v>1</v>
      </c>
      <c r="R823" s="6" t="s">
        <v>45</v>
      </c>
      <c r="S823" s="31" t="s">
        <v>2113</v>
      </c>
      <c r="T823" s="6">
        <v>1</v>
      </c>
      <c r="U823" s="26">
        <v>750000</v>
      </c>
      <c r="V823" s="26">
        <v>750000</v>
      </c>
      <c r="W823" s="26">
        <v>750000</v>
      </c>
      <c r="X823" s="6" t="s">
        <v>2003</v>
      </c>
      <c r="Y823" s="6" t="s">
        <v>49</v>
      </c>
      <c r="Z823" s="6">
        <v>226516</v>
      </c>
    </row>
    <row r="824" spans="1:26" x14ac:dyDescent="0.3">
      <c r="A824" s="28" t="s">
        <v>42</v>
      </c>
      <c r="B824" s="6" t="s">
        <v>2247</v>
      </c>
      <c r="C824" s="19" t="s">
        <v>2248</v>
      </c>
      <c r="D824" s="6" t="s">
        <v>2290</v>
      </c>
      <c r="E824" s="6">
        <v>1</v>
      </c>
      <c r="F824" s="6" t="s">
        <v>2004</v>
      </c>
      <c r="G824" s="32" t="s">
        <v>2299</v>
      </c>
      <c r="H824" s="32" t="s">
        <v>2300</v>
      </c>
      <c r="I824" s="6" t="str">
        <f t="shared" si="28"/>
        <v>Hydraulic Crusher</v>
      </c>
      <c r="J824" s="6" t="s">
        <v>141</v>
      </c>
      <c r="K824" s="6">
        <v>1</v>
      </c>
      <c r="L824" s="6">
        <f t="shared" si="29"/>
        <v>7050000</v>
      </c>
      <c r="M824" s="6">
        <v>6000000</v>
      </c>
      <c r="N824" s="6" t="s">
        <v>2003</v>
      </c>
      <c r="O824" s="6" t="s">
        <v>1102</v>
      </c>
      <c r="P824" s="6">
        <v>2007</v>
      </c>
      <c r="Q824" s="6">
        <v>1</v>
      </c>
      <c r="R824" s="6" t="s">
        <v>45</v>
      </c>
      <c r="S824" s="31" t="s">
        <v>2126</v>
      </c>
      <c r="T824" s="6">
        <v>1</v>
      </c>
      <c r="U824" s="26">
        <v>5500000</v>
      </c>
      <c r="V824" s="26">
        <v>5500000</v>
      </c>
      <c r="W824" s="26">
        <v>5500000</v>
      </c>
      <c r="X824" s="6" t="s">
        <v>2003</v>
      </c>
      <c r="Y824" s="6" t="s">
        <v>1203</v>
      </c>
      <c r="Z824" s="6">
        <v>226519</v>
      </c>
    </row>
    <row r="825" spans="1:26" x14ac:dyDescent="0.3">
      <c r="A825" s="28" t="s">
        <v>42</v>
      </c>
      <c r="B825" s="6" t="s">
        <v>1327</v>
      </c>
      <c r="C825" s="6" t="s">
        <v>1980</v>
      </c>
      <c r="D825" s="6" t="s">
        <v>2291</v>
      </c>
      <c r="E825" s="6">
        <v>1</v>
      </c>
      <c r="F825" s="6" t="s">
        <v>2004</v>
      </c>
      <c r="G825" s="32" t="s">
        <v>2299</v>
      </c>
      <c r="H825" s="32" t="s">
        <v>2300</v>
      </c>
      <c r="I825" s="6" t="str">
        <f t="shared" si="28"/>
        <v>Small Bucket</v>
      </c>
      <c r="J825" s="6" t="s">
        <v>740</v>
      </c>
      <c r="K825" s="6">
        <v>1</v>
      </c>
      <c r="L825" s="6">
        <f t="shared" si="29"/>
        <v>440000</v>
      </c>
      <c r="M825" s="6">
        <v>380000</v>
      </c>
      <c r="N825" s="6" t="s">
        <v>2003</v>
      </c>
      <c r="O825" s="6" t="s">
        <v>2007</v>
      </c>
      <c r="P825" s="6">
        <v>2017</v>
      </c>
      <c r="Q825" s="6">
        <v>1</v>
      </c>
      <c r="R825" s="6" t="s">
        <v>45</v>
      </c>
      <c r="S825" s="31" t="s">
        <v>2113</v>
      </c>
      <c r="T825" s="6">
        <v>1</v>
      </c>
      <c r="U825" s="26">
        <v>330000</v>
      </c>
      <c r="V825" s="26">
        <v>330000</v>
      </c>
      <c r="W825" s="26">
        <v>330000</v>
      </c>
      <c r="X825" s="6" t="s">
        <v>2003</v>
      </c>
      <c r="Y825" s="6" t="s">
        <v>49</v>
      </c>
      <c r="Z825" s="6">
        <v>226521</v>
      </c>
    </row>
    <row r="826" spans="1:26" x14ac:dyDescent="0.3">
      <c r="A826" s="28" t="s">
        <v>42</v>
      </c>
      <c r="B826" s="6" t="s">
        <v>1328</v>
      </c>
      <c r="C826" s="6" t="s">
        <v>1975</v>
      </c>
      <c r="D826" s="6" t="s">
        <v>2292</v>
      </c>
      <c r="E826" s="6">
        <v>1</v>
      </c>
      <c r="F826" s="6" t="s">
        <v>2004</v>
      </c>
      <c r="G826" s="32" t="s">
        <v>2299</v>
      </c>
      <c r="H826" s="32" t="s">
        <v>2300</v>
      </c>
      <c r="I826" s="6" t="str">
        <f t="shared" si="28"/>
        <v>Side Breaker</v>
      </c>
      <c r="J826" s="6" t="s">
        <v>392</v>
      </c>
      <c r="K826" s="6">
        <v>1</v>
      </c>
      <c r="L826" s="6">
        <f t="shared" si="29"/>
        <v>6700000</v>
      </c>
      <c r="M826" s="6">
        <v>5700000</v>
      </c>
      <c r="N826" s="6" t="s">
        <v>2003</v>
      </c>
      <c r="O826" s="6" t="s">
        <v>2012</v>
      </c>
      <c r="P826" s="6">
        <v>2016</v>
      </c>
      <c r="Q826" s="6">
        <v>1</v>
      </c>
      <c r="R826" s="6" t="s">
        <v>45</v>
      </c>
      <c r="S826" s="31" t="s">
        <v>2113</v>
      </c>
      <c r="T826" s="6">
        <v>1</v>
      </c>
      <c r="U826" s="26">
        <v>5200000</v>
      </c>
      <c r="V826" s="26">
        <v>5200000</v>
      </c>
      <c r="W826" s="26">
        <v>5200000</v>
      </c>
      <c r="X826" s="6" t="s">
        <v>2003</v>
      </c>
      <c r="Y826" s="6" t="s">
        <v>49</v>
      </c>
      <c r="Z826" s="6">
        <v>226523</v>
      </c>
    </row>
    <row r="827" spans="1:26" x14ac:dyDescent="0.3">
      <c r="A827" s="28" t="s">
        <v>42</v>
      </c>
      <c r="B827" s="6" t="s">
        <v>1327</v>
      </c>
      <c r="C827" s="6" t="s">
        <v>1982</v>
      </c>
      <c r="D827" s="6" t="s">
        <v>2291</v>
      </c>
      <c r="E827" s="6">
        <v>1</v>
      </c>
      <c r="F827" s="6" t="s">
        <v>2004</v>
      </c>
      <c r="G827" s="32" t="s">
        <v>2299</v>
      </c>
      <c r="H827" s="32" t="s">
        <v>2300</v>
      </c>
      <c r="I827" s="6" t="str">
        <f t="shared" si="28"/>
        <v>Standard Bucket</v>
      </c>
      <c r="J827" s="6" t="s">
        <v>741</v>
      </c>
      <c r="K827" s="6">
        <v>1</v>
      </c>
      <c r="L827" s="6">
        <f t="shared" si="29"/>
        <v>520000</v>
      </c>
      <c r="M827" s="6">
        <v>450000</v>
      </c>
      <c r="N827" s="6" t="s">
        <v>2003</v>
      </c>
      <c r="O827" s="6" t="s">
        <v>2007</v>
      </c>
      <c r="P827" s="6">
        <v>2017</v>
      </c>
      <c r="Q827" s="6">
        <v>1</v>
      </c>
      <c r="R827" s="6" t="s">
        <v>45</v>
      </c>
      <c r="S827" s="31" t="s">
        <v>2113</v>
      </c>
      <c r="T827" s="6">
        <v>1</v>
      </c>
      <c r="U827" s="26">
        <v>400000</v>
      </c>
      <c r="V827" s="26">
        <v>400000</v>
      </c>
      <c r="W827" s="26">
        <v>400000</v>
      </c>
      <c r="X827" s="6" t="s">
        <v>2003</v>
      </c>
      <c r="Y827" s="6" t="s">
        <v>49</v>
      </c>
      <c r="Z827" s="6">
        <v>226525</v>
      </c>
    </row>
    <row r="828" spans="1:26" x14ac:dyDescent="0.3">
      <c r="A828" s="28" t="s">
        <v>42</v>
      </c>
      <c r="B828" s="6" t="s">
        <v>1326</v>
      </c>
      <c r="C828" s="6" t="s">
        <v>1972</v>
      </c>
      <c r="D828" s="6" t="s">
        <v>2292</v>
      </c>
      <c r="E828" s="6">
        <v>1</v>
      </c>
      <c r="F828" s="6" t="s">
        <v>2004</v>
      </c>
      <c r="G828" s="32" t="s">
        <v>2299</v>
      </c>
      <c r="H828" s="32" t="s">
        <v>2300</v>
      </c>
      <c r="I828" s="6" t="str">
        <f t="shared" si="28"/>
        <v>Stone Grapple</v>
      </c>
      <c r="J828" s="6" t="s">
        <v>81</v>
      </c>
      <c r="K828" s="6">
        <v>1</v>
      </c>
      <c r="L828" s="6">
        <f t="shared" si="29"/>
        <v>3170000</v>
      </c>
      <c r="M828" s="6">
        <v>2700000</v>
      </c>
      <c r="N828" s="6" t="s">
        <v>2003</v>
      </c>
      <c r="O828" s="6" t="s">
        <v>2007</v>
      </c>
      <c r="P828" s="6">
        <v>2014</v>
      </c>
      <c r="Q828" s="6">
        <v>1</v>
      </c>
      <c r="R828" s="6" t="s">
        <v>45</v>
      </c>
      <c r="S828" s="31" t="s">
        <v>2113</v>
      </c>
      <c r="T828" s="6">
        <v>1</v>
      </c>
      <c r="U828" s="26">
        <v>2500000</v>
      </c>
      <c r="V828" s="26">
        <v>2500000</v>
      </c>
      <c r="W828" s="26">
        <v>2500000</v>
      </c>
      <c r="X828" s="6" t="s">
        <v>2003</v>
      </c>
      <c r="Y828" s="6" t="s">
        <v>49</v>
      </c>
      <c r="Z828" s="6">
        <v>226528</v>
      </c>
    </row>
    <row r="829" spans="1:26" x14ac:dyDescent="0.3">
      <c r="A829" s="28" t="s">
        <v>42</v>
      </c>
      <c r="B829" s="6" t="s">
        <v>1326</v>
      </c>
      <c r="C829" s="6" t="s">
        <v>1972</v>
      </c>
      <c r="D829" s="6" t="s">
        <v>2292</v>
      </c>
      <c r="E829" s="6">
        <v>1</v>
      </c>
      <c r="F829" s="6" t="s">
        <v>2004</v>
      </c>
      <c r="G829" s="32" t="s">
        <v>2299</v>
      </c>
      <c r="H829" s="32" t="s">
        <v>2300</v>
      </c>
      <c r="I829" s="6" t="str">
        <f t="shared" si="28"/>
        <v>Stone Grapple</v>
      </c>
      <c r="J829" s="6" t="s">
        <v>50</v>
      </c>
      <c r="K829" s="6">
        <v>1</v>
      </c>
      <c r="L829" s="6">
        <f t="shared" si="29"/>
        <v>3170000</v>
      </c>
      <c r="M829" s="6">
        <v>2700000</v>
      </c>
      <c r="N829" s="6" t="s">
        <v>2003</v>
      </c>
      <c r="O829" s="6" t="s">
        <v>811</v>
      </c>
      <c r="P829" s="6">
        <v>2014</v>
      </c>
      <c r="Q829" s="6">
        <v>1</v>
      </c>
      <c r="R829" s="6" t="s">
        <v>45</v>
      </c>
      <c r="S829" s="31" t="s">
        <v>2113</v>
      </c>
      <c r="T829" s="6">
        <v>1</v>
      </c>
      <c r="U829" s="26">
        <v>2500000</v>
      </c>
      <c r="V829" s="26">
        <v>2500000</v>
      </c>
      <c r="W829" s="26">
        <v>2500000</v>
      </c>
      <c r="X829" s="6" t="s">
        <v>2003</v>
      </c>
      <c r="Y829" s="6" t="s">
        <v>49</v>
      </c>
      <c r="Z829" s="6">
        <v>226529</v>
      </c>
    </row>
    <row r="830" spans="1:26" x14ac:dyDescent="0.3">
      <c r="A830" s="28" t="s">
        <v>42</v>
      </c>
      <c r="B830" s="6" t="s">
        <v>1326</v>
      </c>
      <c r="C830" s="6" t="s">
        <v>1972</v>
      </c>
      <c r="D830" s="6" t="s">
        <v>2292</v>
      </c>
      <c r="E830" s="6">
        <v>1</v>
      </c>
      <c r="F830" s="6" t="s">
        <v>2004</v>
      </c>
      <c r="G830" s="32" t="s">
        <v>2299</v>
      </c>
      <c r="H830" s="32" t="s">
        <v>2300</v>
      </c>
      <c r="I830" s="6" t="str">
        <f t="shared" si="28"/>
        <v>Stone Grapple</v>
      </c>
      <c r="J830" s="6" t="s">
        <v>44</v>
      </c>
      <c r="K830" s="6">
        <v>1</v>
      </c>
      <c r="L830" s="6">
        <f t="shared" si="29"/>
        <v>4350000</v>
      </c>
      <c r="M830" s="6">
        <v>3700000</v>
      </c>
      <c r="N830" s="6" t="s">
        <v>2003</v>
      </c>
      <c r="O830" s="6" t="s">
        <v>1104</v>
      </c>
      <c r="P830" s="6">
        <v>2017</v>
      </c>
      <c r="Q830" s="6">
        <v>2</v>
      </c>
      <c r="R830" s="6" t="s">
        <v>45</v>
      </c>
      <c r="S830" s="31" t="s">
        <v>2110</v>
      </c>
      <c r="T830" s="6">
        <v>1</v>
      </c>
      <c r="U830" s="26">
        <v>3500000</v>
      </c>
      <c r="V830" s="26">
        <v>3500000</v>
      </c>
      <c r="W830" s="26">
        <v>3500000</v>
      </c>
      <c r="X830" s="6" t="s">
        <v>2003</v>
      </c>
      <c r="Y830" s="6" t="s">
        <v>1193</v>
      </c>
      <c r="Z830" s="6">
        <v>226533</v>
      </c>
    </row>
    <row r="831" spans="1:26" x14ac:dyDescent="0.3">
      <c r="A831" s="28" t="s">
        <v>42</v>
      </c>
      <c r="B831" s="6" t="s">
        <v>2163</v>
      </c>
      <c r="C831" s="6"/>
      <c r="D831" s="6" t="s">
        <v>2292</v>
      </c>
      <c r="E831" s="6">
        <v>1</v>
      </c>
      <c r="F831" s="6" t="s">
        <v>2004</v>
      </c>
      <c r="G831" s="32" t="s">
        <v>2299</v>
      </c>
      <c r="H831" s="32" t="s">
        <v>2300</v>
      </c>
      <c r="I831" s="6" t="str">
        <f t="shared" si="28"/>
        <v>Lift Fork</v>
      </c>
      <c r="J831" s="6" t="s">
        <v>178</v>
      </c>
      <c r="K831" s="6">
        <v>1</v>
      </c>
      <c r="L831" s="6">
        <f t="shared" si="29"/>
        <v>1050000</v>
      </c>
      <c r="M831" s="6">
        <v>900000</v>
      </c>
      <c r="N831" s="6" t="s">
        <v>2003</v>
      </c>
      <c r="O831" s="6" t="s">
        <v>794</v>
      </c>
      <c r="P831" s="6">
        <v>2014</v>
      </c>
      <c r="Q831" s="6">
        <v>1</v>
      </c>
      <c r="R831" s="6" t="s">
        <v>45</v>
      </c>
      <c r="S831" s="31" t="s">
        <v>2122</v>
      </c>
      <c r="T831" s="6">
        <v>1</v>
      </c>
      <c r="U831" s="26">
        <v>800000</v>
      </c>
      <c r="V831" s="26">
        <v>800000</v>
      </c>
      <c r="W831" s="26">
        <v>800000</v>
      </c>
      <c r="X831" s="6" t="s">
        <v>2003</v>
      </c>
      <c r="Y831" s="6" t="s">
        <v>1154</v>
      </c>
      <c r="Z831" s="6">
        <v>226536</v>
      </c>
    </row>
    <row r="832" spans="1:26" x14ac:dyDescent="0.3">
      <c r="A832" s="28" t="s">
        <v>42</v>
      </c>
      <c r="B832" s="6" t="s">
        <v>2247</v>
      </c>
      <c r="C832" s="19" t="s">
        <v>2248</v>
      </c>
      <c r="D832" s="6" t="s">
        <v>2289</v>
      </c>
      <c r="E832" s="6">
        <v>1</v>
      </c>
      <c r="F832" s="6" t="s">
        <v>2004</v>
      </c>
      <c r="G832" s="32" t="s">
        <v>2299</v>
      </c>
      <c r="H832" s="32" t="s">
        <v>2300</v>
      </c>
      <c r="I832" s="6" t="str">
        <f t="shared" si="28"/>
        <v>Hydraulic Crusher</v>
      </c>
      <c r="J832" s="6" t="s">
        <v>743</v>
      </c>
      <c r="K832" s="6">
        <v>1</v>
      </c>
      <c r="L832" s="6">
        <f t="shared" si="29"/>
        <v>42940000</v>
      </c>
      <c r="M832" s="6">
        <v>36500000</v>
      </c>
      <c r="N832" s="6" t="s">
        <v>2003</v>
      </c>
      <c r="O832" s="6" t="s">
        <v>1105</v>
      </c>
      <c r="P832" s="6">
        <v>2015</v>
      </c>
      <c r="Q832" s="6">
        <v>1</v>
      </c>
      <c r="R832" s="6" t="s">
        <v>45</v>
      </c>
      <c r="S832" s="31" t="s">
        <v>2110</v>
      </c>
      <c r="T832" s="6">
        <v>1</v>
      </c>
      <c r="U832" s="26">
        <v>36000000</v>
      </c>
      <c r="V832" s="26">
        <v>36000000</v>
      </c>
      <c r="W832" s="26">
        <v>36000000</v>
      </c>
      <c r="X832" s="6" t="s">
        <v>2003</v>
      </c>
      <c r="Y832" s="6" t="s">
        <v>1182</v>
      </c>
      <c r="Z832" s="6">
        <v>226551</v>
      </c>
    </row>
    <row r="833" spans="1:26" x14ac:dyDescent="0.3">
      <c r="A833" s="28" t="s">
        <v>42</v>
      </c>
      <c r="B833" s="6" t="s">
        <v>1326</v>
      </c>
      <c r="C833" s="6" t="s">
        <v>1972</v>
      </c>
      <c r="D833" s="6" t="s">
        <v>2292</v>
      </c>
      <c r="E833" s="6">
        <v>1</v>
      </c>
      <c r="F833" s="6" t="s">
        <v>2004</v>
      </c>
      <c r="G833" s="32" t="s">
        <v>2299</v>
      </c>
      <c r="H833" s="32" t="s">
        <v>2300</v>
      </c>
      <c r="I833" s="6" t="str">
        <f t="shared" si="28"/>
        <v>Stone Grapple</v>
      </c>
      <c r="J833" s="6" t="s">
        <v>44</v>
      </c>
      <c r="K833" s="6">
        <v>1</v>
      </c>
      <c r="L833" s="6">
        <f t="shared" si="29"/>
        <v>3170000</v>
      </c>
      <c r="M833" s="6">
        <v>2700000</v>
      </c>
      <c r="N833" s="6" t="s">
        <v>2003</v>
      </c>
      <c r="O833" s="6" t="s">
        <v>1106</v>
      </c>
      <c r="P833" s="6">
        <v>2015</v>
      </c>
      <c r="Q833" s="6">
        <v>2</v>
      </c>
      <c r="R833" s="6" t="s">
        <v>45</v>
      </c>
      <c r="S833" s="31" t="s">
        <v>2110</v>
      </c>
      <c r="T833" s="6">
        <v>1</v>
      </c>
      <c r="U833" s="26">
        <v>2500000</v>
      </c>
      <c r="V833" s="26">
        <v>2500000</v>
      </c>
      <c r="W833" s="26">
        <v>2500000</v>
      </c>
      <c r="X833" s="6" t="s">
        <v>2003</v>
      </c>
      <c r="Y833" s="6" t="s">
        <v>1312</v>
      </c>
      <c r="Z833" s="6">
        <v>226553</v>
      </c>
    </row>
    <row r="834" spans="1:26" x14ac:dyDescent="0.3">
      <c r="A834" s="28" t="s">
        <v>42</v>
      </c>
      <c r="B834" s="6" t="s">
        <v>1337</v>
      </c>
      <c r="C834" s="6"/>
      <c r="D834" s="6" t="s">
        <v>2292</v>
      </c>
      <c r="E834" s="6">
        <v>1</v>
      </c>
      <c r="F834" s="6" t="s">
        <v>2004</v>
      </c>
      <c r="G834" s="32" t="s">
        <v>2299</v>
      </c>
      <c r="H834" s="32" t="s">
        <v>2300</v>
      </c>
      <c r="I834" s="6" t="str">
        <f t="shared" si="28"/>
        <v>ETC</v>
      </c>
      <c r="J834" s="6" t="s">
        <v>744</v>
      </c>
      <c r="K834" s="6">
        <v>1</v>
      </c>
      <c r="L834" s="6">
        <f t="shared" si="29"/>
        <v>13520000</v>
      </c>
      <c r="M834" s="6">
        <v>11500000</v>
      </c>
      <c r="N834" s="6" t="s">
        <v>2003</v>
      </c>
      <c r="O834" s="6" t="s">
        <v>1107</v>
      </c>
      <c r="P834" s="6">
        <v>2015</v>
      </c>
      <c r="Q834" s="6">
        <v>9</v>
      </c>
      <c r="R834" s="6" t="s">
        <v>45</v>
      </c>
      <c r="S834" s="31" t="s">
        <v>2122</v>
      </c>
      <c r="T834" s="6">
        <v>1</v>
      </c>
      <c r="U834" s="26">
        <v>11000000</v>
      </c>
      <c r="V834" s="26">
        <v>11000000</v>
      </c>
      <c r="W834" s="26">
        <v>11000000</v>
      </c>
      <c r="X834" s="6" t="s">
        <v>2003</v>
      </c>
      <c r="Y834" s="6" t="s">
        <v>1313</v>
      </c>
      <c r="Z834" s="6">
        <v>226555</v>
      </c>
    </row>
    <row r="835" spans="1:26" x14ac:dyDescent="0.3">
      <c r="A835" s="28" t="s">
        <v>42</v>
      </c>
      <c r="B835" s="6" t="s">
        <v>1326</v>
      </c>
      <c r="C835" s="6" t="s">
        <v>1974</v>
      </c>
      <c r="D835" s="6" t="s">
        <v>2292</v>
      </c>
      <c r="E835" s="6">
        <v>1</v>
      </c>
      <c r="F835" s="6" t="s">
        <v>2004</v>
      </c>
      <c r="G835" s="32" t="s">
        <v>2299</v>
      </c>
      <c r="H835" s="32" t="s">
        <v>2300</v>
      </c>
      <c r="I835" s="6" t="str">
        <f t="shared" si="28"/>
        <v>Etc Grapple</v>
      </c>
      <c r="J835" s="6" t="s">
        <v>125</v>
      </c>
      <c r="K835" s="6">
        <v>1</v>
      </c>
      <c r="L835" s="6">
        <f t="shared" si="29"/>
        <v>7640000</v>
      </c>
      <c r="M835" s="6">
        <v>6500000</v>
      </c>
      <c r="N835" s="6" t="s">
        <v>2003</v>
      </c>
      <c r="O835" s="6" t="s">
        <v>1108</v>
      </c>
      <c r="P835" s="6">
        <v>2016</v>
      </c>
      <c r="Q835" s="6">
        <v>3</v>
      </c>
      <c r="R835" s="6" t="s">
        <v>45</v>
      </c>
      <c r="S835" s="31" t="s">
        <v>2122</v>
      </c>
      <c r="T835" s="6">
        <v>1</v>
      </c>
      <c r="U835" s="26">
        <v>6000000</v>
      </c>
      <c r="V835" s="26">
        <v>6000000</v>
      </c>
      <c r="W835" s="26">
        <v>6000000</v>
      </c>
      <c r="X835" s="6" t="s">
        <v>2003</v>
      </c>
      <c r="Y835" s="6" t="s">
        <v>1281</v>
      </c>
      <c r="Z835" s="6">
        <v>226556</v>
      </c>
    </row>
    <row r="836" spans="1:26" x14ac:dyDescent="0.3">
      <c r="A836" s="28" t="s">
        <v>42</v>
      </c>
      <c r="B836" s="6" t="s">
        <v>1326</v>
      </c>
      <c r="C836" s="19" t="s">
        <v>2240</v>
      </c>
      <c r="D836" s="6" t="s">
        <v>2292</v>
      </c>
      <c r="E836" s="6">
        <v>1</v>
      </c>
      <c r="F836" s="6" t="s">
        <v>2004</v>
      </c>
      <c r="G836" s="32" t="s">
        <v>2299</v>
      </c>
      <c r="H836" s="32" t="s">
        <v>2300</v>
      </c>
      <c r="I836" s="6" t="str">
        <f t="shared" si="28"/>
        <v>Etc Grapple</v>
      </c>
      <c r="J836" s="6" t="s">
        <v>745</v>
      </c>
      <c r="K836" s="6">
        <v>1</v>
      </c>
      <c r="L836" s="6">
        <f t="shared" si="29"/>
        <v>5760000</v>
      </c>
      <c r="M836" s="6">
        <v>4900000</v>
      </c>
      <c r="N836" s="6" t="s">
        <v>2003</v>
      </c>
      <c r="O836" s="6" t="s">
        <v>1109</v>
      </c>
      <c r="P836" s="6">
        <v>2016</v>
      </c>
      <c r="Q836" s="6">
        <v>2</v>
      </c>
      <c r="R836" s="6" t="s">
        <v>45</v>
      </c>
      <c r="S836" s="31" t="s">
        <v>2122</v>
      </c>
      <c r="T836" s="6">
        <v>1</v>
      </c>
      <c r="U836" s="26">
        <v>4700000</v>
      </c>
      <c r="V836" s="26">
        <v>4700000</v>
      </c>
      <c r="W836" s="26">
        <v>4700000</v>
      </c>
      <c r="X836" s="6" t="s">
        <v>2003</v>
      </c>
      <c r="Y836" s="6" t="s">
        <v>1281</v>
      </c>
      <c r="Z836" s="6">
        <v>226558</v>
      </c>
    </row>
    <row r="837" spans="1:26" x14ac:dyDescent="0.3">
      <c r="A837" s="28" t="s">
        <v>42</v>
      </c>
      <c r="B837" s="6" t="s">
        <v>1326</v>
      </c>
      <c r="C837" s="6" t="s">
        <v>1972</v>
      </c>
      <c r="D837" s="6" t="s">
        <v>2292</v>
      </c>
      <c r="E837" s="6">
        <v>1</v>
      </c>
      <c r="F837" s="6" t="s">
        <v>2004</v>
      </c>
      <c r="G837" s="32" t="s">
        <v>2299</v>
      </c>
      <c r="H837" s="32" t="s">
        <v>2300</v>
      </c>
      <c r="I837" s="6" t="str">
        <f t="shared" si="28"/>
        <v>Stone Grapple</v>
      </c>
      <c r="J837" s="6" t="s">
        <v>161</v>
      </c>
      <c r="K837" s="6">
        <v>1</v>
      </c>
      <c r="L837" s="6">
        <f t="shared" si="29"/>
        <v>3170000</v>
      </c>
      <c r="M837" s="6">
        <v>2700000</v>
      </c>
      <c r="N837" s="6" t="s">
        <v>2003</v>
      </c>
      <c r="O837" s="6" t="s">
        <v>823</v>
      </c>
      <c r="P837" s="6">
        <v>2014</v>
      </c>
      <c r="Q837" s="6">
        <v>1</v>
      </c>
      <c r="R837" s="6" t="s">
        <v>45</v>
      </c>
      <c r="S837" s="31" t="s">
        <v>2113</v>
      </c>
      <c r="T837" s="6">
        <v>1</v>
      </c>
      <c r="U837" s="26">
        <v>2500000</v>
      </c>
      <c r="V837" s="26">
        <v>2500000</v>
      </c>
      <c r="W837" s="26">
        <v>2500000</v>
      </c>
      <c r="X837" s="6" t="s">
        <v>2003</v>
      </c>
      <c r="Y837" s="6" t="s">
        <v>49</v>
      </c>
      <c r="Z837" s="6">
        <v>226569</v>
      </c>
    </row>
    <row r="838" spans="1:26" x14ac:dyDescent="0.3">
      <c r="A838" s="28" t="s">
        <v>42</v>
      </c>
      <c r="B838" s="6" t="s">
        <v>2169</v>
      </c>
      <c r="C838" s="6"/>
      <c r="D838" s="6" t="s">
        <v>2291</v>
      </c>
      <c r="E838" s="6">
        <v>1</v>
      </c>
      <c r="F838" s="6" t="s">
        <v>2004</v>
      </c>
      <c r="G838" s="32" t="s">
        <v>2299</v>
      </c>
      <c r="H838" s="32" t="s">
        <v>2300</v>
      </c>
      <c r="I838" s="6" t="str">
        <f t="shared" si="28"/>
        <v>Ripper</v>
      </c>
      <c r="J838" s="6" t="s">
        <v>746</v>
      </c>
      <c r="K838" s="6">
        <v>1</v>
      </c>
      <c r="L838" s="6">
        <f t="shared" si="29"/>
        <v>580000</v>
      </c>
      <c r="M838" s="6">
        <v>500000</v>
      </c>
      <c r="N838" s="6" t="s">
        <v>2003</v>
      </c>
      <c r="O838" s="6" t="s">
        <v>51</v>
      </c>
      <c r="P838" s="6">
        <v>2017</v>
      </c>
      <c r="Q838" s="6">
        <v>1</v>
      </c>
      <c r="R838" s="6" t="s">
        <v>45</v>
      </c>
      <c r="S838" s="31" t="s">
        <v>2113</v>
      </c>
      <c r="T838" s="6">
        <v>1</v>
      </c>
      <c r="U838" s="26">
        <v>450000</v>
      </c>
      <c r="V838" s="26">
        <v>450000</v>
      </c>
      <c r="W838" s="26">
        <v>450000</v>
      </c>
      <c r="X838" s="6" t="s">
        <v>2003</v>
      </c>
      <c r="Y838" s="6" t="s">
        <v>49</v>
      </c>
      <c r="Z838" s="6">
        <v>226593</v>
      </c>
    </row>
    <row r="839" spans="1:26" x14ac:dyDescent="0.3">
      <c r="A839" s="28" t="s">
        <v>42</v>
      </c>
      <c r="B839" s="6" t="s">
        <v>2172</v>
      </c>
      <c r="C839" s="6"/>
      <c r="D839" s="6" t="s">
        <v>2291</v>
      </c>
      <c r="E839" s="6">
        <v>1</v>
      </c>
      <c r="F839" s="6" t="s">
        <v>2004</v>
      </c>
      <c r="G839" s="32" t="s">
        <v>2299</v>
      </c>
      <c r="H839" s="32" t="s">
        <v>2300</v>
      </c>
      <c r="I839" s="6" t="str">
        <f t="shared" si="28"/>
        <v>Quick Coupler</v>
      </c>
      <c r="J839" s="6" t="s">
        <v>747</v>
      </c>
      <c r="K839" s="6">
        <v>1</v>
      </c>
      <c r="L839" s="6">
        <f t="shared" si="29"/>
        <v>940000</v>
      </c>
      <c r="M839" s="6">
        <v>800000</v>
      </c>
      <c r="N839" s="6" t="s">
        <v>2003</v>
      </c>
      <c r="O839" s="6" t="s">
        <v>51</v>
      </c>
      <c r="P839" s="6">
        <v>2017</v>
      </c>
      <c r="Q839" s="6">
        <v>1</v>
      </c>
      <c r="R839" s="6" t="s">
        <v>45</v>
      </c>
      <c r="S839" s="31" t="s">
        <v>2113</v>
      </c>
      <c r="T839" s="6">
        <v>1</v>
      </c>
      <c r="U839" s="26">
        <v>700000</v>
      </c>
      <c r="V839" s="26">
        <v>700000</v>
      </c>
      <c r="W839" s="26">
        <v>700000</v>
      </c>
      <c r="X839" s="6" t="s">
        <v>2003</v>
      </c>
      <c r="Y839" s="6" t="s">
        <v>49</v>
      </c>
      <c r="Z839" s="6">
        <v>226599</v>
      </c>
    </row>
    <row r="840" spans="1:26" x14ac:dyDescent="0.3">
      <c r="A840" s="28" t="s">
        <v>42</v>
      </c>
      <c r="B840" s="6" t="s">
        <v>1328</v>
      </c>
      <c r="C840" s="6" t="s">
        <v>1975</v>
      </c>
      <c r="D840" s="6" t="s">
        <v>2001</v>
      </c>
      <c r="E840" s="6">
        <v>1</v>
      </c>
      <c r="F840" s="6" t="s">
        <v>2004</v>
      </c>
      <c r="G840" s="32" t="s">
        <v>2299</v>
      </c>
      <c r="H840" s="32" t="s">
        <v>2300</v>
      </c>
      <c r="I840" s="6" t="str">
        <f t="shared" si="28"/>
        <v>Side Breaker</v>
      </c>
      <c r="J840" s="6" t="s">
        <v>150</v>
      </c>
      <c r="K840" s="6">
        <v>1</v>
      </c>
      <c r="L840" s="6">
        <f t="shared" si="29"/>
        <v>3760000</v>
      </c>
      <c r="M840" s="6">
        <v>3200000</v>
      </c>
      <c r="N840" s="6" t="s">
        <v>2003</v>
      </c>
      <c r="O840" s="6" t="s">
        <v>939</v>
      </c>
      <c r="P840" s="6">
        <v>2015</v>
      </c>
      <c r="Q840" s="6">
        <v>2</v>
      </c>
      <c r="R840" s="6" t="s">
        <v>45</v>
      </c>
      <c r="S840" s="31" t="s">
        <v>2120</v>
      </c>
      <c r="T840" s="6">
        <v>1</v>
      </c>
      <c r="U840" s="26">
        <v>3000000</v>
      </c>
      <c r="V840" s="26">
        <v>3000000</v>
      </c>
      <c r="W840" s="26">
        <v>3000000</v>
      </c>
      <c r="X840" s="6" t="s">
        <v>2003</v>
      </c>
      <c r="Y840" s="6" t="s">
        <v>939</v>
      </c>
      <c r="Z840" s="6">
        <v>226606</v>
      </c>
    </row>
    <row r="841" spans="1:26" x14ac:dyDescent="0.3">
      <c r="A841" s="28" t="s">
        <v>42</v>
      </c>
      <c r="B841" s="6" t="s">
        <v>2163</v>
      </c>
      <c r="C841" s="6"/>
      <c r="D841" s="6" t="s">
        <v>2291</v>
      </c>
      <c r="E841" s="6">
        <v>1</v>
      </c>
      <c r="F841" s="6" t="s">
        <v>2004</v>
      </c>
      <c r="G841" s="32" t="s">
        <v>2299</v>
      </c>
      <c r="H841" s="32" t="s">
        <v>2300</v>
      </c>
      <c r="I841" s="6" t="str">
        <f t="shared" si="28"/>
        <v>Lift Fork</v>
      </c>
      <c r="J841" s="6" t="s">
        <v>749</v>
      </c>
      <c r="K841" s="6">
        <v>1</v>
      </c>
      <c r="L841" s="6">
        <f t="shared" si="29"/>
        <v>1290000</v>
      </c>
      <c r="M841" s="6">
        <v>1100000</v>
      </c>
      <c r="N841" s="6" t="s">
        <v>2003</v>
      </c>
      <c r="O841" s="6" t="s">
        <v>51</v>
      </c>
      <c r="P841" s="6">
        <v>2017</v>
      </c>
      <c r="Q841" s="6">
        <v>1</v>
      </c>
      <c r="R841" s="6" t="s">
        <v>45</v>
      </c>
      <c r="S841" s="31" t="s">
        <v>2113</v>
      </c>
      <c r="T841" s="6">
        <v>1</v>
      </c>
      <c r="U841" s="26">
        <v>1000000</v>
      </c>
      <c r="V841" s="26">
        <v>1000000</v>
      </c>
      <c r="W841" s="26">
        <v>1000000</v>
      </c>
      <c r="X841" s="6" t="s">
        <v>2003</v>
      </c>
      <c r="Y841" s="6" t="s">
        <v>49</v>
      </c>
      <c r="Z841" s="6">
        <v>226609</v>
      </c>
    </row>
    <row r="842" spans="1:26" x14ac:dyDescent="0.3">
      <c r="A842" s="28" t="s">
        <v>42</v>
      </c>
      <c r="B842" s="6" t="s">
        <v>1328</v>
      </c>
      <c r="C842" s="6" t="s">
        <v>1975</v>
      </c>
      <c r="D842" s="6" t="s">
        <v>2291</v>
      </c>
      <c r="E842" s="6">
        <v>1</v>
      </c>
      <c r="F842" s="6" t="s">
        <v>2004</v>
      </c>
      <c r="G842" s="32" t="s">
        <v>2299</v>
      </c>
      <c r="H842" s="32" t="s">
        <v>2300</v>
      </c>
      <c r="I842" s="6" t="str">
        <f t="shared" si="28"/>
        <v>Side Breaker</v>
      </c>
      <c r="J842" s="6" t="s">
        <v>248</v>
      </c>
      <c r="K842" s="6">
        <v>1</v>
      </c>
      <c r="L842" s="6">
        <f t="shared" si="29"/>
        <v>2700000</v>
      </c>
      <c r="M842" s="6">
        <v>2300000</v>
      </c>
      <c r="N842" s="6" t="s">
        <v>2003</v>
      </c>
      <c r="O842" s="6" t="s">
        <v>2088</v>
      </c>
      <c r="P842" s="6">
        <v>2016</v>
      </c>
      <c r="Q842" s="6">
        <v>6</v>
      </c>
      <c r="R842" s="6" t="s">
        <v>45</v>
      </c>
      <c r="S842" s="31" t="s">
        <v>2123</v>
      </c>
      <c r="T842" s="6">
        <v>1</v>
      </c>
      <c r="U842" s="26">
        <v>2100000</v>
      </c>
      <c r="V842" s="26">
        <v>2100000</v>
      </c>
      <c r="W842" s="26">
        <v>2100000</v>
      </c>
      <c r="X842" s="6" t="s">
        <v>2003</v>
      </c>
      <c r="Y842" s="6" t="s">
        <v>1178</v>
      </c>
      <c r="Z842" s="6">
        <v>226615</v>
      </c>
    </row>
    <row r="843" spans="1:26" x14ac:dyDescent="0.3">
      <c r="A843" s="28" t="s">
        <v>42</v>
      </c>
      <c r="B843" s="6" t="s">
        <v>1328</v>
      </c>
      <c r="C843" s="6" t="s">
        <v>1975</v>
      </c>
      <c r="D843" s="6" t="s">
        <v>2293</v>
      </c>
      <c r="E843" s="6">
        <v>1</v>
      </c>
      <c r="F843" s="6" t="s">
        <v>2004</v>
      </c>
      <c r="G843" s="32" t="s">
        <v>2299</v>
      </c>
      <c r="H843" s="32" t="s">
        <v>2300</v>
      </c>
      <c r="I843" s="6" t="str">
        <f t="shared" ref="I843:I906" si="30">IF(ISBLANK(C843),B843,C843)</f>
        <v>Side Breaker</v>
      </c>
      <c r="J843" s="6" t="s">
        <v>721</v>
      </c>
      <c r="K843" s="6">
        <v>1</v>
      </c>
      <c r="L843" s="6">
        <f t="shared" ref="L843:L906" si="31">FLOOR(((M843*100)/85)/10000, 1)*10000</f>
        <v>2230000</v>
      </c>
      <c r="M843" s="6">
        <v>1900000</v>
      </c>
      <c r="N843" s="6" t="s">
        <v>2003</v>
      </c>
      <c r="O843" s="6" t="s">
        <v>837</v>
      </c>
      <c r="P843" s="6">
        <v>2015</v>
      </c>
      <c r="Q843" s="6">
        <v>1</v>
      </c>
      <c r="R843" s="6" t="s">
        <v>45</v>
      </c>
      <c r="S843" s="31" t="s">
        <v>2113</v>
      </c>
      <c r="T843" s="6">
        <v>1</v>
      </c>
      <c r="U843" s="26">
        <v>1800000</v>
      </c>
      <c r="V843" s="26">
        <v>1800000</v>
      </c>
      <c r="W843" s="26">
        <v>1800000</v>
      </c>
      <c r="X843" s="6" t="s">
        <v>2003</v>
      </c>
      <c r="Y843" s="6" t="s">
        <v>71</v>
      </c>
      <c r="Z843" s="6">
        <v>226617</v>
      </c>
    </row>
    <row r="844" spans="1:26" x14ac:dyDescent="0.3">
      <c r="A844" s="28" t="s">
        <v>42</v>
      </c>
      <c r="B844" s="6" t="s">
        <v>1326</v>
      </c>
      <c r="C844" s="6" t="s">
        <v>1972</v>
      </c>
      <c r="D844" s="6" t="s">
        <v>2292</v>
      </c>
      <c r="E844" s="6">
        <v>1</v>
      </c>
      <c r="F844" s="6" t="s">
        <v>2004</v>
      </c>
      <c r="G844" s="32" t="s">
        <v>2299</v>
      </c>
      <c r="H844" s="32" t="s">
        <v>2300</v>
      </c>
      <c r="I844" s="6" t="str">
        <f t="shared" si="30"/>
        <v>Stone Grapple</v>
      </c>
      <c r="J844" s="6" t="s">
        <v>750</v>
      </c>
      <c r="K844" s="6">
        <v>1</v>
      </c>
      <c r="L844" s="6">
        <f t="shared" si="31"/>
        <v>2110000</v>
      </c>
      <c r="M844" s="6">
        <v>1800000</v>
      </c>
      <c r="N844" s="6" t="s">
        <v>2003</v>
      </c>
      <c r="O844" s="6" t="s">
        <v>2007</v>
      </c>
      <c r="P844" s="6">
        <v>2012</v>
      </c>
      <c r="Q844" s="6">
        <v>1</v>
      </c>
      <c r="R844" s="6" t="s">
        <v>45</v>
      </c>
      <c r="S844" s="31" t="s">
        <v>2113</v>
      </c>
      <c r="T844" s="6">
        <v>1</v>
      </c>
      <c r="U844" s="26">
        <v>1700000</v>
      </c>
      <c r="V844" s="26">
        <v>1700000</v>
      </c>
      <c r="W844" s="26">
        <v>1700000</v>
      </c>
      <c r="X844" s="6" t="s">
        <v>2003</v>
      </c>
      <c r="Y844" s="6" t="s">
        <v>49</v>
      </c>
      <c r="Z844" s="6">
        <v>226621</v>
      </c>
    </row>
    <row r="845" spans="1:26" x14ac:dyDescent="0.3">
      <c r="A845" s="28" t="s">
        <v>42</v>
      </c>
      <c r="B845" s="6" t="s">
        <v>1326</v>
      </c>
      <c r="C845" s="6" t="s">
        <v>1972</v>
      </c>
      <c r="D845" s="6" t="s">
        <v>2291</v>
      </c>
      <c r="E845" s="6">
        <v>1</v>
      </c>
      <c r="F845" s="6" t="s">
        <v>2004</v>
      </c>
      <c r="G845" s="32" t="s">
        <v>2299</v>
      </c>
      <c r="H845" s="32" t="s">
        <v>2300</v>
      </c>
      <c r="I845" s="6" t="str">
        <f t="shared" si="30"/>
        <v>Stone Grapple</v>
      </c>
      <c r="J845" s="6" t="s">
        <v>470</v>
      </c>
      <c r="K845" s="6">
        <v>1</v>
      </c>
      <c r="L845" s="6">
        <f t="shared" si="31"/>
        <v>2000000</v>
      </c>
      <c r="M845" s="6">
        <v>1700000</v>
      </c>
      <c r="N845" s="6" t="s">
        <v>2003</v>
      </c>
      <c r="O845" s="6" t="s">
        <v>2033</v>
      </c>
      <c r="P845" s="6">
        <v>2010</v>
      </c>
      <c r="Q845" s="6">
        <v>5</v>
      </c>
      <c r="R845" s="6" t="s">
        <v>45</v>
      </c>
      <c r="S845" s="31" t="s">
        <v>2122</v>
      </c>
      <c r="T845" s="6">
        <v>1</v>
      </c>
      <c r="U845" s="26">
        <v>1600000</v>
      </c>
      <c r="V845" s="26">
        <v>1600000</v>
      </c>
      <c r="W845" s="26">
        <v>1600000</v>
      </c>
      <c r="X845" s="6" t="s">
        <v>2003</v>
      </c>
      <c r="Y845" s="6" t="s">
        <v>1219</v>
      </c>
      <c r="Z845" s="6">
        <v>226626</v>
      </c>
    </row>
    <row r="846" spans="1:26" x14ac:dyDescent="0.3">
      <c r="A846" s="28" t="s">
        <v>42</v>
      </c>
      <c r="B846" s="6" t="s">
        <v>1328</v>
      </c>
      <c r="C846" s="6" t="s">
        <v>1975</v>
      </c>
      <c r="D846" s="6" t="s">
        <v>2290</v>
      </c>
      <c r="E846" s="6">
        <v>1</v>
      </c>
      <c r="F846" s="6" t="s">
        <v>2004</v>
      </c>
      <c r="G846" s="32" t="s">
        <v>2299</v>
      </c>
      <c r="H846" s="32" t="s">
        <v>2300</v>
      </c>
      <c r="I846" s="6" t="str">
        <f t="shared" si="30"/>
        <v>Side Breaker</v>
      </c>
      <c r="J846" s="6" t="s">
        <v>235</v>
      </c>
      <c r="K846" s="6">
        <v>1</v>
      </c>
      <c r="L846" s="6">
        <f t="shared" si="31"/>
        <v>4000000</v>
      </c>
      <c r="M846" s="6">
        <v>3400000</v>
      </c>
      <c r="N846" s="6" t="s">
        <v>2003</v>
      </c>
      <c r="O846" s="6" t="s">
        <v>51</v>
      </c>
      <c r="P846" s="6">
        <v>2010</v>
      </c>
      <c r="Q846" s="6">
        <v>1</v>
      </c>
      <c r="R846" s="6" t="s">
        <v>45</v>
      </c>
      <c r="S846" s="31" t="s">
        <v>2113</v>
      </c>
      <c r="T846" s="6">
        <v>1</v>
      </c>
      <c r="U846" s="26">
        <v>3200000</v>
      </c>
      <c r="V846" s="26">
        <v>3200000</v>
      </c>
      <c r="W846" s="26">
        <v>3200000</v>
      </c>
      <c r="X846" s="6" t="s">
        <v>2003</v>
      </c>
      <c r="Y846" s="6" t="s">
        <v>49</v>
      </c>
      <c r="Z846" s="6">
        <v>226630</v>
      </c>
    </row>
    <row r="847" spans="1:26" x14ac:dyDescent="0.3">
      <c r="A847" s="28" t="s">
        <v>42</v>
      </c>
      <c r="B847" s="6" t="s">
        <v>1326</v>
      </c>
      <c r="C847" s="6" t="s">
        <v>1972</v>
      </c>
      <c r="D847" s="6" t="s">
        <v>2292</v>
      </c>
      <c r="E847" s="6">
        <v>1</v>
      </c>
      <c r="F847" s="6" t="s">
        <v>2004</v>
      </c>
      <c r="G847" s="32" t="s">
        <v>2299</v>
      </c>
      <c r="H847" s="32" t="s">
        <v>2300</v>
      </c>
      <c r="I847" s="6" t="str">
        <f t="shared" si="30"/>
        <v>Stone Grapple</v>
      </c>
      <c r="J847" s="6" t="s">
        <v>128</v>
      </c>
      <c r="K847" s="6">
        <v>1</v>
      </c>
      <c r="L847" s="6">
        <f t="shared" si="31"/>
        <v>3050000</v>
      </c>
      <c r="M847" s="6">
        <v>2600000</v>
      </c>
      <c r="N847" s="6" t="s">
        <v>2003</v>
      </c>
      <c r="O847" s="6" t="s">
        <v>2007</v>
      </c>
      <c r="P847" s="6">
        <v>2014</v>
      </c>
      <c r="Q847" s="6">
        <v>1</v>
      </c>
      <c r="R847" s="6" t="s">
        <v>45</v>
      </c>
      <c r="S847" s="31" t="s">
        <v>2113</v>
      </c>
      <c r="T847" s="6">
        <v>1</v>
      </c>
      <c r="U847" s="26">
        <v>2400000</v>
      </c>
      <c r="V847" s="26">
        <v>2400000</v>
      </c>
      <c r="W847" s="26">
        <v>2400000</v>
      </c>
      <c r="X847" s="6" t="s">
        <v>2003</v>
      </c>
      <c r="Y847" s="6" t="s">
        <v>49</v>
      </c>
      <c r="Z847" s="6">
        <v>226633</v>
      </c>
    </row>
    <row r="848" spans="1:26" x14ac:dyDescent="0.3">
      <c r="A848" s="28" t="s">
        <v>42</v>
      </c>
      <c r="B848" s="6" t="s">
        <v>2245</v>
      </c>
      <c r="C848" s="19" t="s">
        <v>2246</v>
      </c>
      <c r="D848" s="6" t="s">
        <v>2289</v>
      </c>
      <c r="E848" s="6">
        <v>1</v>
      </c>
      <c r="F848" s="6" t="s">
        <v>2004</v>
      </c>
      <c r="G848" s="32" t="s">
        <v>2299</v>
      </c>
      <c r="H848" s="32" t="s">
        <v>2300</v>
      </c>
      <c r="I848" s="6" t="str">
        <f t="shared" si="30"/>
        <v>Side Breaker</v>
      </c>
      <c r="J848" s="6" t="s">
        <v>126</v>
      </c>
      <c r="K848" s="6">
        <v>1</v>
      </c>
      <c r="L848" s="6">
        <f t="shared" si="31"/>
        <v>13520000</v>
      </c>
      <c r="M848" s="6">
        <v>11500000</v>
      </c>
      <c r="N848" s="6" t="s">
        <v>2003</v>
      </c>
      <c r="O848" s="6" t="s">
        <v>1111</v>
      </c>
      <c r="P848" s="6">
        <v>2014</v>
      </c>
      <c r="Q848" s="6">
        <v>3</v>
      </c>
      <c r="R848" s="6" t="s">
        <v>45</v>
      </c>
      <c r="S848" s="31" t="s">
        <v>2111</v>
      </c>
      <c r="T848" s="6">
        <v>1</v>
      </c>
      <c r="U848" s="26">
        <v>11000000</v>
      </c>
      <c r="V848" s="26">
        <v>11000000</v>
      </c>
      <c r="W848" s="26">
        <v>11000000</v>
      </c>
      <c r="X848" s="6" t="s">
        <v>2003</v>
      </c>
      <c r="Y848" s="6" t="s">
        <v>55</v>
      </c>
      <c r="Z848" s="6">
        <v>226636</v>
      </c>
    </row>
    <row r="849" spans="1:26" x14ac:dyDescent="0.3">
      <c r="A849" s="28" t="s">
        <v>42</v>
      </c>
      <c r="B849" s="6" t="s">
        <v>1326</v>
      </c>
      <c r="C849" s="6" t="s">
        <v>1986</v>
      </c>
      <c r="D849" s="6" t="s">
        <v>2290</v>
      </c>
      <c r="E849" s="6">
        <v>1</v>
      </c>
      <c r="F849" s="6" t="s">
        <v>2004</v>
      </c>
      <c r="G849" s="32" t="s">
        <v>2299</v>
      </c>
      <c r="H849" s="32" t="s">
        <v>2300</v>
      </c>
      <c r="I849" s="6" t="str">
        <f t="shared" si="30"/>
        <v>ClamShell Grapple</v>
      </c>
      <c r="J849" s="6" t="s">
        <v>720</v>
      </c>
      <c r="K849" s="6">
        <v>1</v>
      </c>
      <c r="L849" s="6">
        <f t="shared" si="31"/>
        <v>3760000</v>
      </c>
      <c r="M849" s="6">
        <v>3200000</v>
      </c>
      <c r="N849" s="6" t="s">
        <v>2003</v>
      </c>
      <c r="O849" s="6" t="s">
        <v>813</v>
      </c>
      <c r="P849" s="6">
        <v>2013</v>
      </c>
      <c r="Q849" s="6">
        <v>1</v>
      </c>
      <c r="R849" s="6" t="s">
        <v>45</v>
      </c>
      <c r="S849" s="31" t="s">
        <v>2113</v>
      </c>
      <c r="T849" s="6">
        <v>1</v>
      </c>
      <c r="U849" s="26">
        <v>3000000</v>
      </c>
      <c r="V849" s="26">
        <v>3000000</v>
      </c>
      <c r="W849" s="26">
        <v>3000000</v>
      </c>
      <c r="X849" s="6" t="s">
        <v>2003</v>
      </c>
      <c r="Y849" s="6" t="s">
        <v>79</v>
      </c>
      <c r="Z849" s="6">
        <v>226637</v>
      </c>
    </row>
    <row r="850" spans="1:26" x14ac:dyDescent="0.3">
      <c r="A850" s="28" t="s">
        <v>42</v>
      </c>
      <c r="B850" s="6" t="s">
        <v>1326</v>
      </c>
      <c r="C850" s="6" t="s">
        <v>1972</v>
      </c>
      <c r="D850" s="6" t="s">
        <v>2001</v>
      </c>
      <c r="E850" s="6">
        <v>1</v>
      </c>
      <c r="F850" s="6" t="s">
        <v>2004</v>
      </c>
      <c r="G850" s="32" t="s">
        <v>2299</v>
      </c>
      <c r="H850" s="32" t="s">
        <v>2300</v>
      </c>
      <c r="I850" s="6" t="str">
        <f t="shared" si="30"/>
        <v>Stone Grapple</v>
      </c>
      <c r="J850" s="6" t="s">
        <v>174</v>
      </c>
      <c r="K850" s="6">
        <v>1</v>
      </c>
      <c r="L850" s="6">
        <f t="shared" si="31"/>
        <v>8820000</v>
      </c>
      <c r="M850" s="6">
        <v>7500000</v>
      </c>
      <c r="N850" s="6" t="s">
        <v>2003</v>
      </c>
      <c r="O850" s="6" t="s">
        <v>2033</v>
      </c>
      <c r="P850" s="6">
        <v>2015</v>
      </c>
      <c r="Q850" s="6">
        <v>5</v>
      </c>
      <c r="R850" s="6" t="s">
        <v>45</v>
      </c>
      <c r="S850" s="31" t="s">
        <v>2123</v>
      </c>
      <c r="T850" s="6">
        <v>1</v>
      </c>
      <c r="U850" s="26">
        <v>7000000</v>
      </c>
      <c r="V850" s="26">
        <v>7000000</v>
      </c>
      <c r="W850" s="26">
        <v>7000000</v>
      </c>
      <c r="X850" s="6" t="s">
        <v>2003</v>
      </c>
      <c r="Y850" s="6" t="s">
        <v>1219</v>
      </c>
      <c r="Z850" s="6">
        <v>226642</v>
      </c>
    </row>
    <row r="851" spans="1:26" x14ac:dyDescent="0.3">
      <c r="A851" s="28" t="s">
        <v>42</v>
      </c>
      <c r="B851" s="6" t="s">
        <v>1326</v>
      </c>
      <c r="C851" s="6" t="s">
        <v>1979</v>
      </c>
      <c r="D851" s="6" t="s">
        <v>2292</v>
      </c>
      <c r="E851" s="6">
        <v>1</v>
      </c>
      <c r="F851" s="6" t="s">
        <v>2004</v>
      </c>
      <c r="G851" s="32" t="s">
        <v>2299</v>
      </c>
      <c r="H851" s="32" t="s">
        <v>2300</v>
      </c>
      <c r="I851" s="6" t="str">
        <f t="shared" si="30"/>
        <v>Thumb Grapple</v>
      </c>
      <c r="J851" s="6" t="s">
        <v>752</v>
      </c>
      <c r="K851" s="6">
        <v>1</v>
      </c>
      <c r="L851" s="6">
        <f t="shared" si="31"/>
        <v>940000</v>
      </c>
      <c r="M851" s="6">
        <v>800000</v>
      </c>
      <c r="N851" s="6" t="s">
        <v>2003</v>
      </c>
      <c r="O851" s="6" t="s">
        <v>2007</v>
      </c>
      <c r="P851" s="6">
        <v>2013</v>
      </c>
      <c r="Q851" s="6">
        <v>1</v>
      </c>
      <c r="R851" s="6" t="s">
        <v>45</v>
      </c>
      <c r="S851" s="31" t="s">
        <v>2113</v>
      </c>
      <c r="T851" s="6">
        <v>1</v>
      </c>
      <c r="U851" s="26">
        <v>700000</v>
      </c>
      <c r="V851" s="26">
        <v>700000</v>
      </c>
      <c r="W851" s="26">
        <v>700000</v>
      </c>
      <c r="X851" s="6" t="s">
        <v>2003</v>
      </c>
      <c r="Y851" s="6" t="s">
        <v>49</v>
      </c>
      <c r="Z851" s="6">
        <v>226649</v>
      </c>
    </row>
    <row r="852" spans="1:26" x14ac:dyDescent="0.3">
      <c r="A852" s="28" t="s">
        <v>42</v>
      </c>
      <c r="B852" s="6" t="s">
        <v>1325</v>
      </c>
      <c r="C852" s="19" t="s">
        <v>2156</v>
      </c>
      <c r="D852" s="6" t="s">
        <v>2292</v>
      </c>
      <c r="E852" s="6">
        <v>1</v>
      </c>
      <c r="F852" s="6" t="s">
        <v>2004</v>
      </c>
      <c r="G852" s="32" t="s">
        <v>2299</v>
      </c>
      <c r="H852" s="32" t="s">
        <v>2300</v>
      </c>
      <c r="I852" s="6" t="str">
        <f t="shared" si="30"/>
        <v>Hydraulic Crusher</v>
      </c>
      <c r="J852" s="6" t="s">
        <v>103</v>
      </c>
      <c r="K852" s="6">
        <v>1</v>
      </c>
      <c r="L852" s="6">
        <f t="shared" si="31"/>
        <v>11170000</v>
      </c>
      <c r="M852" s="6">
        <v>9500000</v>
      </c>
      <c r="N852" s="6" t="s">
        <v>2003</v>
      </c>
      <c r="O852" s="6" t="s">
        <v>813</v>
      </c>
      <c r="P852" s="6">
        <v>2014</v>
      </c>
      <c r="Q852" s="6">
        <v>1</v>
      </c>
      <c r="R852" s="6" t="s">
        <v>45</v>
      </c>
      <c r="S852" s="31" t="s">
        <v>2113</v>
      </c>
      <c r="T852" s="6">
        <v>1</v>
      </c>
      <c r="U852" s="26">
        <v>9000000</v>
      </c>
      <c r="V852" s="26">
        <v>9000000</v>
      </c>
      <c r="W852" s="26">
        <v>9000000</v>
      </c>
      <c r="X852" s="6" t="s">
        <v>2003</v>
      </c>
      <c r="Y852" s="6" t="s">
        <v>80</v>
      </c>
      <c r="Z852" s="6">
        <v>226654</v>
      </c>
    </row>
    <row r="853" spans="1:26" x14ac:dyDescent="0.3">
      <c r="A853" s="28" t="s">
        <v>42</v>
      </c>
      <c r="B853" s="6" t="s">
        <v>2163</v>
      </c>
      <c r="C853" s="6"/>
      <c r="D853" s="6" t="s">
        <v>2291</v>
      </c>
      <c r="E853" s="6">
        <v>1</v>
      </c>
      <c r="F853" s="6" t="s">
        <v>2004</v>
      </c>
      <c r="G853" s="32" t="s">
        <v>2299</v>
      </c>
      <c r="H853" s="32" t="s">
        <v>2300</v>
      </c>
      <c r="I853" s="6" t="str">
        <f t="shared" si="30"/>
        <v>Lift Fork</v>
      </c>
      <c r="J853" s="6" t="s">
        <v>617</v>
      </c>
      <c r="K853" s="6">
        <v>1</v>
      </c>
      <c r="L853" s="6">
        <f t="shared" si="31"/>
        <v>1050000</v>
      </c>
      <c r="M853" s="6">
        <v>900000</v>
      </c>
      <c r="N853" s="6" t="s">
        <v>2003</v>
      </c>
      <c r="O853" s="6" t="s">
        <v>2011</v>
      </c>
      <c r="P853" s="6">
        <v>2017</v>
      </c>
      <c r="Q853" s="6">
        <v>1</v>
      </c>
      <c r="R853" s="6" t="s">
        <v>45</v>
      </c>
      <c r="S853" s="31" t="s">
        <v>2123</v>
      </c>
      <c r="T853" s="6">
        <v>1</v>
      </c>
      <c r="U853" s="26">
        <v>800000</v>
      </c>
      <c r="V853" s="26">
        <v>800000</v>
      </c>
      <c r="W853" s="26">
        <v>800000</v>
      </c>
      <c r="X853" s="6" t="s">
        <v>2003</v>
      </c>
      <c r="Y853" s="6" t="s">
        <v>1200</v>
      </c>
      <c r="Z853" s="6">
        <v>226661</v>
      </c>
    </row>
    <row r="854" spans="1:26" x14ac:dyDescent="0.3">
      <c r="A854" s="28" t="s">
        <v>42</v>
      </c>
      <c r="B854" s="6" t="s">
        <v>1327</v>
      </c>
      <c r="C854" s="6" t="s">
        <v>1976</v>
      </c>
      <c r="D854" s="6" t="s">
        <v>2292</v>
      </c>
      <c r="E854" s="6">
        <v>1</v>
      </c>
      <c r="F854" s="6" t="s">
        <v>2004</v>
      </c>
      <c r="G854" s="32" t="s">
        <v>2299</v>
      </c>
      <c r="H854" s="32" t="s">
        <v>2300</v>
      </c>
      <c r="I854" s="6" t="str">
        <f t="shared" si="30"/>
        <v>Skeleton Bucket</v>
      </c>
      <c r="J854" s="6" t="s">
        <v>62</v>
      </c>
      <c r="K854" s="6">
        <v>1</v>
      </c>
      <c r="L854" s="6">
        <f t="shared" si="31"/>
        <v>1050000</v>
      </c>
      <c r="M854" s="6">
        <v>900000</v>
      </c>
      <c r="N854" s="6" t="s">
        <v>2003</v>
      </c>
      <c r="O854" s="6" t="s">
        <v>813</v>
      </c>
      <c r="P854" s="6">
        <v>2013</v>
      </c>
      <c r="Q854" s="6">
        <v>1</v>
      </c>
      <c r="R854" s="6" t="s">
        <v>45</v>
      </c>
      <c r="S854" s="31" t="s">
        <v>2113</v>
      </c>
      <c r="T854" s="6">
        <v>1</v>
      </c>
      <c r="U854" s="26">
        <v>800000</v>
      </c>
      <c r="V854" s="26">
        <v>800000</v>
      </c>
      <c r="W854" s="26">
        <v>800000</v>
      </c>
      <c r="X854" s="6" t="s">
        <v>2003</v>
      </c>
      <c r="Y854" s="6" t="s">
        <v>80</v>
      </c>
      <c r="Z854" s="6">
        <v>226662</v>
      </c>
    </row>
    <row r="855" spans="1:26" x14ac:dyDescent="0.3">
      <c r="A855" s="28" t="s">
        <v>42</v>
      </c>
      <c r="B855" s="6" t="s">
        <v>1327</v>
      </c>
      <c r="C855" s="6" t="s">
        <v>1976</v>
      </c>
      <c r="D855" s="6" t="s">
        <v>2292</v>
      </c>
      <c r="E855" s="6">
        <v>1</v>
      </c>
      <c r="F855" s="6" t="s">
        <v>2004</v>
      </c>
      <c r="G855" s="32" t="s">
        <v>2299</v>
      </c>
      <c r="H855" s="32" t="s">
        <v>2300</v>
      </c>
      <c r="I855" s="6" t="str">
        <f t="shared" si="30"/>
        <v>Skeleton Bucket</v>
      </c>
      <c r="J855" s="6" t="s">
        <v>110</v>
      </c>
      <c r="K855" s="6">
        <v>1</v>
      </c>
      <c r="L855" s="6">
        <f t="shared" si="31"/>
        <v>1110000</v>
      </c>
      <c r="M855" s="6">
        <v>950000</v>
      </c>
      <c r="N855" s="6" t="s">
        <v>2003</v>
      </c>
      <c r="O855" s="6" t="s">
        <v>813</v>
      </c>
      <c r="P855" s="6">
        <v>2013</v>
      </c>
      <c r="Q855" s="6">
        <v>1</v>
      </c>
      <c r="R855" s="6" t="s">
        <v>45</v>
      </c>
      <c r="S855" s="31" t="s">
        <v>2113</v>
      </c>
      <c r="T855" s="6">
        <v>1</v>
      </c>
      <c r="U855" s="26">
        <v>850000</v>
      </c>
      <c r="V855" s="26">
        <v>850000</v>
      </c>
      <c r="W855" s="26">
        <v>850000</v>
      </c>
      <c r="X855" s="6" t="s">
        <v>2003</v>
      </c>
      <c r="Y855" s="6" t="s">
        <v>80</v>
      </c>
      <c r="Z855" s="6">
        <v>226667</v>
      </c>
    </row>
    <row r="856" spans="1:26" x14ac:dyDescent="0.3">
      <c r="A856" s="28" t="s">
        <v>42</v>
      </c>
      <c r="B856" s="6" t="s">
        <v>2172</v>
      </c>
      <c r="C856" s="6"/>
      <c r="D856" s="6" t="s">
        <v>2292</v>
      </c>
      <c r="E856" s="6">
        <v>1</v>
      </c>
      <c r="F856" s="6" t="s">
        <v>2004</v>
      </c>
      <c r="G856" s="32" t="s">
        <v>2299</v>
      </c>
      <c r="H856" s="32" t="s">
        <v>2300</v>
      </c>
      <c r="I856" s="6" t="str">
        <f t="shared" si="30"/>
        <v>Quick Coupler</v>
      </c>
      <c r="J856" s="6" t="s">
        <v>140</v>
      </c>
      <c r="K856" s="6">
        <v>1</v>
      </c>
      <c r="L856" s="6">
        <f t="shared" si="31"/>
        <v>1000000</v>
      </c>
      <c r="M856" s="6">
        <v>850000</v>
      </c>
      <c r="N856" s="6" t="s">
        <v>2003</v>
      </c>
      <c r="O856" s="6" t="s">
        <v>813</v>
      </c>
      <c r="P856" s="6">
        <v>2014</v>
      </c>
      <c r="Q856" s="6">
        <v>1</v>
      </c>
      <c r="R856" s="6" t="s">
        <v>45</v>
      </c>
      <c r="S856" s="31" t="s">
        <v>2113</v>
      </c>
      <c r="T856" s="6">
        <v>1</v>
      </c>
      <c r="U856" s="26">
        <v>750000</v>
      </c>
      <c r="V856" s="26">
        <v>750000</v>
      </c>
      <c r="W856" s="26">
        <v>750000</v>
      </c>
      <c r="X856" s="6" t="s">
        <v>2003</v>
      </c>
      <c r="Y856" s="6" t="s">
        <v>79</v>
      </c>
      <c r="Z856" s="6">
        <v>226673</v>
      </c>
    </row>
    <row r="857" spans="1:26" x14ac:dyDescent="0.3">
      <c r="A857" s="28" t="s">
        <v>42</v>
      </c>
      <c r="B857" s="6" t="s">
        <v>1337</v>
      </c>
      <c r="C857" s="6"/>
      <c r="D857" s="6" t="s">
        <v>2291</v>
      </c>
      <c r="E857" s="6">
        <v>1</v>
      </c>
      <c r="F857" s="6" t="s">
        <v>2004</v>
      </c>
      <c r="G857" s="32" t="s">
        <v>2299</v>
      </c>
      <c r="H857" s="32" t="s">
        <v>2300</v>
      </c>
      <c r="I857" s="6" t="str">
        <f t="shared" si="30"/>
        <v>ETC</v>
      </c>
      <c r="J857" s="6" t="s">
        <v>754</v>
      </c>
      <c r="K857" s="6">
        <v>1</v>
      </c>
      <c r="L857" s="6">
        <f t="shared" si="31"/>
        <v>2290000</v>
      </c>
      <c r="M857" s="6">
        <v>1950000</v>
      </c>
      <c r="N857" s="6" t="s">
        <v>2003</v>
      </c>
      <c r="O857" s="6" t="s">
        <v>838</v>
      </c>
      <c r="P857" s="6">
        <v>2017</v>
      </c>
      <c r="Q857" s="6">
        <v>1</v>
      </c>
      <c r="R857" s="6" t="s">
        <v>45</v>
      </c>
      <c r="S857" s="31" t="s">
        <v>2123</v>
      </c>
      <c r="T857" s="6">
        <v>1</v>
      </c>
      <c r="U857" s="26">
        <v>1850000</v>
      </c>
      <c r="V857" s="26">
        <v>1850000</v>
      </c>
      <c r="W857" s="26">
        <v>1850000</v>
      </c>
      <c r="X857" s="6" t="s">
        <v>2003</v>
      </c>
      <c r="Y857" s="6" t="s">
        <v>1209</v>
      </c>
      <c r="Z857" s="6">
        <v>226675</v>
      </c>
    </row>
    <row r="858" spans="1:26" x14ac:dyDescent="0.3">
      <c r="A858" s="28" t="s">
        <v>42</v>
      </c>
      <c r="B858" s="6" t="s">
        <v>2172</v>
      </c>
      <c r="C858" s="6"/>
      <c r="D858" s="6" t="s">
        <v>2292</v>
      </c>
      <c r="E858" s="6">
        <v>1</v>
      </c>
      <c r="F858" s="6" t="s">
        <v>2004</v>
      </c>
      <c r="G858" s="32" t="s">
        <v>2299</v>
      </c>
      <c r="H858" s="32" t="s">
        <v>2300</v>
      </c>
      <c r="I858" s="6" t="str">
        <f t="shared" si="30"/>
        <v>Quick Coupler</v>
      </c>
      <c r="J858" s="6" t="s">
        <v>755</v>
      </c>
      <c r="K858" s="6">
        <v>1</v>
      </c>
      <c r="L858" s="6">
        <f t="shared" si="31"/>
        <v>1050000</v>
      </c>
      <c r="M858" s="6">
        <v>900000</v>
      </c>
      <c r="N858" s="6" t="s">
        <v>2003</v>
      </c>
      <c r="O858" s="6" t="s">
        <v>2007</v>
      </c>
      <c r="P858" s="6">
        <v>2014</v>
      </c>
      <c r="Q858" s="6">
        <v>1</v>
      </c>
      <c r="R858" s="6" t="s">
        <v>45</v>
      </c>
      <c r="S858" s="31" t="s">
        <v>2113</v>
      </c>
      <c r="T858" s="6">
        <v>1</v>
      </c>
      <c r="U858" s="26">
        <v>800000</v>
      </c>
      <c r="V858" s="26">
        <v>800000</v>
      </c>
      <c r="W858" s="26">
        <v>800000</v>
      </c>
      <c r="X858" s="6" t="s">
        <v>2003</v>
      </c>
      <c r="Y858" s="6" t="s">
        <v>49</v>
      </c>
      <c r="Z858" s="6">
        <v>226678</v>
      </c>
    </row>
    <row r="859" spans="1:26" x14ac:dyDescent="0.3">
      <c r="A859" s="28" t="s">
        <v>42</v>
      </c>
      <c r="B859" s="6" t="s">
        <v>1327</v>
      </c>
      <c r="C859" s="6" t="s">
        <v>1976</v>
      </c>
      <c r="D859" s="6" t="s">
        <v>2291</v>
      </c>
      <c r="E859" s="6">
        <v>1</v>
      </c>
      <c r="F859" s="6" t="s">
        <v>2004</v>
      </c>
      <c r="G859" s="32" t="s">
        <v>2299</v>
      </c>
      <c r="H859" s="32" t="s">
        <v>2300</v>
      </c>
      <c r="I859" s="6" t="str">
        <f t="shared" si="30"/>
        <v>Skeleton Bucket</v>
      </c>
      <c r="J859" s="6" t="s">
        <v>557</v>
      </c>
      <c r="K859" s="6">
        <v>1</v>
      </c>
      <c r="L859" s="6">
        <f t="shared" si="31"/>
        <v>820000</v>
      </c>
      <c r="M859" s="6">
        <v>700000</v>
      </c>
      <c r="N859" s="6" t="s">
        <v>2003</v>
      </c>
      <c r="O859" s="6" t="s">
        <v>2011</v>
      </c>
      <c r="P859" s="6">
        <v>2017</v>
      </c>
      <c r="Q859" s="6">
        <v>1</v>
      </c>
      <c r="R859" s="6" t="s">
        <v>45</v>
      </c>
      <c r="S859" s="31" t="s">
        <v>2123</v>
      </c>
      <c r="T859" s="6">
        <v>1</v>
      </c>
      <c r="U859" s="26">
        <v>600000</v>
      </c>
      <c r="V859" s="26">
        <v>600000</v>
      </c>
      <c r="W859" s="26">
        <v>600000</v>
      </c>
      <c r="X859" s="6" t="s">
        <v>2003</v>
      </c>
      <c r="Y859" s="6" t="s">
        <v>1200</v>
      </c>
      <c r="Z859" s="6">
        <v>226685</v>
      </c>
    </row>
    <row r="860" spans="1:26" x14ac:dyDescent="0.3">
      <c r="A860" s="28" t="s">
        <v>42</v>
      </c>
      <c r="B860" s="6" t="s">
        <v>1337</v>
      </c>
      <c r="C860" s="6"/>
      <c r="D860" s="6" t="s">
        <v>2292</v>
      </c>
      <c r="E860" s="6">
        <v>1</v>
      </c>
      <c r="F860" s="6" t="s">
        <v>2004</v>
      </c>
      <c r="G860" s="32" t="s">
        <v>2299</v>
      </c>
      <c r="H860" s="32" t="s">
        <v>2300</v>
      </c>
      <c r="I860" s="6" t="str">
        <f t="shared" si="30"/>
        <v>ETC</v>
      </c>
      <c r="J860" s="6" t="s">
        <v>418</v>
      </c>
      <c r="K860" s="6">
        <v>1</v>
      </c>
      <c r="L860" s="6">
        <f t="shared" si="31"/>
        <v>7050000</v>
      </c>
      <c r="M860" s="6">
        <v>6000000</v>
      </c>
      <c r="N860" s="6" t="s">
        <v>2003</v>
      </c>
      <c r="O860" s="6" t="s">
        <v>813</v>
      </c>
      <c r="P860" s="6">
        <v>2016</v>
      </c>
      <c r="Q860" s="6">
        <v>1</v>
      </c>
      <c r="R860" s="6" t="s">
        <v>45</v>
      </c>
      <c r="S860" s="31" t="s">
        <v>2113</v>
      </c>
      <c r="T860" s="6">
        <v>1</v>
      </c>
      <c r="U860" s="26">
        <v>5500000</v>
      </c>
      <c r="V860" s="26">
        <v>5500000</v>
      </c>
      <c r="W860" s="26">
        <v>5500000</v>
      </c>
      <c r="X860" s="6" t="s">
        <v>2003</v>
      </c>
      <c r="Y860" s="6" t="s">
        <v>79</v>
      </c>
      <c r="Z860" s="6">
        <v>226690</v>
      </c>
    </row>
    <row r="861" spans="1:26" x14ac:dyDescent="0.3">
      <c r="A861" s="28" t="s">
        <v>42</v>
      </c>
      <c r="B861" s="6" t="s">
        <v>1326</v>
      </c>
      <c r="C861" s="6" t="s">
        <v>1979</v>
      </c>
      <c r="D861" s="6" t="s">
        <v>2292</v>
      </c>
      <c r="E861" s="6">
        <v>1</v>
      </c>
      <c r="F861" s="6" t="s">
        <v>2004</v>
      </c>
      <c r="G861" s="32" t="s">
        <v>2299</v>
      </c>
      <c r="H861" s="32" t="s">
        <v>2300</v>
      </c>
      <c r="I861" s="6" t="str">
        <f t="shared" si="30"/>
        <v>Thumb Grapple</v>
      </c>
      <c r="J861" s="6" t="s">
        <v>99</v>
      </c>
      <c r="K861" s="6">
        <v>1</v>
      </c>
      <c r="L861" s="6">
        <f t="shared" si="31"/>
        <v>940000</v>
      </c>
      <c r="M861" s="6">
        <v>800000</v>
      </c>
      <c r="N861" s="6" t="s">
        <v>2003</v>
      </c>
      <c r="O861" s="6" t="s">
        <v>2007</v>
      </c>
      <c r="P861" s="6">
        <v>2013</v>
      </c>
      <c r="Q861" s="6">
        <v>1</v>
      </c>
      <c r="R861" s="6" t="s">
        <v>45</v>
      </c>
      <c r="S861" s="31" t="s">
        <v>2113</v>
      </c>
      <c r="T861" s="6">
        <v>1</v>
      </c>
      <c r="U861" s="26">
        <v>700000</v>
      </c>
      <c r="V861" s="26">
        <v>700000</v>
      </c>
      <c r="W861" s="26">
        <v>700000</v>
      </c>
      <c r="X861" s="6" t="s">
        <v>2003</v>
      </c>
      <c r="Y861" s="6" t="s">
        <v>49</v>
      </c>
      <c r="Z861" s="6">
        <v>226691</v>
      </c>
    </row>
    <row r="862" spans="1:26" x14ac:dyDescent="0.3">
      <c r="A862" s="28" t="s">
        <v>42</v>
      </c>
      <c r="B862" s="6" t="s">
        <v>1337</v>
      </c>
      <c r="C862" s="6"/>
      <c r="D862" s="6" t="s">
        <v>2291</v>
      </c>
      <c r="E862" s="6">
        <v>1</v>
      </c>
      <c r="F862" s="6" t="s">
        <v>2004</v>
      </c>
      <c r="G862" s="32" t="s">
        <v>2299</v>
      </c>
      <c r="H862" s="32" t="s">
        <v>2300</v>
      </c>
      <c r="I862" s="6" t="str">
        <f t="shared" si="30"/>
        <v>ETC</v>
      </c>
      <c r="J862" s="6" t="s">
        <v>757</v>
      </c>
      <c r="K862" s="6">
        <v>1</v>
      </c>
      <c r="L862" s="6">
        <f t="shared" si="31"/>
        <v>2580000</v>
      </c>
      <c r="M862" s="6">
        <v>2200000</v>
      </c>
      <c r="N862" s="6" t="s">
        <v>2003</v>
      </c>
      <c r="O862" s="6" t="s">
        <v>2089</v>
      </c>
      <c r="P862" s="6">
        <v>2012</v>
      </c>
      <c r="Q862" s="6">
        <v>1</v>
      </c>
      <c r="R862" s="6" t="s">
        <v>45</v>
      </c>
      <c r="S862" s="31" t="s">
        <v>2113</v>
      </c>
      <c r="T862" s="6">
        <v>1</v>
      </c>
      <c r="U862" s="26">
        <v>2000000</v>
      </c>
      <c r="V862" s="26">
        <v>2000000</v>
      </c>
      <c r="W862" s="26">
        <v>2000000</v>
      </c>
      <c r="X862" s="6" t="s">
        <v>2003</v>
      </c>
      <c r="Y862" s="6" t="s">
        <v>1314</v>
      </c>
      <c r="Z862" s="6">
        <v>226692</v>
      </c>
    </row>
    <row r="863" spans="1:26" x14ac:dyDescent="0.3">
      <c r="A863" s="28" t="s">
        <v>42</v>
      </c>
      <c r="B863" s="6" t="s">
        <v>1326</v>
      </c>
      <c r="C863" s="6" t="s">
        <v>1979</v>
      </c>
      <c r="D863" s="6" t="s">
        <v>2292</v>
      </c>
      <c r="E863" s="6">
        <v>1</v>
      </c>
      <c r="F863" s="6" t="s">
        <v>2004</v>
      </c>
      <c r="G863" s="32" t="s">
        <v>2299</v>
      </c>
      <c r="H863" s="32" t="s">
        <v>2300</v>
      </c>
      <c r="I863" s="6" t="str">
        <f t="shared" si="30"/>
        <v>Thumb Grapple</v>
      </c>
      <c r="J863" s="6" t="s">
        <v>758</v>
      </c>
      <c r="K863" s="6">
        <v>1</v>
      </c>
      <c r="L863" s="6">
        <f t="shared" si="31"/>
        <v>3470000</v>
      </c>
      <c r="M863" s="6">
        <v>2950000</v>
      </c>
      <c r="N863" s="6" t="s">
        <v>2003</v>
      </c>
      <c r="O863" s="6" t="s">
        <v>2007</v>
      </c>
      <c r="P863" s="6">
        <v>2017</v>
      </c>
      <c r="Q863" s="6">
        <v>1</v>
      </c>
      <c r="R863" s="6" t="s">
        <v>45</v>
      </c>
      <c r="S863" s="31" t="s">
        <v>2113</v>
      </c>
      <c r="T863" s="6">
        <v>1</v>
      </c>
      <c r="U863" s="26">
        <v>2750000</v>
      </c>
      <c r="V863" s="26">
        <v>2750000</v>
      </c>
      <c r="W863" s="26">
        <v>2750000</v>
      </c>
      <c r="X863" s="6" t="s">
        <v>2003</v>
      </c>
      <c r="Y863" s="6" t="s">
        <v>49</v>
      </c>
      <c r="Z863" s="6">
        <v>226693</v>
      </c>
    </row>
    <row r="864" spans="1:26" x14ac:dyDescent="0.3">
      <c r="A864" s="28" t="s">
        <v>42</v>
      </c>
      <c r="B864" s="6" t="s">
        <v>2239</v>
      </c>
      <c r="C864" s="6" t="s">
        <v>2240</v>
      </c>
      <c r="D864" s="6" t="s">
        <v>2295</v>
      </c>
      <c r="E864" s="6">
        <v>1</v>
      </c>
      <c r="F864" s="6" t="s">
        <v>2004</v>
      </c>
      <c r="G864" s="32" t="s">
        <v>2299</v>
      </c>
      <c r="H864" s="32" t="s">
        <v>2300</v>
      </c>
      <c r="I864" s="6" t="str">
        <f t="shared" si="30"/>
        <v>Etc Grapple</v>
      </c>
      <c r="J864" s="6" t="s">
        <v>378</v>
      </c>
      <c r="K864" s="6">
        <v>1</v>
      </c>
      <c r="L864" s="6">
        <f t="shared" si="31"/>
        <v>2940000</v>
      </c>
      <c r="M864" s="6">
        <v>2500000</v>
      </c>
      <c r="N864" s="6" t="s">
        <v>2003</v>
      </c>
      <c r="O864" s="6" t="s">
        <v>837</v>
      </c>
      <c r="P864" s="6">
        <v>2016</v>
      </c>
      <c r="Q864" s="6">
        <v>5</v>
      </c>
      <c r="R864" s="6" t="s">
        <v>45</v>
      </c>
      <c r="S864" s="31" t="s">
        <v>2113</v>
      </c>
      <c r="T864" s="6">
        <v>1</v>
      </c>
      <c r="U864" s="26">
        <v>2300000</v>
      </c>
      <c r="V864" s="26">
        <v>2300000</v>
      </c>
      <c r="W864" s="26">
        <v>2300000</v>
      </c>
      <c r="X864" s="6" t="s">
        <v>2003</v>
      </c>
      <c r="Y864" s="6" t="s">
        <v>71</v>
      </c>
      <c r="Z864" s="6">
        <v>226695</v>
      </c>
    </row>
    <row r="865" spans="1:26" x14ac:dyDescent="0.3">
      <c r="A865" s="28" t="s">
        <v>42</v>
      </c>
      <c r="B865" s="6" t="s">
        <v>1328</v>
      </c>
      <c r="C865" s="6" t="s">
        <v>1975</v>
      </c>
      <c r="D865" s="6" t="s">
        <v>2291</v>
      </c>
      <c r="E865" s="6">
        <v>1</v>
      </c>
      <c r="F865" s="6" t="s">
        <v>2004</v>
      </c>
      <c r="G865" s="32" t="s">
        <v>2299</v>
      </c>
      <c r="H865" s="32" t="s">
        <v>2300</v>
      </c>
      <c r="I865" s="6" t="str">
        <f t="shared" si="30"/>
        <v>Side Breaker</v>
      </c>
      <c r="J865" s="6" t="s">
        <v>160</v>
      </c>
      <c r="K865" s="6">
        <v>1</v>
      </c>
      <c r="L865" s="6">
        <f t="shared" si="31"/>
        <v>1880000</v>
      </c>
      <c r="M865" s="6">
        <v>1600000</v>
      </c>
      <c r="N865" s="6" t="s">
        <v>2003</v>
      </c>
      <c r="O865" s="6" t="s">
        <v>1114</v>
      </c>
      <c r="P865" s="6">
        <v>2010</v>
      </c>
      <c r="Q865" s="6">
        <v>1</v>
      </c>
      <c r="R865" s="6" t="s">
        <v>45</v>
      </c>
      <c r="S865" s="31" t="s">
        <v>2114</v>
      </c>
      <c r="T865" s="6">
        <v>1</v>
      </c>
      <c r="U865" s="26">
        <v>1500000</v>
      </c>
      <c r="V865" s="26">
        <v>1500000</v>
      </c>
      <c r="W865" s="26">
        <v>1500000</v>
      </c>
      <c r="X865" s="6" t="s">
        <v>2003</v>
      </c>
      <c r="Y865" s="6" t="s">
        <v>54</v>
      </c>
      <c r="Z865" s="6">
        <v>226701</v>
      </c>
    </row>
    <row r="866" spans="1:26" x14ac:dyDescent="0.3">
      <c r="A866" s="28" t="s">
        <v>42</v>
      </c>
      <c r="B866" s="6" t="s">
        <v>1326</v>
      </c>
      <c r="C866" s="6" t="s">
        <v>1972</v>
      </c>
      <c r="D866" s="6" t="s">
        <v>2292</v>
      </c>
      <c r="E866" s="6">
        <v>1</v>
      </c>
      <c r="F866" s="6" t="s">
        <v>2004</v>
      </c>
      <c r="G866" s="32" t="s">
        <v>2299</v>
      </c>
      <c r="H866" s="32" t="s">
        <v>2300</v>
      </c>
      <c r="I866" s="6" t="str">
        <f t="shared" si="30"/>
        <v>Stone Grapple</v>
      </c>
      <c r="J866" s="6" t="s">
        <v>72</v>
      </c>
      <c r="K866" s="6">
        <v>1</v>
      </c>
      <c r="L866" s="6">
        <f t="shared" si="31"/>
        <v>6470000</v>
      </c>
      <c r="M866" s="6">
        <v>5500000</v>
      </c>
      <c r="N866" s="6" t="s">
        <v>2003</v>
      </c>
      <c r="O866" s="6" t="s">
        <v>813</v>
      </c>
      <c r="P866" s="6">
        <v>2014</v>
      </c>
      <c r="Q866" s="6">
        <v>1</v>
      </c>
      <c r="R866" s="6" t="s">
        <v>45</v>
      </c>
      <c r="S866" s="31" t="s">
        <v>2113</v>
      </c>
      <c r="T866" s="6">
        <v>1</v>
      </c>
      <c r="U866" s="26">
        <v>5000000</v>
      </c>
      <c r="V866" s="26">
        <v>5000000</v>
      </c>
      <c r="W866" s="26">
        <v>5000000</v>
      </c>
      <c r="X866" s="6" t="s">
        <v>2003</v>
      </c>
      <c r="Y866" s="6" t="s">
        <v>79</v>
      </c>
      <c r="Z866" s="6">
        <v>226709</v>
      </c>
    </row>
    <row r="867" spans="1:26" x14ac:dyDescent="0.3">
      <c r="A867" s="28" t="s">
        <v>42</v>
      </c>
      <c r="B867" s="6" t="s">
        <v>1326</v>
      </c>
      <c r="C867" s="6" t="s">
        <v>1985</v>
      </c>
      <c r="D867" s="6" t="s">
        <v>2291</v>
      </c>
      <c r="E867" s="6">
        <v>1</v>
      </c>
      <c r="F867" s="6" t="s">
        <v>2004</v>
      </c>
      <c r="G867" s="32" t="s">
        <v>2299</v>
      </c>
      <c r="H867" s="32" t="s">
        <v>2300</v>
      </c>
      <c r="I867" s="6" t="str">
        <f t="shared" si="30"/>
        <v>Multi Grapple</v>
      </c>
      <c r="J867" s="6" t="s">
        <v>265</v>
      </c>
      <c r="K867" s="6">
        <v>1</v>
      </c>
      <c r="L867" s="6">
        <f t="shared" si="31"/>
        <v>3170000</v>
      </c>
      <c r="M867" s="6">
        <v>2700000</v>
      </c>
      <c r="N867" s="6" t="s">
        <v>2003</v>
      </c>
      <c r="O867" s="6" t="s">
        <v>2007</v>
      </c>
      <c r="P867" s="6">
        <v>2017</v>
      </c>
      <c r="Q867" s="6">
        <v>1</v>
      </c>
      <c r="R867" s="6" t="s">
        <v>45</v>
      </c>
      <c r="S867" s="31" t="s">
        <v>2113</v>
      </c>
      <c r="T867" s="6">
        <v>1</v>
      </c>
      <c r="U867" s="26">
        <v>2500000</v>
      </c>
      <c r="V867" s="26">
        <v>2500000</v>
      </c>
      <c r="W867" s="26">
        <v>2500000</v>
      </c>
      <c r="X867" s="6" t="s">
        <v>2003</v>
      </c>
      <c r="Y867" s="6" t="s">
        <v>49</v>
      </c>
      <c r="Z867" s="6">
        <v>226711</v>
      </c>
    </row>
    <row r="868" spans="1:26" x14ac:dyDescent="0.3">
      <c r="A868" s="28" t="s">
        <v>42</v>
      </c>
      <c r="B868" s="6" t="s">
        <v>2163</v>
      </c>
      <c r="C868" s="6"/>
      <c r="D868" s="6" t="s">
        <v>2292</v>
      </c>
      <c r="E868" s="6">
        <v>1</v>
      </c>
      <c r="F868" s="6" t="s">
        <v>2004</v>
      </c>
      <c r="G868" s="32" t="s">
        <v>2299</v>
      </c>
      <c r="H868" s="32" t="s">
        <v>2300</v>
      </c>
      <c r="I868" s="6" t="str">
        <f t="shared" si="30"/>
        <v>Lift Fork</v>
      </c>
      <c r="J868" s="6" t="s">
        <v>760</v>
      </c>
      <c r="K868" s="6">
        <v>1</v>
      </c>
      <c r="L868" s="6">
        <f t="shared" si="31"/>
        <v>820000</v>
      </c>
      <c r="M868" s="6">
        <v>700000</v>
      </c>
      <c r="N868" s="6" t="s">
        <v>2003</v>
      </c>
      <c r="O868" s="6" t="s">
        <v>823</v>
      </c>
      <c r="P868" s="6">
        <v>2013</v>
      </c>
      <c r="Q868" s="6">
        <v>1</v>
      </c>
      <c r="R868" s="6" t="s">
        <v>45</v>
      </c>
      <c r="S868" s="31" t="s">
        <v>2113</v>
      </c>
      <c r="T868" s="6">
        <v>1</v>
      </c>
      <c r="U868" s="26">
        <v>600000</v>
      </c>
      <c r="V868" s="26">
        <v>600000</v>
      </c>
      <c r="W868" s="26">
        <v>600000</v>
      </c>
      <c r="X868" s="6" t="s">
        <v>2003</v>
      </c>
      <c r="Y868" s="6" t="s">
        <v>49</v>
      </c>
      <c r="Z868" s="6">
        <v>226719</v>
      </c>
    </row>
    <row r="869" spans="1:26" x14ac:dyDescent="0.3">
      <c r="A869" s="28" t="s">
        <v>42</v>
      </c>
      <c r="B869" s="6" t="s">
        <v>1327</v>
      </c>
      <c r="C869" s="6" t="s">
        <v>1976</v>
      </c>
      <c r="D869" s="6" t="s">
        <v>2293</v>
      </c>
      <c r="E869" s="6">
        <v>1</v>
      </c>
      <c r="F869" s="6" t="s">
        <v>2004</v>
      </c>
      <c r="G869" s="32" t="s">
        <v>2299</v>
      </c>
      <c r="H869" s="32" t="s">
        <v>2300</v>
      </c>
      <c r="I869" s="6" t="str">
        <f t="shared" si="30"/>
        <v>Skeleton Bucket</v>
      </c>
      <c r="J869" s="6" t="s">
        <v>179</v>
      </c>
      <c r="K869" s="6">
        <v>1</v>
      </c>
      <c r="L869" s="6">
        <f t="shared" si="31"/>
        <v>290000</v>
      </c>
      <c r="M869" s="6">
        <v>250000</v>
      </c>
      <c r="N869" s="6" t="s">
        <v>2003</v>
      </c>
      <c r="O869" s="6" t="s">
        <v>645</v>
      </c>
      <c r="P869" s="6">
        <v>2015</v>
      </c>
      <c r="Q869" s="6">
        <v>1</v>
      </c>
      <c r="R869" s="6" t="s">
        <v>45</v>
      </c>
      <c r="S869" s="31" t="s">
        <v>2116</v>
      </c>
      <c r="T869" s="6">
        <v>1</v>
      </c>
      <c r="U869" s="26">
        <v>200000</v>
      </c>
      <c r="V869" s="26">
        <v>200000</v>
      </c>
      <c r="W869" s="26">
        <v>200000</v>
      </c>
      <c r="X869" s="6" t="s">
        <v>2003</v>
      </c>
      <c r="Y869" s="6" t="s">
        <v>1315</v>
      </c>
      <c r="Z869" s="6">
        <v>226721</v>
      </c>
    </row>
    <row r="870" spans="1:26" x14ac:dyDescent="0.3">
      <c r="A870" s="28" t="s">
        <v>42</v>
      </c>
      <c r="B870" s="6" t="s">
        <v>1325</v>
      </c>
      <c r="C870" s="19" t="s">
        <v>2156</v>
      </c>
      <c r="D870" s="6" t="s">
        <v>2292</v>
      </c>
      <c r="E870" s="6">
        <v>1</v>
      </c>
      <c r="F870" s="6" t="s">
        <v>2004</v>
      </c>
      <c r="G870" s="32" t="s">
        <v>2299</v>
      </c>
      <c r="H870" s="32" t="s">
        <v>2300</v>
      </c>
      <c r="I870" s="6" t="str">
        <f t="shared" si="30"/>
        <v>Hydraulic Crusher</v>
      </c>
      <c r="J870" s="6" t="s">
        <v>761</v>
      </c>
      <c r="K870" s="6">
        <v>1</v>
      </c>
      <c r="L870" s="6">
        <f t="shared" si="31"/>
        <v>13520000</v>
      </c>
      <c r="M870" s="6">
        <v>11500000</v>
      </c>
      <c r="N870" s="6" t="s">
        <v>2003</v>
      </c>
      <c r="O870" s="6" t="s">
        <v>823</v>
      </c>
      <c r="P870" s="6">
        <v>2014</v>
      </c>
      <c r="Q870" s="6">
        <v>1</v>
      </c>
      <c r="R870" s="6" t="s">
        <v>45</v>
      </c>
      <c r="S870" s="31" t="s">
        <v>2113</v>
      </c>
      <c r="T870" s="6">
        <v>1</v>
      </c>
      <c r="U870" s="26">
        <v>11000000</v>
      </c>
      <c r="V870" s="26">
        <v>11000000</v>
      </c>
      <c r="W870" s="26">
        <v>11000000</v>
      </c>
      <c r="X870" s="6" t="s">
        <v>2003</v>
      </c>
      <c r="Y870" s="6" t="s">
        <v>49</v>
      </c>
      <c r="Z870" s="6">
        <v>226722</v>
      </c>
    </row>
    <row r="871" spans="1:26" x14ac:dyDescent="0.3">
      <c r="A871" s="28" t="s">
        <v>42</v>
      </c>
      <c r="B871" s="6" t="s">
        <v>1337</v>
      </c>
      <c r="C871" s="6"/>
      <c r="D871" s="6" t="s">
        <v>2292</v>
      </c>
      <c r="E871" s="6">
        <v>1</v>
      </c>
      <c r="F871" s="6" t="s">
        <v>2004</v>
      </c>
      <c r="G871" s="32" t="s">
        <v>2299</v>
      </c>
      <c r="H871" s="32" t="s">
        <v>2300</v>
      </c>
      <c r="I871" s="6" t="str">
        <f t="shared" si="30"/>
        <v>ETC</v>
      </c>
      <c r="J871" s="6" t="s">
        <v>762</v>
      </c>
      <c r="K871" s="6">
        <v>1</v>
      </c>
      <c r="L871" s="6">
        <f t="shared" si="31"/>
        <v>14700000</v>
      </c>
      <c r="M871" s="6">
        <v>12500000</v>
      </c>
      <c r="N871" s="6" t="s">
        <v>2003</v>
      </c>
      <c r="O871" s="6" t="s">
        <v>2012</v>
      </c>
      <c r="P871" s="6">
        <v>2013</v>
      </c>
      <c r="Q871" s="6">
        <v>1</v>
      </c>
      <c r="R871" s="6" t="s">
        <v>45</v>
      </c>
      <c r="S871" s="31" t="s">
        <v>2113</v>
      </c>
      <c r="T871" s="6">
        <v>1</v>
      </c>
      <c r="U871" s="26">
        <v>12000000</v>
      </c>
      <c r="V871" s="26">
        <v>12000000</v>
      </c>
      <c r="W871" s="26">
        <v>12000000</v>
      </c>
      <c r="X871" s="6" t="s">
        <v>2003</v>
      </c>
      <c r="Y871" s="6" t="s">
        <v>49</v>
      </c>
      <c r="Z871" s="6">
        <v>226723</v>
      </c>
    </row>
    <row r="872" spans="1:26" x14ac:dyDescent="0.3">
      <c r="A872" s="28" t="s">
        <v>42</v>
      </c>
      <c r="B872" s="6" t="s">
        <v>1328</v>
      </c>
      <c r="C872" s="6" t="s">
        <v>1975</v>
      </c>
      <c r="D872" s="6" t="s">
        <v>2293</v>
      </c>
      <c r="E872" s="6">
        <v>1</v>
      </c>
      <c r="F872" s="6" t="s">
        <v>2004</v>
      </c>
      <c r="G872" s="32" t="s">
        <v>2299</v>
      </c>
      <c r="H872" s="32" t="s">
        <v>2300</v>
      </c>
      <c r="I872" s="6" t="str">
        <f t="shared" si="30"/>
        <v>Side Breaker</v>
      </c>
      <c r="J872" s="6" t="s">
        <v>742</v>
      </c>
      <c r="K872" s="6">
        <v>1</v>
      </c>
      <c r="L872" s="6">
        <f t="shared" si="31"/>
        <v>2000000</v>
      </c>
      <c r="M872" s="6">
        <v>1700000</v>
      </c>
      <c r="N872" s="6" t="s">
        <v>2003</v>
      </c>
      <c r="O872" s="6" t="s">
        <v>70</v>
      </c>
      <c r="P872" s="6">
        <v>2015</v>
      </c>
      <c r="Q872" s="6">
        <v>1</v>
      </c>
      <c r="R872" s="6" t="s">
        <v>45</v>
      </c>
      <c r="S872" s="31" t="s">
        <v>2113</v>
      </c>
      <c r="T872" s="6">
        <v>1</v>
      </c>
      <c r="U872" s="26">
        <v>1600000</v>
      </c>
      <c r="V872" s="26">
        <v>1600000</v>
      </c>
      <c r="W872" s="26">
        <v>1600000</v>
      </c>
      <c r="X872" s="6" t="s">
        <v>2003</v>
      </c>
      <c r="Y872" s="6" t="s">
        <v>71</v>
      </c>
      <c r="Z872" s="6">
        <v>226725</v>
      </c>
    </row>
    <row r="873" spans="1:26" x14ac:dyDescent="0.3">
      <c r="A873" s="28" t="s">
        <v>42</v>
      </c>
      <c r="B873" s="6" t="s">
        <v>1326</v>
      </c>
      <c r="C873" s="6" t="s">
        <v>1972</v>
      </c>
      <c r="D873" s="6" t="s">
        <v>2292</v>
      </c>
      <c r="E873" s="6">
        <v>1</v>
      </c>
      <c r="F873" s="6" t="s">
        <v>2004</v>
      </c>
      <c r="G873" s="32" t="s">
        <v>2299</v>
      </c>
      <c r="H873" s="32" t="s">
        <v>2300</v>
      </c>
      <c r="I873" s="6" t="str">
        <f t="shared" si="30"/>
        <v>Stone Grapple</v>
      </c>
      <c r="J873" s="6" t="s">
        <v>58</v>
      </c>
      <c r="K873" s="6">
        <v>1</v>
      </c>
      <c r="L873" s="6">
        <f t="shared" si="31"/>
        <v>3760000</v>
      </c>
      <c r="M873" s="6">
        <v>3200000</v>
      </c>
      <c r="N873" s="6" t="s">
        <v>2003</v>
      </c>
      <c r="O873" s="6" t="s">
        <v>794</v>
      </c>
      <c r="P873" s="6">
        <v>2015</v>
      </c>
      <c r="Q873" s="6">
        <v>8</v>
      </c>
      <c r="R873" s="6" t="s">
        <v>45</v>
      </c>
      <c r="S873" s="31" t="s">
        <v>2122</v>
      </c>
      <c r="T873" s="6">
        <v>1</v>
      </c>
      <c r="U873" s="26">
        <v>3000000</v>
      </c>
      <c r="V873" s="26">
        <v>3000000</v>
      </c>
      <c r="W873" s="26">
        <v>3000000</v>
      </c>
      <c r="X873" s="6" t="s">
        <v>2003</v>
      </c>
      <c r="Y873" s="6" t="s">
        <v>1154</v>
      </c>
      <c r="Z873" s="6">
        <v>226726</v>
      </c>
    </row>
    <row r="874" spans="1:26" x14ac:dyDescent="0.3">
      <c r="A874" s="28" t="s">
        <v>42</v>
      </c>
      <c r="B874" s="6" t="s">
        <v>1326</v>
      </c>
      <c r="C874" s="6" t="s">
        <v>1972</v>
      </c>
      <c r="D874" s="6" t="s">
        <v>2292</v>
      </c>
      <c r="E874" s="6">
        <v>1</v>
      </c>
      <c r="F874" s="6" t="s">
        <v>2004</v>
      </c>
      <c r="G874" s="32" t="s">
        <v>2299</v>
      </c>
      <c r="H874" s="32" t="s">
        <v>2300</v>
      </c>
      <c r="I874" s="6" t="str">
        <f t="shared" si="30"/>
        <v>Stone Grapple</v>
      </c>
      <c r="J874" s="6" t="s">
        <v>106</v>
      </c>
      <c r="K874" s="6">
        <v>1</v>
      </c>
      <c r="L874" s="6">
        <f t="shared" si="31"/>
        <v>6580000</v>
      </c>
      <c r="M874" s="6">
        <v>5600000</v>
      </c>
      <c r="N874" s="6" t="s">
        <v>2003</v>
      </c>
      <c r="O874" s="6" t="s">
        <v>2012</v>
      </c>
      <c r="P874" s="6">
        <v>2015</v>
      </c>
      <c r="Q874" s="6">
        <v>1</v>
      </c>
      <c r="R874" s="6" t="s">
        <v>45</v>
      </c>
      <c r="S874" s="31" t="s">
        <v>2113</v>
      </c>
      <c r="T874" s="6">
        <v>1</v>
      </c>
      <c r="U874" s="26">
        <v>5100000</v>
      </c>
      <c r="V874" s="26">
        <v>5100000</v>
      </c>
      <c r="W874" s="26">
        <v>5100000</v>
      </c>
      <c r="X874" s="6" t="s">
        <v>2003</v>
      </c>
      <c r="Y874" s="6" t="s">
        <v>49</v>
      </c>
      <c r="Z874" s="6">
        <v>226727</v>
      </c>
    </row>
    <row r="875" spans="1:26" x14ac:dyDescent="0.3">
      <c r="A875" s="28" t="s">
        <v>42</v>
      </c>
      <c r="B875" s="6" t="s">
        <v>1326</v>
      </c>
      <c r="C875" s="6" t="s">
        <v>1972</v>
      </c>
      <c r="D875" s="6" t="s">
        <v>2292</v>
      </c>
      <c r="E875" s="6">
        <v>1</v>
      </c>
      <c r="F875" s="6" t="s">
        <v>2004</v>
      </c>
      <c r="G875" s="32" t="s">
        <v>2299</v>
      </c>
      <c r="H875" s="32" t="s">
        <v>2300</v>
      </c>
      <c r="I875" s="6" t="str">
        <f t="shared" si="30"/>
        <v>Stone Grapple</v>
      </c>
      <c r="J875" s="6" t="s">
        <v>764</v>
      </c>
      <c r="K875" s="6">
        <v>1</v>
      </c>
      <c r="L875" s="6">
        <f t="shared" si="31"/>
        <v>6470000</v>
      </c>
      <c r="M875" s="6">
        <v>5500000</v>
      </c>
      <c r="N875" s="6" t="s">
        <v>2003</v>
      </c>
      <c r="O875" s="6" t="s">
        <v>823</v>
      </c>
      <c r="P875" s="6">
        <v>2015</v>
      </c>
      <c r="Q875" s="6">
        <v>1</v>
      </c>
      <c r="R875" s="6" t="s">
        <v>45</v>
      </c>
      <c r="S875" s="31" t="s">
        <v>2113</v>
      </c>
      <c r="T875" s="6">
        <v>1</v>
      </c>
      <c r="U875" s="26">
        <v>5000000</v>
      </c>
      <c r="V875" s="26">
        <v>5000000</v>
      </c>
      <c r="W875" s="26">
        <v>5000000</v>
      </c>
      <c r="X875" s="6" t="s">
        <v>2003</v>
      </c>
      <c r="Y875" s="6" t="s">
        <v>49</v>
      </c>
      <c r="Z875" s="6">
        <v>226728</v>
      </c>
    </row>
    <row r="876" spans="1:26" x14ac:dyDescent="0.3">
      <c r="A876" s="28" t="s">
        <v>42</v>
      </c>
      <c r="B876" s="6" t="s">
        <v>1326</v>
      </c>
      <c r="C876" s="6" t="s">
        <v>1972</v>
      </c>
      <c r="D876" s="6" t="s">
        <v>2001</v>
      </c>
      <c r="E876" s="6">
        <v>1</v>
      </c>
      <c r="F876" s="6" t="s">
        <v>2004</v>
      </c>
      <c r="G876" s="32" t="s">
        <v>2299</v>
      </c>
      <c r="H876" s="32" t="s">
        <v>2300</v>
      </c>
      <c r="I876" s="6" t="str">
        <f t="shared" si="30"/>
        <v>Stone Grapple</v>
      </c>
      <c r="J876" s="6" t="s">
        <v>384</v>
      </c>
      <c r="K876" s="6">
        <v>1</v>
      </c>
      <c r="L876" s="6">
        <f t="shared" si="31"/>
        <v>8230000</v>
      </c>
      <c r="M876" s="6">
        <v>7000000</v>
      </c>
      <c r="N876" s="6" t="s">
        <v>2003</v>
      </c>
      <c r="O876" s="6" t="s">
        <v>810</v>
      </c>
      <c r="P876" s="6">
        <v>2016</v>
      </c>
      <c r="Q876" s="6">
        <v>5</v>
      </c>
      <c r="R876" s="6" t="s">
        <v>45</v>
      </c>
      <c r="S876" s="31" t="s">
        <v>2123</v>
      </c>
      <c r="T876" s="6">
        <v>1</v>
      </c>
      <c r="U876" s="26">
        <v>6500000</v>
      </c>
      <c r="V876" s="26">
        <v>6500000</v>
      </c>
      <c r="W876" s="26">
        <v>6500000</v>
      </c>
      <c r="X876" s="6" t="s">
        <v>2003</v>
      </c>
      <c r="Y876" s="6" t="s">
        <v>1189</v>
      </c>
      <c r="Z876" s="6">
        <v>226729</v>
      </c>
    </row>
    <row r="877" spans="1:26" x14ac:dyDescent="0.3">
      <c r="A877" s="28" t="s">
        <v>42</v>
      </c>
      <c r="B877" s="6" t="s">
        <v>1328</v>
      </c>
      <c r="C877" s="6" t="s">
        <v>1975</v>
      </c>
      <c r="D877" s="6" t="s">
        <v>2292</v>
      </c>
      <c r="E877" s="6">
        <v>1</v>
      </c>
      <c r="F877" s="6" t="s">
        <v>2004</v>
      </c>
      <c r="G877" s="32" t="s">
        <v>2299</v>
      </c>
      <c r="H877" s="32" t="s">
        <v>2300</v>
      </c>
      <c r="I877" s="6" t="str">
        <f t="shared" si="30"/>
        <v>Side Breaker</v>
      </c>
      <c r="J877" s="6" t="s">
        <v>688</v>
      </c>
      <c r="K877" s="6">
        <v>1</v>
      </c>
      <c r="L877" s="6">
        <f t="shared" si="31"/>
        <v>5880000</v>
      </c>
      <c r="M877" s="6">
        <v>5000000</v>
      </c>
      <c r="N877" s="6" t="s">
        <v>2003</v>
      </c>
      <c r="O877" s="6" t="s">
        <v>2009</v>
      </c>
      <c r="P877" s="6">
        <v>2017</v>
      </c>
      <c r="Q877" s="6">
        <v>2</v>
      </c>
      <c r="R877" s="6" t="s">
        <v>45</v>
      </c>
      <c r="S877" s="31" t="s">
        <v>2110</v>
      </c>
      <c r="T877" s="6">
        <v>1</v>
      </c>
      <c r="U877" s="26">
        <v>4800000</v>
      </c>
      <c r="V877" s="26">
        <v>4800000</v>
      </c>
      <c r="W877" s="26">
        <v>4800000</v>
      </c>
      <c r="X877" s="6" t="s">
        <v>2003</v>
      </c>
      <c r="Y877" s="6" t="s">
        <v>1152</v>
      </c>
      <c r="Z877" s="6">
        <v>226730</v>
      </c>
    </row>
    <row r="878" spans="1:26" x14ac:dyDescent="0.3">
      <c r="A878" s="28" t="s">
        <v>42</v>
      </c>
      <c r="B878" s="6" t="s">
        <v>1327</v>
      </c>
      <c r="C878" s="6" t="s">
        <v>1980</v>
      </c>
      <c r="D878" s="6" t="s">
        <v>2291</v>
      </c>
      <c r="E878" s="6">
        <v>1</v>
      </c>
      <c r="F878" s="6" t="s">
        <v>2004</v>
      </c>
      <c r="G878" s="32" t="s">
        <v>2299</v>
      </c>
      <c r="H878" s="32" t="s">
        <v>2300</v>
      </c>
      <c r="I878" s="6" t="str">
        <f t="shared" si="30"/>
        <v>Small Bucket</v>
      </c>
      <c r="J878" s="6" t="s">
        <v>85</v>
      </c>
      <c r="K878" s="6">
        <v>1</v>
      </c>
      <c r="L878" s="6">
        <f t="shared" si="31"/>
        <v>440000</v>
      </c>
      <c r="M878" s="6">
        <v>380000</v>
      </c>
      <c r="N878" s="6" t="s">
        <v>2003</v>
      </c>
      <c r="O878" s="6" t="s">
        <v>823</v>
      </c>
      <c r="P878" s="6">
        <v>2017</v>
      </c>
      <c r="Q878" s="6">
        <v>1</v>
      </c>
      <c r="R878" s="6" t="s">
        <v>45</v>
      </c>
      <c r="S878" s="31" t="s">
        <v>2113</v>
      </c>
      <c r="T878" s="6">
        <v>1</v>
      </c>
      <c r="U878" s="26">
        <v>330000</v>
      </c>
      <c r="V878" s="26">
        <v>330000</v>
      </c>
      <c r="W878" s="26">
        <v>330000</v>
      </c>
      <c r="X878" s="6" t="s">
        <v>2003</v>
      </c>
      <c r="Y878" s="6" t="s">
        <v>49</v>
      </c>
      <c r="Z878" s="6">
        <v>226731</v>
      </c>
    </row>
    <row r="879" spans="1:26" x14ac:dyDescent="0.3">
      <c r="A879" s="28" t="s">
        <v>42</v>
      </c>
      <c r="B879" s="6" t="s">
        <v>1326</v>
      </c>
      <c r="C879" s="19" t="s">
        <v>1974</v>
      </c>
      <c r="D879" s="6" t="s">
        <v>2291</v>
      </c>
      <c r="E879" s="6">
        <v>1</v>
      </c>
      <c r="F879" s="6" t="s">
        <v>2004</v>
      </c>
      <c r="G879" s="32" t="s">
        <v>2299</v>
      </c>
      <c r="H879" s="32" t="s">
        <v>2300</v>
      </c>
      <c r="I879" s="6" t="str">
        <f t="shared" si="30"/>
        <v>Etc Grapple</v>
      </c>
      <c r="J879" s="6" t="s">
        <v>765</v>
      </c>
      <c r="K879" s="6">
        <v>1</v>
      </c>
      <c r="L879" s="6">
        <f t="shared" si="31"/>
        <v>1050000</v>
      </c>
      <c r="M879" s="6">
        <v>900000</v>
      </c>
      <c r="N879" s="6" t="s">
        <v>2003</v>
      </c>
      <c r="O879" s="6" t="s">
        <v>823</v>
      </c>
      <c r="P879" s="6">
        <v>2013</v>
      </c>
      <c r="Q879" s="6">
        <v>1</v>
      </c>
      <c r="R879" s="6" t="s">
        <v>45</v>
      </c>
      <c r="S879" s="31" t="s">
        <v>2113</v>
      </c>
      <c r="T879" s="6">
        <v>1</v>
      </c>
      <c r="U879" s="26">
        <v>800000</v>
      </c>
      <c r="V879" s="26">
        <v>800000</v>
      </c>
      <c r="W879" s="26">
        <v>800000</v>
      </c>
      <c r="X879" s="6" t="s">
        <v>2003</v>
      </c>
      <c r="Y879" s="6" t="s">
        <v>49</v>
      </c>
      <c r="Z879" s="6">
        <v>226737</v>
      </c>
    </row>
    <row r="880" spans="1:26" x14ac:dyDescent="0.3">
      <c r="A880" s="28" t="s">
        <v>42</v>
      </c>
      <c r="B880" s="6" t="s">
        <v>1326</v>
      </c>
      <c r="C880" s="6" t="s">
        <v>1974</v>
      </c>
      <c r="D880" s="6" t="s">
        <v>2291</v>
      </c>
      <c r="E880" s="6">
        <v>1</v>
      </c>
      <c r="F880" s="6" t="s">
        <v>2004</v>
      </c>
      <c r="G880" s="32" t="s">
        <v>2299</v>
      </c>
      <c r="H880" s="32" t="s">
        <v>2300</v>
      </c>
      <c r="I880" s="6" t="str">
        <f t="shared" si="30"/>
        <v>Etc Grapple</v>
      </c>
      <c r="J880" s="6" t="s">
        <v>360</v>
      </c>
      <c r="K880" s="6">
        <v>1</v>
      </c>
      <c r="L880" s="6">
        <f t="shared" si="31"/>
        <v>2820000</v>
      </c>
      <c r="M880" s="6">
        <v>2400000</v>
      </c>
      <c r="N880" s="6" t="s">
        <v>2003</v>
      </c>
      <c r="O880" s="6" t="s">
        <v>789</v>
      </c>
      <c r="P880" s="6">
        <v>2010</v>
      </c>
      <c r="Q880" s="6">
        <v>1</v>
      </c>
      <c r="R880" s="6" t="s">
        <v>45</v>
      </c>
      <c r="S880" s="31" t="s">
        <v>2122</v>
      </c>
      <c r="T880" s="6">
        <v>1</v>
      </c>
      <c r="U880" s="26">
        <v>2200000</v>
      </c>
      <c r="V880" s="26">
        <v>2200000</v>
      </c>
      <c r="W880" s="26">
        <v>2200000</v>
      </c>
      <c r="X880" s="6" t="s">
        <v>2003</v>
      </c>
      <c r="Y880" s="6" t="s">
        <v>65</v>
      </c>
      <c r="Z880" s="6">
        <v>226738</v>
      </c>
    </row>
    <row r="881" spans="1:26" x14ac:dyDescent="0.3">
      <c r="A881" s="28" t="s">
        <v>42</v>
      </c>
      <c r="B881" s="6" t="s">
        <v>1327</v>
      </c>
      <c r="C881" s="6" t="s">
        <v>1982</v>
      </c>
      <c r="D881" s="6" t="s">
        <v>2291</v>
      </c>
      <c r="E881" s="6">
        <v>1</v>
      </c>
      <c r="F881" s="6" t="s">
        <v>2004</v>
      </c>
      <c r="G881" s="32" t="s">
        <v>2299</v>
      </c>
      <c r="H881" s="32" t="s">
        <v>2300</v>
      </c>
      <c r="I881" s="6" t="str">
        <f t="shared" si="30"/>
        <v>Standard Bucket</v>
      </c>
      <c r="J881" s="6" t="s">
        <v>766</v>
      </c>
      <c r="K881" s="6">
        <v>1</v>
      </c>
      <c r="L881" s="6">
        <f t="shared" si="31"/>
        <v>440000</v>
      </c>
      <c r="M881" s="6">
        <v>380000</v>
      </c>
      <c r="N881" s="6" t="s">
        <v>2003</v>
      </c>
      <c r="O881" s="6" t="s">
        <v>823</v>
      </c>
      <c r="P881" s="6">
        <v>2013</v>
      </c>
      <c r="Q881" s="6">
        <v>1</v>
      </c>
      <c r="R881" s="6" t="s">
        <v>45</v>
      </c>
      <c r="S881" s="31" t="s">
        <v>2113</v>
      </c>
      <c r="T881" s="6">
        <v>1</v>
      </c>
      <c r="U881" s="26">
        <v>330000</v>
      </c>
      <c r="V881" s="26">
        <v>330000</v>
      </c>
      <c r="W881" s="26">
        <v>330000</v>
      </c>
      <c r="X881" s="6" t="s">
        <v>2003</v>
      </c>
      <c r="Y881" s="6" t="s">
        <v>49</v>
      </c>
      <c r="Z881" s="6">
        <v>226739</v>
      </c>
    </row>
    <row r="882" spans="1:26" x14ac:dyDescent="0.3">
      <c r="A882" s="28" t="s">
        <v>42</v>
      </c>
      <c r="B882" s="6" t="s">
        <v>1327</v>
      </c>
      <c r="C882" s="6" t="s">
        <v>1980</v>
      </c>
      <c r="D882" s="6" t="s">
        <v>2290</v>
      </c>
      <c r="E882" s="6">
        <v>1</v>
      </c>
      <c r="F882" s="6" t="s">
        <v>2004</v>
      </c>
      <c r="G882" s="32" t="s">
        <v>2299</v>
      </c>
      <c r="H882" s="32" t="s">
        <v>2300</v>
      </c>
      <c r="I882" s="6" t="str">
        <f t="shared" si="30"/>
        <v>Small Bucket</v>
      </c>
      <c r="J882" s="6" t="s">
        <v>139</v>
      </c>
      <c r="K882" s="6">
        <v>1</v>
      </c>
      <c r="L882" s="6">
        <f t="shared" si="31"/>
        <v>1050000</v>
      </c>
      <c r="M882" s="6">
        <v>900000</v>
      </c>
      <c r="N882" s="6" t="s">
        <v>2003</v>
      </c>
      <c r="O882" s="6" t="s">
        <v>817</v>
      </c>
      <c r="P882" s="6">
        <v>2013</v>
      </c>
      <c r="Q882" s="6">
        <v>1</v>
      </c>
      <c r="R882" s="6" t="s">
        <v>45</v>
      </c>
      <c r="S882" s="31" t="s">
        <v>2125</v>
      </c>
      <c r="T882" s="6">
        <v>1</v>
      </c>
      <c r="U882" s="26">
        <v>800000</v>
      </c>
      <c r="V882" s="26">
        <v>800000</v>
      </c>
      <c r="W882" s="26">
        <v>800000</v>
      </c>
      <c r="X882" s="6" t="s">
        <v>2003</v>
      </c>
      <c r="Y882" s="6" t="s">
        <v>1146</v>
      </c>
      <c r="Z882" s="6">
        <v>226741</v>
      </c>
    </row>
    <row r="883" spans="1:26" x14ac:dyDescent="0.3">
      <c r="A883" s="28" t="s">
        <v>42</v>
      </c>
      <c r="B883" s="6" t="s">
        <v>1327</v>
      </c>
      <c r="C883" s="6" t="s">
        <v>1976</v>
      </c>
      <c r="D883" s="6" t="s">
        <v>2291</v>
      </c>
      <c r="E883" s="6">
        <v>1</v>
      </c>
      <c r="F883" s="6" t="s">
        <v>2004</v>
      </c>
      <c r="G883" s="32" t="s">
        <v>2299</v>
      </c>
      <c r="H883" s="32" t="s">
        <v>2300</v>
      </c>
      <c r="I883" s="6" t="str">
        <f t="shared" si="30"/>
        <v>Skeleton Bucket</v>
      </c>
      <c r="J883" s="6" t="s">
        <v>767</v>
      </c>
      <c r="K883" s="6">
        <v>1</v>
      </c>
      <c r="L883" s="6">
        <f t="shared" si="31"/>
        <v>470000</v>
      </c>
      <c r="M883" s="6">
        <v>400000</v>
      </c>
      <c r="N883" s="6" t="s">
        <v>2003</v>
      </c>
      <c r="O883" s="6" t="s">
        <v>1115</v>
      </c>
      <c r="P883" s="6">
        <v>2014</v>
      </c>
      <c r="Q883" s="6">
        <v>1</v>
      </c>
      <c r="R883" s="6" t="s">
        <v>45</v>
      </c>
      <c r="S883" s="31" t="s">
        <v>2119</v>
      </c>
      <c r="T883" s="6">
        <v>1</v>
      </c>
      <c r="U883" s="26">
        <v>350000</v>
      </c>
      <c r="V883" s="26">
        <v>350000</v>
      </c>
      <c r="W883" s="26">
        <v>350000</v>
      </c>
      <c r="X883" s="6" t="s">
        <v>2003</v>
      </c>
      <c r="Y883" s="6" t="s">
        <v>1233</v>
      </c>
      <c r="Z883" s="6">
        <v>226743</v>
      </c>
    </row>
    <row r="884" spans="1:26" x14ac:dyDescent="0.3">
      <c r="A884" s="28" t="s">
        <v>42</v>
      </c>
      <c r="B884" s="6" t="s">
        <v>1326</v>
      </c>
      <c r="C884" s="6" t="s">
        <v>1972</v>
      </c>
      <c r="D884" s="6" t="s">
        <v>2292</v>
      </c>
      <c r="E884" s="6">
        <v>1</v>
      </c>
      <c r="F884" s="6" t="s">
        <v>2004</v>
      </c>
      <c r="G884" s="32" t="s">
        <v>2299</v>
      </c>
      <c r="H884" s="32" t="s">
        <v>2300</v>
      </c>
      <c r="I884" s="6" t="str">
        <f t="shared" si="30"/>
        <v>Stone Grapple</v>
      </c>
      <c r="J884" s="6" t="s">
        <v>120</v>
      </c>
      <c r="K884" s="6">
        <v>1</v>
      </c>
      <c r="L884" s="6">
        <f t="shared" si="31"/>
        <v>6470000</v>
      </c>
      <c r="M884" s="6">
        <v>5500000</v>
      </c>
      <c r="N884" s="6" t="s">
        <v>2003</v>
      </c>
      <c r="O884" s="6" t="s">
        <v>1116</v>
      </c>
      <c r="P884" s="6">
        <v>2014</v>
      </c>
      <c r="Q884" s="6">
        <v>1</v>
      </c>
      <c r="R884" s="6" t="s">
        <v>45</v>
      </c>
      <c r="S884" s="31" t="s">
        <v>2118</v>
      </c>
      <c r="T884" s="6">
        <v>1</v>
      </c>
      <c r="U884" s="26">
        <v>5000000</v>
      </c>
      <c r="V884" s="26">
        <v>5000000</v>
      </c>
      <c r="W884" s="26">
        <v>5000000</v>
      </c>
      <c r="X884" s="6" t="s">
        <v>2003</v>
      </c>
      <c r="Y884" s="6" t="s">
        <v>67</v>
      </c>
      <c r="Z884" s="6">
        <v>226746</v>
      </c>
    </row>
    <row r="885" spans="1:26" x14ac:dyDescent="0.3">
      <c r="A885" s="28" t="s">
        <v>42</v>
      </c>
      <c r="B885" s="6" t="s">
        <v>1327</v>
      </c>
      <c r="C885" s="6" t="s">
        <v>1980</v>
      </c>
      <c r="D885" s="6" t="s">
        <v>2291</v>
      </c>
      <c r="E885" s="6">
        <v>1</v>
      </c>
      <c r="F885" s="6" t="s">
        <v>2004</v>
      </c>
      <c r="G885" s="32" t="s">
        <v>2299</v>
      </c>
      <c r="H885" s="32" t="s">
        <v>2300</v>
      </c>
      <c r="I885" s="6" t="str">
        <f t="shared" si="30"/>
        <v>Small Bucket</v>
      </c>
      <c r="J885" s="6" t="s">
        <v>328</v>
      </c>
      <c r="K885" s="6">
        <v>1</v>
      </c>
      <c r="L885" s="6">
        <f t="shared" si="31"/>
        <v>310000</v>
      </c>
      <c r="M885" s="6">
        <v>270000</v>
      </c>
      <c r="N885" s="6" t="s">
        <v>2003</v>
      </c>
      <c r="O885" s="6" t="s">
        <v>1117</v>
      </c>
      <c r="P885" s="6">
        <v>2016</v>
      </c>
      <c r="Q885" s="6">
        <v>1</v>
      </c>
      <c r="R885" s="6" t="s">
        <v>45</v>
      </c>
      <c r="S885" s="31" t="s">
        <v>2112</v>
      </c>
      <c r="T885" s="6">
        <v>1</v>
      </c>
      <c r="U885" s="26">
        <v>220000</v>
      </c>
      <c r="V885" s="26">
        <v>220000</v>
      </c>
      <c r="W885" s="26">
        <v>220000</v>
      </c>
      <c r="X885" s="6" t="s">
        <v>2003</v>
      </c>
      <c r="Y885" s="6" t="s">
        <v>1142</v>
      </c>
      <c r="Z885" s="6">
        <v>226753</v>
      </c>
    </row>
    <row r="886" spans="1:26" x14ac:dyDescent="0.3">
      <c r="A886" s="28" t="s">
        <v>42</v>
      </c>
      <c r="B886" s="6" t="s">
        <v>1378</v>
      </c>
      <c r="C886" s="6"/>
      <c r="D886" s="6" t="s">
        <v>2291</v>
      </c>
      <c r="E886" s="6">
        <v>1</v>
      </c>
      <c r="F886" s="6" t="s">
        <v>2004</v>
      </c>
      <c r="G886" s="32" t="s">
        <v>2299</v>
      </c>
      <c r="H886" s="32" t="s">
        <v>2300</v>
      </c>
      <c r="I886" s="6" t="str">
        <f t="shared" si="30"/>
        <v>Shear&amp;Cutter</v>
      </c>
      <c r="J886" s="6" t="s">
        <v>768</v>
      </c>
      <c r="K886" s="6">
        <v>1</v>
      </c>
      <c r="L886" s="6">
        <f t="shared" si="31"/>
        <v>11170000</v>
      </c>
      <c r="M886" s="6">
        <v>9500000</v>
      </c>
      <c r="N886" s="6" t="s">
        <v>2003</v>
      </c>
      <c r="O886" s="6" t="s">
        <v>1118</v>
      </c>
      <c r="P886" s="6">
        <v>2017</v>
      </c>
      <c r="Q886" s="6">
        <v>2</v>
      </c>
      <c r="R886" s="6" t="s">
        <v>45</v>
      </c>
      <c r="S886" s="31" t="s">
        <v>2116</v>
      </c>
      <c r="T886" s="6">
        <v>1</v>
      </c>
      <c r="U886" s="26">
        <v>9000000</v>
      </c>
      <c r="V886" s="26">
        <v>9000000</v>
      </c>
      <c r="W886" s="26">
        <v>9000000</v>
      </c>
      <c r="X886" s="6" t="s">
        <v>2003</v>
      </c>
      <c r="Y886" s="6" t="s">
        <v>1277</v>
      </c>
      <c r="Z886" s="6">
        <v>226769</v>
      </c>
    </row>
    <row r="887" spans="1:26" x14ac:dyDescent="0.3">
      <c r="A887" s="28" t="s">
        <v>42</v>
      </c>
      <c r="B887" s="6" t="s">
        <v>1327</v>
      </c>
      <c r="C887" s="6" t="s">
        <v>1977</v>
      </c>
      <c r="D887" s="6" t="s">
        <v>2292</v>
      </c>
      <c r="E887" s="6">
        <v>1</v>
      </c>
      <c r="F887" s="6" t="s">
        <v>2004</v>
      </c>
      <c r="G887" s="32" t="s">
        <v>2299</v>
      </c>
      <c r="H887" s="32" t="s">
        <v>2300</v>
      </c>
      <c r="I887" s="6" t="str">
        <f t="shared" si="30"/>
        <v>Wide Bucket</v>
      </c>
      <c r="J887" s="6" t="s">
        <v>264</v>
      </c>
      <c r="K887" s="6">
        <v>1</v>
      </c>
      <c r="L887" s="6">
        <f t="shared" si="31"/>
        <v>1410000</v>
      </c>
      <c r="M887" s="6">
        <v>1200000</v>
      </c>
      <c r="N887" s="6" t="s">
        <v>2003</v>
      </c>
      <c r="O887" s="6" t="s">
        <v>823</v>
      </c>
      <c r="P887" s="6">
        <v>2014</v>
      </c>
      <c r="Q887" s="6">
        <v>1</v>
      </c>
      <c r="R887" s="6" t="s">
        <v>45</v>
      </c>
      <c r="S887" s="31" t="s">
        <v>2113</v>
      </c>
      <c r="T887" s="6">
        <v>1</v>
      </c>
      <c r="U887" s="26">
        <v>1100000</v>
      </c>
      <c r="V887" s="26">
        <v>1100000</v>
      </c>
      <c r="W887" s="26">
        <v>1100000</v>
      </c>
      <c r="X887" s="6" t="s">
        <v>2003</v>
      </c>
      <c r="Y887" s="6" t="s">
        <v>49</v>
      </c>
      <c r="Z887" s="6">
        <v>226771</v>
      </c>
    </row>
    <row r="888" spans="1:26" x14ac:dyDescent="0.3">
      <c r="A888" s="28" t="s">
        <v>42</v>
      </c>
      <c r="B888" s="6" t="s">
        <v>1326</v>
      </c>
      <c r="C888" s="6" t="s">
        <v>1979</v>
      </c>
      <c r="D888" s="6" t="s">
        <v>2290</v>
      </c>
      <c r="E888" s="6">
        <v>1</v>
      </c>
      <c r="F888" s="6" t="s">
        <v>2004</v>
      </c>
      <c r="G888" s="32" t="s">
        <v>2299</v>
      </c>
      <c r="H888" s="32" t="s">
        <v>2300</v>
      </c>
      <c r="I888" s="6" t="str">
        <f t="shared" si="30"/>
        <v>Thumb Grapple</v>
      </c>
      <c r="J888" s="6" t="s">
        <v>769</v>
      </c>
      <c r="K888" s="6">
        <v>1</v>
      </c>
      <c r="L888" s="6">
        <f t="shared" si="31"/>
        <v>1290000</v>
      </c>
      <c r="M888" s="6">
        <v>1100000</v>
      </c>
      <c r="N888" s="6" t="s">
        <v>2003</v>
      </c>
      <c r="O888" s="6" t="s">
        <v>1119</v>
      </c>
      <c r="P888" s="6">
        <v>2012</v>
      </c>
      <c r="Q888" s="6">
        <v>1</v>
      </c>
      <c r="R888" s="6" t="s">
        <v>45</v>
      </c>
      <c r="S888" s="31" t="s">
        <v>2116</v>
      </c>
      <c r="T888" s="6">
        <v>1</v>
      </c>
      <c r="U888" s="26">
        <v>1000000</v>
      </c>
      <c r="V888" s="26">
        <v>1000000</v>
      </c>
      <c r="W888" s="26">
        <v>1000000</v>
      </c>
      <c r="X888" s="6" t="s">
        <v>2003</v>
      </c>
      <c r="Y888" s="6" t="s">
        <v>1146</v>
      </c>
      <c r="Z888" s="6">
        <v>226773</v>
      </c>
    </row>
    <row r="889" spans="1:26" x14ac:dyDescent="0.3">
      <c r="A889" s="28" t="s">
        <v>42</v>
      </c>
      <c r="B889" s="6" t="s">
        <v>1327</v>
      </c>
      <c r="C889" s="6" t="s">
        <v>1976</v>
      </c>
      <c r="D889" s="6" t="s">
        <v>2292</v>
      </c>
      <c r="E889" s="6">
        <v>1</v>
      </c>
      <c r="F889" s="6" t="s">
        <v>2004</v>
      </c>
      <c r="G889" s="32" t="s">
        <v>2299</v>
      </c>
      <c r="H889" s="32" t="s">
        <v>2300</v>
      </c>
      <c r="I889" s="6" t="str">
        <f t="shared" si="30"/>
        <v>Skeleton Bucket</v>
      </c>
      <c r="J889" s="6" t="s">
        <v>62</v>
      </c>
      <c r="K889" s="6">
        <v>1</v>
      </c>
      <c r="L889" s="6">
        <f t="shared" si="31"/>
        <v>1110000</v>
      </c>
      <c r="M889" s="6">
        <v>950000</v>
      </c>
      <c r="N889" s="6" t="s">
        <v>2003</v>
      </c>
      <c r="O889" s="6" t="s">
        <v>2012</v>
      </c>
      <c r="P889" s="6">
        <v>2013</v>
      </c>
      <c r="Q889" s="6">
        <v>1</v>
      </c>
      <c r="R889" s="6" t="s">
        <v>45</v>
      </c>
      <c r="S889" s="31" t="s">
        <v>2113</v>
      </c>
      <c r="T889" s="6">
        <v>1</v>
      </c>
      <c r="U889" s="26">
        <v>850000</v>
      </c>
      <c r="V889" s="26">
        <v>850000</v>
      </c>
      <c r="W889" s="26">
        <v>850000</v>
      </c>
      <c r="X889" s="6" t="s">
        <v>2003</v>
      </c>
      <c r="Y889" s="6" t="s">
        <v>49</v>
      </c>
      <c r="Z889" s="6">
        <v>226794</v>
      </c>
    </row>
    <row r="890" spans="1:26" x14ac:dyDescent="0.3">
      <c r="A890" s="28" t="s">
        <v>42</v>
      </c>
      <c r="B890" s="6" t="s">
        <v>1327</v>
      </c>
      <c r="C890" s="6" t="s">
        <v>1976</v>
      </c>
      <c r="D890" s="6" t="s">
        <v>2292</v>
      </c>
      <c r="E890" s="6">
        <v>1</v>
      </c>
      <c r="F890" s="6" t="s">
        <v>2004</v>
      </c>
      <c r="G890" s="32" t="s">
        <v>2299</v>
      </c>
      <c r="H890" s="32" t="s">
        <v>2300</v>
      </c>
      <c r="I890" s="6" t="str">
        <f t="shared" si="30"/>
        <v>Skeleton Bucket</v>
      </c>
      <c r="J890" s="6" t="s">
        <v>455</v>
      </c>
      <c r="K890" s="6">
        <v>1</v>
      </c>
      <c r="L890" s="6">
        <f t="shared" si="31"/>
        <v>1050000</v>
      </c>
      <c r="M890" s="6">
        <v>900000</v>
      </c>
      <c r="N890" s="6" t="s">
        <v>2003</v>
      </c>
      <c r="O890" s="6" t="s">
        <v>823</v>
      </c>
      <c r="P890" s="6">
        <v>2013</v>
      </c>
      <c r="Q890" s="6">
        <v>1</v>
      </c>
      <c r="R890" s="6" t="s">
        <v>45</v>
      </c>
      <c r="S890" s="31" t="s">
        <v>2113</v>
      </c>
      <c r="T890" s="6">
        <v>1</v>
      </c>
      <c r="U890" s="26">
        <v>800000</v>
      </c>
      <c r="V890" s="26">
        <v>800000</v>
      </c>
      <c r="W890" s="26">
        <v>800000</v>
      </c>
      <c r="X890" s="6" t="s">
        <v>2003</v>
      </c>
      <c r="Y890" s="6" t="s">
        <v>49</v>
      </c>
      <c r="Z890" s="6">
        <v>226795</v>
      </c>
    </row>
    <row r="891" spans="1:26" x14ac:dyDescent="0.3">
      <c r="A891" s="28" t="s">
        <v>42</v>
      </c>
      <c r="B891" s="6" t="s">
        <v>1327</v>
      </c>
      <c r="C891" s="6" t="s">
        <v>1977</v>
      </c>
      <c r="D891" s="6" t="s">
        <v>2291</v>
      </c>
      <c r="E891" s="6">
        <v>1</v>
      </c>
      <c r="F891" s="6" t="s">
        <v>2004</v>
      </c>
      <c r="G891" s="32" t="s">
        <v>2299</v>
      </c>
      <c r="H891" s="32" t="s">
        <v>2300</v>
      </c>
      <c r="I891" s="6" t="str">
        <f t="shared" si="30"/>
        <v>Wide Bucket</v>
      </c>
      <c r="J891" s="6" t="s">
        <v>64</v>
      </c>
      <c r="K891" s="6">
        <v>1</v>
      </c>
      <c r="L891" s="6">
        <f t="shared" si="31"/>
        <v>490000</v>
      </c>
      <c r="M891" s="6">
        <v>420000</v>
      </c>
      <c r="N891" s="6" t="s">
        <v>2003</v>
      </c>
      <c r="O891" s="6" t="s">
        <v>1120</v>
      </c>
      <c r="P891" s="6">
        <v>2015</v>
      </c>
      <c r="Q891" s="6">
        <v>2</v>
      </c>
      <c r="R891" s="6" t="s">
        <v>45</v>
      </c>
      <c r="S891" s="31" t="s">
        <v>2112</v>
      </c>
      <c r="T891" s="6">
        <v>1</v>
      </c>
      <c r="U891" s="26">
        <v>370000</v>
      </c>
      <c r="V891" s="26">
        <v>370000</v>
      </c>
      <c r="W891" s="26">
        <v>370000</v>
      </c>
      <c r="X891" s="6" t="s">
        <v>2003</v>
      </c>
      <c r="Y891" s="6" t="s">
        <v>1169</v>
      </c>
      <c r="Z891" s="6">
        <v>226797</v>
      </c>
    </row>
    <row r="892" spans="1:26" x14ac:dyDescent="0.3">
      <c r="A892" s="28" t="s">
        <v>42</v>
      </c>
      <c r="B892" s="6" t="s">
        <v>1337</v>
      </c>
      <c r="C892" s="6"/>
      <c r="D892" s="6" t="s">
        <v>2289</v>
      </c>
      <c r="E892" s="6">
        <v>1</v>
      </c>
      <c r="F892" s="6" t="s">
        <v>2004</v>
      </c>
      <c r="G892" s="32" t="s">
        <v>2299</v>
      </c>
      <c r="H892" s="32" t="s">
        <v>2300</v>
      </c>
      <c r="I892" s="6" t="str">
        <f t="shared" si="30"/>
        <v>ETC</v>
      </c>
      <c r="J892" s="6" t="s">
        <v>675</v>
      </c>
      <c r="K892" s="6">
        <v>1</v>
      </c>
      <c r="L892" s="6">
        <f t="shared" si="31"/>
        <v>4350000</v>
      </c>
      <c r="M892" s="6">
        <v>3700000</v>
      </c>
      <c r="N892" s="6" t="s">
        <v>2003</v>
      </c>
      <c r="O892" s="6" t="s">
        <v>1885</v>
      </c>
      <c r="P892" s="6">
        <v>2007</v>
      </c>
      <c r="Q892" s="6">
        <v>1</v>
      </c>
      <c r="R892" s="6" t="s">
        <v>45</v>
      </c>
      <c r="S892" s="31" t="s">
        <v>2117</v>
      </c>
      <c r="T892" s="6">
        <v>1</v>
      </c>
      <c r="U892" s="26">
        <v>3500000</v>
      </c>
      <c r="V892" s="26">
        <v>3500000</v>
      </c>
      <c r="W892" s="26">
        <v>3500000</v>
      </c>
      <c r="X892" s="6" t="s">
        <v>2003</v>
      </c>
      <c r="Y892" s="6" t="s">
        <v>1300</v>
      </c>
      <c r="Z892" s="6">
        <v>226802</v>
      </c>
    </row>
    <row r="893" spans="1:26" x14ac:dyDescent="0.3">
      <c r="A893" s="28" t="s">
        <v>42</v>
      </c>
      <c r="B893" s="6" t="s">
        <v>1326</v>
      </c>
      <c r="C893" s="6" t="s">
        <v>1972</v>
      </c>
      <c r="D893" s="6" t="s">
        <v>2292</v>
      </c>
      <c r="E893" s="6">
        <v>1</v>
      </c>
      <c r="F893" s="6" t="s">
        <v>2004</v>
      </c>
      <c r="G893" s="32" t="s">
        <v>2299</v>
      </c>
      <c r="H893" s="32" t="s">
        <v>2300</v>
      </c>
      <c r="I893" s="6" t="str">
        <f t="shared" si="30"/>
        <v>Stone Grapple</v>
      </c>
      <c r="J893" s="6" t="s">
        <v>44</v>
      </c>
      <c r="K893" s="6">
        <v>1</v>
      </c>
      <c r="L893" s="6">
        <f t="shared" si="31"/>
        <v>4000000</v>
      </c>
      <c r="M893" s="6">
        <v>3400000</v>
      </c>
      <c r="N893" s="6" t="s">
        <v>2003</v>
      </c>
      <c r="O893" s="6" t="s">
        <v>1122</v>
      </c>
      <c r="P893" s="6">
        <v>2016</v>
      </c>
      <c r="Q893" s="6">
        <v>1</v>
      </c>
      <c r="R893" s="6" t="s">
        <v>45</v>
      </c>
      <c r="S893" s="31" t="s">
        <v>2118</v>
      </c>
      <c r="T893" s="6">
        <v>1</v>
      </c>
      <c r="U893" s="26">
        <v>3200000</v>
      </c>
      <c r="V893" s="26">
        <v>3200000</v>
      </c>
      <c r="W893" s="26">
        <v>3200000</v>
      </c>
      <c r="X893" s="6" t="s">
        <v>2003</v>
      </c>
      <c r="Y893" s="6" t="s">
        <v>63</v>
      </c>
      <c r="Z893" s="6">
        <v>226811</v>
      </c>
    </row>
    <row r="894" spans="1:26" x14ac:dyDescent="0.3">
      <c r="A894" s="28" t="s">
        <v>42</v>
      </c>
      <c r="B894" s="6" t="s">
        <v>2172</v>
      </c>
      <c r="C894" s="6"/>
      <c r="D894" s="6" t="s">
        <v>2001</v>
      </c>
      <c r="E894" s="6">
        <v>1</v>
      </c>
      <c r="F894" s="6" t="s">
        <v>2004</v>
      </c>
      <c r="G894" s="32" t="s">
        <v>2299</v>
      </c>
      <c r="H894" s="32" t="s">
        <v>2300</v>
      </c>
      <c r="I894" s="6" t="str">
        <f t="shared" si="30"/>
        <v>Quick Coupler</v>
      </c>
      <c r="J894" s="6" t="s">
        <v>290</v>
      </c>
      <c r="K894" s="6">
        <v>1</v>
      </c>
      <c r="L894" s="6">
        <f t="shared" si="31"/>
        <v>1410000</v>
      </c>
      <c r="M894" s="6">
        <v>1200000</v>
      </c>
      <c r="N894" s="6" t="s">
        <v>2003</v>
      </c>
      <c r="O894" s="6" t="s">
        <v>813</v>
      </c>
      <c r="P894" s="6">
        <v>2013</v>
      </c>
      <c r="Q894" s="6">
        <v>1</v>
      </c>
      <c r="R894" s="6" t="s">
        <v>45</v>
      </c>
      <c r="S894" s="31" t="s">
        <v>2113</v>
      </c>
      <c r="T894" s="6">
        <v>1</v>
      </c>
      <c r="U894" s="26">
        <v>1100000</v>
      </c>
      <c r="V894" s="26">
        <v>1100000</v>
      </c>
      <c r="W894" s="26">
        <v>1100000</v>
      </c>
      <c r="X894" s="6" t="s">
        <v>2003</v>
      </c>
      <c r="Y894" s="6" t="s">
        <v>80</v>
      </c>
      <c r="Z894" s="6">
        <v>226817</v>
      </c>
    </row>
    <row r="895" spans="1:26" x14ac:dyDescent="0.3">
      <c r="A895" s="28" t="s">
        <v>42</v>
      </c>
      <c r="B895" s="6" t="s">
        <v>1328</v>
      </c>
      <c r="C895" s="6" t="s">
        <v>1975</v>
      </c>
      <c r="D895" s="6" t="s">
        <v>2291</v>
      </c>
      <c r="E895" s="6">
        <v>1</v>
      </c>
      <c r="F895" s="6" t="s">
        <v>2004</v>
      </c>
      <c r="G895" s="32" t="s">
        <v>2299</v>
      </c>
      <c r="H895" s="32" t="s">
        <v>2300</v>
      </c>
      <c r="I895" s="6" t="str">
        <f t="shared" si="30"/>
        <v>Side Breaker</v>
      </c>
      <c r="J895" s="6" t="s">
        <v>212</v>
      </c>
      <c r="K895" s="6">
        <v>1</v>
      </c>
      <c r="L895" s="6">
        <f t="shared" si="31"/>
        <v>1880000</v>
      </c>
      <c r="M895" s="6">
        <v>1600000</v>
      </c>
      <c r="N895" s="6" t="s">
        <v>2003</v>
      </c>
      <c r="O895" s="6" t="s">
        <v>794</v>
      </c>
      <c r="P895" s="6">
        <v>2016</v>
      </c>
      <c r="Q895" s="6">
        <v>1</v>
      </c>
      <c r="R895" s="6" t="s">
        <v>45</v>
      </c>
      <c r="S895" s="31" t="s">
        <v>2122</v>
      </c>
      <c r="T895" s="6">
        <v>1</v>
      </c>
      <c r="U895" s="26">
        <v>1500000</v>
      </c>
      <c r="V895" s="26">
        <v>1500000</v>
      </c>
      <c r="W895" s="26">
        <v>1500000</v>
      </c>
      <c r="X895" s="6" t="s">
        <v>2003</v>
      </c>
      <c r="Y895" s="6" t="s">
        <v>1154</v>
      </c>
      <c r="Z895" s="6">
        <v>226821</v>
      </c>
    </row>
    <row r="896" spans="1:26" x14ac:dyDescent="0.3">
      <c r="A896" s="28" t="s">
        <v>42</v>
      </c>
      <c r="B896" s="6" t="s">
        <v>1328</v>
      </c>
      <c r="C896" s="6" t="s">
        <v>1975</v>
      </c>
      <c r="D896" s="6" t="s">
        <v>2292</v>
      </c>
      <c r="E896" s="6">
        <v>1</v>
      </c>
      <c r="F896" s="6" t="s">
        <v>2004</v>
      </c>
      <c r="G896" s="32" t="s">
        <v>2299</v>
      </c>
      <c r="H896" s="32" t="s">
        <v>2300</v>
      </c>
      <c r="I896" s="6" t="str">
        <f t="shared" si="30"/>
        <v>Side Breaker</v>
      </c>
      <c r="J896" s="6" t="s">
        <v>119</v>
      </c>
      <c r="K896" s="6">
        <v>1</v>
      </c>
      <c r="L896" s="6">
        <f t="shared" si="31"/>
        <v>5520000</v>
      </c>
      <c r="M896" s="6">
        <v>4700000</v>
      </c>
      <c r="N896" s="6" t="s">
        <v>2003</v>
      </c>
      <c r="O896" s="6" t="s">
        <v>824</v>
      </c>
      <c r="P896" s="6">
        <v>2015</v>
      </c>
      <c r="Q896" s="6">
        <v>1</v>
      </c>
      <c r="R896" s="6" t="s">
        <v>45</v>
      </c>
      <c r="S896" s="31" t="s">
        <v>2113</v>
      </c>
      <c r="T896" s="6">
        <v>1</v>
      </c>
      <c r="U896" s="26">
        <v>4500000</v>
      </c>
      <c r="V896" s="26">
        <v>4500000</v>
      </c>
      <c r="W896" s="26">
        <v>4500000</v>
      </c>
      <c r="X896" s="6" t="s">
        <v>2003</v>
      </c>
      <c r="Y896" s="6" t="s">
        <v>71</v>
      </c>
      <c r="Z896" s="6">
        <v>226822</v>
      </c>
    </row>
    <row r="897" spans="1:26" x14ac:dyDescent="0.3">
      <c r="A897" s="28" t="s">
        <v>42</v>
      </c>
      <c r="B897" s="6" t="s">
        <v>1327</v>
      </c>
      <c r="C897" s="6" t="s">
        <v>1971</v>
      </c>
      <c r="D897" s="6" t="s">
        <v>2001</v>
      </c>
      <c r="E897" s="6">
        <v>1</v>
      </c>
      <c r="F897" s="6" t="s">
        <v>2004</v>
      </c>
      <c r="G897" s="32" t="s">
        <v>2299</v>
      </c>
      <c r="H897" s="32" t="s">
        <v>2300</v>
      </c>
      <c r="I897" s="6" t="str">
        <f t="shared" si="30"/>
        <v>Special Bucket</v>
      </c>
      <c r="J897" s="6" t="s">
        <v>344</v>
      </c>
      <c r="K897" s="6">
        <v>1</v>
      </c>
      <c r="L897" s="6">
        <f t="shared" si="31"/>
        <v>3170000</v>
      </c>
      <c r="M897" s="6">
        <v>2700000</v>
      </c>
      <c r="N897" s="6" t="s">
        <v>2003</v>
      </c>
      <c r="O897" s="6" t="s">
        <v>813</v>
      </c>
      <c r="P897" s="6">
        <v>2013</v>
      </c>
      <c r="Q897" s="6">
        <v>1</v>
      </c>
      <c r="R897" s="6" t="s">
        <v>45</v>
      </c>
      <c r="S897" s="31" t="s">
        <v>2113</v>
      </c>
      <c r="T897" s="6">
        <v>1</v>
      </c>
      <c r="U897" s="26">
        <v>2500000</v>
      </c>
      <c r="V897" s="26">
        <v>2500000</v>
      </c>
      <c r="W897" s="26">
        <v>2500000</v>
      </c>
      <c r="X897" s="6" t="s">
        <v>2003</v>
      </c>
      <c r="Y897" s="6" t="s">
        <v>79</v>
      </c>
      <c r="Z897" s="6">
        <v>226823</v>
      </c>
    </row>
    <row r="898" spans="1:26" x14ac:dyDescent="0.3">
      <c r="A898" s="28" t="s">
        <v>42</v>
      </c>
      <c r="B898" s="6" t="s">
        <v>1378</v>
      </c>
      <c r="C898" s="6"/>
      <c r="D898" s="6" t="s">
        <v>2001</v>
      </c>
      <c r="E898" s="6">
        <v>1</v>
      </c>
      <c r="F898" s="6" t="s">
        <v>2004</v>
      </c>
      <c r="G898" s="32" t="s">
        <v>2299</v>
      </c>
      <c r="H898" s="32" t="s">
        <v>2300</v>
      </c>
      <c r="I898" s="6" t="str">
        <f t="shared" si="30"/>
        <v>Shear&amp;Cutter</v>
      </c>
      <c r="J898" s="6" t="s">
        <v>216</v>
      </c>
      <c r="K898" s="6">
        <v>1</v>
      </c>
      <c r="L898" s="6">
        <f t="shared" si="31"/>
        <v>18230000</v>
      </c>
      <c r="M898" s="6">
        <v>15500000</v>
      </c>
      <c r="N898" s="6" t="s">
        <v>2003</v>
      </c>
      <c r="O898" s="6" t="s">
        <v>813</v>
      </c>
      <c r="P898" s="6">
        <v>2014</v>
      </c>
      <c r="Q898" s="6">
        <v>1</v>
      </c>
      <c r="R898" s="6" t="s">
        <v>45</v>
      </c>
      <c r="S898" s="31" t="s">
        <v>2113</v>
      </c>
      <c r="T898" s="6">
        <v>1</v>
      </c>
      <c r="U898" s="26">
        <v>15000000</v>
      </c>
      <c r="V898" s="26">
        <v>15000000</v>
      </c>
      <c r="W898" s="26">
        <v>15000000</v>
      </c>
      <c r="X898" s="6" t="s">
        <v>2003</v>
      </c>
      <c r="Y898" s="6" t="s">
        <v>80</v>
      </c>
      <c r="Z898" s="6">
        <v>226824</v>
      </c>
    </row>
    <row r="899" spans="1:26" x14ac:dyDescent="0.3">
      <c r="A899" s="28" t="s">
        <v>42</v>
      </c>
      <c r="B899" s="6" t="s">
        <v>1327</v>
      </c>
      <c r="C899" s="6" t="s">
        <v>1976</v>
      </c>
      <c r="D899" s="6" t="s">
        <v>2292</v>
      </c>
      <c r="E899" s="6">
        <v>1</v>
      </c>
      <c r="F899" s="6" t="s">
        <v>2004</v>
      </c>
      <c r="G899" s="32" t="s">
        <v>2299</v>
      </c>
      <c r="H899" s="32" t="s">
        <v>2300</v>
      </c>
      <c r="I899" s="6" t="str">
        <f t="shared" si="30"/>
        <v>Skeleton Bucket</v>
      </c>
      <c r="J899" s="6" t="s">
        <v>190</v>
      </c>
      <c r="K899" s="6">
        <v>1</v>
      </c>
      <c r="L899" s="6">
        <f t="shared" si="31"/>
        <v>1290000</v>
      </c>
      <c r="M899" s="6">
        <v>1100000</v>
      </c>
      <c r="N899" s="6" t="s">
        <v>2003</v>
      </c>
      <c r="O899" s="6" t="s">
        <v>2057</v>
      </c>
      <c r="P899" s="6">
        <v>2017</v>
      </c>
      <c r="Q899" s="6">
        <v>2</v>
      </c>
      <c r="R899" s="6" t="s">
        <v>45</v>
      </c>
      <c r="S899" s="31" t="s">
        <v>2124</v>
      </c>
      <c r="T899" s="6">
        <v>1</v>
      </c>
      <c r="U899" s="26">
        <v>1000000</v>
      </c>
      <c r="V899" s="26">
        <v>1000000</v>
      </c>
      <c r="W899" s="26">
        <v>1000000</v>
      </c>
      <c r="X899" s="6" t="s">
        <v>2003</v>
      </c>
      <c r="Y899" s="6" t="s">
        <v>1144</v>
      </c>
      <c r="Z899" s="6">
        <v>226825</v>
      </c>
    </row>
    <row r="900" spans="1:26" x14ac:dyDescent="0.3">
      <c r="A900" s="28" t="s">
        <v>42</v>
      </c>
      <c r="B900" s="6" t="s">
        <v>1326</v>
      </c>
      <c r="C900" s="6" t="s">
        <v>1972</v>
      </c>
      <c r="D900" s="6" t="s">
        <v>2292</v>
      </c>
      <c r="E900" s="6">
        <v>1</v>
      </c>
      <c r="F900" s="6" t="s">
        <v>2004</v>
      </c>
      <c r="G900" s="32" t="s">
        <v>2299</v>
      </c>
      <c r="H900" s="32" t="s">
        <v>2300</v>
      </c>
      <c r="I900" s="6" t="str">
        <f t="shared" si="30"/>
        <v>Stone Grapple</v>
      </c>
      <c r="J900" s="6" t="s">
        <v>407</v>
      </c>
      <c r="K900" s="6">
        <v>1</v>
      </c>
      <c r="L900" s="6">
        <f t="shared" si="31"/>
        <v>3170000</v>
      </c>
      <c r="M900" s="6">
        <v>2700000</v>
      </c>
      <c r="N900" s="6" t="s">
        <v>2003</v>
      </c>
      <c r="O900" s="6" t="s">
        <v>2007</v>
      </c>
      <c r="P900" s="6">
        <v>2014</v>
      </c>
      <c r="Q900" s="6">
        <v>1</v>
      </c>
      <c r="R900" s="6" t="s">
        <v>45</v>
      </c>
      <c r="S900" s="31" t="s">
        <v>2113</v>
      </c>
      <c r="T900" s="6">
        <v>1</v>
      </c>
      <c r="U900" s="26">
        <v>2500000</v>
      </c>
      <c r="V900" s="26">
        <v>2500000</v>
      </c>
      <c r="W900" s="26">
        <v>2500000</v>
      </c>
      <c r="X900" s="6" t="s">
        <v>2003</v>
      </c>
      <c r="Y900" s="6" t="s">
        <v>49</v>
      </c>
      <c r="Z900" s="6">
        <v>226827</v>
      </c>
    </row>
    <row r="901" spans="1:26" x14ac:dyDescent="0.3">
      <c r="A901" s="28" t="s">
        <v>42</v>
      </c>
      <c r="B901" s="6" t="s">
        <v>1328</v>
      </c>
      <c r="C901" s="6" t="s">
        <v>1975</v>
      </c>
      <c r="D901" s="6" t="s">
        <v>2002</v>
      </c>
      <c r="E901" s="6">
        <v>1</v>
      </c>
      <c r="F901" s="6" t="s">
        <v>2004</v>
      </c>
      <c r="G901" s="32" t="s">
        <v>2299</v>
      </c>
      <c r="H901" s="32" t="s">
        <v>2300</v>
      </c>
      <c r="I901" s="6" t="str">
        <f t="shared" si="30"/>
        <v>Side Breaker</v>
      </c>
      <c r="J901" s="6" t="s">
        <v>424</v>
      </c>
      <c r="K901" s="6">
        <v>1</v>
      </c>
      <c r="L901" s="6">
        <f t="shared" si="31"/>
        <v>1410000</v>
      </c>
      <c r="M901" s="6">
        <v>1200000</v>
      </c>
      <c r="N901" s="6" t="s">
        <v>2003</v>
      </c>
      <c r="O901" s="6" t="s">
        <v>2007</v>
      </c>
      <c r="P901" s="6">
        <v>2013</v>
      </c>
      <c r="Q901" s="6">
        <v>1</v>
      </c>
      <c r="R901" s="6" t="s">
        <v>45</v>
      </c>
      <c r="S901" s="31" t="s">
        <v>2113</v>
      </c>
      <c r="T901" s="6">
        <v>1</v>
      </c>
      <c r="U901" s="26">
        <v>1100000</v>
      </c>
      <c r="V901" s="26">
        <v>1100000</v>
      </c>
      <c r="W901" s="26">
        <v>1100000</v>
      </c>
      <c r="X901" s="6" t="s">
        <v>2003</v>
      </c>
      <c r="Y901" s="6" t="s">
        <v>49</v>
      </c>
      <c r="Z901" s="6">
        <v>226833</v>
      </c>
    </row>
    <row r="902" spans="1:26" x14ac:dyDescent="0.3">
      <c r="A902" s="28" t="s">
        <v>42</v>
      </c>
      <c r="B902" s="6" t="s">
        <v>1328</v>
      </c>
      <c r="C902" s="19" t="s">
        <v>1975</v>
      </c>
      <c r="D902" s="6" t="s">
        <v>2291</v>
      </c>
      <c r="E902" s="6">
        <v>1</v>
      </c>
      <c r="F902" s="6" t="s">
        <v>2004</v>
      </c>
      <c r="G902" s="32" t="s">
        <v>2299</v>
      </c>
      <c r="H902" s="32" t="s">
        <v>2300</v>
      </c>
      <c r="I902" s="6" t="str">
        <f t="shared" si="30"/>
        <v>Side Breaker</v>
      </c>
      <c r="J902" s="6" t="s">
        <v>281</v>
      </c>
      <c r="K902" s="6">
        <v>1</v>
      </c>
      <c r="L902" s="6">
        <f t="shared" si="31"/>
        <v>1880000</v>
      </c>
      <c r="M902" s="6">
        <v>1600000</v>
      </c>
      <c r="N902" s="6" t="s">
        <v>2003</v>
      </c>
      <c r="O902" s="6" t="s">
        <v>797</v>
      </c>
      <c r="P902" s="6">
        <v>2015</v>
      </c>
      <c r="Q902" s="6">
        <v>7</v>
      </c>
      <c r="R902" s="6" t="s">
        <v>45</v>
      </c>
      <c r="S902" s="31" t="s">
        <v>2120</v>
      </c>
      <c r="T902" s="6">
        <v>1</v>
      </c>
      <c r="U902" s="26">
        <v>1500000</v>
      </c>
      <c r="V902" s="26">
        <v>1500000</v>
      </c>
      <c r="W902" s="26">
        <v>1500000</v>
      </c>
      <c r="X902" s="6" t="s">
        <v>2003</v>
      </c>
      <c r="Y902" s="6" t="s">
        <v>1162</v>
      </c>
      <c r="Z902" s="6">
        <v>226839</v>
      </c>
    </row>
    <row r="903" spans="1:26" x14ac:dyDescent="0.3">
      <c r="A903" s="28" t="s">
        <v>42</v>
      </c>
      <c r="B903" s="6" t="s">
        <v>1325</v>
      </c>
      <c r="C903" s="19" t="s">
        <v>2156</v>
      </c>
      <c r="D903" s="6" t="s">
        <v>2001</v>
      </c>
      <c r="E903" s="6">
        <v>1</v>
      </c>
      <c r="F903" s="6" t="s">
        <v>2004</v>
      </c>
      <c r="G903" s="32" t="s">
        <v>2299</v>
      </c>
      <c r="H903" s="32" t="s">
        <v>2300</v>
      </c>
      <c r="I903" s="6" t="str">
        <f t="shared" si="30"/>
        <v>Hydraulic Crusher</v>
      </c>
      <c r="J903" s="6" t="s">
        <v>181</v>
      </c>
      <c r="K903" s="6">
        <v>1</v>
      </c>
      <c r="L903" s="6">
        <f t="shared" si="31"/>
        <v>20000000</v>
      </c>
      <c r="M903" s="6">
        <v>17000000</v>
      </c>
      <c r="N903" s="6" t="s">
        <v>2003</v>
      </c>
      <c r="O903" s="6" t="s">
        <v>813</v>
      </c>
      <c r="P903" s="6">
        <v>2014</v>
      </c>
      <c r="Q903" s="6">
        <v>1</v>
      </c>
      <c r="R903" s="6" t="s">
        <v>45</v>
      </c>
      <c r="S903" s="31" t="s">
        <v>2113</v>
      </c>
      <c r="T903" s="6">
        <v>1</v>
      </c>
      <c r="U903" s="26">
        <v>16500000</v>
      </c>
      <c r="V903" s="26">
        <v>16500000</v>
      </c>
      <c r="W903" s="26">
        <v>16500000</v>
      </c>
      <c r="X903" s="6" t="s">
        <v>2003</v>
      </c>
      <c r="Y903" s="6" t="s">
        <v>79</v>
      </c>
      <c r="Z903" s="6">
        <v>226840</v>
      </c>
    </row>
    <row r="904" spans="1:26" x14ac:dyDescent="0.3">
      <c r="A904" s="28" t="s">
        <v>42</v>
      </c>
      <c r="B904" s="6" t="s">
        <v>1325</v>
      </c>
      <c r="C904" s="6" t="s">
        <v>1978</v>
      </c>
      <c r="D904" s="6" t="s">
        <v>2001</v>
      </c>
      <c r="E904" s="6">
        <v>1</v>
      </c>
      <c r="F904" s="6" t="s">
        <v>2004</v>
      </c>
      <c r="G904" s="32" t="s">
        <v>2299</v>
      </c>
      <c r="H904" s="32" t="s">
        <v>2300</v>
      </c>
      <c r="I904" s="6" t="str">
        <f t="shared" si="30"/>
        <v>Hydraulic Pulverizer</v>
      </c>
      <c r="J904" s="6" t="s">
        <v>258</v>
      </c>
      <c r="K904" s="6">
        <v>1</v>
      </c>
      <c r="L904" s="6">
        <f t="shared" si="31"/>
        <v>16470000</v>
      </c>
      <c r="M904" s="6">
        <v>14000000</v>
      </c>
      <c r="N904" s="6" t="s">
        <v>2003</v>
      </c>
      <c r="O904" s="6" t="s">
        <v>813</v>
      </c>
      <c r="P904" s="6">
        <v>2013</v>
      </c>
      <c r="Q904" s="6">
        <v>1</v>
      </c>
      <c r="R904" s="6" t="s">
        <v>45</v>
      </c>
      <c r="S904" s="31" t="s">
        <v>2113</v>
      </c>
      <c r="T904" s="6">
        <v>1</v>
      </c>
      <c r="U904" s="26">
        <v>13500000</v>
      </c>
      <c r="V904" s="26">
        <v>13500000</v>
      </c>
      <c r="W904" s="26">
        <v>13500000</v>
      </c>
      <c r="X904" s="6" t="s">
        <v>2003</v>
      </c>
      <c r="Y904" s="6" t="s">
        <v>80</v>
      </c>
      <c r="Z904" s="6">
        <v>226841</v>
      </c>
    </row>
    <row r="905" spans="1:26" x14ac:dyDescent="0.3">
      <c r="A905" s="28" t="s">
        <v>42</v>
      </c>
      <c r="B905" s="6" t="s">
        <v>1326</v>
      </c>
      <c r="C905" s="6" t="s">
        <v>1979</v>
      </c>
      <c r="D905" s="6" t="s">
        <v>2292</v>
      </c>
      <c r="E905" s="6">
        <v>1</v>
      </c>
      <c r="F905" s="6" t="s">
        <v>2004</v>
      </c>
      <c r="G905" s="32" t="s">
        <v>2299</v>
      </c>
      <c r="H905" s="32" t="s">
        <v>2300</v>
      </c>
      <c r="I905" s="6" t="str">
        <f t="shared" si="30"/>
        <v>Thumb Grapple</v>
      </c>
      <c r="J905" s="6" t="s">
        <v>96</v>
      </c>
      <c r="K905" s="6">
        <v>1</v>
      </c>
      <c r="L905" s="6">
        <f t="shared" si="31"/>
        <v>1410000</v>
      </c>
      <c r="M905" s="6">
        <v>1200000</v>
      </c>
      <c r="N905" s="6" t="s">
        <v>2003</v>
      </c>
      <c r="O905" s="6" t="s">
        <v>2007</v>
      </c>
      <c r="P905" s="6">
        <v>2013</v>
      </c>
      <c r="Q905" s="6">
        <v>1</v>
      </c>
      <c r="R905" s="6" t="s">
        <v>45</v>
      </c>
      <c r="S905" s="31" t="s">
        <v>2113</v>
      </c>
      <c r="T905" s="6">
        <v>1</v>
      </c>
      <c r="U905" s="26">
        <v>1100000</v>
      </c>
      <c r="V905" s="26">
        <v>1100000</v>
      </c>
      <c r="W905" s="26">
        <v>1100000</v>
      </c>
      <c r="X905" s="6" t="s">
        <v>2003</v>
      </c>
      <c r="Y905" s="6" t="s">
        <v>49</v>
      </c>
      <c r="Z905" s="6">
        <v>226843</v>
      </c>
    </row>
    <row r="906" spans="1:26" x14ac:dyDescent="0.3">
      <c r="A906" s="28" t="s">
        <v>42</v>
      </c>
      <c r="B906" s="6" t="s">
        <v>2172</v>
      </c>
      <c r="C906" s="6"/>
      <c r="D906" s="6" t="s">
        <v>2292</v>
      </c>
      <c r="E906" s="6">
        <v>1</v>
      </c>
      <c r="F906" s="6" t="s">
        <v>2004</v>
      </c>
      <c r="G906" s="32" t="s">
        <v>2299</v>
      </c>
      <c r="H906" s="32" t="s">
        <v>2300</v>
      </c>
      <c r="I906" s="6" t="str">
        <f t="shared" si="30"/>
        <v>Quick Coupler</v>
      </c>
      <c r="J906" s="6" t="s">
        <v>351</v>
      </c>
      <c r="K906" s="6">
        <v>1</v>
      </c>
      <c r="L906" s="6">
        <f t="shared" si="31"/>
        <v>1050000</v>
      </c>
      <c r="M906" s="6">
        <v>900000</v>
      </c>
      <c r="N906" s="6" t="s">
        <v>2003</v>
      </c>
      <c r="O906" s="6" t="s">
        <v>939</v>
      </c>
      <c r="P906" s="6">
        <v>2012</v>
      </c>
      <c r="Q906" s="6">
        <v>7</v>
      </c>
      <c r="R906" s="6" t="s">
        <v>45</v>
      </c>
      <c r="S906" s="31" t="s">
        <v>2120</v>
      </c>
      <c r="T906" s="6">
        <v>1</v>
      </c>
      <c r="U906" s="26">
        <v>800000</v>
      </c>
      <c r="V906" s="26">
        <v>800000</v>
      </c>
      <c r="W906" s="26">
        <v>800000</v>
      </c>
      <c r="X906" s="6" t="s">
        <v>2003</v>
      </c>
      <c r="Y906" s="6" t="s">
        <v>939</v>
      </c>
      <c r="Z906" s="6">
        <v>226849</v>
      </c>
    </row>
    <row r="907" spans="1:26" x14ac:dyDescent="0.3">
      <c r="A907" s="28" t="s">
        <v>42</v>
      </c>
      <c r="B907" s="6" t="s">
        <v>1326</v>
      </c>
      <c r="C907" s="6" t="s">
        <v>1972</v>
      </c>
      <c r="D907" s="6" t="s">
        <v>2292</v>
      </c>
      <c r="E907" s="6">
        <v>1</v>
      </c>
      <c r="F907" s="6" t="s">
        <v>2004</v>
      </c>
      <c r="G907" s="32" t="s">
        <v>2299</v>
      </c>
      <c r="H907" s="32" t="s">
        <v>2300</v>
      </c>
      <c r="I907" s="6" t="str">
        <f t="shared" ref="I907:I970" si="32">IF(ISBLANK(C907),B907,C907)</f>
        <v>Stone Grapple</v>
      </c>
      <c r="J907" s="6" t="s">
        <v>225</v>
      </c>
      <c r="K907" s="6">
        <v>1</v>
      </c>
      <c r="L907" s="6">
        <f t="shared" ref="L907:L970" si="33">FLOOR(((M907*100)/85)/10000, 1)*10000</f>
        <v>2940000</v>
      </c>
      <c r="M907" s="6">
        <v>2500000</v>
      </c>
      <c r="N907" s="6" t="s">
        <v>2003</v>
      </c>
      <c r="O907" s="6" t="s">
        <v>2007</v>
      </c>
      <c r="P907" s="6">
        <v>2013</v>
      </c>
      <c r="Q907" s="6">
        <v>1</v>
      </c>
      <c r="R907" s="6" t="s">
        <v>45</v>
      </c>
      <c r="S907" s="31" t="s">
        <v>2113</v>
      </c>
      <c r="T907" s="6">
        <v>1</v>
      </c>
      <c r="U907" s="26">
        <v>2300000</v>
      </c>
      <c r="V907" s="26">
        <v>2300000</v>
      </c>
      <c r="W907" s="26">
        <v>2300000</v>
      </c>
      <c r="X907" s="6" t="s">
        <v>2003</v>
      </c>
      <c r="Y907" s="6" t="s">
        <v>49</v>
      </c>
      <c r="Z907" s="6">
        <v>226851</v>
      </c>
    </row>
    <row r="908" spans="1:26" x14ac:dyDescent="0.3">
      <c r="A908" s="28" t="s">
        <v>42</v>
      </c>
      <c r="B908" s="6" t="s">
        <v>1326</v>
      </c>
      <c r="C908" s="6" t="s">
        <v>1973</v>
      </c>
      <c r="D908" s="6" t="s">
        <v>2291</v>
      </c>
      <c r="E908" s="6">
        <v>1</v>
      </c>
      <c r="F908" s="6" t="s">
        <v>2004</v>
      </c>
      <c r="G908" s="32" t="s">
        <v>2299</v>
      </c>
      <c r="H908" s="32" t="s">
        <v>2300</v>
      </c>
      <c r="I908" s="6" t="str">
        <f t="shared" si="32"/>
        <v>Wood Grapple</v>
      </c>
      <c r="J908" s="6" t="s">
        <v>127</v>
      </c>
      <c r="K908" s="6">
        <v>1</v>
      </c>
      <c r="L908" s="6">
        <f t="shared" si="33"/>
        <v>2230000</v>
      </c>
      <c r="M908" s="6">
        <v>1900000</v>
      </c>
      <c r="N908" s="6" t="s">
        <v>2003</v>
      </c>
      <c r="O908" s="6" t="s">
        <v>830</v>
      </c>
      <c r="P908" s="6">
        <v>2010</v>
      </c>
      <c r="Q908" s="6">
        <v>1</v>
      </c>
      <c r="R908" s="6" t="s">
        <v>45</v>
      </c>
      <c r="S908" s="31" t="s">
        <v>2114</v>
      </c>
      <c r="T908" s="6">
        <v>1</v>
      </c>
      <c r="U908" s="26">
        <v>1800000</v>
      </c>
      <c r="V908" s="26">
        <v>1800000</v>
      </c>
      <c r="W908" s="26">
        <v>1800000</v>
      </c>
      <c r="X908" s="6" t="s">
        <v>2003</v>
      </c>
      <c r="Y908" s="6" t="s">
        <v>830</v>
      </c>
      <c r="Z908" s="6">
        <v>226852</v>
      </c>
    </row>
    <row r="909" spans="1:26" x14ac:dyDescent="0.3">
      <c r="A909" s="28" t="s">
        <v>42</v>
      </c>
      <c r="B909" s="6" t="s">
        <v>1327</v>
      </c>
      <c r="C909" s="6" t="s">
        <v>1976</v>
      </c>
      <c r="D909" s="6" t="s">
        <v>2292</v>
      </c>
      <c r="E909" s="6">
        <v>1</v>
      </c>
      <c r="F909" s="6" t="s">
        <v>2004</v>
      </c>
      <c r="G909" s="32" t="s">
        <v>2299</v>
      </c>
      <c r="H909" s="32" t="s">
        <v>2300</v>
      </c>
      <c r="I909" s="6" t="str">
        <f t="shared" si="32"/>
        <v>Skeleton Bucket</v>
      </c>
      <c r="J909" s="6" t="s">
        <v>118</v>
      </c>
      <c r="K909" s="6">
        <v>1</v>
      </c>
      <c r="L909" s="6">
        <f t="shared" si="33"/>
        <v>1050000</v>
      </c>
      <c r="M909" s="6">
        <v>900000</v>
      </c>
      <c r="N909" s="6" t="s">
        <v>2003</v>
      </c>
      <c r="O909" s="6" t="s">
        <v>813</v>
      </c>
      <c r="P909" s="6">
        <v>2013</v>
      </c>
      <c r="Q909" s="6">
        <v>1</v>
      </c>
      <c r="R909" s="6" t="s">
        <v>45</v>
      </c>
      <c r="S909" s="31" t="s">
        <v>2113</v>
      </c>
      <c r="T909" s="6">
        <v>1</v>
      </c>
      <c r="U909" s="26">
        <v>800000</v>
      </c>
      <c r="V909" s="26">
        <v>800000</v>
      </c>
      <c r="W909" s="26">
        <v>800000</v>
      </c>
      <c r="X909" s="6" t="s">
        <v>2003</v>
      </c>
      <c r="Y909" s="6" t="s">
        <v>80</v>
      </c>
      <c r="Z909" s="6">
        <v>226872</v>
      </c>
    </row>
    <row r="910" spans="1:26" x14ac:dyDescent="0.3">
      <c r="A910" s="28" t="s">
        <v>42</v>
      </c>
      <c r="B910" s="6" t="s">
        <v>1326</v>
      </c>
      <c r="C910" s="6" t="s">
        <v>1972</v>
      </c>
      <c r="D910" s="6" t="s">
        <v>2292</v>
      </c>
      <c r="E910" s="6">
        <v>1</v>
      </c>
      <c r="F910" s="6" t="s">
        <v>2004</v>
      </c>
      <c r="G910" s="32" t="s">
        <v>2299</v>
      </c>
      <c r="H910" s="32" t="s">
        <v>2300</v>
      </c>
      <c r="I910" s="6" t="str">
        <f t="shared" si="32"/>
        <v>Stone Grapple</v>
      </c>
      <c r="J910" s="6" t="s">
        <v>230</v>
      </c>
      <c r="K910" s="6">
        <v>1</v>
      </c>
      <c r="L910" s="6">
        <f t="shared" si="33"/>
        <v>3050000</v>
      </c>
      <c r="M910" s="6">
        <v>2600000</v>
      </c>
      <c r="N910" s="6" t="s">
        <v>2003</v>
      </c>
      <c r="O910" s="6" t="s">
        <v>2007</v>
      </c>
      <c r="P910" s="6">
        <v>2014</v>
      </c>
      <c r="Q910" s="6">
        <v>1</v>
      </c>
      <c r="R910" s="6" t="s">
        <v>45</v>
      </c>
      <c r="S910" s="31" t="s">
        <v>2113</v>
      </c>
      <c r="T910" s="6">
        <v>1</v>
      </c>
      <c r="U910" s="26">
        <v>2400000</v>
      </c>
      <c r="V910" s="26">
        <v>2400000</v>
      </c>
      <c r="W910" s="26">
        <v>2400000</v>
      </c>
      <c r="X910" s="6" t="s">
        <v>2003</v>
      </c>
      <c r="Y910" s="6" t="s">
        <v>49</v>
      </c>
      <c r="Z910" s="6">
        <v>226876</v>
      </c>
    </row>
    <row r="911" spans="1:26" x14ac:dyDescent="0.3">
      <c r="A911" s="28" t="s">
        <v>42</v>
      </c>
      <c r="B911" s="6" t="s">
        <v>1326</v>
      </c>
      <c r="C911" s="6" t="s">
        <v>1972</v>
      </c>
      <c r="D911" s="6" t="s">
        <v>2292</v>
      </c>
      <c r="E911" s="6">
        <v>1</v>
      </c>
      <c r="F911" s="6" t="s">
        <v>2004</v>
      </c>
      <c r="G911" s="32" t="s">
        <v>2299</v>
      </c>
      <c r="H911" s="32" t="s">
        <v>2300</v>
      </c>
      <c r="I911" s="6" t="str">
        <f t="shared" si="32"/>
        <v>Stone Grapple</v>
      </c>
      <c r="J911" s="6" t="s">
        <v>145</v>
      </c>
      <c r="K911" s="6">
        <v>1</v>
      </c>
      <c r="L911" s="6">
        <f t="shared" si="33"/>
        <v>2110000</v>
      </c>
      <c r="M911" s="6">
        <v>1800000</v>
      </c>
      <c r="N911" s="6" t="s">
        <v>2003</v>
      </c>
      <c r="O911" s="6" t="s">
        <v>2007</v>
      </c>
      <c r="P911" s="6">
        <v>2013</v>
      </c>
      <c r="Q911" s="6">
        <v>1</v>
      </c>
      <c r="R911" s="6" t="s">
        <v>45</v>
      </c>
      <c r="S911" s="31" t="s">
        <v>2113</v>
      </c>
      <c r="T911" s="6">
        <v>1</v>
      </c>
      <c r="U911" s="26">
        <v>1700000</v>
      </c>
      <c r="V911" s="26">
        <v>1700000</v>
      </c>
      <c r="W911" s="26">
        <v>1700000</v>
      </c>
      <c r="X911" s="6" t="s">
        <v>2003</v>
      </c>
      <c r="Y911" s="6" t="s">
        <v>49</v>
      </c>
      <c r="Z911" s="6">
        <v>226877</v>
      </c>
    </row>
    <row r="912" spans="1:26" x14ac:dyDescent="0.3">
      <c r="A912" s="28" t="s">
        <v>42</v>
      </c>
      <c r="B912" s="6" t="s">
        <v>2163</v>
      </c>
      <c r="C912" s="6"/>
      <c r="D912" s="6" t="s">
        <v>2292</v>
      </c>
      <c r="E912" s="6">
        <v>1</v>
      </c>
      <c r="F912" s="6" t="s">
        <v>2004</v>
      </c>
      <c r="G912" s="32" t="s">
        <v>2299</v>
      </c>
      <c r="H912" s="32" t="s">
        <v>2300</v>
      </c>
      <c r="I912" s="6" t="str">
        <f t="shared" si="32"/>
        <v>Lift Fork</v>
      </c>
      <c r="J912" s="6" t="s">
        <v>449</v>
      </c>
      <c r="K912" s="6">
        <v>1</v>
      </c>
      <c r="L912" s="6">
        <f t="shared" si="33"/>
        <v>470000</v>
      </c>
      <c r="M912" s="6">
        <v>400000</v>
      </c>
      <c r="N912" s="6" t="s">
        <v>2003</v>
      </c>
      <c r="O912" s="6" t="s">
        <v>813</v>
      </c>
      <c r="P912" s="6">
        <v>2013</v>
      </c>
      <c r="Q912" s="6">
        <v>1</v>
      </c>
      <c r="R912" s="6" t="s">
        <v>45</v>
      </c>
      <c r="S912" s="31" t="s">
        <v>2113</v>
      </c>
      <c r="T912" s="6">
        <v>1</v>
      </c>
      <c r="U912" s="26">
        <v>350000</v>
      </c>
      <c r="V912" s="26">
        <v>350000</v>
      </c>
      <c r="W912" s="26">
        <v>350000</v>
      </c>
      <c r="X912" s="6" t="s">
        <v>2003</v>
      </c>
      <c r="Y912" s="6" t="s">
        <v>80</v>
      </c>
      <c r="Z912" s="6">
        <v>226878</v>
      </c>
    </row>
    <row r="913" spans="1:26" x14ac:dyDescent="0.3">
      <c r="A913" s="28" t="s">
        <v>42</v>
      </c>
      <c r="B913" s="6" t="s">
        <v>2163</v>
      </c>
      <c r="C913" s="6"/>
      <c r="D913" s="6" t="s">
        <v>2292</v>
      </c>
      <c r="E913" s="6">
        <v>1</v>
      </c>
      <c r="F913" s="6" t="s">
        <v>2004</v>
      </c>
      <c r="G913" s="32" t="s">
        <v>2299</v>
      </c>
      <c r="H913" s="32" t="s">
        <v>2300</v>
      </c>
      <c r="I913" s="6" t="str">
        <f t="shared" si="32"/>
        <v>Lift Fork</v>
      </c>
      <c r="J913" s="6" t="s">
        <v>772</v>
      </c>
      <c r="K913" s="6">
        <v>1</v>
      </c>
      <c r="L913" s="6">
        <f t="shared" si="33"/>
        <v>820000</v>
      </c>
      <c r="M913" s="6">
        <v>700000</v>
      </c>
      <c r="N913" s="6" t="s">
        <v>2003</v>
      </c>
      <c r="O913" s="6" t="s">
        <v>813</v>
      </c>
      <c r="P913" s="6">
        <v>2013</v>
      </c>
      <c r="Q913" s="6">
        <v>1</v>
      </c>
      <c r="R913" s="6" t="s">
        <v>45</v>
      </c>
      <c r="S913" s="31" t="s">
        <v>2113</v>
      </c>
      <c r="T913" s="6">
        <v>1</v>
      </c>
      <c r="U913" s="26">
        <v>600000</v>
      </c>
      <c r="V913" s="26">
        <v>600000</v>
      </c>
      <c r="W913" s="26">
        <v>600000</v>
      </c>
      <c r="X913" s="6" t="s">
        <v>2003</v>
      </c>
      <c r="Y913" s="6" t="s">
        <v>80</v>
      </c>
      <c r="Z913" s="6">
        <v>226883</v>
      </c>
    </row>
    <row r="914" spans="1:26" x14ac:dyDescent="0.3">
      <c r="A914" s="28" t="s">
        <v>42</v>
      </c>
      <c r="B914" s="6" t="s">
        <v>2169</v>
      </c>
      <c r="C914" s="6"/>
      <c r="D914" s="6" t="s">
        <v>2001</v>
      </c>
      <c r="E914" s="6">
        <v>1</v>
      </c>
      <c r="F914" s="6" t="s">
        <v>2004</v>
      </c>
      <c r="G914" s="32" t="s">
        <v>2299</v>
      </c>
      <c r="H914" s="32" t="s">
        <v>2300</v>
      </c>
      <c r="I914" s="6" t="str">
        <f t="shared" si="32"/>
        <v>Ripper</v>
      </c>
      <c r="J914" s="6" t="s">
        <v>773</v>
      </c>
      <c r="K914" s="6">
        <v>1</v>
      </c>
      <c r="L914" s="6">
        <f t="shared" si="33"/>
        <v>1880000</v>
      </c>
      <c r="M914" s="6">
        <v>1600000</v>
      </c>
      <c r="N914" s="6" t="s">
        <v>2003</v>
      </c>
      <c r="O914" s="6" t="s">
        <v>1123</v>
      </c>
      <c r="P914" s="6">
        <v>2015</v>
      </c>
      <c r="Q914" s="6">
        <v>1</v>
      </c>
      <c r="R914" s="6" t="s">
        <v>45</v>
      </c>
      <c r="S914" s="31" t="s">
        <v>2110</v>
      </c>
      <c r="T914" s="6">
        <v>1</v>
      </c>
      <c r="U914" s="26">
        <v>1500000</v>
      </c>
      <c r="V914" s="26">
        <v>1500000</v>
      </c>
      <c r="W914" s="26">
        <v>1500000</v>
      </c>
      <c r="X914" s="6" t="s">
        <v>2003</v>
      </c>
      <c r="Y914" s="6" t="s">
        <v>1150</v>
      </c>
      <c r="Z914" s="6">
        <v>226884</v>
      </c>
    </row>
    <row r="915" spans="1:26" x14ac:dyDescent="0.3">
      <c r="A915" s="28" t="s">
        <v>42</v>
      </c>
      <c r="B915" s="6" t="s">
        <v>1327</v>
      </c>
      <c r="C915" s="6" t="s">
        <v>1976</v>
      </c>
      <c r="D915" s="6" t="s">
        <v>2292</v>
      </c>
      <c r="E915" s="6">
        <v>1</v>
      </c>
      <c r="F915" s="6" t="s">
        <v>2004</v>
      </c>
      <c r="G915" s="32" t="s">
        <v>2299</v>
      </c>
      <c r="H915" s="32" t="s">
        <v>2300</v>
      </c>
      <c r="I915" s="6" t="str">
        <f t="shared" si="32"/>
        <v>Skeleton Bucket</v>
      </c>
      <c r="J915" s="6" t="s">
        <v>118</v>
      </c>
      <c r="K915" s="6">
        <v>1</v>
      </c>
      <c r="L915" s="6">
        <f t="shared" si="33"/>
        <v>1290000</v>
      </c>
      <c r="M915" s="6">
        <v>1100000</v>
      </c>
      <c r="N915" s="6" t="s">
        <v>2003</v>
      </c>
      <c r="O915" s="6" t="s">
        <v>1124</v>
      </c>
      <c r="P915" s="6">
        <v>2015</v>
      </c>
      <c r="Q915" s="6">
        <v>1</v>
      </c>
      <c r="R915" s="6" t="s">
        <v>45</v>
      </c>
      <c r="S915" s="31" t="s">
        <v>2110</v>
      </c>
      <c r="T915" s="6">
        <v>1</v>
      </c>
      <c r="U915" s="26">
        <v>1000000</v>
      </c>
      <c r="V915" s="26">
        <v>1000000</v>
      </c>
      <c r="W915" s="26">
        <v>1000000</v>
      </c>
      <c r="X915" s="6" t="s">
        <v>2003</v>
      </c>
      <c r="Y915" s="6" t="s">
        <v>1316</v>
      </c>
      <c r="Z915" s="6">
        <v>226885</v>
      </c>
    </row>
    <row r="916" spans="1:26" x14ac:dyDescent="0.3">
      <c r="A916" s="28" t="s">
        <v>42</v>
      </c>
      <c r="B916" s="6" t="s">
        <v>1326</v>
      </c>
      <c r="C916" s="6" t="s">
        <v>1974</v>
      </c>
      <c r="D916" s="6" t="s">
        <v>2292</v>
      </c>
      <c r="E916" s="6">
        <v>1</v>
      </c>
      <c r="F916" s="6" t="s">
        <v>2004</v>
      </c>
      <c r="G916" s="32" t="s">
        <v>2299</v>
      </c>
      <c r="H916" s="32" t="s">
        <v>2300</v>
      </c>
      <c r="I916" s="6" t="str">
        <f t="shared" si="32"/>
        <v>Etc Grapple</v>
      </c>
      <c r="J916" s="6" t="s">
        <v>774</v>
      </c>
      <c r="K916" s="6">
        <v>1</v>
      </c>
      <c r="L916" s="6">
        <f t="shared" si="33"/>
        <v>5640000</v>
      </c>
      <c r="M916" s="6">
        <v>4800000</v>
      </c>
      <c r="N916" s="6" t="s">
        <v>2003</v>
      </c>
      <c r="O916" s="6" t="s">
        <v>2007</v>
      </c>
      <c r="P916" s="6">
        <v>2014</v>
      </c>
      <c r="Q916" s="6">
        <v>1</v>
      </c>
      <c r="R916" s="6" t="s">
        <v>45</v>
      </c>
      <c r="S916" s="31" t="s">
        <v>2113</v>
      </c>
      <c r="T916" s="6">
        <v>1</v>
      </c>
      <c r="U916" s="26">
        <v>4600000</v>
      </c>
      <c r="V916" s="26">
        <v>4600000</v>
      </c>
      <c r="W916" s="26">
        <v>4600000</v>
      </c>
      <c r="X916" s="6" t="s">
        <v>2003</v>
      </c>
      <c r="Y916" s="6" t="s">
        <v>49</v>
      </c>
      <c r="Z916" s="6">
        <v>226888</v>
      </c>
    </row>
    <row r="917" spans="1:26" x14ac:dyDescent="0.3">
      <c r="A917" s="28" t="s">
        <v>42</v>
      </c>
      <c r="B917" s="6" t="s">
        <v>1378</v>
      </c>
      <c r="C917" s="6"/>
      <c r="D917" s="6" t="s">
        <v>2291</v>
      </c>
      <c r="E917" s="6">
        <v>1</v>
      </c>
      <c r="F917" s="6" t="s">
        <v>2004</v>
      </c>
      <c r="G917" s="32" t="s">
        <v>2299</v>
      </c>
      <c r="H917" s="32" t="s">
        <v>2300</v>
      </c>
      <c r="I917" s="6" t="str">
        <f t="shared" si="32"/>
        <v>Shear&amp;Cutter</v>
      </c>
      <c r="J917" s="6" t="s">
        <v>783</v>
      </c>
      <c r="K917" s="6">
        <v>1</v>
      </c>
      <c r="L917" s="6">
        <f t="shared" si="33"/>
        <v>10000000</v>
      </c>
      <c r="M917" s="6">
        <v>8500000</v>
      </c>
      <c r="N917" s="6" t="s">
        <v>2003</v>
      </c>
      <c r="O917" s="6" t="s">
        <v>1886</v>
      </c>
      <c r="P917" s="6">
        <v>2017</v>
      </c>
      <c r="Q917" s="6">
        <v>1</v>
      </c>
      <c r="R917" s="6" t="s">
        <v>45</v>
      </c>
      <c r="S917" s="31" t="s">
        <v>2119</v>
      </c>
      <c r="T917" s="6">
        <v>1</v>
      </c>
      <c r="U917" s="26">
        <v>8000000</v>
      </c>
      <c r="V917" s="26">
        <v>8000000</v>
      </c>
      <c r="W917" s="26">
        <v>8000000</v>
      </c>
      <c r="X917" s="6" t="s">
        <v>2003</v>
      </c>
      <c r="Y917" s="6" t="s">
        <v>1277</v>
      </c>
      <c r="Z917" s="6">
        <v>226890</v>
      </c>
    </row>
    <row r="918" spans="1:26" x14ac:dyDescent="0.3">
      <c r="A918" s="28" t="s">
        <v>42</v>
      </c>
      <c r="B918" s="6" t="s">
        <v>1327</v>
      </c>
      <c r="C918" s="6" t="s">
        <v>1976</v>
      </c>
      <c r="D918" s="6" t="s">
        <v>2292</v>
      </c>
      <c r="E918" s="6">
        <v>1</v>
      </c>
      <c r="F918" s="6" t="s">
        <v>2004</v>
      </c>
      <c r="G918" s="32" t="s">
        <v>2299</v>
      </c>
      <c r="H918" s="32" t="s">
        <v>2300</v>
      </c>
      <c r="I918" s="6" t="str">
        <f t="shared" si="32"/>
        <v>Skeleton Bucket</v>
      </c>
      <c r="J918" s="6" t="s">
        <v>556</v>
      </c>
      <c r="K918" s="6">
        <v>1</v>
      </c>
      <c r="L918" s="6">
        <f t="shared" si="33"/>
        <v>1110000</v>
      </c>
      <c r="M918" s="6">
        <v>950000</v>
      </c>
      <c r="N918" s="6" t="s">
        <v>2003</v>
      </c>
      <c r="O918" s="6" t="s">
        <v>2007</v>
      </c>
      <c r="P918" s="6">
        <v>2013</v>
      </c>
      <c r="Q918" s="6">
        <v>1</v>
      </c>
      <c r="R918" s="6" t="s">
        <v>45</v>
      </c>
      <c r="S918" s="31" t="s">
        <v>2113</v>
      </c>
      <c r="T918" s="6">
        <v>1</v>
      </c>
      <c r="U918" s="26">
        <v>850000</v>
      </c>
      <c r="V918" s="26">
        <v>850000</v>
      </c>
      <c r="W918" s="26">
        <v>850000</v>
      </c>
      <c r="X918" s="6" t="s">
        <v>2003</v>
      </c>
      <c r="Y918" s="6" t="s">
        <v>49</v>
      </c>
      <c r="Z918" s="6">
        <v>226894</v>
      </c>
    </row>
    <row r="919" spans="1:26" x14ac:dyDescent="0.3">
      <c r="A919" s="28" t="s">
        <v>42</v>
      </c>
      <c r="B919" s="6" t="s">
        <v>1337</v>
      </c>
      <c r="C919" s="6"/>
      <c r="D919" s="6" t="s">
        <v>2293</v>
      </c>
      <c r="E919" s="6">
        <v>1</v>
      </c>
      <c r="F919" s="6" t="s">
        <v>2004</v>
      </c>
      <c r="G919" s="32" t="s">
        <v>2299</v>
      </c>
      <c r="H919" s="32" t="s">
        <v>2300</v>
      </c>
      <c r="I919" s="6" t="str">
        <f t="shared" si="32"/>
        <v>ETC</v>
      </c>
      <c r="J919" s="6" t="s">
        <v>770</v>
      </c>
      <c r="K919" s="6">
        <v>1</v>
      </c>
      <c r="L919" s="6">
        <f t="shared" si="33"/>
        <v>2230000</v>
      </c>
      <c r="M919" s="6">
        <v>1900000</v>
      </c>
      <c r="N919" s="6" t="s">
        <v>2003</v>
      </c>
      <c r="O919" s="6" t="s">
        <v>798</v>
      </c>
      <c r="P919" s="6">
        <v>2015</v>
      </c>
      <c r="Q919" s="6">
        <v>1</v>
      </c>
      <c r="R919" s="6" t="s">
        <v>45</v>
      </c>
      <c r="S919" s="31" t="s">
        <v>2113</v>
      </c>
      <c r="T919" s="6">
        <v>1</v>
      </c>
      <c r="U919" s="26">
        <v>1800000</v>
      </c>
      <c r="V919" s="26">
        <v>1800000</v>
      </c>
      <c r="W919" s="26">
        <v>1800000</v>
      </c>
      <c r="X919" s="6" t="s">
        <v>2003</v>
      </c>
      <c r="Y919" s="6" t="s">
        <v>71</v>
      </c>
      <c r="Z919" s="6">
        <v>226899</v>
      </c>
    </row>
    <row r="920" spans="1:26" x14ac:dyDescent="0.3">
      <c r="A920" s="28" t="s">
        <v>42</v>
      </c>
      <c r="B920" s="6" t="s">
        <v>1326</v>
      </c>
      <c r="C920" s="6" t="s">
        <v>1972</v>
      </c>
      <c r="D920" s="6" t="s">
        <v>2291</v>
      </c>
      <c r="E920" s="6">
        <v>1</v>
      </c>
      <c r="F920" s="6" t="s">
        <v>2004</v>
      </c>
      <c r="G920" s="32" t="s">
        <v>2299</v>
      </c>
      <c r="H920" s="32" t="s">
        <v>2300</v>
      </c>
      <c r="I920" s="6" t="str">
        <f t="shared" si="32"/>
        <v>Stone Grapple</v>
      </c>
      <c r="J920" s="6" t="s">
        <v>149</v>
      </c>
      <c r="K920" s="6">
        <v>1</v>
      </c>
      <c r="L920" s="6">
        <f t="shared" si="33"/>
        <v>2110000</v>
      </c>
      <c r="M920" s="6">
        <v>1800000</v>
      </c>
      <c r="N920" s="6" t="s">
        <v>2003</v>
      </c>
      <c r="O920" s="6" t="s">
        <v>1125</v>
      </c>
      <c r="P920" s="6">
        <v>2015</v>
      </c>
      <c r="Q920" s="6">
        <v>5</v>
      </c>
      <c r="R920" s="6" t="s">
        <v>45</v>
      </c>
      <c r="S920" s="31" t="s">
        <v>2123</v>
      </c>
      <c r="T920" s="6">
        <v>1</v>
      </c>
      <c r="U920" s="26">
        <v>1700000</v>
      </c>
      <c r="V920" s="26">
        <v>1700000</v>
      </c>
      <c r="W920" s="26">
        <v>1700000</v>
      </c>
      <c r="X920" s="6" t="s">
        <v>2003</v>
      </c>
      <c r="Y920" s="6" t="s">
        <v>1295</v>
      </c>
      <c r="Z920" s="6">
        <v>226905</v>
      </c>
    </row>
    <row r="921" spans="1:26" x14ac:dyDescent="0.3">
      <c r="A921" s="28" t="s">
        <v>42</v>
      </c>
      <c r="B921" s="6" t="s">
        <v>1325</v>
      </c>
      <c r="C921" s="6" t="s">
        <v>2156</v>
      </c>
      <c r="D921" s="6" t="s">
        <v>2293</v>
      </c>
      <c r="E921" s="6">
        <v>1</v>
      </c>
      <c r="F921" s="6" t="s">
        <v>2004</v>
      </c>
      <c r="G921" s="32" t="s">
        <v>2299</v>
      </c>
      <c r="H921" s="32" t="s">
        <v>2300</v>
      </c>
      <c r="I921" s="6" t="str">
        <f t="shared" si="32"/>
        <v>Hydraulic Crusher</v>
      </c>
      <c r="J921" s="6" t="s">
        <v>76</v>
      </c>
      <c r="K921" s="6">
        <v>1</v>
      </c>
      <c r="L921" s="6">
        <f t="shared" si="33"/>
        <v>5290000</v>
      </c>
      <c r="M921" s="6">
        <v>4500000</v>
      </c>
      <c r="N921" s="6" t="s">
        <v>2003</v>
      </c>
      <c r="O921" s="6" t="s">
        <v>70</v>
      </c>
      <c r="P921" s="6">
        <v>2014</v>
      </c>
      <c r="Q921" s="6">
        <v>3</v>
      </c>
      <c r="R921" s="6" t="s">
        <v>45</v>
      </c>
      <c r="S921" s="31" t="s">
        <v>2113</v>
      </c>
      <c r="T921" s="6">
        <v>1</v>
      </c>
      <c r="U921" s="26">
        <v>4300000</v>
      </c>
      <c r="V921" s="26">
        <v>4300000</v>
      </c>
      <c r="W921" s="26">
        <v>4300000</v>
      </c>
      <c r="X921" s="6" t="s">
        <v>2003</v>
      </c>
      <c r="Y921" s="6" t="s">
        <v>71</v>
      </c>
      <c r="Z921" s="6">
        <v>226908</v>
      </c>
    </row>
    <row r="922" spans="1:26" x14ac:dyDescent="0.3">
      <c r="A922" s="28" t="s">
        <v>42</v>
      </c>
      <c r="B922" s="6" t="s">
        <v>1326</v>
      </c>
      <c r="C922" s="6" t="s">
        <v>1974</v>
      </c>
      <c r="D922" s="6" t="s">
        <v>2292</v>
      </c>
      <c r="E922" s="6">
        <v>1</v>
      </c>
      <c r="F922" s="6" t="s">
        <v>2004</v>
      </c>
      <c r="G922" s="32" t="s">
        <v>2299</v>
      </c>
      <c r="H922" s="32" t="s">
        <v>2300</v>
      </c>
      <c r="I922" s="6" t="str">
        <f t="shared" si="32"/>
        <v>Etc Grapple</v>
      </c>
      <c r="J922" s="6" t="s">
        <v>125</v>
      </c>
      <c r="K922" s="6">
        <v>1</v>
      </c>
      <c r="L922" s="6">
        <f t="shared" si="33"/>
        <v>6470000</v>
      </c>
      <c r="M922" s="6">
        <v>5500000</v>
      </c>
      <c r="N922" s="6" t="s">
        <v>2003</v>
      </c>
      <c r="O922" s="6" t="s">
        <v>830</v>
      </c>
      <c r="P922" s="6">
        <v>2009</v>
      </c>
      <c r="Q922" s="6">
        <v>1</v>
      </c>
      <c r="R922" s="6" t="s">
        <v>45</v>
      </c>
      <c r="S922" s="31" t="s">
        <v>2114</v>
      </c>
      <c r="T922" s="6">
        <v>1</v>
      </c>
      <c r="U922" s="26">
        <v>5000000</v>
      </c>
      <c r="V922" s="26">
        <v>5000000</v>
      </c>
      <c r="W922" s="26">
        <v>5000000</v>
      </c>
      <c r="X922" s="6" t="s">
        <v>2003</v>
      </c>
      <c r="Y922" s="6" t="s">
        <v>830</v>
      </c>
      <c r="Z922" s="6">
        <v>226909</v>
      </c>
    </row>
    <row r="923" spans="1:26" x14ac:dyDescent="0.3">
      <c r="A923" s="28" t="s">
        <v>42</v>
      </c>
      <c r="B923" s="6" t="s">
        <v>2169</v>
      </c>
      <c r="C923" s="6"/>
      <c r="D923" s="6" t="s">
        <v>2292</v>
      </c>
      <c r="E923" s="6">
        <v>1</v>
      </c>
      <c r="F923" s="6" t="s">
        <v>2004</v>
      </c>
      <c r="G923" s="32" t="s">
        <v>2299</v>
      </c>
      <c r="H923" s="32" t="s">
        <v>2300</v>
      </c>
      <c r="I923" s="6" t="str">
        <f t="shared" si="32"/>
        <v>Ripper</v>
      </c>
      <c r="J923" s="6" t="s">
        <v>776</v>
      </c>
      <c r="K923" s="6">
        <v>1</v>
      </c>
      <c r="L923" s="6">
        <f t="shared" si="33"/>
        <v>1000000</v>
      </c>
      <c r="M923" s="6">
        <v>850000</v>
      </c>
      <c r="N923" s="6" t="s">
        <v>2003</v>
      </c>
      <c r="O923" s="6" t="s">
        <v>2091</v>
      </c>
      <c r="P923" s="6">
        <v>2017</v>
      </c>
      <c r="Q923" s="6">
        <v>1</v>
      </c>
      <c r="R923" s="6" t="s">
        <v>45</v>
      </c>
      <c r="S923" s="31" t="s">
        <v>2110</v>
      </c>
      <c r="T923" s="6">
        <v>1</v>
      </c>
      <c r="U923" s="26">
        <v>750000</v>
      </c>
      <c r="V923" s="26">
        <v>750000</v>
      </c>
      <c r="W923" s="26">
        <v>750000</v>
      </c>
      <c r="X923" s="6" t="s">
        <v>2003</v>
      </c>
      <c r="Y923" s="6" t="s">
        <v>1155</v>
      </c>
      <c r="Z923" s="6">
        <v>226910</v>
      </c>
    </row>
    <row r="924" spans="1:26" x14ac:dyDescent="0.3">
      <c r="A924" s="28" t="s">
        <v>42</v>
      </c>
      <c r="B924" s="6" t="s">
        <v>1325</v>
      </c>
      <c r="C924" s="6" t="s">
        <v>1978</v>
      </c>
      <c r="D924" s="6" t="s">
        <v>2001</v>
      </c>
      <c r="E924" s="6">
        <v>1</v>
      </c>
      <c r="F924" s="6" t="s">
        <v>2004</v>
      </c>
      <c r="G924" s="32" t="s">
        <v>2299</v>
      </c>
      <c r="H924" s="32" t="s">
        <v>2300</v>
      </c>
      <c r="I924" s="6" t="str">
        <f t="shared" si="32"/>
        <v>Hydraulic Pulverizer</v>
      </c>
      <c r="J924" s="6" t="s">
        <v>258</v>
      </c>
      <c r="K924" s="6">
        <v>1</v>
      </c>
      <c r="L924" s="6">
        <f t="shared" si="33"/>
        <v>14700000</v>
      </c>
      <c r="M924" s="6">
        <v>12500000</v>
      </c>
      <c r="N924" s="6" t="s">
        <v>2003</v>
      </c>
      <c r="O924" s="6" t="s">
        <v>1126</v>
      </c>
      <c r="P924" s="6">
        <v>2003</v>
      </c>
      <c r="Q924" s="6">
        <v>1</v>
      </c>
      <c r="R924" s="6" t="s">
        <v>45</v>
      </c>
      <c r="S924" s="31" t="s">
        <v>2110</v>
      </c>
      <c r="T924" s="6">
        <v>1</v>
      </c>
      <c r="U924" s="26">
        <v>12000000</v>
      </c>
      <c r="V924" s="26">
        <v>12000000</v>
      </c>
      <c r="W924" s="26">
        <v>12000000</v>
      </c>
      <c r="X924" s="6" t="s">
        <v>2003</v>
      </c>
      <c r="Y924" s="6" t="s">
        <v>1317</v>
      </c>
      <c r="Z924" s="6">
        <v>226912</v>
      </c>
    </row>
    <row r="925" spans="1:26" x14ac:dyDescent="0.3">
      <c r="A925" s="28" t="s">
        <v>42</v>
      </c>
      <c r="B925" s="6" t="s">
        <v>2163</v>
      </c>
      <c r="C925" s="6"/>
      <c r="D925" s="6" t="s">
        <v>2291</v>
      </c>
      <c r="E925" s="6">
        <v>1</v>
      </c>
      <c r="F925" s="6" t="s">
        <v>2004</v>
      </c>
      <c r="G925" s="32" t="s">
        <v>2299</v>
      </c>
      <c r="H925" s="32" t="s">
        <v>2300</v>
      </c>
      <c r="I925" s="6" t="str">
        <f t="shared" si="32"/>
        <v>Lift Fork</v>
      </c>
      <c r="J925" s="6" t="s">
        <v>132</v>
      </c>
      <c r="K925" s="6">
        <v>1</v>
      </c>
      <c r="L925" s="6">
        <f t="shared" si="33"/>
        <v>1110000</v>
      </c>
      <c r="M925" s="6">
        <v>950000</v>
      </c>
      <c r="N925" s="6" t="s">
        <v>2003</v>
      </c>
      <c r="O925" s="6" t="s">
        <v>2020</v>
      </c>
      <c r="P925" s="6">
        <v>2017</v>
      </c>
      <c r="Q925" s="6">
        <v>1</v>
      </c>
      <c r="R925" s="6" t="s">
        <v>45</v>
      </c>
      <c r="S925" s="31" t="s">
        <v>2110</v>
      </c>
      <c r="T925" s="6">
        <v>1</v>
      </c>
      <c r="U925" s="26">
        <v>850000</v>
      </c>
      <c r="V925" s="26">
        <v>850000</v>
      </c>
      <c r="W925" s="26">
        <v>850000</v>
      </c>
      <c r="X925" s="6" t="s">
        <v>2003</v>
      </c>
      <c r="Y925" s="6" t="s">
        <v>1155</v>
      </c>
      <c r="Z925" s="6">
        <v>226915</v>
      </c>
    </row>
    <row r="926" spans="1:26" x14ac:dyDescent="0.3">
      <c r="A926" s="28" t="s">
        <v>42</v>
      </c>
      <c r="B926" s="6" t="s">
        <v>1326</v>
      </c>
      <c r="C926" s="6" t="s">
        <v>1974</v>
      </c>
      <c r="D926" s="6" t="s">
        <v>2291</v>
      </c>
      <c r="E926" s="6">
        <v>1</v>
      </c>
      <c r="F926" s="6" t="s">
        <v>2004</v>
      </c>
      <c r="G926" s="32" t="s">
        <v>2299</v>
      </c>
      <c r="H926" s="32" t="s">
        <v>2300</v>
      </c>
      <c r="I926" s="6" t="str">
        <f t="shared" si="32"/>
        <v>Etc Grapple</v>
      </c>
      <c r="J926" s="6" t="s">
        <v>136</v>
      </c>
      <c r="K926" s="6">
        <v>1</v>
      </c>
      <c r="L926" s="6">
        <f t="shared" si="33"/>
        <v>2580000</v>
      </c>
      <c r="M926" s="6">
        <v>2200000</v>
      </c>
      <c r="N926" s="6" t="s">
        <v>2003</v>
      </c>
      <c r="O926" s="6" t="s">
        <v>1127</v>
      </c>
      <c r="P926" s="6">
        <v>2009</v>
      </c>
      <c r="Q926" s="6">
        <v>1</v>
      </c>
      <c r="R926" s="6" t="s">
        <v>45</v>
      </c>
      <c r="S926" s="31" t="s">
        <v>2118</v>
      </c>
      <c r="T926" s="6">
        <v>1</v>
      </c>
      <c r="U926" s="26">
        <v>2000000</v>
      </c>
      <c r="V926" s="26">
        <v>2000000</v>
      </c>
      <c r="W926" s="26">
        <v>2000000</v>
      </c>
      <c r="X926" s="6" t="s">
        <v>2003</v>
      </c>
      <c r="Y926" s="6" t="s">
        <v>67</v>
      </c>
      <c r="Z926" s="6">
        <v>226918</v>
      </c>
    </row>
    <row r="927" spans="1:26" x14ac:dyDescent="0.3">
      <c r="A927" s="28" t="s">
        <v>42</v>
      </c>
      <c r="B927" s="6" t="s">
        <v>1326</v>
      </c>
      <c r="C927" s="6" t="s">
        <v>1972</v>
      </c>
      <c r="D927" s="6" t="s">
        <v>2292</v>
      </c>
      <c r="E927" s="6">
        <v>1</v>
      </c>
      <c r="F927" s="6" t="s">
        <v>2004</v>
      </c>
      <c r="G927" s="32" t="s">
        <v>2299</v>
      </c>
      <c r="H927" s="32" t="s">
        <v>2300</v>
      </c>
      <c r="I927" s="6" t="str">
        <f t="shared" si="32"/>
        <v>Stone Grapple</v>
      </c>
      <c r="J927" s="6" t="s">
        <v>120</v>
      </c>
      <c r="K927" s="6">
        <v>1</v>
      </c>
      <c r="L927" s="6">
        <f t="shared" si="33"/>
        <v>6470000</v>
      </c>
      <c r="M927" s="6">
        <v>5500000</v>
      </c>
      <c r="N927" s="6" t="s">
        <v>2003</v>
      </c>
      <c r="O927" s="6" t="s">
        <v>1129</v>
      </c>
      <c r="P927" s="6">
        <v>2014</v>
      </c>
      <c r="Q927" s="6">
        <v>1</v>
      </c>
      <c r="R927" s="6" t="s">
        <v>45</v>
      </c>
      <c r="S927" s="31" t="s">
        <v>2113</v>
      </c>
      <c r="T927" s="6">
        <v>1</v>
      </c>
      <c r="U927" s="26">
        <v>5000000</v>
      </c>
      <c r="V927" s="26">
        <v>5000000</v>
      </c>
      <c r="W927" s="26">
        <v>5000000</v>
      </c>
      <c r="X927" s="6" t="s">
        <v>2003</v>
      </c>
      <c r="Y927" s="6" t="s">
        <v>1318</v>
      </c>
      <c r="Z927" s="6">
        <v>226929</v>
      </c>
    </row>
    <row r="928" spans="1:26" x14ac:dyDescent="0.3">
      <c r="A928" s="28" t="s">
        <v>42</v>
      </c>
      <c r="B928" s="6" t="s">
        <v>1327</v>
      </c>
      <c r="C928" s="6" t="s">
        <v>1976</v>
      </c>
      <c r="D928" s="6" t="s">
        <v>2290</v>
      </c>
      <c r="E928" s="6">
        <v>1</v>
      </c>
      <c r="F928" s="6" t="s">
        <v>2004</v>
      </c>
      <c r="G928" s="32" t="s">
        <v>2299</v>
      </c>
      <c r="H928" s="32" t="s">
        <v>2300</v>
      </c>
      <c r="I928" s="6" t="str">
        <f t="shared" si="32"/>
        <v>Skeleton Bucket</v>
      </c>
      <c r="J928" s="6" t="s">
        <v>284</v>
      </c>
      <c r="K928" s="6">
        <v>1</v>
      </c>
      <c r="L928" s="6">
        <f t="shared" si="33"/>
        <v>1640000</v>
      </c>
      <c r="M928" s="6">
        <v>1400000</v>
      </c>
      <c r="N928" s="6" t="s">
        <v>2003</v>
      </c>
      <c r="O928" s="6" t="s">
        <v>844</v>
      </c>
      <c r="P928" s="6">
        <v>2010</v>
      </c>
      <c r="Q928" s="6">
        <v>1</v>
      </c>
      <c r="R928" s="6" t="s">
        <v>45</v>
      </c>
      <c r="S928" s="31" t="s">
        <v>2123</v>
      </c>
      <c r="T928" s="6">
        <v>1</v>
      </c>
      <c r="U928" s="26">
        <v>1300000</v>
      </c>
      <c r="V928" s="26">
        <v>1300000</v>
      </c>
      <c r="W928" s="26">
        <v>1300000</v>
      </c>
      <c r="X928" s="6" t="s">
        <v>2003</v>
      </c>
      <c r="Y928" s="6" t="s">
        <v>1319</v>
      </c>
      <c r="Z928" s="6">
        <v>226934</v>
      </c>
    </row>
    <row r="929" spans="1:26" x14ac:dyDescent="0.3">
      <c r="A929" s="28" t="s">
        <v>42</v>
      </c>
      <c r="B929" s="6" t="s">
        <v>1328</v>
      </c>
      <c r="C929" s="6" t="s">
        <v>1975</v>
      </c>
      <c r="D929" s="6" t="s">
        <v>2001</v>
      </c>
      <c r="E929" s="6">
        <v>1</v>
      </c>
      <c r="F929" s="6" t="s">
        <v>2004</v>
      </c>
      <c r="G929" s="32" t="s">
        <v>2299</v>
      </c>
      <c r="H929" s="32" t="s">
        <v>2300</v>
      </c>
      <c r="I929" s="6" t="str">
        <f t="shared" si="32"/>
        <v>Side Breaker</v>
      </c>
      <c r="J929" s="6" t="s">
        <v>393</v>
      </c>
      <c r="K929" s="6">
        <v>1</v>
      </c>
      <c r="L929" s="6">
        <f t="shared" si="33"/>
        <v>7050000</v>
      </c>
      <c r="M929" s="6">
        <v>6000000</v>
      </c>
      <c r="N929" s="6" t="s">
        <v>2003</v>
      </c>
      <c r="O929" s="6" t="s">
        <v>845</v>
      </c>
      <c r="P929" s="6">
        <v>2010</v>
      </c>
      <c r="Q929" s="6">
        <v>1</v>
      </c>
      <c r="R929" s="6" t="s">
        <v>45</v>
      </c>
      <c r="S929" s="31" t="s">
        <v>2122</v>
      </c>
      <c r="T929" s="6">
        <v>1</v>
      </c>
      <c r="U929" s="26">
        <v>5500000</v>
      </c>
      <c r="V929" s="26">
        <v>5500000</v>
      </c>
      <c r="W929" s="26">
        <v>5500000</v>
      </c>
      <c r="X929" s="6" t="s">
        <v>2003</v>
      </c>
      <c r="Y929" s="6" t="s">
        <v>1167</v>
      </c>
      <c r="Z929" s="6">
        <v>226936</v>
      </c>
    </row>
    <row r="930" spans="1:26" x14ac:dyDescent="0.3">
      <c r="A930" s="28" t="s">
        <v>42</v>
      </c>
      <c r="B930" s="6" t="s">
        <v>1328</v>
      </c>
      <c r="C930" s="6" t="s">
        <v>1975</v>
      </c>
      <c r="D930" s="6" t="s">
        <v>2001</v>
      </c>
      <c r="E930" s="6">
        <v>1</v>
      </c>
      <c r="F930" s="6" t="s">
        <v>2004</v>
      </c>
      <c r="G930" s="32" t="s">
        <v>2299</v>
      </c>
      <c r="H930" s="32" t="s">
        <v>2300</v>
      </c>
      <c r="I930" s="6" t="str">
        <f t="shared" si="32"/>
        <v>Side Breaker</v>
      </c>
      <c r="J930" s="6" t="s">
        <v>709</v>
      </c>
      <c r="K930" s="6">
        <v>1</v>
      </c>
      <c r="L930" s="6">
        <f t="shared" si="33"/>
        <v>4700000</v>
      </c>
      <c r="M930" s="6">
        <v>4000000</v>
      </c>
      <c r="N930" s="6" t="s">
        <v>2003</v>
      </c>
      <c r="O930" s="6" t="s">
        <v>1132</v>
      </c>
      <c r="P930" s="6">
        <v>2010</v>
      </c>
      <c r="Q930" s="6">
        <v>1</v>
      </c>
      <c r="R930" s="6" t="s">
        <v>45</v>
      </c>
      <c r="S930" s="31" t="s">
        <v>2116</v>
      </c>
      <c r="T930" s="6">
        <v>1</v>
      </c>
      <c r="U930" s="26">
        <v>3800000</v>
      </c>
      <c r="V930" s="26">
        <v>3800000</v>
      </c>
      <c r="W930" s="26">
        <v>3800000</v>
      </c>
      <c r="X930" s="6" t="s">
        <v>2003</v>
      </c>
      <c r="Y930" s="6" t="s">
        <v>1146</v>
      </c>
      <c r="Z930" s="6">
        <v>226946</v>
      </c>
    </row>
    <row r="931" spans="1:26" x14ac:dyDescent="0.3">
      <c r="A931" s="28" t="s">
        <v>42</v>
      </c>
      <c r="B931" s="6" t="s">
        <v>2172</v>
      </c>
      <c r="C931" s="6"/>
      <c r="D931" s="6" t="s">
        <v>2001</v>
      </c>
      <c r="E931" s="6">
        <v>1</v>
      </c>
      <c r="F931" s="6" t="s">
        <v>2004</v>
      </c>
      <c r="G931" s="32" t="s">
        <v>2299</v>
      </c>
      <c r="H931" s="32" t="s">
        <v>2300</v>
      </c>
      <c r="I931" s="6" t="str">
        <f t="shared" si="32"/>
        <v>Quick Coupler</v>
      </c>
      <c r="J931" s="6" t="s">
        <v>411</v>
      </c>
      <c r="K931" s="6">
        <v>1</v>
      </c>
      <c r="L931" s="6">
        <f t="shared" si="33"/>
        <v>2940000</v>
      </c>
      <c r="M931" s="6">
        <v>2500000</v>
      </c>
      <c r="N931" s="6" t="s">
        <v>2003</v>
      </c>
      <c r="O931" s="6" t="s">
        <v>91</v>
      </c>
      <c r="P931" s="6">
        <v>2017</v>
      </c>
      <c r="Q931" s="6">
        <v>1</v>
      </c>
      <c r="R931" s="6" t="s">
        <v>45</v>
      </c>
      <c r="S931" s="31" t="s">
        <v>2111</v>
      </c>
      <c r="T931" s="6">
        <v>1</v>
      </c>
      <c r="U931" s="26">
        <v>2300000</v>
      </c>
      <c r="V931" s="26">
        <v>2300000</v>
      </c>
      <c r="W931" s="26">
        <v>2300000</v>
      </c>
      <c r="X931" s="6" t="s">
        <v>2003</v>
      </c>
      <c r="Y931" s="6" t="s">
        <v>84</v>
      </c>
      <c r="Z931" s="6">
        <v>226949</v>
      </c>
    </row>
    <row r="932" spans="1:26" x14ac:dyDescent="0.3">
      <c r="A932" s="28" t="s">
        <v>42</v>
      </c>
      <c r="B932" s="6" t="s">
        <v>2172</v>
      </c>
      <c r="C932" s="6"/>
      <c r="D932" s="6" t="s">
        <v>2289</v>
      </c>
      <c r="E932" s="6">
        <v>1</v>
      </c>
      <c r="F932" s="6" t="s">
        <v>2004</v>
      </c>
      <c r="G932" s="32" t="s">
        <v>2299</v>
      </c>
      <c r="H932" s="32" t="s">
        <v>2300</v>
      </c>
      <c r="I932" s="6" t="str">
        <f t="shared" si="32"/>
        <v>Quick Coupler</v>
      </c>
      <c r="J932" s="6" t="s">
        <v>780</v>
      </c>
      <c r="K932" s="6">
        <v>1</v>
      </c>
      <c r="L932" s="6">
        <f t="shared" si="33"/>
        <v>3760000</v>
      </c>
      <c r="M932" s="6">
        <v>3200000</v>
      </c>
      <c r="N932" s="6" t="s">
        <v>2003</v>
      </c>
      <c r="O932" s="6" t="s">
        <v>827</v>
      </c>
      <c r="P932" s="6">
        <v>2015</v>
      </c>
      <c r="Q932" s="6">
        <v>1</v>
      </c>
      <c r="R932" s="6" t="s">
        <v>45</v>
      </c>
      <c r="S932" s="31" t="s">
        <v>2118</v>
      </c>
      <c r="T932" s="6">
        <v>1</v>
      </c>
      <c r="U932" s="26">
        <v>3000000</v>
      </c>
      <c r="V932" s="26">
        <v>3000000</v>
      </c>
      <c r="W932" s="26">
        <v>3000000</v>
      </c>
      <c r="X932" s="6" t="s">
        <v>2003</v>
      </c>
      <c r="Y932" s="6" t="s">
        <v>67</v>
      </c>
      <c r="Z932" s="6">
        <v>226954</v>
      </c>
    </row>
    <row r="933" spans="1:26" x14ac:dyDescent="0.3">
      <c r="A933" s="28" t="s">
        <v>42</v>
      </c>
      <c r="B933" s="6" t="s">
        <v>1337</v>
      </c>
      <c r="C933" s="6"/>
      <c r="D933" s="6" t="s">
        <v>2289</v>
      </c>
      <c r="E933" s="6">
        <v>1</v>
      </c>
      <c r="F933" s="6" t="s">
        <v>2004</v>
      </c>
      <c r="G933" s="32" t="s">
        <v>2299</v>
      </c>
      <c r="H933" s="32" t="s">
        <v>2300</v>
      </c>
      <c r="I933" s="6" t="str">
        <f t="shared" si="32"/>
        <v>ETC</v>
      </c>
      <c r="J933" s="6" t="s">
        <v>781</v>
      </c>
      <c r="K933" s="6">
        <v>1</v>
      </c>
      <c r="L933" s="6">
        <f t="shared" si="33"/>
        <v>12350000</v>
      </c>
      <c r="M933" s="6">
        <v>10500000</v>
      </c>
      <c r="N933" s="6" t="s">
        <v>2003</v>
      </c>
      <c r="O933" s="6" t="s">
        <v>2092</v>
      </c>
      <c r="P933" s="6">
        <v>2012</v>
      </c>
      <c r="Q933" s="6">
        <v>8</v>
      </c>
      <c r="R933" s="6" t="s">
        <v>45</v>
      </c>
      <c r="S933" s="31" t="s">
        <v>2110</v>
      </c>
      <c r="T933" s="6">
        <v>1</v>
      </c>
      <c r="U933" s="26">
        <v>10000000</v>
      </c>
      <c r="V933" s="26">
        <v>10000000</v>
      </c>
      <c r="W933" s="26">
        <v>10000000</v>
      </c>
      <c r="X933" s="6" t="s">
        <v>2003</v>
      </c>
      <c r="Y933" s="6" t="s">
        <v>1274</v>
      </c>
      <c r="Z933" s="6">
        <v>226955</v>
      </c>
    </row>
    <row r="934" spans="1:26" x14ac:dyDescent="0.3">
      <c r="A934" s="28" t="s">
        <v>42</v>
      </c>
      <c r="B934" s="6" t="s">
        <v>1325</v>
      </c>
      <c r="C934" s="6" t="s">
        <v>1978</v>
      </c>
      <c r="D934" s="6" t="s">
        <v>2001</v>
      </c>
      <c r="E934" s="6">
        <v>1</v>
      </c>
      <c r="F934" s="6" t="s">
        <v>2004</v>
      </c>
      <c r="G934" s="32" t="s">
        <v>2299</v>
      </c>
      <c r="H934" s="32" t="s">
        <v>2300</v>
      </c>
      <c r="I934" s="6" t="str">
        <f t="shared" si="32"/>
        <v>Hydraulic Pulverizer</v>
      </c>
      <c r="J934" s="6" t="s">
        <v>258</v>
      </c>
      <c r="K934" s="6">
        <v>1</v>
      </c>
      <c r="L934" s="6">
        <f t="shared" si="33"/>
        <v>4940000</v>
      </c>
      <c r="M934" s="6">
        <v>4200000</v>
      </c>
      <c r="N934" s="6" t="s">
        <v>2003</v>
      </c>
      <c r="O934" s="6" t="s">
        <v>1133</v>
      </c>
      <c r="P934" s="6">
        <v>2006</v>
      </c>
      <c r="Q934" s="6">
        <v>1</v>
      </c>
      <c r="R934" s="6" t="s">
        <v>45</v>
      </c>
      <c r="S934" s="31" t="s">
        <v>2118</v>
      </c>
      <c r="T934" s="6">
        <v>1</v>
      </c>
      <c r="U934" s="26">
        <v>4000000</v>
      </c>
      <c r="V934" s="26">
        <v>4000000</v>
      </c>
      <c r="W934" s="26">
        <v>4000000</v>
      </c>
      <c r="X934" s="6" t="s">
        <v>2003</v>
      </c>
      <c r="Y934" s="6" t="s">
        <v>67</v>
      </c>
      <c r="Z934" s="6">
        <v>226961</v>
      </c>
    </row>
    <row r="935" spans="1:26" x14ac:dyDescent="0.3">
      <c r="A935" s="28" t="s">
        <v>42</v>
      </c>
      <c r="B935" s="6" t="s">
        <v>1326</v>
      </c>
      <c r="C935" s="6" t="s">
        <v>1972</v>
      </c>
      <c r="D935" s="6" t="s">
        <v>2292</v>
      </c>
      <c r="E935" s="6">
        <v>1</v>
      </c>
      <c r="F935" s="6" t="s">
        <v>2004</v>
      </c>
      <c r="G935" s="32" t="s">
        <v>2299</v>
      </c>
      <c r="H935" s="32" t="s">
        <v>2300</v>
      </c>
      <c r="I935" s="6" t="str">
        <f t="shared" si="32"/>
        <v>Stone Grapple</v>
      </c>
      <c r="J935" s="6" t="s">
        <v>106</v>
      </c>
      <c r="K935" s="6">
        <v>1</v>
      </c>
      <c r="L935" s="6">
        <f t="shared" si="33"/>
        <v>8230000</v>
      </c>
      <c r="M935" s="6">
        <v>7000000</v>
      </c>
      <c r="N935" s="6" t="s">
        <v>2003</v>
      </c>
      <c r="O935" s="6" t="s">
        <v>2093</v>
      </c>
      <c r="P935" s="6">
        <v>2016</v>
      </c>
      <c r="Q935" s="6">
        <v>10</v>
      </c>
      <c r="R935" s="6" t="s">
        <v>45</v>
      </c>
      <c r="S935" s="31" t="s">
        <v>2122</v>
      </c>
      <c r="T935" s="6">
        <v>1</v>
      </c>
      <c r="U935" s="26">
        <v>6500000</v>
      </c>
      <c r="V935" s="26">
        <v>6500000</v>
      </c>
      <c r="W935" s="26">
        <v>6500000</v>
      </c>
      <c r="X935" s="6" t="s">
        <v>2003</v>
      </c>
      <c r="Y935" s="6" t="s">
        <v>1164</v>
      </c>
      <c r="Z935" s="6">
        <v>226962</v>
      </c>
    </row>
    <row r="936" spans="1:26" x14ac:dyDescent="0.3">
      <c r="A936" s="28" t="s">
        <v>42</v>
      </c>
      <c r="B936" s="6" t="s">
        <v>1326</v>
      </c>
      <c r="C936" s="6" t="s">
        <v>1972</v>
      </c>
      <c r="D936" s="6" t="s">
        <v>2292</v>
      </c>
      <c r="E936" s="6">
        <v>1</v>
      </c>
      <c r="F936" s="6" t="s">
        <v>2004</v>
      </c>
      <c r="G936" s="32" t="s">
        <v>2299</v>
      </c>
      <c r="H936" s="32" t="s">
        <v>2300</v>
      </c>
      <c r="I936" s="6" t="str">
        <f t="shared" si="32"/>
        <v>Stone Grapple</v>
      </c>
      <c r="J936" s="6" t="s">
        <v>48</v>
      </c>
      <c r="K936" s="6">
        <v>1</v>
      </c>
      <c r="L936" s="6">
        <f t="shared" si="33"/>
        <v>3170000</v>
      </c>
      <c r="M936" s="6">
        <v>2700000</v>
      </c>
      <c r="N936" s="6" t="s">
        <v>2003</v>
      </c>
      <c r="O936" s="6" t="s">
        <v>2007</v>
      </c>
      <c r="P936" s="6">
        <v>2014</v>
      </c>
      <c r="Q936" s="6">
        <v>1</v>
      </c>
      <c r="R936" s="6" t="s">
        <v>45</v>
      </c>
      <c r="S936" s="31" t="s">
        <v>2113</v>
      </c>
      <c r="T936" s="6">
        <v>1</v>
      </c>
      <c r="U936" s="26">
        <v>2500000</v>
      </c>
      <c r="V936" s="26">
        <v>2500000</v>
      </c>
      <c r="W936" s="26">
        <v>2500000</v>
      </c>
      <c r="X936" s="6" t="s">
        <v>2003</v>
      </c>
      <c r="Y936" s="6" t="s">
        <v>49</v>
      </c>
      <c r="Z936" s="6">
        <v>226963</v>
      </c>
    </row>
    <row r="937" spans="1:26" x14ac:dyDescent="0.3">
      <c r="A937" s="28" t="s">
        <v>42</v>
      </c>
      <c r="B937" s="6" t="s">
        <v>1328</v>
      </c>
      <c r="C937" s="6" t="s">
        <v>1975</v>
      </c>
      <c r="D937" s="6" t="s">
        <v>2292</v>
      </c>
      <c r="E937" s="6">
        <v>1</v>
      </c>
      <c r="F937" s="6" t="s">
        <v>2004</v>
      </c>
      <c r="G937" s="32" t="s">
        <v>2299</v>
      </c>
      <c r="H937" s="32" t="s">
        <v>2300</v>
      </c>
      <c r="I937" s="6" t="str">
        <f t="shared" si="32"/>
        <v>Side Breaker</v>
      </c>
      <c r="J937" s="6" t="s">
        <v>119</v>
      </c>
      <c r="K937" s="6">
        <v>1</v>
      </c>
      <c r="L937" s="6">
        <f t="shared" si="33"/>
        <v>3760000</v>
      </c>
      <c r="M937" s="6">
        <v>3200000</v>
      </c>
      <c r="N937" s="6" t="s">
        <v>2003</v>
      </c>
      <c r="O937" s="6" t="s">
        <v>1134</v>
      </c>
      <c r="P937" s="6">
        <v>2008</v>
      </c>
      <c r="Q937" s="6">
        <v>1</v>
      </c>
      <c r="R937" s="6" t="s">
        <v>45</v>
      </c>
      <c r="S937" s="31" t="s">
        <v>2118</v>
      </c>
      <c r="T937" s="6">
        <v>1</v>
      </c>
      <c r="U937" s="26">
        <v>3000000</v>
      </c>
      <c r="V937" s="26">
        <v>3000000</v>
      </c>
      <c r="W937" s="26">
        <v>3000000</v>
      </c>
      <c r="X937" s="6" t="s">
        <v>2003</v>
      </c>
      <c r="Y937" s="6" t="s">
        <v>67</v>
      </c>
      <c r="Z937" s="6">
        <v>226965</v>
      </c>
    </row>
    <row r="938" spans="1:26" x14ac:dyDescent="0.3">
      <c r="A938" s="28" t="s">
        <v>42</v>
      </c>
      <c r="B938" s="6" t="s">
        <v>1326</v>
      </c>
      <c r="C938" s="6" t="s">
        <v>1972</v>
      </c>
      <c r="D938" s="6" t="s">
        <v>2292</v>
      </c>
      <c r="E938" s="6">
        <v>1</v>
      </c>
      <c r="F938" s="6" t="s">
        <v>2004</v>
      </c>
      <c r="G938" s="32" t="s">
        <v>2299</v>
      </c>
      <c r="H938" s="32" t="s">
        <v>2300</v>
      </c>
      <c r="I938" s="6" t="str">
        <f t="shared" si="32"/>
        <v>Stone Grapple</v>
      </c>
      <c r="J938" s="6" t="s">
        <v>407</v>
      </c>
      <c r="K938" s="6">
        <v>1</v>
      </c>
      <c r="L938" s="6">
        <f t="shared" si="33"/>
        <v>2820000</v>
      </c>
      <c r="M938" s="6">
        <v>2400000</v>
      </c>
      <c r="N938" s="6" t="s">
        <v>2003</v>
      </c>
      <c r="O938" s="6" t="s">
        <v>2007</v>
      </c>
      <c r="P938" s="6">
        <v>2014</v>
      </c>
      <c r="Q938" s="6">
        <v>1</v>
      </c>
      <c r="R938" s="6" t="s">
        <v>45</v>
      </c>
      <c r="S938" s="31" t="s">
        <v>2113</v>
      </c>
      <c r="T938" s="6">
        <v>1</v>
      </c>
      <c r="U938" s="26">
        <v>2200000</v>
      </c>
      <c r="V938" s="26">
        <v>2200000</v>
      </c>
      <c r="W938" s="26">
        <v>2200000</v>
      </c>
      <c r="X938" s="6" t="s">
        <v>2003</v>
      </c>
      <c r="Y938" s="6" t="s">
        <v>49</v>
      </c>
      <c r="Z938" s="6">
        <v>226970</v>
      </c>
    </row>
    <row r="939" spans="1:26" x14ac:dyDescent="0.3">
      <c r="A939" s="28" t="s">
        <v>42</v>
      </c>
      <c r="B939" s="6" t="s">
        <v>1327</v>
      </c>
      <c r="C939" s="6" t="s">
        <v>1977</v>
      </c>
      <c r="D939" s="6" t="s">
        <v>2294</v>
      </c>
      <c r="E939" s="6">
        <v>1</v>
      </c>
      <c r="F939" s="6" t="s">
        <v>2004</v>
      </c>
      <c r="G939" s="32" t="s">
        <v>2299</v>
      </c>
      <c r="H939" s="32" t="s">
        <v>2300</v>
      </c>
      <c r="I939" s="6" t="str">
        <f t="shared" si="32"/>
        <v>Wide Bucket</v>
      </c>
      <c r="J939" s="6" t="s">
        <v>286</v>
      </c>
      <c r="K939" s="6">
        <v>1</v>
      </c>
      <c r="L939" s="6">
        <f t="shared" si="33"/>
        <v>1170000</v>
      </c>
      <c r="M939" s="6">
        <v>1000000</v>
      </c>
      <c r="N939" s="6" t="s">
        <v>2003</v>
      </c>
      <c r="O939" s="6" t="s">
        <v>1135</v>
      </c>
      <c r="P939" s="6">
        <v>2016</v>
      </c>
      <c r="Q939" s="6">
        <v>1</v>
      </c>
      <c r="R939" s="6" t="s">
        <v>45</v>
      </c>
      <c r="S939" s="31" t="s">
        <v>2112</v>
      </c>
      <c r="T939" s="6">
        <v>1</v>
      </c>
      <c r="U939" s="26">
        <v>900000</v>
      </c>
      <c r="V939" s="26">
        <v>900000</v>
      </c>
      <c r="W939" s="26">
        <v>900000</v>
      </c>
      <c r="X939" s="6" t="s">
        <v>2003</v>
      </c>
      <c r="Y939" s="6" t="s">
        <v>1142</v>
      </c>
      <c r="Z939" s="6">
        <v>226977</v>
      </c>
    </row>
    <row r="940" spans="1:26" x14ac:dyDescent="0.3">
      <c r="A940" s="28" t="s">
        <v>42</v>
      </c>
      <c r="B940" s="6" t="s">
        <v>1325</v>
      </c>
      <c r="C940" s="19" t="s">
        <v>2156</v>
      </c>
      <c r="D940" s="6" t="s">
        <v>2001</v>
      </c>
      <c r="E940" s="6">
        <v>1</v>
      </c>
      <c r="F940" s="6" t="s">
        <v>2004</v>
      </c>
      <c r="G940" s="32" t="s">
        <v>2299</v>
      </c>
      <c r="H940" s="32" t="s">
        <v>2300</v>
      </c>
      <c r="I940" s="6" t="str">
        <f t="shared" si="32"/>
        <v>Hydraulic Crusher</v>
      </c>
      <c r="J940" s="6" t="s">
        <v>181</v>
      </c>
      <c r="K940" s="6">
        <v>1</v>
      </c>
      <c r="L940" s="6">
        <f t="shared" si="33"/>
        <v>15290000</v>
      </c>
      <c r="M940" s="6">
        <v>13000000</v>
      </c>
      <c r="N940" s="6" t="s">
        <v>2003</v>
      </c>
      <c r="O940" s="6" t="s">
        <v>1136</v>
      </c>
      <c r="P940" s="6">
        <v>2005</v>
      </c>
      <c r="Q940" s="6">
        <v>1</v>
      </c>
      <c r="R940" s="6" t="s">
        <v>45</v>
      </c>
      <c r="S940" s="31" t="s">
        <v>2110</v>
      </c>
      <c r="T940" s="6">
        <v>1</v>
      </c>
      <c r="U940" s="26">
        <v>12500000</v>
      </c>
      <c r="V940" s="26">
        <v>12500000</v>
      </c>
      <c r="W940" s="26">
        <v>12500000</v>
      </c>
      <c r="X940" s="6" t="s">
        <v>2003</v>
      </c>
      <c r="Y940" s="6" t="s">
        <v>1317</v>
      </c>
      <c r="Z940" s="6">
        <v>226979</v>
      </c>
    </row>
    <row r="941" spans="1:26" x14ac:dyDescent="0.3">
      <c r="A941" s="28" t="s">
        <v>42</v>
      </c>
      <c r="B941" s="6" t="s">
        <v>1325</v>
      </c>
      <c r="C941" s="6" t="s">
        <v>1978</v>
      </c>
      <c r="D941" s="6" t="s">
        <v>2001</v>
      </c>
      <c r="E941" s="6">
        <v>1</v>
      </c>
      <c r="F941" s="6" t="s">
        <v>2004</v>
      </c>
      <c r="G941" s="32" t="s">
        <v>2299</v>
      </c>
      <c r="H941" s="32" t="s">
        <v>2300</v>
      </c>
      <c r="I941" s="6" t="str">
        <f t="shared" si="32"/>
        <v>Hydraulic Pulverizer</v>
      </c>
      <c r="J941" s="6" t="s">
        <v>258</v>
      </c>
      <c r="K941" s="6">
        <v>1</v>
      </c>
      <c r="L941" s="6">
        <f t="shared" si="33"/>
        <v>12350000</v>
      </c>
      <c r="M941" s="6">
        <v>10500000</v>
      </c>
      <c r="N941" s="6" t="s">
        <v>2003</v>
      </c>
      <c r="O941" s="6" t="s">
        <v>1137</v>
      </c>
      <c r="P941" s="6">
        <v>2005</v>
      </c>
      <c r="Q941" s="6">
        <v>1</v>
      </c>
      <c r="R941" s="6" t="s">
        <v>45</v>
      </c>
      <c r="S941" s="31" t="s">
        <v>2110</v>
      </c>
      <c r="T941" s="6">
        <v>1</v>
      </c>
      <c r="U941" s="26">
        <v>10000000</v>
      </c>
      <c r="V941" s="26">
        <v>10000000</v>
      </c>
      <c r="W941" s="26">
        <v>10000000</v>
      </c>
      <c r="X941" s="6" t="s">
        <v>2003</v>
      </c>
      <c r="Y941" s="6" t="s">
        <v>1317</v>
      </c>
      <c r="Z941" s="6">
        <v>226980</v>
      </c>
    </row>
    <row r="942" spans="1:26" x14ac:dyDescent="0.3">
      <c r="A942" s="28" t="s">
        <v>42</v>
      </c>
      <c r="B942" s="6" t="s">
        <v>1327</v>
      </c>
      <c r="C942" s="6" t="s">
        <v>1980</v>
      </c>
      <c r="D942" s="6" t="s">
        <v>2291</v>
      </c>
      <c r="E942" s="6">
        <v>1</v>
      </c>
      <c r="F942" s="6" t="s">
        <v>2004</v>
      </c>
      <c r="G942" s="32" t="s">
        <v>2299</v>
      </c>
      <c r="H942" s="32" t="s">
        <v>2300</v>
      </c>
      <c r="I942" s="6" t="str">
        <f t="shared" si="32"/>
        <v>Small Bucket</v>
      </c>
      <c r="J942" s="6" t="s">
        <v>787</v>
      </c>
      <c r="K942" s="6">
        <v>1</v>
      </c>
      <c r="L942" s="6">
        <f t="shared" si="33"/>
        <v>700000</v>
      </c>
      <c r="M942" s="6">
        <v>600000</v>
      </c>
      <c r="N942" s="6" t="s">
        <v>2003</v>
      </c>
      <c r="O942" s="6" t="s">
        <v>793</v>
      </c>
      <c r="P942" s="6">
        <v>2012</v>
      </c>
      <c r="Q942" s="6">
        <v>1</v>
      </c>
      <c r="R942" s="6" t="s">
        <v>45</v>
      </c>
      <c r="S942" s="31" t="s">
        <v>2116</v>
      </c>
      <c r="T942" s="6">
        <v>1</v>
      </c>
      <c r="U942" s="26">
        <v>500000</v>
      </c>
      <c r="V942" s="26">
        <v>500000</v>
      </c>
      <c r="W942" s="26">
        <v>500000</v>
      </c>
      <c r="X942" s="6" t="s">
        <v>2003</v>
      </c>
      <c r="Y942" s="6" t="s">
        <v>1146</v>
      </c>
      <c r="Z942" s="6">
        <v>226983</v>
      </c>
    </row>
    <row r="943" spans="1:26" x14ac:dyDescent="0.3">
      <c r="A943" s="28" t="s">
        <v>42</v>
      </c>
      <c r="B943" s="6" t="s">
        <v>1337</v>
      </c>
      <c r="C943" s="6"/>
      <c r="D943" s="6" t="s">
        <v>2291</v>
      </c>
      <c r="E943" s="6">
        <v>1</v>
      </c>
      <c r="F943" s="6" t="s">
        <v>2004</v>
      </c>
      <c r="G943" s="32" t="s">
        <v>2299</v>
      </c>
      <c r="H943" s="32" t="s">
        <v>2300</v>
      </c>
      <c r="I943" s="6" t="str">
        <f t="shared" si="32"/>
        <v>ETC</v>
      </c>
      <c r="J943" s="6" t="s">
        <v>788</v>
      </c>
      <c r="K943" s="6">
        <v>1</v>
      </c>
      <c r="L943" s="6">
        <f t="shared" si="33"/>
        <v>820000</v>
      </c>
      <c r="M943" s="6">
        <v>700000</v>
      </c>
      <c r="N943" s="6" t="s">
        <v>2003</v>
      </c>
      <c r="O943" s="6" t="s">
        <v>1138</v>
      </c>
      <c r="P943" s="6">
        <v>2016</v>
      </c>
      <c r="Q943" s="6">
        <v>6</v>
      </c>
      <c r="R943" s="6" t="s">
        <v>45</v>
      </c>
      <c r="S943" s="31" t="s">
        <v>2117</v>
      </c>
      <c r="T943" s="6">
        <v>1</v>
      </c>
      <c r="U943" s="26">
        <v>600000</v>
      </c>
      <c r="V943" s="26">
        <v>600000</v>
      </c>
      <c r="W943" s="26">
        <v>600000</v>
      </c>
      <c r="X943" s="6" t="s">
        <v>2003</v>
      </c>
      <c r="Y943" s="6" t="s">
        <v>1322</v>
      </c>
      <c r="Z943" s="6">
        <v>226984</v>
      </c>
    </row>
    <row r="944" spans="1:26" x14ac:dyDescent="0.3">
      <c r="A944" s="28" t="s">
        <v>42</v>
      </c>
      <c r="B944" s="6" t="s">
        <v>1326</v>
      </c>
      <c r="C944" s="6" t="s">
        <v>1972</v>
      </c>
      <c r="D944" s="6" t="s">
        <v>2001</v>
      </c>
      <c r="E944" s="6">
        <v>1</v>
      </c>
      <c r="F944" s="6" t="s">
        <v>2004</v>
      </c>
      <c r="G944" s="32" t="s">
        <v>2299</v>
      </c>
      <c r="H944" s="32" t="s">
        <v>2300</v>
      </c>
      <c r="I944" s="6" t="str">
        <f t="shared" si="32"/>
        <v>Stone Grapple</v>
      </c>
      <c r="J944" s="6" t="s">
        <v>203</v>
      </c>
      <c r="K944" s="6">
        <v>1</v>
      </c>
      <c r="L944" s="6">
        <f t="shared" si="33"/>
        <v>5520000</v>
      </c>
      <c r="M944" s="6">
        <v>4700000</v>
      </c>
      <c r="N944" s="6" t="s">
        <v>2003</v>
      </c>
      <c r="O944" s="6" t="s">
        <v>1139</v>
      </c>
      <c r="P944" s="6">
        <v>2010</v>
      </c>
      <c r="Q944" s="6">
        <v>1</v>
      </c>
      <c r="R944" s="6" t="s">
        <v>45</v>
      </c>
      <c r="S944" s="31" t="s">
        <v>2117</v>
      </c>
      <c r="T944" s="6">
        <v>1</v>
      </c>
      <c r="U944" s="26">
        <v>4500000</v>
      </c>
      <c r="V944" s="26">
        <v>4500000</v>
      </c>
      <c r="W944" s="26">
        <v>4500000</v>
      </c>
      <c r="X944" s="6" t="s">
        <v>2003</v>
      </c>
      <c r="Y944" s="6" t="s">
        <v>1323</v>
      </c>
      <c r="Z944" s="6">
        <v>226995</v>
      </c>
    </row>
    <row r="945" spans="1:26" x14ac:dyDescent="0.3">
      <c r="A945" s="28" t="s">
        <v>42</v>
      </c>
      <c r="B945" s="6" t="s">
        <v>2172</v>
      </c>
      <c r="C945" s="6"/>
      <c r="D945" s="6" t="s">
        <v>2292</v>
      </c>
      <c r="E945" s="6">
        <v>1</v>
      </c>
      <c r="F945" s="6" t="s">
        <v>2004</v>
      </c>
      <c r="G945" s="32" t="s">
        <v>2299</v>
      </c>
      <c r="H945" s="32" t="s">
        <v>2300</v>
      </c>
      <c r="I945" s="6" t="str">
        <f t="shared" si="32"/>
        <v>Quick Coupler</v>
      </c>
      <c r="J945" s="6" t="s">
        <v>351</v>
      </c>
      <c r="K945" s="6">
        <v>1</v>
      </c>
      <c r="L945" s="6">
        <f t="shared" si="33"/>
        <v>1000000</v>
      </c>
      <c r="M945" s="6">
        <v>850000</v>
      </c>
      <c r="N945" s="6" t="s">
        <v>2003</v>
      </c>
      <c r="O945" s="6" t="s">
        <v>789</v>
      </c>
      <c r="P945" s="6">
        <v>2007</v>
      </c>
      <c r="Q945" s="6">
        <v>1</v>
      </c>
      <c r="R945" s="6" t="s">
        <v>45</v>
      </c>
      <c r="S945" s="31" t="s">
        <v>2122</v>
      </c>
      <c r="T945" s="6">
        <v>1</v>
      </c>
      <c r="U945" s="26">
        <v>750000</v>
      </c>
      <c r="V945" s="26">
        <v>750000</v>
      </c>
      <c r="W945" s="26">
        <v>750000</v>
      </c>
      <c r="X945" s="6" t="s">
        <v>2003</v>
      </c>
      <c r="Y945" s="6" t="s">
        <v>65</v>
      </c>
      <c r="Z945" s="6">
        <v>227005</v>
      </c>
    </row>
    <row r="946" spans="1:26" x14ac:dyDescent="0.3">
      <c r="A946" s="28" t="s">
        <v>42</v>
      </c>
      <c r="B946" s="6" t="s">
        <v>1337</v>
      </c>
      <c r="C946" s="6"/>
      <c r="D946" s="6" t="s">
        <v>2295</v>
      </c>
      <c r="E946" s="6">
        <v>1</v>
      </c>
      <c r="F946" s="6" t="s">
        <v>2004</v>
      </c>
      <c r="G946" s="32" t="s">
        <v>2299</v>
      </c>
      <c r="H946" s="32" t="s">
        <v>2300</v>
      </c>
      <c r="I946" s="6" t="str">
        <f t="shared" si="32"/>
        <v>ETC</v>
      </c>
      <c r="J946" s="6" t="s">
        <v>165</v>
      </c>
      <c r="K946" s="6">
        <v>1</v>
      </c>
      <c r="L946" s="6">
        <f t="shared" si="33"/>
        <v>350000</v>
      </c>
      <c r="M946" s="6">
        <v>300000</v>
      </c>
      <c r="N946" s="6" t="s">
        <v>2003</v>
      </c>
      <c r="O946" s="6" t="s">
        <v>798</v>
      </c>
      <c r="P946" s="6">
        <v>2016</v>
      </c>
      <c r="Q946" s="6">
        <v>1</v>
      </c>
      <c r="R946" s="6" t="s">
        <v>45</v>
      </c>
      <c r="S946" s="31" t="s">
        <v>2113</v>
      </c>
      <c r="T946" s="6">
        <v>1</v>
      </c>
      <c r="U946" s="26">
        <v>250000</v>
      </c>
      <c r="V946" s="26">
        <v>250000</v>
      </c>
      <c r="W946" s="26">
        <v>250000</v>
      </c>
      <c r="X946" s="6" t="s">
        <v>2003</v>
      </c>
      <c r="Y946" s="6" t="s">
        <v>71</v>
      </c>
      <c r="Z946" s="6">
        <v>227018</v>
      </c>
    </row>
    <row r="947" spans="1:26" x14ac:dyDescent="0.3">
      <c r="A947" s="28" t="s">
        <v>42</v>
      </c>
      <c r="B947" s="6" t="s">
        <v>2163</v>
      </c>
      <c r="C947" s="6"/>
      <c r="D947" s="6" t="s">
        <v>2292</v>
      </c>
      <c r="E947" s="6">
        <v>1</v>
      </c>
      <c r="F947" s="6" t="s">
        <v>2004</v>
      </c>
      <c r="G947" s="32" t="s">
        <v>2299</v>
      </c>
      <c r="H947" s="32" t="s">
        <v>2300</v>
      </c>
      <c r="I947" s="6" t="str">
        <f t="shared" si="32"/>
        <v>Lift Fork</v>
      </c>
      <c r="J947" s="6" t="s">
        <v>102</v>
      </c>
      <c r="K947" s="6">
        <v>1</v>
      </c>
      <c r="L947" s="6">
        <f t="shared" si="33"/>
        <v>940000</v>
      </c>
      <c r="M947" s="6">
        <v>800000</v>
      </c>
      <c r="N947" s="6" t="s">
        <v>2003</v>
      </c>
      <c r="O947" s="6" t="s">
        <v>1888</v>
      </c>
      <c r="P947" s="6">
        <v>2013</v>
      </c>
      <c r="Q947" s="6">
        <v>1</v>
      </c>
      <c r="R947" s="6" t="s">
        <v>45</v>
      </c>
      <c r="S947" s="31" t="s">
        <v>2110</v>
      </c>
      <c r="T947" s="6">
        <v>1</v>
      </c>
      <c r="U947" s="26">
        <v>700000</v>
      </c>
      <c r="V947" s="26">
        <v>700000</v>
      </c>
      <c r="W947" s="26">
        <v>700000</v>
      </c>
      <c r="X947" s="6" t="s">
        <v>2003</v>
      </c>
      <c r="Y947" s="6" t="s">
        <v>1317</v>
      </c>
      <c r="Z947" s="6">
        <v>227023</v>
      </c>
    </row>
    <row r="948" spans="1:26" x14ac:dyDescent="0.3">
      <c r="A948" s="28" t="s">
        <v>42</v>
      </c>
      <c r="B948" s="6" t="s">
        <v>1328</v>
      </c>
      <c r="C948" s="6" t="s">
        <v>1975</v>
      </c>
      <c r="D948" s="6" t="s">
        <v>2291</v>
      </c>
      <c r="E948" s="6">
        <v>1</v>
      </c>
      <c r="F948" s="6" t="s">
        <v>2004</v>
      </c>
      <c r="G948" s="32" t="s">
        <v>2299</v>
      </c>
      <c r="H948" s="32" t="s">
        <v>2300</v>
      </c>
      <c r="I948" s="6" t="str">
        <f t="shared" si="32"/>
        <v>Side Breaker</v>
      </c>
      <c r="J948" s="6" t="s">
        <v>2149</v>
      </c>
      <c r="K948" s="6">
        <v>1</v>
      </c>
      <c r="L948" s="6">
        <f t="shared" si="33"/>
        <v>5520000</v>
      </c>
      <c r="M948" s="6">
        <v>4700000</v>
      </c>
      <c r="N948" s="6" t="s">
        <v>2003</v>
      </c>
      <c r="O948" s="6" t="s">
        <v>2094</v>
      </c>
      <c r="P948" s="6">
        <v>2014</v>
      </c>
      <c r="Q948" s="6">
        <v>6</v>
      </c>
      <c r="R948" s="6" t="s">
        <v>45</v>
      </c>
      <c r="S948" s="31" t="s">
        <v>2122</v>
      </c>
      <c r="T948" s="6">
        <v>1</v>
      </c>
      <c r="U948" s="26">
        <v>4500000</v>
      </c>
      <c r="V948" s="26">
        <v>4500000</v>
      </c>
      <c r="W948" s="26">
        <v>4500000</v>
      </c>
      <c r="X948" s="6" t="s">
        <v>2003</v>
      </c>
      <c r="Y948" s="6" t="s">
        <v>1227</v>
      </c>
      <c r="Z948" s="6">
        <v>227025</v>
      </c>
    </row>
    <row r="949" spans="1:26" x14ac:dyDescent="0.3">
      <c r="A949" s="28" t="s">
        <v>42</v>
      </c>
      <c r="B949" s="6" t="s">
        <v>1337</v>
      </c>
      <c r="C949" s="6"/>
      <c r="D949" s="6" t="s">
        <v>2291</v>
      </c>
      <c r="E949" s="6">
        <v>1</v>
      </c>
      <c r="F949" s="6" t="s">
        <v>2004</v>
      </c>
      <c r="G949" s="32" t="s">
        <v>2299</v>
      </c>
      <c r="H949" s="32" t="s">
        <v>2300</v>
      </c>
      <c r="I949" s="6" t="str">
        <f t="shared" si="32"/>
        <v>ETC</v>
      </c>
      <c r="J949" s="6" t="s">
        <v>46</v>
      </c>
      <c r="K949" s="6">
        <v>1</v>
      </c>
      <c r="L949" s="6">
        <f t="shared" si="33"/>
        <v>4350000</v>
      </c>
      <c r="M949" s="6">
        <v>3700000</v>
      </c>
      <c r="N949" s="6" t="s">
        <v>2003</v>
      </c>
      <c r="O949" s="6" t="s">
        <v>2015</v>
      </c>
      <c r="P949" s="6">
        <v>2012</v>
      </c>
      <c r="Q949" s="6">
        <v>6</v>
      </c>
      <c r="R949" s="6" t="s">
        <v>45</v>
      </c>
      <c r="S949" s="31" t="s">
        <v>2113</v>
      </c>
      <c r="T949" s="6">
        <v>1</v>
      </c>
      <c r="U949" s="26">
        <v>3500000</v>
      </c>
      <c r="V949" s="26">
        <v>3500000</v>
      </c>
      <c r="W949" s="26">
        <v>3500000</v>
      </c>
      <c r="X949" s="6" t="s">
        <v>2003</v>
      </c>
      <c r="Y949" s="6" t="s">
        <v>47</v>
      </c>
      <c r="Z949" s="6">
        <v>227033</v>
      </c>
    </row>
    <row r="950" spans="1:26" x14ac:dyDescent="0.3">
      <c r="A950" s="28" t="s">
        <v>42</v>
      </c>
      <c r="B950" s="6" t="s">
        <v>1327</v>
      </c>
      <c r="C950" s="6" t="s">
        <v>1976</v>
      </c>
      <c r="D950" s="6" t="s">
        <v>2292</v>
      </c>
      <c r="E950" s="6">
        <v>1</v>
      </c>
      <c r="F950" s="6" t="s">
        <v>2004</v>
      </c>
      <c r="G950" s="32" t="s">
        <v>2299</v>
      </c>
      <c r="H950" s="32" t="s">
        <v>2300</v>
      </c>
      <c r="I950" s="6" t="str">
        <f t="shared" si="32"/>
        <v>Skeleton Bucket</v>
      </c>
      <c r="J950" s="6" t="s">
        <v>118</v>
      </c>
      <c r="K950" s="6">
        <v>1</v>
      </c>
      <c r="L950" s="6">
        <f t="shared" si="33"/>
        <v>1050000</v>
      </c>
      <c r="M950" s="6">
        <v>900000</v>
      </c>
      <c r="N950" s="6" t="s">
        <v>2003</v>
      </c>
      <c r="O950" s="6" t="s">
        <v>823</v>
      </c>
      <c r="P950" s="6">
        <v>2013</v>
      </c>
      <c r="Q950" s="6">
        <v>1</v>
      </c>
      <c r="R950" s="6" t="s">
        <v>45</v>
      </c>
      <c r="S950" s="31" t="s">
        <v>2113</v>
      </c>
      <c r="T950" s="6">
        <v>1</v>
      </c>
      <c r="U950" s="26">
        <v>800000</v>
      </c>
      <c r="V950" s="26">
        <v>800000</v>
      </c>
      <c r="W950" s="26">
        <v>800000</v>
      </c>
      <c r="X950" s="6" t="s">
        <v>2003</v>
      </c>
      <c r="Y950" s="6" t="s">
        <v>49</v>
      </c>
      <c r="Z950" s="6">
        <v>227049</v>
      </c>
    </row>
    <row r="951" spans="1:26" x14ac:dyDescent="0.3">
      <c r="A951" s="28" t="s">
        <v>42</v>
      </c>
      <c r="B951" s="6" t="s">
        <v>1337</v>
      </c>
      <c r="C951" s="6"/>
      <c r="D951" s="6" t="s">
        <v>2295</v>
      </c>
      <c r="E951" s="6">
        <v>1</v>
      </c>
      <c r="F951" s="6" t="s">
        <v>2004</v>
      </c>
      <c r="G951" s="32" t="s">
        <v>2299</v>
      </c>
      <c r="H951" s="32" t="s">
        <v>2300</v>
      </c>
      <c r="I951" s="6" t="str">
        <f t="shared" si="32"/>
        <v>ETC</v>
      </c>
      <c r="J951" s="6" t="s">
        <v>165</v>
      </c>
      <c r="K951" s="6">
        <v>1</v>
      </c>
      <c r="L951" s="6">
        <f t="shared" si="33"/>
        <v>2940000</v>
      </c>
      <c r="M951" s="6">
        <v>2500000</v>
      </c>
      <c r="N951" s="6" t="s">
        <v>2003</v>
      </c>
      <c r="O951" s="6" t="s">
        <v>70</v>
      </c>
      <c r="P951" s="6">
        <v>2016</v>
      </c>
      <c r="Q951" s="6">
        <v>7</v>
      </c>
      <c r="R951" s="6" t="s">
        <v>45</v>
      </c>
      <c r="S951" s="31" t="s">
        <v>2113</v>
      </c>
      <c r="T951" s="6">
        <v>1</v>
      </c>
      <c r="U951" s="26">
        <v>2300000</v>
      </c>
      <c r="V951" s="26">
        <v>2300000</v>
      </c>
      <c r="W951" s="26">
        <v>2300000</v>
      </c>
      <c r="X951" s="6" t="s">
        <v>2003</v>
      </c>
      <c r="Y951" s="6" t="s">
        <v>71</v>
      </c>
      <c r="Z951" s="6">
        <v>227052</v>
      </c>
    </row>
    <row r="952" spans="1:26" x14ac:dyDescent="0.3">
      <c r="A952" s="28" t="s">
        <v>42</v>
      </c>
      <c r="B952" s="6" t="s">
        <v>1328</v>
      </c>
      <c r="C952" s="6" t="s">
        <v>1975</v>
      </c>
      <c r="D952" s="6" t="s">
        <v>2293</v>
      </c>
      <c r="E952" s="6">
        <v>1</v>
      </c>
      <c r="F952" s="6" t="s">
        <v>2004</v>
      </c>
      <c r="G952" s="32" t="s">
        <v>2299</v>
      </c>
      <c r="H952" s="32" t="s">
        <v>2300</v>
      </c>
      <c r="I952" s="6" t="str">
        <f t="shared" si="32"/>
        <v>Side Breaker</v>
      </c>
      <c r="J952" s="6" t="s">
        <v>172</v>
      </c>
      <c r="K952" s="6">
        <v>1</v>
      </c>
      <c r="L952" s="6">
        <f t="shared" si="33"/>
        <v>2000000</v>
      </c>
      <c r="M952" s="6">
        <v>1700000</v>
      </c>
      <c r="N952" s="6" t="s">
        <v>2003</v>
      </c>
      <c r="O952" s="6" t="s">
        <v>70</v>
      </c>
      <c r="P952" s="6">
        <v>2015</v>
      </c>
      <c r="Q952" s="6">
        <v>1</v>
      </c>
      <c r="R952" s="6" t="s">
        <v>45</v>
      </c>
      <c r="S952" s="31" t="s">
        <v>2113</v>
      </c>
      <c r="T952" s="6">
        <v>1</v>
      </c>
      <c r="U952" s="26">
        <v>1600000</v>
      </c>
      <c r="V952" s="26">
        <v>1600000</v>
      </c>
      <c r="W952" s="26">
        <v>1600000</v>
      </c>
      <c r="X952" s="6" t="s">
        <v>2003</v>
      </c>
      <c r="Y952" s="6" t="s">
        <v>71</v>
      </c>
      <c r="Z952" s="6">
        <v>227059</v>
      </c>
    </row>
    <row r="953" spans="1:26" x14ac:dyDescent="0.3">
      <c r="A953" s="28" t="s">
        <v>42</v>
      </c>
      <c r="B953" s="6" t="s">
        <v>1328</v>
      </c>
      <c r="C953" s="6" t="s">
        <v>1975</v>
      </c>
      <c r="D953" s="6" t="s">
        <v>2292</v>
      </c>
      <c r="E953" s="6">
        <v>1</v>
      </c>
      <c r="F953" s="6" t="s">
        <v>2004</v>
      </c>
      <c r="G953" s="32" t="s">
        <v>2299</v>
      </c>
      <c r="H953" s="32" t="s">
        <v>2300</v>
      </c>
      <c r="I953" s="6" t="str">
        <f t="shared" si="32"/>
        <v>Side Breaker</v>
      </c>
      <c r="J953" s="6" t="s">
        <v>240</v>
      </c>
      <c r="K953" s="6">
        <v>1</v>
      </c>
      <c r="L953" s="6">
        <f t="shared" si="33"/>
        <v>6700000</v>
      </c>
      <c r="M953" s="6">
        <v>5700000</v>
      </c>
      <c r="N953" s="6" t="s">
        <v>2003</v>
      </c>
      <c r="O953" s="6" t="s">
        <v>823</v>
      </c>
      <c r="P953" s="6">
        <v>2016</v>
      </c>
      <c r="Q953" s="6">
        <v>1</v>
      </c>
      <c r="R953" s="6" t="s">
        <v>45</v>
      </c>
      <c r="S953" s="31" t="s">
        <v>2113</v>
      </c>
      <c r="T953" s="6">
        <v>1</v>
      </c>
      <c r="U953" s="26">
        <v>5200000</v>
      </c>
      <c r="V953" s="26">
        <v>5200000</v>
      </c>
      <c r="W953" s="26">
        <v>5200000</v>
      </c>
      <c r="X953" s="6" t="s">
        <v>2003</v>
      </c>
      <c r="Y953" s="6" t="s">
        <v>49</v>
      </c>
      <c r="Z953" s="6">
        <v>227062</v>
      </c>
    </row>
    <row r="954" spans="1:26" x14ac:dyDescent="0.3">
      <c r="A954" s="28" t="s">
        <v>42</v>
      </c>
      <c r="B954" s="6" t="s">
        <v>1327</v>
      </c>
      <c r="C954" s="6" t="s">
        <v>1982</v>
      </c>
      <c r="D954" s="6" t="s">
        <v>2001</v>
      </c>
      <c r="E954" s="6">
        <v>1</v>
      </c>
      <c r="F954" s="6" t="s">
        <v>2004</v>
      </c>
      <c r="G954" s="32" t="s">
        <v>2299</v>
      </c>
      <c r="H954" s="32" t="s">
        <v>2300</v>
      </c>
      <c r="I954" s="6" t="str">
        <f t="shared" si="32"/>
        <v>Standard Bucket</v>
      </c>
      <c r="J954" s="6" t="s">
        <v>507</v>
      </c>
      <c r="K954" s="6">
        <v>1</v>
      </c>
      <c r="L954" s="6">
        <f t="shared" si="33"/>
        <v>2580000</v>
      </c>
      <c r="M954" s="6">
        <v>2200000</v>
      </c>
      <c r="N954" s="6" t="s">
        <v>2003</v>
      </c>
      <c r="O954" s="6" t="s">
        <v>813</v>
      </c>
      <c r="P954" s="6">
        <v>2013</v>
      </c>
      <c r="Q954" s="6">
        <v>1</v>
      </c>
      <c r="R954" s="6" t="s">
        <v>45</v>
      </c>
      <c r="S954" s="31" t="s">
        <v>2113</v>
      </c>
      <c r="T954" s="6">
        <v>1</v>
      </c>
      <c r="U954" s="26">
        <v>2000000</v>
      </c>
      <c r="V954" s="26">
        <v>2000000</v>
      </c>
      <c r="W954" s="26">
        <v>2000000</v>
      </c>
      <c r="X954" s="6" t="s">
        <v>2003</v>
      </c>
      <c r="Y954" s="6" t="s">
        <v>79</v>
      </c>
      <c r="Z954" s="6">
        <v>227065</v>
      </c>
    </row>
    <row r="955" spans="1:26" x14ac:dyDescent="0.3">
      <c r="A955" s="28" t="s">
        <v>42</v>
      </c>
      <c r="B955" s="6" t="s">
        <v>1327</v>
      </c>
      <c r="C955" s="6" t="s">
        <v>1977</v>
      </c>
      <c r="D955" s="6" t="s">
        <v>2290</v>
      </c>
      <c r="E955" s="6">
        <v>1</v>
      </c>
      <c r="F955" s="6" t="s">
        <v>2004</v>
      </c>
      <c r="G955" s="32" t="s">
        <v>2299</v>
      </c>
      <c r="H955" s="32" t="s">
        <v>2300</v>
      </c>
      <c r="I955" s="6" t="str">
        <f t="shared" si="32"/>
        <v>Wide Bucket</v>
      </c>
      <c r="J955" s="6" t="s">
        <v>275</v>
      </c>
      <c r="K955" s="6">
        <v>1</v>
      </c>
      <c r="L955" s="6">
        <f t="shared" si="33"/>
        <v>3170000</v>
      </c>
      <c r="M955" s="6">
        <v>2700000</v>
      </c>
      <c r="N955" s="6" t="s">
        <v>2003</v>
      </c>
      <c r="O955" s="6" t="s">
        <v>2011</v>
      </c>
      <c r="P955" s="6">
        <v>2012</v>
      </c>
      <c r="Q955" s="6">
        <v>6</v>
      </c>
      <c r="R955" s="6" t="s">
        <v>45</v>
      </c>
      <c r="S955" s="31" t="s">
        <v>2123</v>
      </c>
      <c r="T955" s="6">
        <v>1</v>
      </c>
      <c r="U955" s="26">
        <v>2500000</v>
      </c>
      <c r="V955" s="26">
        <v>2500000</v>
      </c>
      <c r="W955" s="26">
        <v>2500000</v>
      </c>
      <c r="X955" s="6" t="s">
        <v>2003</v>
      </c>
      <c r="Y955" s="6" t="s">
        <v>1200</v>
      </c>
      <c r="Z955" s="6">
        <v>227067</v>
      </c>
    </row>
    <row r="956" spans="1:26" x14ac:dyDescent="0.3">
      <c r="A956" s="28" t="s">
        <v>42</v>
      </c>
      <c r="B956" s="6" t="s">
        <v>1326</v>
      </c>
      <c r="C956" s="6" t="s">
        <v>1972</v>
      </c>
      <c r="D956" s="6" t="s">
        <v>2292</v>
      </c>
      <c r="E956" s="6">
        <v>1</v>
      </c>
      <c r="F956" s="6" t="s">
        <v>2004</v>
      </c>
      <c r="G956" s="32" t="s">
        <v>2299</v>
      </c>
      <c r="H956" s="32" t="s">
        <v>2300</v>
      </c>
      <c r="I956" s="6" t="str">
        <f t="shared" si="32"/>
        <v>Stone Grapple</v>
      </c>
      <c r="J956" s="6" t="s">
        <v>44</v>
      </c>
      <c r="K956" s="6">
        <v>1</v>
      </c>
      <c r="L956" s="6">
        <f t="shared" si="33"/>
        <v>3050000</v>
      </c>
      <c r="M956" s="6">
        <v>2600000</v>
      </c>
      <c r="N956" s="6" t="s">
        <v>2003</v>
      </c>
      <c r="O956" s="6" t="s">
        <v>2007</v>
      </c>
      <c r="P956" s="6">
        <v>2015</v>
      </c>
      <c r="Q956" s="6">
        <v>1</v>
      </c>
      <c r="R956" s="6" t="s">
        <v>45</v>
      </c>
      <c r="S956" s="31" t="s">
        <v>2113</v>
      </c>
      <c r="T956" s="6">
        <v>1</v>
      </c>
      <c r="U956" s="26">
        <v>2400000</v>
      </c>
      <c r="V956" s="26">
        <v>2400000</v>
      </c>
      <c r="W956" s="26">
        <v>2400000</v>
      </c>
      <c r="X956" s="6" t="s">
        <v>2003</v>
      </c>
      <c r="Y956" s="6" t="s">
        <v>49</v>
      </c>
      <c r="Z956" s="6">
        <v>227071</v>
      </c>
    </row>
    <row r="957" spans="1:26" x14ac:dyDescent="0.3">
      <c r="A957" s="28" t="s">
        <v>42</v>
      </c>
      <c r="B957" s="6" t="s">
        <v>1325</v>
      </c>
      <c r="C957" s="19" t="s">
        <v>2156</v>
      </c>
      <c r="D957" s="6" t="s">
        <v>2292</v>
      </c>
      <c r="E957" s="6">
        <v>1</v>
      </c>
      <c r="F957" s="6" t="s">
        <v>2004</v>
      </c>
      <c r="G957" s="32" t="s">
        <v>2299</v>
      </c>
      <c r="H957" s="32" t="s">
        <v>2300</v>
      </c>
      <c r="I957" s="6" t="str">
        <f t="shared" si="32"/>
        <v>Hydraulic Crusher</v>
      </c>
      <c r="J957" s="6" t="s">
        <v>103</v>
      </c>
      <c r="K957" s="6">
        <v>1</v>
      </c>
      <c r="L957" s="6">
        <f t="shared" si="33"/>
        <v>12940000</v>
      </c>
      <c r="M957" s="6">
        <v>11000000</v>
      </c>
      <c r="N957" s="6" t="s">
        <v>2003</v>
      </c>
      <c r="O957" s="6" t="s">
        <v>1890</v>
      </c>
      <c r="P957" s="6">
        <v>2011</v>
      </c>
      <c r="Q957" s="6">
        <v>4</v>
      </c>
      <c r="R957" s="6" t="s">
        <v>45</v>
      </c>
      <c r="S957" s="31" t="s">
        <v>2111</v>
      </c>
      <c r="T957" s="6">
        <v>1</v>
      </c>
      <c r="U957" s="26">
        <v>10500000</v>
      </c>
      <c r="V957" s="26">
        <v>10500000</v>
      </c>
      <c r="W957" s="26">
        <v>10500000</v>
      </c>
      <c r="X957" s="6" t="s">
        <v>2003</v>
      </c>
      <c r="Y957" s="6" t="s">
        <v>1277</v>
      </c>
      <c r="Z957" s="6">
        <v>227077</v>
      </c>
    </row>
    <row r="958" spans="1:26" x14ac:dyDescent="0.3">
      <c r="A958" s="28" t="s">
        <v>42</v>
      </c>
      <c r="B958" s="6" t="s">
        <v>1326</v>
      </c>
      <c r="C958" s="6" t="s">
        <v>1972</v>
      </c>
      <c r="D958" s="6" t="s">
        <v>2292</v>
      </c>
      <c r="E958" s="6">
        <v>1</v>
      </c>
      <c r="F958" s="6" t="s">
        <v>2004</v>
      </c>
      <c r="G958" s="32" t="s">
        <v>2299</v>
      </c>
      <c r="H958" s="32" t="s">
        <v>2300</v>
      </c>
      <c r="I958" s="6" t="str">
        <f t="shared" si="32"/>
        <v>Stone Grapple</v>
      </c>
      <c r="J958" s="6" t="s">
        <v>193</v>
      </c>
      <c r="K958" s="6">
        <v>1</v>
      </c>
      <c r="L958" s="6">
        <f t="shared" si="33"/>
        <v>2230000</v>
      </c>
      <c r="M958" s="6">
        <v>1900000</v>
      </c>
      <c r="N958" s="6" t="s">
        <v>2003</v>
      </c>
      <c r="O958" s="6" t="s">
        <v>2007</v>
      </c>
      <c r="P958" s="6">
        <v>2013</v>
      </c>
      <c r="Q958" s="6">
        <v>1</v>
      </c>
      <c r="R958" s="6" t="s">
        <v>45</v>
      </c>
      <c r="S958" s="31" t="s">
        <v>2113</v>
      </c>
      <c r="T958" s="6">
        <v>1</v>
      </c>
      <c r="U958" s="26">
        <v>1800000</v>
      </c>
      <c r="V958" s="26">
        <v>1800000</v>
      </c>
      <c r="W958" s="26">
        <v>1800000</v>
      </c>
      <c r="X958" s="6" t="s">
        <v>2003</v>
      </c>
      <c r="Y958" s="6" t="s">
        <v>49</v>
      </c>
      <c r="Z958" s="6">
        <v>227082</v>
      </c>
    </row>
    <row r="959" spans="1:26" x14ac:dyDescent="0.3">
      <c r="A959" s="28" t="s">
        <v>42</v>
      </c>
      <c r="B959" s="6" t="s">
        <v>2169</v>
      </c>
      <c r="C959" s="6"/>
      <c r="D959" s="6" t="s">
        <v>2291</v>
      </c>
      <c r="E959" s="6">
        <v>1</v>
      </c>
      <c r="F959" s="6" t="s">
        <v>2004</v>
      </c>
      <c r="G959" s="32" t="s">
        <v>2299</v>
      </c>
      <c r="H959" s="32" t="s">
        <v>2300</v>
      </c>
      <c r="I959" s="6" t="str">
        <f t="shared" si="32"/>
        <v>Ripper</v>
      </c>
      <c r="J959" s="6" t="s">
        <v>390</v>
      </c>
      <c r="K959" s="6">
        <v>1</v>
      </c>
      <c r="L959" s="6">
        <f t="shared" si="33"/>
        <v>580000</v>
      </c>
      <c r="M959" s="6">
        <v>500000</v>
      </c>
      <c r="N959" s="6" t="s">
        <v>2003</v>
      </c>
      <c r="O959" s="6" t="s">
        <v>51</v>
      </c>
      <c r="P959" s="6">
        <v>2017</v>
      </c>
      <c r="Q959" s="6">
        <v>1</v>
      </c>
      <c r="R959" s="6" t="s">
        <v>45</v>
      </c>
      <c r="S959" s="31" t="s">
        <v>2113</v>
      </c>
      <c r="T959" s="6">
        <v>1</v>
      </c>
      <c r="U959" s="26">
        <v>450000</v>
      </c>
      <c r="V959" s="26">
        <v>450000</v>
      </c>
      <c r="W959" s="26">
        <v>450000</v>
      </c>
      <c r="X959" s="6" t="s">
        <v>2003</v>
      </c>
      <c r="Y959" s="6" t="s">
        <v>49</v>
      </c>
      <c r="Z959" s="6">
        <v>227083</v>
      </c>
    </row>
    <row r="960" spans="1:26" x14ac:dyDescent="0.3">
      <c r="A960" s="28" t="s">
        <v>42</v>
      </c>
      <c r="B960" s="6" t="s">
        <v>1328</v>
      </c>
      <c r="C960" s="6" t="s">
        <v>1975</v>
      </c>
      <c r="D960" s="6" t="s">
        <v>2001</v>
      </c>
      <c r="E960" s="6">
        <v>1</v>
      </c>
      <c r="F960" s="6" t="s">
        <v>2004</v>
      </c>
      <c r="G960" s="32" t="s">
        <v>2299</v>
      </c>
      <c r="H960" s="32" t="s">
        <v>2300</v>
      </c>
      <c r="I960" s="6" t="str">
        <f t="shared" si="32"/>
        <v>Side Breaker</v>
      </c>
      <c r="J960" s="6" t="s">
        <v>306</v>
      </c>
      <c r="K960" s="6">
        <v>1</v>
      </c>
      <c r="L960" s="6">
        <f t="shared" si="33"/>
        <v>7050000</v>
      </c>
      <c r="M960" s="6">
        <v>6000000</v>
      </c>
      <c r="N960" s="6" t="s">
        <v>2003</v>
      </c>
      <c r="O960" s="6" t="s">
        <v>2033</v>
      </c>
      <c r="P960" s="6">
        <v>2009</v>
      </c>
      <c r="Q960" s="6">
        <v>1</v>
      </c>
      <c r="R960" s="6" t="s">
        <v>45</v>
      </c>
      <c r="S960" s="31" t="s">
        <v>2121</v>
      </c>
      <c r="T960" s="6">
        <v>1</v>
      </c>
      <c r="U960" s="26">
        <v>5500000</v>
      </c>
      <c r="V960" s="26">
        <v>5500000</v>
      </c>
      <c r="W960" s="26">
        <v>5500000</v>
      </c>
      <c r="X960" s="6" t="s">
        <v>2003</v>
      </c>
      <c r="Y960" s="6" t="s">
        <v>1218</v>
      </c>
      <c r="Z960" s="6">
        <v>227085</v>
      </c>
    </row>
    <row r="961" spans="1:26" x14ac:dyDescent="0.3">
      <c r="A961" s="28" t="s">
        <v>42</v>
      </c>
      <c r="B961" s="6" t="s">
        <v>2239</v>
      </c>
      <c r="C961" s="6" t="s">
        <v>1972</v>
      </c>
      <c r="D961" s="6" t="s">
        <v>2292</v>
      </c>
      <c r="E961" s="6">
        <v>1</v>
      </c>
      <c r="F961" s="6" t="s">
        <v>2004</v>
      </c>
      <c r="G961" s="32" t="s">
        <v>2299</v>
      </c>
      <c r="H961" s="32" t="s">
        <v>2300</v>
      </c>
      <c r="I961" s="6" t="str">
        <f t="shared" si="32"/>
        <v>Stone Grapple</v>
      </c>
      <c r="J961" s="6" t="s">
        <v>1930</v>
      </c>
      <c r="K961" s="6">
        <v>1</v>
      </c>
      <c r="L961" s="6">
        <f t="shared" si="33"/>
        <v>6580000</v>
      </c>
      <c r="M961" s="6">
        <v>5600000</v>
      </c>
      <c r="N961" s="6" t="s">
        <v>2003</v>
      </c>
      <c r="O961" s="6" t="s">
        <v>823</v>
      </c>
      <c r="P961" s="6">
        <v>2014</v>
      </c>
      <c r="Q961" s="6">
        <v>1</v>
      </c>
      <c r="R961" s="6" t="s">
        <v>45</v>
      </c>
      <c r="S961" s="31" t="s">
        <v>2113</v>
      </c>
      <c r="T961" s="6">
        <v>1</v>
      </c>
      <c r="U961" s="26">
        <v>5100000</v>
      </c>
      <c r="V961" s="26">
        <v>5100000</v>
      </c>
      <c r="W961" s="26">
        <v>5100000</v>
      </c>
      <c r="X961" s="6" t="s">
        <v>2003</v>
      </c>
      <c r="Y961" s="6" t="s">
        <v>49</v>
      </c>
      <c r="Z961" s="6">
        <v>227092</v>
      </c>
    </row>
    <row r="962" spans="1:26" x14ac:dyDescent="0.3">
      <c r="A962" s="28" t="s">
        <v>42</v>
      </c>
      <c r="B962" s="6" t="s">
        <v>1326</v>
      </c>
      <c r="C962" s="6" t="s">
        <v>1972</v>
      </c>
      <c r="D962" s="6" t="s">
        <v>2290</v>
      </c>
      <c r="E962" s="6">
        <v>1</v>
      </c>
      <c r="F962" s="6" t="s">
        <v>2004</v>
      </c>
      <c r="G962" s="32" t="s">
        <v>2299</v>
      </c>
      <c r="H962" s="32" t="s">
        <v>2300</v>
      </c>
      <c r="I962" s="6" t="str">
        <f t="shared" si="32"/>
        <v>Stone Grapple</v>
      </c>
      <c r="J962" s="6" t="s">
        <v>94</v>
      </c>
      <c r="K962" s="6">
        <v>1</v>
      </c>
      <c r="L962" s="6">
        <f t="shared" si="33"/>
        <v>3170000</v>
      </c>
      <c r="M962" s="6">
        <v>2700000</v>
      </c>
      <c r="N962" s="6" t="s">
        <v>2003</v>
      </c>
      <c r="O962" s="6" t="s">
        <v>2011</v>
      </c>
      <c r="P962" s="6">
        <v>2010</v>
      </c>
      <c r="Q962" s="6">
        <v>6</v>
      </c>
      <c r="R962" s="6" t="s">
        <v>45</v>
      </c>
      <c r="S962" s="31" t="s">
        <v>2123</v>
      </c>
      <c r="T962" s="6">
        <v>1</v>
      </c>
      <c r="U962" s="26">
        <v>2500000</v>
      </c>
      <c r="V962" s="26">
        <v>2500000</v>
      </c>
      <c r="W962" s="26">
        <v>2500000</v>
      </c>
      <c r="X962" s="6" t="s">
        <v>2003</v>
      </c>
      <c r="Y962" s="6" t="s">
        <v>1200</v>
      </c>
      <c r="Z962" s="6">
        <v>227094</v>
      </c>
    </row>
    <row r="963" spans="1:26" x14ac:dyDescent="0.3">
      <c r="A963" s="28" t="s">
        <v>42</v>
      </c>
      <c r="B963" s="6" t="s">
        <v>2172</v>
      </c>
      <c r="C963" s="6"/>
      <c r="D963" s="6" t="s">
        <v>2291</v>
      </c>
      <c r="E963" s="6">
        <v>1</v>
      </c>
      <c r="F963" s="6" t="s">
        <v>2004</v>
      </c>
      <c r="G963" s="32" t="s">
        <v>2299</v>
      </c>
      <c r="H963" s="32" t="s">
        <v>2300</v>
      </c>
      <c r="I963" s="6" t="str">
        <f t="shared" si="32"/>
        <v>Quick Coupler</v>
      </c>
      <c r="J963" s="6" t="s">
        <v>367</v>
      </c>
      <c r="K963" s="6">
        <v>1</v>
      </c>
      <c r="L963" s="6">
        <f t="shared" si="33"/>
        <v>940000</v>
      </c>
      <c r="M963" s="6">
        <v>800000</v>
      </c>
      <c r="N963" s="6" t="s">
        <v>2003</v>
      </c>
      <c r="O963" s="6" t="s">
        <v>51</v>
      </c>
      <c r="P963" s="6">
        <v>2017</v>
      </c>
      <c r="Q963" s="6">
        <v>1</v>
      </c>
      <c r="R963" s="6" t="s">
        <v>45</v>
      </c>
      <c r="S963" s="31" t="s">
        <v>2113</v>
      </c>
      <c r="T963" s="6">
        <v>1</v>
      </c>
      <c r="U963" s="26">
        <v>700000</v>
      </c>
      <c r="V963" s="26">
        <v>700000</v>
      </c>
      <c r="W963" s="26">
        <v>700000</v>
      </c>
      <c r="X963" s="6" t="s">
        <v>2003</v>
      </c>
      <c r="Y963" s="6" t="s">
        <v>49</v>
      </c>
      <c r="Z963" s="6">
        <v>227095</v>
      </c>
    </row>
    <row r="964" spans="1:26" x14ac:dyDescent="0.3">
      <c r="A964" s="28" t="s">
        <v>42</v>
      </c>
      <c r="B964" s="6" t="s">
        <v>1325</v>
      </c>
      <c r="C964" s="6" t="s">
        <v>1978</v>
      </c>
      <c r="D964" s="6" t="s">
        <v>2001</v>
      </c>
      <c r="E964" s="6">
        <v>1</v>
      </c>
      <c r="F964" s="6" t="s">
        <v>2004</v>
      </c>
      <c r="G964" s="32" t="s">
        <v>2299</v>
      </c>
      <c r="H964" s="32" t="s">
        <v>2300</v>
      </c>
      <c r="I964" s="6" t="str">
        <f t="shared" si="32"/>
        <v>Hydraulic Pulverizer</v>
      </c>
      <c r="J964" s="6" t="s">
        <v>272</v>
      </c>
      <c r="K964" s="6">
        <v>1</v>
      </c>
      <c r="L964" s="6">
        <f t="shared" si="33"/>
        <v>19410000</v>
      </c>
      <c r="M964" s="6">
        <v>16500000</v>
      </c>
      <c r="N964" s="6" t="s">
        <v>2003</v>
      </c>
      <c r="O964" s="6" t="s">
        <v>813</v>
      </c>
      <c r="P964" s="6">
        <v>2014</v>
      </c>
      <c r="Q964" s="6">
        <v>1</v>
      </c>
      <c r="R964" s="6" t="s">
        <v>45</v>
      </c>
      <c r="S964" s="31" t="s">
        <v>2113</v>
      </c>
      <c r="T964" s="6">
        <v>1</v>
      </c>
      <c r="U964" s="26">
        <v>16000000</v>
      </c>
      <c r="V964" s="26">
        <v>16000000</v>
      </c>
      <c r="W964" s="26">
        <v>16000000</v>
      </c>
      <c r="X964" s="6" t="s">
        <v>2003</v>
      </c>
      <c r="Y964" s="6" t="s">
        <v>79</v>
      </c>
      <c r="Z964" s="6">
        <v>227099</v>
      </c>
    </row>
    <row r="965" spans="1:26" x14ac:dyDescent="0.3">
      <c r="A965" s="28" t="s">
        <v>42</v>
      </c>
      <c r="B965" s="6" t="s">
        <v>1327</v>
      </c>
      <c r="C965" s="6" t="s">
        <v>1980</v>
      </c>
      <c r="D965" s="6" t="s">
        <v>2292</v>
      </c>
      <c r="E965" s="6">
        <v>1</v>
      </c>
      <c r="F965" s="6" t="s">
        <v>2004</v>
      </c>
      <c r="G965" s="32" t="s">
        <v>2299</v>
      </c>
      <c r="H965" s="32" t="s">
        <v>2300</v>
      </c>
      <c r="I965" s="6" t="str">
        <f t="shared" si="32"/>
        <v>Small Bucket</v>
      </c>
      <c r="J965" s="6" t="s">
        <v>97</v>
      </c>
      <c r="K965" s="6">
        <v>1</v>
      </c>
      <c r="L965" s="6">
        <f t="shared" si="33"/>
        <v>700000</v>
      </c>
      <c r="M965" s="6">
        <v>600000</v>
      </c>
      <c r="N965" s="6" t="s">
        <v>2003</v>
      </c>
      <c r="O965" s="6" t="s">
        <v>823</v>
      </c>
      <c r="P965" s="6">
        <v>2013</v>
      </c>
      <c r="Q965" s="6">
        <v>1</v>
      </c>
      <c r="R965" s="6" t="s">
        <v>45</v>
      </c>
      <c r="S965" s="31" t="s">
        <v>2113</v>
      </c>
      <c r="T965" s="6">
        <v>1</v>
      </c>
      <c r="U965" s="26">
        <v>500000</v>
      </c>
      <c r="V965" s="26">
        <v>500000</v>
      </c>
      <c r="W965" s="26">
        <v>500000</v>
      </c>
      <c r="X965" s="6" t="s">
        <v>2003</v>
      </c>
      <c r="Y965" s="6" t="s">
        <v>49</v>
      </c>
      <c r="Z965" s="6">
        <v>227100</v>
      </c>
    </row>
    <row r="966" spans="1:26" x14ac:dyDescent="0.3">
      <c r="A966" s="28" t="s">
        <v>42</v>
      </c>
      <c r="B966" s="6" t="s">
        <v>2163</v>
      </c>
      <c r="C966" s="6"/>
      <c r="D966" s="6" t="s">
        <v>2292</v>
      </c>
      <c r="E966" s="6">
        <v>1</v>
      </c>
      <c r="F966" s="6" t="s">
        <v>2004</v>
      </c>
      <c r="G966" s="32" t="s">
        <v>2299</v>
      </c>
      <c r="H966" s="32" t="s">
        <v>2300</v>
      </c>
      <c r="I966" s="6" t="str">
        <f t="shared" si="32"/>
        <v>Lift Fork</v>
      </c>
      <c r="J966" s="6" t="s">
        <v>102</v>
      </c>
      <c r="K966" s="6">
        <v>1</v>
      </c>
      <c r="L966" s="6">
        <f t="shared" si="33"/>
        <v>1290000</v>
      </c>
      <c r="M966" s="6">
        <v>1100000</v>
      </c>
      <c r="N966" s="6" t="s">
        <v>2003</v>
      </c>
      <c r="O966" s="6" t="s">
        <v>51</v>
      </c>
      <c r="P966" s="6">
        <v>2017</v>
      </c>
      <c r="Q966" s="6">
        <v>1</v>
      </c>
      <c r="R966" s="6" t="s">
        <v>45</v>
      </c>
      <c r="S966" s="31" t="s">
        <v>2113</v>
      </c>
      <c r="T966" s="6">
        <v>1</v>
      </c>
      <c r="U966" s="26">
        <v>1000000</v>
      </c>
      <c r="V966" s="26">
        <v>1000000</v>
      </c>
      <c r="W966" s="26">
        <v>1000000</v>
      </c>
      <c r="X966" s="6" t="s">
        <v>2003</v>
      </c>
      <c r="Y966" s="6" t="s">
        <v>49</v>
      </c>
      <c r="Z966" s="6">
        <v>227103</v>
      </c>
    </row>
    <row r="967" spans="1:26" x14ac:dyDescent="0.3">
      <c r="A967" s="28" t="s">
        <v>42</v>
      </c>
      <c r="B967" s="6" t="s">
        <v>1328</v>
      </c>
      <c r="C967" s="6" t="s">
        <v>1975</v>
      </c>
      <c r="D967" s="6" t="s">
        <v>2291</v>
      </c>
      <c r="E967" s="6">
        <v>1</v>
      </c>
      <c r="F967" s="6" t="s">
        <v>2004</v>
      </c>
      <c r="G967" s="32" t="s">
        <v>2299</v>
      </c>
      <c r="H967" s="32" t="s">
        <v>2300</v>
      </c>
      <c r="I967" s="6" t="str">
        <f t="shared" si="32"/>
        <v>Side Breaker</v>
      </c>
      <c r="J967" s="6" t="s">
        <v>266</v>
      </c>
      <c r="K967" s="6">
        <v>1</v>
      </c>
      <c r="L967" s="6">
        <f t="shared" si="33"/>
        <v>2820000</v>
      </c>
      <c r="M967" s="6">
        <v>2400000</v>
      </c>
      <c r="N967" s="6" t="s">
        <v>2003</v>
      </c>
      <c r="O967" s="6" t="s">
        <v>2011</v>
      </c>
      <c r="P967" s="6">
        <v>2016</v>
      </c>
      <c r="Q967" s="6">
        <v>6</v>
      </c>
      <c r="R967" s="6" t="s">
        <v>45</v>
      </c>
      <c r="S967" s="31" t="s">
        <v>2123</v>
      </c>
      <c r="T967" s="6">
        <v>1</v>
      </c>
      <c r="U967" s="26">
        <v>2200000</v>
      </c>
      <c r="V967" s="26">
        <v>2200000</v>
      </c>
      <c r="W967" s="26">
        <v>2200000</v>
      </c>
      <c r="X967" s="6" t="s">
        <v>2003</v>
      </c>
      <c r="Y967" s="6" t="s">
        <v>1200</v>
      </c>
      <c r="Z967" s="6">
        <v>227106</v>
      </c>
    </row>
    <row r="968" spans="1:26" x14ac:dyDescent="0.3">
      <c r="A968" s="28" t="s">
        <v>42</v>
      </c>
      <c r="B968" s="6" t="s">
        <v>1328</v>
      </c>
      <c r="C968" s="6" t="s">
        <v>1975</v>
      </c>
      <c r="D968" s="6" t="s">
        <v>2292</v>
      </c>
      <c r="E968" s="6">
        <v>1</v>
      </c>
      <c r="F968" s="6" t="s">
        <v>2004</v>
      </c>
      <c r="G968" s="32" t="s">
        <v>2299</v>
      </c>
      <c r="H968" s="32" t="s">
        <v>2300</v>
      </c>
      <c r="I968" s="6" t="str">
        <f t="shared" si="32"/>
        <v>Side Breaker</v>
      </c>
      <c r="J968" s="6" t="s">
        <v>1931</v>
      </c>
      <c r="K968" s="6">
        <v>1</v>
      </c>
      <c r="L968" s="6">
        <f t="shared" si="33"/>
        <v>3520000</v>
      </c>
      <c r="M968" s="6">
        <v>3000000</v>
      </c>
      <c r="N968" s="6" t="s">
        <v>2003</v>
      </c>
      <c r="O968" s="6" t="s">
        <v>68</v>
      </c>
      <c r="P968" s="6">
        <v>2013</v>
      </c>
      <c r="Q968" s="6">
        <v>1</v>
      </c>
      <c r="R968" s="6" t="s">
        <v>45</v>
      </c>
      <c r="S968" s="31" t="s">
        <v>2116</v>
      </c>
      <c r="T968" s="6">
        <v>1</v>
      </c>
      <c r="U968" s="26">
        <v>2800000</v>
      </c>
      <c r="V968" s="26">
        <v>2800000</v>
      </c>
      <c r="W968" s="26">
        <v>2800000</v>
      </c>
      <c r="X968" s="6" t="s">
        <v>2003</v>
      </c>
      <c r="Y968" s="6" t="s">
        <v>1153</v>
      </c>
      <c r="Z968" s="6">
        <v>227110</v>
      </c>
    </row>
    <row r="969" spans="1:26" x14ac:dyDescent="0.3">
      <c r="A969" s="28" t="s">
        <v>42</v>
      </c>
      <c r="B969" s="6" t="s">
        <v>1325</v>
      </c>
      <c r="C969" s="19" t="s">
        <v>2156</v>
      </c>
      <c r="D969" s="6" t="s">
        <v>2292</v>
      </c>
      <c r="E969" s="6">
        <v>1</v>
      </c>
      <c r="F969" s="6" t="s">
        <v>2004</v>
      </c>
      <c r="G969" s="32" t="s">
        <v>2299</v>
      </c>
      <c r="H969" s="32" t="s">
        <v>2300</v>
      </c>
      <c r="I969" s="6" t="str">
        <f t="shared" si="32"/>
        <v>Hydraulic Crusher</v>
      </c>
      <c r="J969" s="6" t="s">
        <v>103</v>
      </c>
      <c r="K969" s="6">
        <v>1</v>
      </c>
      <c r="L969" s="6">
        <f t="shared" si="33"/>
        <v>13520000</v>
      </c>
      <c r="M969" s="6">
        <v>11500000</v>
      </c>
      <c r="N969" s="6" t="s">
        <v>2003</v>
      </c>
      <c r="O969" s="6" t="s">
        <v>823</v>
      </c>
      <c r="P969" s="6">
        <v>2014</v>
      </c>
      <c r="Q969" s="6">
        <v>1</v>
      </c>
      <c r="R969" s="6" t="s">
        <v>45</v>
      </c>
      <c r="S969" s="31" t="s">
        <v>2113</v>
      </c>
      <c r="T969" s="6">
        <v>1</v>
      </c>
      <c r="U969" s="26">
        <v>11000000</v>
      </c>
      <c r="V969" s="26">
        <v>11000000</v>
      </c>
      <c r="W969" s="26">
        <v>11000000</v>
      </c>
      <c r="X969" s="6" t="s">
        <v>2003</v>
      </c>
      <c r="Y969" s="6" t="s">
        <v>49</v>
      </c>
      <c r="Z969" s="6">
        <v>227114</v>
      </c>
    </row>
    <row r="970" spans="1:26" x14ac:dyDescent="0.3">
      <c r="A970" s="28" t="s">
        <v>42</v>
      </c>
      <c r="B970" s="6" t="s">
        <v>1327</v>
      </c>
      <c r="C970" s="6" t="s">
        <v>1976</v>
      </c>
      <c r="D970" s="6" t="s">
        <v>2290</v>
      </c>
      <c r="E970" s="6">
        <v>1</v>
      </c>
      <c r="F970" s="6" t="s">
        <v>2004</v>
      </c>
      <c r="G970" s="32" t="s">
        <v>2299</v>
      </c>
      <c r="H970" s="32" t="s">
        <v>2300</v>
      </c>
      <c r="I970" s="6" t="str">
        <f t="shared" si="32"/>
        <v>Skeleton Bucket</v>
      </c>
      <c r="J970" s="6" t="s">
        <v>685</v>
      </c>
      <c r="K970" s="6">
        <v>1</v>
      </c>
      <c r="L970" s="6">
        <f t="shared" si="33"/>
        <v>2940000</v>
      </c>
      <c r="M970" s="6">
        <v>2500000</v>
      </c>
      <c r="N970" s="6" t="s">
        <v>2003</v>
      </c>
      <c r="O970" s="6" t="s">
        <v>813</v>
      </c>
      <c r="P970" s="6">
        <v>2016</v>
      </c>
      <c r="Q970" s="6">
        <v>1</v>
      </c>
      <c r="R970" s="6" t="s">
        <v>45</v>
      </c>
      <c r="S970" s="31" t="s">
        <v>2113</v>
      </c>
      <c r="T970" s="6">
        <v>1</v>
      </c>
      <c r="U970" s="26">
        <v>2300000</v>
      </c>
      <c r="V970" s="26">
        <v>2300000</v>
      </c>
      <c r="W970" s="26">
        <v>2300000</v>
      </c>
      <c r="X970" s="6" t="s">
        <v>2003</v>
      </c>
      <c r="Y970" s="6" t="s">
        <v>79</v>
      </c>
      <c r="Z970" s="6">
        <v>227115</v>
      </c>
    </row>
    <row r="971" spans="1:26" x14ac:dyDescent="0.3">
      <c r="A971" s="28" t="s">
        <v>42</v>
      </c>
      <c r="B971" s="6" t="s">
        <v>1326</v>
      </c>
      <c r="C971" s="6" t="s">
        <v>1972</v>
      </c>
      <c r="D971" s="6" t="s">
        <v>2292</v>
      </c>
      <c r="E971" s="6">
        <v>1</v>
      </c>
      <c r="F971" s="6" t="s">
        <v>2004</v>
      </c>
      <c r="G971" s="32" t="s">
        <v>2299</v>
      </c>
      <c r="H971" s="32" t="s">
        <v>2300</v>
      </c>
      <c r="I971" s="6" t="str">
        <f t="shared" ref="I971:I1034" si="34">IF(ISBLANK(C971),B971,C971)</f>
        <v>Stone Grapple</v>
      </c>
      <c r="J971" s="6" t="s">
        <v>1933</v>
      </c>
      <c r="K971" s="6">
        <v>1</v>
      </c>
      <c r="L971" s="6">
        <f t="shared" ref="L971:L1034" si="35">FLOOR(((M971*100)/85)/10000, 1)*10000</f>
        <v>3170000</v>
      </c>
      <c r="M971" s="6">
        <v>2700000</v>
      </c>
      <c r="N971" s="6" t="s">
        <v>2003</v>
      </c>
      <c r="O971" s="6" t="s">
        <v>1892</v>
      </c>
      <c r="P971" s="6">
        <v>2015</v>
      </c>
      <c r="Q971" s="6">
        <v>3</v>
      </c>
      <c r="R971" s="6" t="s">
        <v>45</v>
      </c>
      <c r="S971" s="31" t="s">
        <v>2110</v>
      </c>
      <c r="T971" s="6">
        <v>1</v>
      </c>
      <c r="U971" s="26">
        <v>2500000</v>
      </c>
      <c r="V971" s="26">
        <v>2500000</v>
      </c>
      <c r="W971" s="26">
        <v>2500000</v>
      </c>
      <c r="X971" s="6" t="s">
        <v>2003</v>
      </c>
      <c r="Y971" s="6" t="s">
        <v>1312</v>
      </c>
      <c r="Z971" s="6">
        <v>227116</v>
      </c>
    </row>
    <row r="972" spans="1:26" x14ac:dyDescent="0.3">
      <c r="A972" s="28" t="s">
        <v>42</v>
      </c>
      <c r="B972" s="6" t="s">
        <v>1326</v>
      </c>
      <c r="C972" s="6" t="s">
        <v>1972</v>
      </c>
      <c r="D972" s="6" t="s">
        <v>2292</v>
      </c>
      <c r="E972" s="6">
        <v>1</v>
      </c>
      <c r="F972" s="6" t="s">
        <v>2004</v>
      </c>
      <c r="G972" s="32" t="s">
        <v>2299</v>
      </c>
      <c r="H972" s="32" t="s">
        <v>2300</v>
      </c>
      <c r="I972" s="6" t="str">
        <f t="shared" si="34"/>
        <v>Stone Grapple</v>
      </c>
      <c r="J972" s="6" t="s">
        <v>44</v>
      </c>
      <c r="K972" s="6">
        <v>1</v>
      </c>
      <c r="L972" s="6">
        <f t="shared" si="35"/>
        <v>3170000</v>
      </c>
      <c r="M972" s="6">
        <v>2700000</v>
      </c>
      <c r="N972" s="6" t="s">
        <v>2003</v>
      </c>
      <c r="O972" s="6" t="s">
        <v>2007</v>
      </c>
      <c r="P972" s="6">
        <v>2014</v>
      </c>
      <c r="Q972" s="6">
        <v>1</v>
      </c>
      <c r="R972" s="6" t="s">
        <v>45</v>
      </c>
      <c r="S972" s="31" t="s">
        <v>2113</v>
      </c>
      <c r="T972" s="6">
        <v>1</v>
      </c>
      <c r="U972" s="26">
        <v>2500000</v>
      </c>
      <c r="V972" s="26">
        <v>2500000</v>
      </c>
      <c r="W972" s="26">
        <v>2500000</v>
      </c>
      <c r="X972" s="6" t="s">
        <v>2003</v>
      </c>
      <c r="Y972" s="6" t="s">
        <v>49</v>
      </c>
      <c r="Z972" s="6">
        <v>227118</v>
      </c>
    </row>
    <row r="973" spans="1:26" x14ac:dyDescent="0.3">
      <c r="A973" s="28" t="s">
        <v>42</v>
      </c>
      <c r="B973" s="6" t="s">
        <v>2245</v>
      </c>
      <c r="C973" s="6" t="s">
        <v>2246</v>
      </c>
      <c r="D973" s="6" t="s">
        <v>2292</v>
      </c>
      <c r="E973" s="6">
        <v>1</v>
      </c>
      <c r="F973" s="6" t="s">
        <v>2004</v>
      </c>
      <c r="G973" s="32" t="s">
        <v>2299</v>
      </c>
      <c r="H973" s="32" t="s">
        <v>2300</v>
      </c>
      <c r="I973" s="6" t="str">
        <f t="shared" si="34"/>
        <v>Side Breaker</v>
      </c>
      <c r="J973" s="6" t="s">
        <v>1934</v>
      </c>
      <c r="K973" s="6">
        <v>1</v>
      </c>
      <c r="L973" s="6">
        <f t="shared" si="35"/>
        <v>2940000</v>
      </c>
      <c r="M973" s="6">
        <v>2500000</v>
      </c>
      <c r="N973" s="6" t="s">
        <v>2003</v>
      </c>
      <c r="O973" s="6" t="s">
        <v>801</v>
      </c>
      <c r="P973" s="6">
        <v>2015</v>
      </c>
      <c r="Q973" s="6">
        <v>1</v>
      </c>
      <c r="R973" s="6" t="s">
        <v>45</v>
      </c>
      <c r="S973" s="31" t="s">
        <v>2110</v>
      </c>
      <c r="T973" s="6">
        <v>1</v>
      </c>
      <c r="U973" s="26">
        <v>2300000</v>
      </c>
      <c r="V973" s="26">
        <v>2300000</v>
      </c>
      <c r="W973" s="26">
        <v>2300000</v>
      </c>
      <c r="X973" s="6" t="s">
        <v>2003</v>
      </c>
      <c r="Y973" s="6" t="s">
        <v>1182</v>
      </c>
      <c r="Z973" s="6">
        <v>227126</v>
      </c>
    </row>
    <row r="974" spans="1:26" x14ac:dyDescent="0.3">
      <c r="A974" s="28" t="s">
        <v>42</v>
      </c>
      <c r="B974" s="6" t="s">
        <v>1327</v>
      </c>
      <c r="C974" s="19" t="s">
        <v>1982</v>
      </c>
      <c r="D974" s="6" t="s">
        <v>2292</v>
      </c>
      <c r="E974" s="6">
        <v>1</v>
      </c>
      <c r="F974" s="6" t="s">
        <v>2004</v>
      </c>
      <c r="G974" s="32" t="s">
        <v>2299</v>
      </c>
      <c r="H974" s="32" t="s">
        <v>2300</v>
      </c>
      <c r="I974" s="6" t="str">
        <f t="shared" si="34"/>
        <v>Standard Bucket</v>
      </c>
      <c r="J974" s="6" t="s">
        <v>143</v>
      </c>
      <c r="K974" s="6">
        <v>1</v>
      </c>
      <c r="L974" s="6">
        <f t="shared" si="35"/>
        <v>580000</v>
      </c>
      <c r="M974" s="6">
        <v>500000</v>
      </c>
      <c r="N974" s="6" t="s">
        <v>2003</v>
      </c>
      <c r="O974" s="6" t="s">
        <v>810</v>
      </c>
      <c r="P974" s="6">
        <v>2013</v>
      </c>
      <c r="Q974" s="6">
        <v>5</v>
      </c>
      <c r="R974" s="6" t="s">
        <v>45</v>
      </c>
      <c r="S974" s="31" t="s">
        <v>2123</v>
      </c>
      <c r="T974" s="6">
        <v>1</v>
      </c>
      <c r="U974" s="26">
        <v>450000</v>
      </c>
      <c r="V974" s="26">
        <v>450000</v>
      </c>
      <c r="W974" s="26">
        <v>450000</v>
      </c>
      <c r="X974" s="6" t="s">
        <v>2003</v>
      </c>
      <c r="Y974" s="6" t="s">
        <v>1189</v>
      </c>
      <c r="Z974" s="6">
        <v>227128</v>
      </c>
    </row>
    <row r="975" spans="1:26" x14ac:dyDescent="0.3">
      <c r="A975" s="28" t="s">
        <v>42</v>
      </c>
      <c r="B975" s="6" t="s">
        <v>1378</v>
      </c>
      <c r="C975" s="6"/>
      <c r="D975" s="6" t="s">
        <v>2001</v>
      </c>
      <c r="E975" s="6">
        <v>1</v>
      </c>
      <c r="F975" s="6" t="s">
        <v>2004</v>
      </c>
      <c r="G975" s="32" t="s">
        <v>2299</v>
      </c>
      <c r="H975" s="32" t="s">
        <v>2300</v>
      </c>
      <c r="I975" s="6" t="str">
        <f t="shared" si="34"/>
        <v>Shear&amp;Cutter</v>
      </c>
      <c r="J975" s="6" t="s">
        <v>216</v>
      </c>
      <c r="K975" s="6">
        <v>1</v>
      </c>
      <c r="L975" s="6">
        <f t="shared" si="35"/>
        <v>18230000</v>
      </c>
      <c r="M975" s="6">
        <v>15500000</v>
      </c>
      <c r="N975" s="6" t="s">
        <v>2003</v>
      </c>
      <c r="O975" s="6" t="s">
        <v>813</v>
      </c>
      <c r="P975" s="6">
        <v>2014</v>
      </c>
      <c r="Q975" s="6">
        <v>1</v>
      </c>
      <c r="R975" s="6" t="s">
        <v>45</v>
      </c>
      <c r="S975" s="31" t="s">
        <v>2113</v>
      </c>
      <c r="T975" s="6">
        <v>1</v>
      </c>
      <c r="U975" s="26">
        <v>15000000</v>
      </c>
      <c r="V975" s="26">
        <v>15000000</v>
      </c>
      <c r="W975" s="26">
        <v>15000000</v>
      </c>
      <c r="X975" s="6" t="s">
        <v>2003</v>
      </c>
      <c r="Y975" s="6" t="s">
        <v>79</v>
      </c>
      <c r="Z975" s="6">
        <v>227132</v>
      </c>
    </row>
    <row r="976" spans="1:26" x14ac:dyDescent="0.3">
      <c r="A976" s="28" t="s">
        <v>42</v>
      </c>
      <c r="B976" s="6" t="s">
        <v>2169</v>
      </c>
      <c r="C976" s="6"/>
      <c r="D976" s="6" t="s">
        <v>2289</v>
      </c>
      <c r="E976" s="6">
        <v>1</v>
      </c>
      <c r="F976" s="6" t="s">
        <v>2004</v>
      </c>
      <c r="G976" s="32" t="s">
        <v>2299</v>
      </c>
      <c r="H976" s="32" t="s">
        <v>2300</v>
      </c>
      <c r="I976" s="6" t="str">
        <f t="shared" si="34"/>
        <v>Ripper</v>
      </c>
      <c r="J976" s="6" t="s">
        <v>1935</v>
      </c>
      <c r="K976" s="6">
        <v>1</v>
      </c>
      <c r="L976" s="6">
        <f t="shared" si="35"/>
        <v>4350000</v>
      </c>
      <c r="M976" s="6">
        <v>3700000</v>
      </c>
      <c r="N976" s="6" t="s">
        <v>2003</v>
      </c>
      <c r="O976" s="6" t="s">
        <v>1893</v>
      </c>
      <c r="P976" s="6">
        <v>2016</v>
      </c>
      <c r="Q976" s="6">
        <v>5</v>
      </c>
      <c r="R976" s="6" t="s">
        <v>45</v>
      </c>
      <c r="S976" s="31" t="s">
        <v>2114</v>
      </c>
      <c r="T976" s="6">
        <v>1</v>
      </c>
      <c r="U976" s="26">
        <v>3500000</v>
      </c>
      <c r="V976" s="26">
        <v>3500000</v>
      </c>
      <c r="W976" s="26">
        <v>3500000</v>
      </c>
      <c r="X976" s="6" t="s">
        <v>2003</v>
      </c>
      <c r="Y976" s="6" t="s">
        <v>1210</v>
      </c>
      <c r="Z976" s="6">
        <v>227134</v>
      </c>
    </row>
    <row r="977" spans="1:26" x14ac:dyDescent="0.3">
      <c r="A977" s="28" t="s">
        <v>42</v>
      </c>
      <c r="B977" s="6" t="s">
        <v>1326</v>
      </c>
      <c r="C977" s="6" t="s">
        <v>1972</v>
      </c>
      <c r="D977" s="6" t="s">
        <v>2292</v>
      </c>
      <c r="E977" s="6">
        <v>1</v>
      </c>
      <c r="F977" s="6" t="s">
        <v>2004</v>
      </c>
      <c r="G977" s="32" t="s">
        <v>2299</v>
      </c>
      <c r="H977" s="32" t="s">
        <v>2300</v>
      </c>
      <c r="I977" s="6" t="str">
        <f t="shared" si="34"/>
        <v>Stone Grapple</v>
      </c>
      <c r="J977" s="6" t="s">
        <v>340</v>
      </c>
      <c r="K977" s="6">
        <v>1</v>
      </c>
      <c r="L977" s="6">
        <f t="shared" si="35"/>
        <v>2820000</v>
      </c>
      <c r="M977" s="6">
        <v>2400000</v>
      </c>
      <c r="N977" s="6" t="s">
        <v>2003</v>
      </c>
      <c r="O977" s="6" t="s">
        <v>2007</v>
      </c>
      <c r="P977" s="6">
        <v>2013</v>
      </c>
      <c r="Q977" s="6">
        <v>1</v>
      </c>
      <c r="R977" s="6" t="s">
        <v>45</v>
      </c>
      <c r="S977" s="31" t="s">
        <v>2113</v>
      </c>
      <c r="T977" s="6">
        <v>1</v>
      </c>
      <c r="U977" s="26">
        <v>2200000</v>
      </c>
      <c r="V977" s="26">
        <v>2200000</v>
      </c>
      <c r="W977" s="26">
        <v>2200000</v>
      </c>
      <c r="X977" s="6" t="s">
        <v>2003</v>
      </c>
      <c r="Y977" s="6" t="s">
        <v>49</v>
      </c>
      <c r="Z977" s="6">
        <v>227135</v>
      </c>
    </row>
    <row r="978" spans="1:26" x14ac:dyDescent="0.3">
      <c r="A978" s="28" t="s">
        <v>42</v>
      </c>
      <c r="B978" s="6" t="s">
        <v>2172</v>
      </c>
      <c r="C978" s="6"/>
      <c r="D978" s="6" t="s">
        <v>2001</v>
      </c>
      <c r="E978" s="6">
        <v>1</v>
      </c>
      <c r="F978" s="6" t="s">
        <v>2004</v>
      </c>
      <c r="G978" s="32" t="s">
        <v>2299</v>
      </c>
      <c r="H978" s="32" t="s">
        <v>2300</v>
      </c>
      <c r="I978" s="6" t="str">
        <f t="shared" si="34"/>
        <v>Quick Coupler</v>
      </c>
      <c r="J978" s="6" t="s">
        <v>290</v>
      </c>
      <c r="K978" s="6">
        <v>1</v>
      </c>
      <c r="L978" s="6">
        <f t="shared" si="35"/>
        <v>1410000</v>
      </c>
      <c r="M978" s="6">
        <v>1200000</v>
      </c>
      <c r="N978" s="6" t="s">
        <v>2003</v>
      </c>
      <c r="O978" s="6" t="s">
        <v>813</v>
      </c>
      <c r="P978" s="6">
        <v>2013</v>
      </c>
      <c r="Q978" s="6">
        <v>1</v>
      </c>
      <c r="R978" s="6" t="s">
        <v>45</v>
      </c>
      <c r="S978" s="31" t="s">
        <v>2113</v>
      </c>
      <c r="T978" s="6">
        <v>1</v>
      </c>
      <c r="U978" s="26">
        <v>1100000</v>
      </c>
      <c r="V978" s="26">
        <v>1100000</v>
      </c>
      <c r="W978" s="26">
        <v>1100000</v>
      </c>
      <c r="X978" s="6" t="s">
        <v>2003</v>
      </c>
      <c r="Y978" s="6" t="s">
        <v>79</v>
      </c>
      <c r="Z978" s="6">
        <v>227136</v>
      </c>
    </row>
    <row r="979" spans="1:26" x14ac:dyDescent="0.3">
      <c r="A979" s="28" t="s">
        <v>42</v>
      </c>
      <c r="B979" s="6" t="s">
        <v>1337</v>
      </c>
      <c r="C979" s="6"/>
      <c r="D979" s="6" t="s">
        <v>2292</v>
      </c>
      <c r="E979" s="6">
        <v>1</v>
      </c>
      <c r="F979" s="6" t="s">
        <v>2004</v>
      </c>
      <c r="G979" s="32" t="s">
        <v>2299</v>
      </c>
      <c r="H979" s="32" t="s">
        <v>2300</v>
      </c>
      <c r="I979" s="6" t="str">
        <f t="shared" si="34"/>
        <v>ETC</v>
      </c>
      <c r="J979" s="6" t="s">
        <v>476</v>
      </c>
      <c r="K979" s="6">
        <v>1</v>
      </c>
      <c r="L979" s="6">
        <f t="shared" si="35"/>
        <v>13520000</v>
      </c>
      <c r="M979" s="6">
        <v>11500000</v>
      </c>
      <c r="N979" s="6" t="s">
        <v>2003</v>
      </c>
      <c r="O979" s="6" t="s">
        <v>2033</v>
      </c>
      <c r="P979" s="6">
        <v>2014</v>
      </c>
      <c r="Q979" s="6">
        <v>9</v>
      </c>
      <c r="R979" s="6" t="s">
        <v>45</v>
      </c>
      <c r="S979" s="31" t="s">
        <v>2121</v>
      </c>
      <c r="T979" s="6">
        <v>1</v>
      </c>
      <c r="U979" s="26">
        <v>11000000</v>
      </c>
      <c r="V979" s="26">
        <v>11000000</v>
      </c>
      <c r="W979" s="26">
        <v>11000000</v>
      </c>
      <c r="X979" s="6" t="s">
        <v>2003</v>
      </c>
      <c r="Y979" s="6" t="s">
        <v>1219</v>
      </c>
      <c r="Z979" s="6">
        <v>227138</v>
      </c>
    </row>
    <row r="980" spans="1:26" x14ac:dyDescent="0.3">
      <c r="A980" s="28" t="s">
        <v>42</v>
      </c>
      <c r="B980" s="6" t="s">
        <v>1325</v>
      </c>
      <c r="C980" s="6" t="s">
        <v>1978</v>
      </c>
      <c r="D980" s="6" t="s">
        <v>2001</v>
      </c>
      <c r="E980" s="6">
        <v>1</v>
      </c>
      <c r="F980" s="6" t="s">
        <v>2004</v>
      </c>
      <c r="G980" s="32" t="s">
        <v>2299</v>
      </c>
      <c r="H980" s="32" t="s">
        <v>2300</v>
      </c>
      <c r="I980" s="6" t="str">
        <f t="shared" si="34"/>
        <v>Hydraulic Pulverizer</v>
      </c>
      <c r="J980" s="6" t="s">
        <v>258</v>
      </c>
      <c r="K980" s="6">
        <v>1</v>
      </c>
      <c r="L980" s="6">
        <f t="shared" si="35"/>
        <v>16470000</v>
      </c>
      <c r="M980" s="6">
        <v>14000000</v>
      </c>
      <c r="N980" s="6" t="s">
        <v>2003</v>
      </c>
      <c r="O980" s="6" t="s">
        <v>813</v>
      </c>
      <c r="P980" s="6">
        <v>2013</v>
      </c>
      <c r="Q980" s="6">
        <v>1</v>
      </c>
      <c r="R980" s="6" t="s">
        <v>45</v>
      </c>
      <c r="S980" s="31" t="s">
        <v>2113</v>
      </c>
      <c r="T980" s="6">
        <v>1</v>
      </c>
      <c r="U980" s="26">
        <v>13500000</v>
      </c>
      <c r="V980" s="26">
        <v>13500000</v>
      </c>
      <c r="W980" s="26">
        <v>13500000</v>
      </c>
      <c r="X980" s="6" t="s">
        <v>2003</v>
      </c>
      <c r="Y980" s="6" t="s">
        <v>79</v>
      </c>
      <c r="Z980" s="6">
        <v>227140</v>
      </c>
    </row>
    <row r="981" spans="1:26" x14ac:dyDescent="0.3">
      <c r="A981" s="28" t="s">
        <v>42</v>
      </c>
      <c r="B981" s="6" t="s">
        <v>1325</v>
      </c>
      <c r="C981" s="6" t="s">
        <v>2156</v>
      </c>
      <c r="D981" s="6" t="s">
        <v>2290</v>
      </c>
      <c r="E981" s="6">
        <v>1</v>
      </c>
      <c r="F981" s="6" t="s">
        <v>2004</v>
      </c>
      <c r="G981" s="32" t="s">
        <v>2299</v>
      </c>
      <c r="H981" s="32" t="s">
        <v>2300</v>
      </c>
      <c r="I981" s="6" t="str">
        <f t="shared" si="34"/>
        <v>Hydraulic Crusher</v>
      </c>
      <c r="J981" s="6" t="s">
        <v>223</v>
      </c>
      <c r="K981" s="6">
        <v>1</v>
      </c>
      <c r="L981" s="6">
        <f t="shared" si="35"/>
        <v>11170000</v>
      </c>
      <c r="M981" s="6">
        <v>9500000</v>
      </c>
      <c r="N981" s="6" t="s">
        <v>2003</v>
      </c>
      <c r="O981" s="6" t="s">
        <v>813</v>
      </c>
      <c r="P981" s="6">
        <v>2014</v>
      </c>
      <c r="Q981" s="6">
        <v>1</v>
      </c>
      <c r="R981" s="6" t="s">
        <v>45</v>
      </c>
      <c r="S981" s="31" t="s">
        <v>2113</v>
      </c>
      <c r="T981" s="6">
        <v>1</v>
      </c>
      <c r="U981" s="26">
        <v>9000000</v>
      </c>
      <c r="V981" s="26">
        <v>9000000</v>
      </c>
      <c r="W981" s="26">
        <v>9000000</v>
      </c>
      <c r="X981" s="6" t="s">
        <v>2003</v>
      </c>
      <c r="Y981" s="6" t="s">
        <v>80</v>
      </c>
      <c r="Z981" s="6">
        <v>227144</v>
      </c>
    </row>
    <row r="982" spans="1:26" x14ac:dyDescent="0.3">
      <c r="A982" s="28" t="s">
        <v>42</v>
      </c>
      <c r="B982" s="6" t="s">
        <v>2169</v>
      </c>
      <c r="C982" s="6"/>
      <c r="D982" s="6" t="s">
        <v>2001</v>
      </c>
      <c r="E982" s="6">
        <v>1</v>
      </c>
      <c r="F982" s="6" t="s">
        <v>2004</v>
      </c>
      <c r="G982" s="32" t="s">
        <v>2299</v>
      </c>
      <c r="H982" s="32" t="s">
        <v>2300</v>
      </c>
      <c r="I982" s="6" t="str">
        <f t="shared" si="34"/>
        <v>Ripper</v>
      </c>
      <c r="J982" s="6" t="s">
        <v>129</v>
      </c>
      <c r="K982" s="6">
        <v>1</v>
      </c>
      <c r="L982" s="6">
        <f t="shared" si="35"/>
        <v>1410000</v>
      </c>
      <c r="M982" s="6">
        <v>1200000</v>
      </c>
      <c r="N982" s="6" t="s">
        <v>2003</v>
      </c>
      <c r="O982" s="6" t="s">
        <v>1894</v>
      </c>
      <c r="P982" s="6">
        <v>2013</v>
      </c>
      <c r="Q982" s="6">
        <v>1</v>
      </c>
      <c r="R982" s="6" t="s">
        <v>45</v>
      </c>
      <c r="S982" s="31" t="s">
        <v>2114</v>
      </c>
      <c r="T982" s="6">
        <v>1</v>
      </c>
      <c r="U982" s="26">
        <v>1100000</v>
      </c>
      <c r="V982" s="26">
        <v>1100000</v>
      </c>
      <c r="W982" s="26">
        <v>1100000</v>
      </c>
      <c r="X982" s="6" t="s">
        <v>2003</v>
      </c>
      <c r="Y982" s="6" t="s">
        <v>57</v>
      </c>
      <c r="Z982" s="6">
        <v>227146</v>
      </c>
    </row>
    <row r="983" spans="1:26" x14ac:dyDescent="0.3">
      <c r="A983" s="28" t="s">
        <v>42</v>
      </c>
      <c r="B983" s="6" t="s">
        <v>1328</v>
      </c>
      <c r="C983" s="6" t="s">
        <v>1975</v>
      </c>
      <c r="D983" s="6" t="s">
        <v>2292</v>
      </c>
      <c r="E983" s="6">
        <v>1</v>
      </c>
      <c r="F983" s="6" t="s">
        <v>2004</v>
      </c>
      <c r="G983" s="32" t="s">
        <v>2299</v>
      </c>
      <c r="H983" s="32" t="s">
        <v>2300</v>
      </c>
      <c r="I983" s="6" t="str">
        <f t="shared" si="34"/>
        <v>Side Breaker</v>
      </c>
      <c r="J983" s="6" t="s">
        <v>146</v>
      </c>
      <c r="K983" s="6">
        <v>1</v>
      </c>
      <c r="L983" s="6">
        <f t="shared" si="35"/>
        <v>2820000</v>
      </c>
      <c r="M983" s="6">
        <v>2400000</v>
      </c>
      <c r="N983" s="6" t="s">
        <v>2003</v>
      </c>
      <c r="O983" s="6" t="s">
        <v>1895</v>
      </c>
      <c r="P983" s="6">
        <v>2008</v>
      </c>
      <c r="Q983" s="6">
        <v>1</v>
      </c>
      <c r="R983" s="6" t="s">
        <v>45</v>
      </c>
      <c r="S983" s="31" t="s">
        <v>2118</v>
      </c>
      <c r="T983" s="6">
        <v>1</v>
      </c>
      <c r="U983" s="26">
        <v>2200000</v>
      </c>
      <c r="V983" s="26">
        <v>2200000</v>
      </c>
      <c r="W983" s="26">
        <v>2200000</v>
      </c>
      <c r="X983" s="6" t="s">
        <v>2003</v>
      </c>
      <c r="Y983" s="6" t="s">
        <v>67</v>
      </c>
      <c r="Z983" s="6">
        <v>227147</v>
      </c>
    </row>
    <row r="984" spans="1:26" x14ac:dyDescent="0.3">
      <c r="A984" s="28" t="s">
        <v>42</v>
      </c>
      <c r="B984" s="6" t="s">
        <v>1325</v>
      </c>
      <c r="C984" s="6" t="s">
        <v>1978</v>
      </c>
      <c r="D984" s="6" t="s">
        <v>2290</v>
      </c>
      <c r="E984" s="6">
        <v>1</v>
      </c>
      <c r="F984" s="6" t="s">
        <v>2004</v>
      </c>
      <c r="G984" s="32" t="s">
        <v>2299</v>
      </c>
      <c r="H984" s="32" t="s">
        <v>2300</v>
      </c>
      <c r="I984" s="6" t="str">
        <f t="shared" si="34"/>
        <v>Hydraulic Pulverizer</v>
      </c>
      <c r="J984" s="6" t="s">
        <v>1936</v>
      </c>
      <c r="K984" s="6">
        <v>1</v>
      </c>
      <c r="L984" s="6">
        <f t="shared" si="35"/>
        <v>7640000</v>
      </c>
      <c r="M984" s="6">
        <v>6500000</v>
      </c>
      <c r="N984" s="6" t="s">
        <v>2003</v>
      </c>
      <c r="O984" s="6" t="s">
        <v>813</v>
      </c>
      <c r="P984" s="6">
        <v>2014</v>
      </c>
      <c r="Q984" s="6">
        <v>1</v>
      </c>
      <c r="R984" s="6" t="s">
        <v>45</v>
      </c>
      <c r="S984" s="31" t="s">
        <v>2113</v>
      </c>
      <c r="T984" s="6">
        <v>1</v>
      </c>
      <c r="U984" s="26">
        <v>6000000</v>
      </c>
      <c r="V984" s="26">
        <v>6000000</v>
      </c>
      <c r="W984" s="26">
        <v>6000000</v>
      </c>
      <c r="X984" s="6" t="s">
        <v>2003</v>
      </c>
      <c r="Y984" s="6" t="s">
        <v>79</v>
      </c>
      <c r="Z984" s="6">
        <v>227148</v>
      </c>
    </row>
    <row r="985" spans="1:26" x14ac:dyDescent="0.3">
      <c r="A985" s="28" t="s">
        <v>42</v>
      </c>
      <c r="B985" s="6" t="s">
        <v>1326</v>
      </c>
      <c r="C985" s="6" t="s">
        <v>1979</v>
      </c>
      <c r="D985" s="6" t="s">
        <v>2292</v>
      </c>
      <c r="E985" s="6">
        <v>1</v>
      </c>
      <c r="F985" s="6" t="s">
        <v>2004</v>
      </c>
      <c r="G985" s="32" t="s">
        <v>2299</v>
      </c>
      <c r="H985" s="32" t="s">
        <v>2300</v>
      </c>
      <c r="I985" s="6" t="str">
        <f t="shared" si="34"/>
        <v>Thumb Grapple</v>
      </c>
      <c r="J985" s="6" t="s">
        <v>93</v>
      </c>
      <c r="K985" s="6">
        <v>1</v>
      </c>
      <c r="L985" s="6">
        <f t="shared" si="35"/>
        <v>940000</v>
      </c>
      <c r="M985" s="6">
        <v>800000</v>
      </c>
      <c r="N985" s="6" t="s">
        <v>2003</v>
      </c>
      <c r="O985" s="6" t="s">
        <v>813</v>
      </c>
      <c r="P985" s="6">
        <v>2013</v>
      </c>
      <c r="Q985" s="6">
        <v>1</v>
      </c>
      <c r="R985" s="6" t="s">
        <v>45</v>
      </c>
      <c r="S985" s="31" t="s">
        <v>2113</v>
      </c>
      <c r="T985" s="6">
        <v>1</v>
      </c>
      <c r="U985" s="26">
        <v>700000</v>
      </c>
      <c r="V985" s="26">
        <v>700000</v>
      </c>
      <c r="W985" s="26">
        <v>700000</v>
      </c>
      <c r="X985" s="6" t="s">
        <v>2003</v>
      </c>
      <c r="Y985" s="6" t="s">
        <v>80</v>
      </c>
      <c r="Z985" s="6">
        <v>227149</v>
      </c>
    </row>
    <row r="986" spans="1:26" x14ac:dyDescent="0.3">
      <c r="A986" s="28" t="s">
        <v>42</v>
      </c>
      <c r="B986" s="6" t="s">
        <v>1326</v>
      </c>
      <c r="C986" s="6" t="s">
        <v>1972</v>
      </c>
      <c r="D986" s="6" t="s">
        <v>2291</v>
      </c>
      <c r="E986" s="6">
        <v>1</v>
      </c>
      <c r="F986" s="6" t="s">
        <v>2004</v>
      </c>
      <c r="G986" s="32" t="s">
        <v>2299</v>
      </c>
      <c r="H986" s="32" t="s">
        <v>2300</v>
      </c>
      <c r="I986" s="6" t="str">
        <f t="shared" si="34"/>
        <v>Stone Grapple</v>
      </c>
      <c r="J986" s="6" t="s">
        <v>109</v>
      </c>
      <c r="K986" s="6">
        <v>1</v>
      </c>
      <c r="L986" s="6">
        <f t="shared" si="35"/>
        <v>3880000</v>
      </c>
      <c r="M986" s="6">
        <v>3300000</v>
      </c>
      <c r="N986" s="6" t="s">
        <v>2003</v>
      </c>
      <c r="O986" s="6" t="s">
        <v>2007</v>
      </c>
      <c r="P986" s="6">
        <v>2014</v>
      </c>
      <c r="Q986" s="6">
        <v>1</v>
      </c>
      <c r="R986" s="6" t="s">
        <v>45</v>
      </c>
      <c r="S986" s="31" t="s">
        <v>2113</v>
      </c>
      <c r="T986" s="6">
        <v>1</v>
      </c>
      <c r="U986" s="26">
        <v>3100000</v>
      </c>
      <c r="V986" s="26">
        <v>3100000</v>
      </c>
      <c r="W986" s="26">
        <v>3100000</v>
      </c>
      <c r="X986" s="6" t="s">
        <v>2003</v>
      </c>
      <c r="Y986" s="6" t="s">
        <v>49</v>
      </c>
      <c r="Z986" s="6">
        <v>227160</v>
      </c>
    </row>
    <row r="987" spans="1:26" x14ac:dyDescent="0.3">
      <c r="A987" s="28" t="s">
        <v>42</v>
      </c>
      <c r="B987" s="6" t="s">
        <v>1328</v>
      </c>
      <c r="C987" s="6" t="s">
        <v>1975</v>
      </c>
      <c r="D987" s="6" t="s">
        <v>2292</v>
      </c>
      <c r="E987" s="6">
        <v>1</v>
      </c>
      <c r="F987" s="6" t="s">
        <v>2004</v>
      </c>
      <c r="G987" s="32" t="s">
        <v>2299</v>
      </c>
      <c r="H987" s="32" t="s">
        <v>2300</v>
      </c>
      <c r="I987" s="6" t="str">
        <f t="shared" si="34"/>
        <v>Side Breaker</v>
      </c>
      <c r="J987" s="6" t="s">
        <v>240</v>
      </c>
      <c r="K987" s="6">
        <v>1</v>
      </c>
      <c r="L987" s="6">
        <f t="shared" si="35"/>
        <v>6700000</v>
      </c>
      <c r="M987" s="6">
        <v>5700000</v>
      </c>
      <c r="N987" s="6" t="s">
        <v>2003</v>
      </c>
      <c r="O987" s="6" t="s">
        <v>813</v>
      </c>
      <c r="P987" s="6">
        <v>2016</v>
      </c>
      <c r="Q987" s="6">
        <v>1</v>
      </c>
      <c r="R987" s="6" t="s">
        <v>45</v>
      </c>
      <c r="S987" s="31" t="s">
        <v>2113</v>
      </c>
      <c r="T987" s="6">
        <v>1</v>
      </c>
      <c r="U987" s="26">
        <v>5200000</v>
      </c>
      <c r="V987" s="26">
        <v>5200000</v>
      </c>
      <c r="W987" s="26">
        <v>5200000</v>
      </c>
      <c r="X987" s="6" t="s">
        <v>2003</v>
      </c>
      <c r="Y987" s="6" t="s">
        <v>79</v>
      </c>
      <c r="Z987" s="6">
        <v>227164</v>
      </c>
    </row>
    <row r="988" spans="1:26" x14ac:dyDescent="0.3">
      <c r="A988" s="28" t="s">
        <v>42</v>
      </c>
      <c r="B988" s="6" t="s">
        <v>1326</v>
      </c>
      <c r="C988" s="6" t="s">
        <v>1972</v>
      </c>
      <c r="D988" s="6" t="s">
        <v>2292</v>
      </c>
      <c r="E988" s="6">
        <v>1</v>
      </c>
      <c r="F988" s="6" t="s">
        <v>2004</v>
      </c>
      <c r="G988" s="32" t="s">
        <v>2299</v>
      </c>
      <c r="H988" s="32" t="s">
        <v>2300</v>
      </c>
      <c r="I988" s="6" t="str">
        <f t="shared" si="34"/>
        <v>Stone Grapple</v>
      </c>
      <c r="J988" s="6" t="s">
        <v>130</v>
      </c>
      <c r="K988" s="6">
        <v>1</v>
      </c>
      <c r="L988" s="6">
        <f t="shared" si="35"/>
        <v>2110000</v>
      </c>
      <c r="M988" s="6">
        <v>1800000</v>
      </c>
      <c r="N988" s="6" t="s">
        <v>2003</v>
      </c>
      <c r="O988" s="6" t="s">
        <v>51</v>
      </c>
      <c r="P988" s="6">
        <v>2013</v>
      </c>
      <c r="Q988" s="6">
        <v>1</v>
      </c>
      <c r="R988" s="6" t="s">
        <v>45</v>
      </c>
      <c r="S988" s="31" t="s">
        <v>2113</v>
      </c>
      <c r="T988" s="6">
        <v>1</v>
      </c>
      <c r="U988" s="26">
        <v>1700000</v>
      </c>
      <c r="V988" s="26">
        <v>1700000</v>
      </c>
      <c r="W988" s="26">
        <v>1700000</v>
      </c>
      <c r="X988" s="6" t="s">
        <v>2003</v>
      </c>
      <c r="Y988" s="6" t="s">
        <v>49</v>
      </c>
      <c r="Z988" s="6">
        <v>227166</v>
      </c>
    </row>
    <row r="989" spans="1:26" x14ac:dyDescent="0.3">
      <c r="A989" s="28" t="s">
        <v>42</v>
      </c>
      <c r="B989" s="6" t="s">
        <v>2163</v>
      </c>
      <c r="C989" s="6"/>
      <c r="D989" s="6" t="s">
        <v>2292</v>
      </c>
      <c r="E989" s="6">
        <v>1</v>
      </c>
      <c r="F989" s="6" t="s">
        <v>2004</v>
      </c>
      <c r="G989" s="32" t="s">
        <v>2299</v>
      </c>
      <c r="H989" s="32" t="s">
        <v>2300</v>
      </c>
      <c r="I989" s="6" t="str">
        <f t="shared" si="34"/>
        <v>Lift Fork</v>
      </c>
      <c r="J989" s="6" t="s">
        <v>102</v>
      </c>
      <c r="K989" s="6">
        <v>1</v>
      </c>
      <c r="L989" s="6">
        <f t="shared" si="35"/>
        <v>700000</v>
      </c>
      <c r="M989" s="6">
        <v>600000</v>
      </c>
      <c r="N989" s="6" t="s">
        <v>2003</v>
      </c>
      <c r="O989" s="6" t="s">
        <v>813</v>
      </c>
      <c r="P989" s="6">
        <v>2013</v>
      </c>
      <c r="Q989" s="6">
        <v>1</v>
      </c>
      <c r="R989" s="6" t="s">
        <v>45</v>
      </c>
      <c r="S989" s="31" t="s">
        <v>2113</v>
      </c>
      <c r="T989" s="6">
        <v>1</v>
      </c>
      <c r="U989" s="26">
        <v>500000</v>
      </c>
      <c r="V989" s="26">
        <v>500000</v>
      </c>
      <c r="W989" s="26">
        <v>500000</v>
      </c>
      <c r="X989" s="6" t="s">
        <v>2003</v>
      </c>
      <c r="Y989" s="6" t="s">
        <v>80</v>
      </c>
      <c r="Z989" s="6">
        <v>227167</v>
      </c>
    </row>
    <row r="990" spans="1:26" x14ac:dyDescent="0.3">
      <c r="A990" s="28" t="s">
        <v>42</v>
      </c>
      <c r="B990" s="6" t="s">
        <v>1328</v>
      </c>
      <c r="C990" s="6" t="s">
        <v>1975</v>
      </c>
      <c r="D990" s="6" t="s">
        <v>2292</v>
      </c>
      <c r="E990" s="6">
        <v>1</v>
      </c>
      <c r="F990" s="6" t="s">
        <v>2004</v>
      </c>
      <c r="G990" s="32" t="s">
        <v>2299</v>
      </c>
      <c r="H990" s="32" t="s">
        <v>2300</v>
      </c>
      <c r="I990" s="6" t="str">
        <f t="shared" si="34"/>
        <v>Side Breaker</v>
      </c>
      <c r="J990" s="6" t="s">
        <v>440</v>
      </c>
      <c r="K990" s="6">
        <v>1</v>
      </c>
      <c r="L990" s="6">
        <f t="shared" si="35"/>
        <v>7050000</v>
      </c>
      <c r="M990" s="6">
        <v>6000000</v>
      </c>
      <c r="N990" s="6" t="s">
        <v>2003</v>
      </c>
      <c r="O990" s="6" t="s">
        <v>813</v>
      </c>
      <c r="P990" s="6">
        <v>2016</v>
      </c>
      <c r="Q990" s="6">
        <v>1</v>
      </c>
      <c r="R990" s="6" t="s">
        <v>45</v>
      </c>
      <c r="S990" s="31" t="s">
        <v>2113</v>
      </c>
      <c r="T990" s="6">
        <v>1</v>
      </c>
      <c r="U990" s="26">
        <v>5500000</v>
      </c>
      <c r="V990" s="26">
        <v>5500000</v>
      </c>
      <c r="W990" s="26">
        <v>5500000</v>
      </c>
      <c r="X990" s="6" t="s">
        <v>2003</v>
      </c>
      <c r="Y990" s="6" t="s">
        <v>79</v>
      </c>
      <c r="Z990" s="6">
        <v>227168</v>
      </c>
    </row>
    <row r="991" spans="1:26" x14ac:dyDescent="0.3">
      <c r="A991" s="28" t="s">
        <v>42</v>
      </c>
      <c r="B991" s="6" t="s">
        <v>1327</v>
      </c>
      <c r="C991" s="6" t="s">
        <v>1976</v>
      </c>
      <c r="D991" s="6" t="s">
        <v>2291</v>
      </c>
      <c r="E991" s="6">
        <v>1</v>
      </c>
      <c r="F991" s="6" t="s">
        <v>2004</v>
      </c>
      <c r="G991" s="32" t="s">
        <v>2299</v>
      </c>
      <c r="H991" s="32" t="s">
        <v>2300</v>
      </c>
      <c r="I991" s="6" t="str">
        <f t="shared" si="34"/>
        <v>Skeleton Bucket</v>
      </c>
      <c r="J991" s="6" t="s">
        <v>557</v>
      </c>
      <c r="K991" s="6">
        <v>1</v>
      </c>
      <c r="L991" s="6">
        <f t="shared" si="35"/>
        <v>820000</v>
      </c>
      <c r="M991" s="6">
        <v>700000</v>
      </c>
      <c r="N991" s="6" t="s">
        <v>2003</v>
      </c>
      <c r="O991" s="6" t="s">
        <v>2011</v>
      </c>
      <c r="P991" s="6">
        <v>2017</v>
      </c>
      <c r="Q991" s="6">
        <v>6</v>
      </c>
      <c r="R991" s="6" t="s">
        <v>45</v>
      </c>
      <c r="S991" s="31" t="s">
        <v>2123</v>
      </c>
      <c r="T991" s="6">
        <v>1</v>
      </c>
      <c r="U991" s="26">
        <v>600000</v>
      </c>
      <c r="V991" s="26">
        <v>600000</v>
      </c>
      <c r="W991" s="26">
        <v>600000</v>
      </c>
      <c r="X991" s="6" t="s">
        <v>2003</v>
      </c>
      <c r="Y991" s="6" t="s">
        <v>1200</v>
      </c>
      <c r="Z991" s="6">
        <v>227169</v>
      </c>
    </row>
    <row r="992" spans="1:26" x14ac:dyDescent="0.3">
      <c r="A992" s="28" t="s">
        <v>42</v>
      </c>
      <c r="B992" s="6" t="s">
        <v>1337</v>
      </c>
      <c r="C992" s="6"/>
      <c r="D992" s="6" t="s">
        <v>2292</v>
      </c>
      <c r="E992" s="6">
        <v>1</v>
      </c>
      <c r="F992" s="6" t="s">
        <v>2004</v>
      </c>
      <c r="G992" s="32" t="s">
        <v>2299</v>
      </c>
      <c r="H992" s="32" t="s">
        <v>2300</v>
      </c>
      <c r="I992" s="6" t="str">
        <f t="shared" si="34"/>
        <v>ETC</v>
      </c>
      <c r="J992" s="6" t="s">
        <v>1938</v>
      </c>
      <c r="K992" s="6">
        <v>1</v>
      </c>
      <c r="L992" s="6">
        <f t="shared" si="35"/>
        <v>1050000</v>
      </c>
      <c r="M992" s="6">
        <v>900000</v>
      </c>
      <c r="N992" s="6" t="s">
        <v>2003</v>
      </c>
      <c r="O992" s="6" t="s">
        <v>2007</v>
      </c>
      <c r="P992" s="6">
        <v>2014</v>
      </c>
      <c r="Q992" s="6">
        <v>1</v>
      </c>
      <c r="R992" s="6" t="s">
        <v>45</v>
      </c>
      <c r="S992" s="31" t="s">
        <v>2113</v>
      </c>
      <c r="T992" s="6">
        <v>1</v>
      </c>
      <c r="U992" s="26">
        <v>800000</v>
      </c>
      <c r="V992" s="26">
        <v>800000</v>
      </c>
      <c r="W992" s="26">
        <v>800000</v>
      </c>
      <c r="X992" s="6" t="s">
        <v>2003</v>
      </c>
      <c r="Y992" s="6" t="s">
        <v>49</v>
      </c>
      <c r="Z992" s="6">
        <v>227174</v>
      </c>
    </row>
    <row r="993" spans="1:26" x14ac:dyDescent="0.3">
      <c r="A993" s="28" t="s">
        <v>42</v>
      </c>
      <c r="B993" s="6" t="s">
        <v>1327</v>
      </c>
      <c r="C993" s="6" t="s">
        <v>1982</v>
      </c>
      <c r="D993" s="6" t="s">
        <v>2292</v>
      </c>
      <c r="E993" s="6">
        <v>1</v>
      </c>
      <c r="F993" s="6" t="s">
        <v>2004</v>
      </c>
      <c r="G993" s="32" t="s">
        <v>2299</v>
      </c>
      <c r="H993" s="32" t="s">
        <v>2300</v>
      </c>
      <c r="I993" s="6" t="str">
        <f t="shared" si="34"/>
        <v>Standard Bucket</v>
      </c>
      <c r="J993" s="6" t="s">
        <v>563</v>
      </c>
      <c r="K993" s="6">
        <v>1</v>
      </c>
      <c r="L993" s="6">
        <f t="shared" si="35"/>
        <v>1520000</v>
      </c>
      <c r="M993" s="6">
        <v>1300000</v>
      </c>
      <c r="N993" s="6" t="s">
        <v>2003</v>
      </c>
      <c r="O993" s="6" t="s">
        <v>1896</v>
      </c>
      <c r="P993" s="6">
        <v>2017</v>
      </c>
      <c r="Q993" s="6">
        <v>1</v>
      </c>
      <c r="R993" s="6" t="s">
        <v>45</v>
      </c>
      <c r="S993" s="31" t="s">
        <v>2122</v>
      </c>
      <c r="T993" s="6">
        <v>1</v>
      </c>
      <c r="U993" s="26">
        <v>1200000</v>
      </c>
      <c r="V993" s="26">
        <v>1200000</v>
      </c>
      <c r="W993" s="26">
        <v>1200000</v>
      </c>
      <c r="X993" s="6" t="s">
        <v>2003</v>
      </c>
      <c r="Y993" s="6" t="s">
        <v>1279</v>
      </c>
      <c r="Z993" s="6">
        <v>227177</v>
      </c>
    </row>
    <row r="994" spans="1:26" x14ac:dyDescent="0.3">
      <c r="A994" s="28" t="s">
        <v>42</v>
      </c>
      <c r="B994" s="6" t="s">
        <v>1326</v>
      </c>
      <c r="C994" s="6" t="s">
        <v>1972</v>
      </c>
      <c r="D994" s="6" t="s">
        <v>2292</v>
      </c>
      <c r="E994" s="6">
        <v>1</v>
      </c>
      <c r="F994" s="6" t="s">
        <v>2004</v>
      </c>
      <c r="G994" s="32" t="s">
        <v>2299</v>
      </c>
      <c r="H994" s="32" t="s">
        <v>2300</v>
      </c>
      <c r="I994" s="6" t="str">
        <f t="shared" si="34"/>
        <v>Stone Grapple</v>
      </c>
      <c r="J994" s="6" t="s">
        <v>72</v>
      </c>
      <c r="K994" s="6">
        <v>1</v>
      </c>
      <c r="L994" s="6">
        <f t="shared" si="35"/>
        <v>6470000</v>
      </c>
      <c r="M994" s="6">
        <v>5500000</v>
      </c>
      <c r="N994" s="6" t="s">
        <v>2003</v>
      </c>
      <c r="O994" s="6" t="s">
        <v>813</v>
      </c>
      <c r="P994" s="6">
        <v>2014</v>
      </c>
      <c r="Q994" s="6">
        <v>1</v>
      </c>
      <c r="R994" s="6" t="s">
        <v>45</v>
      </c>
      <c r="S994" s="31" t="s">
        <v>2113</v>
      </c>
      <c r="T994" s="6">
        <v>1</v>
      </c>
      <c r="U994" s="26">
        <v>5000000</v>
      </c>
      <c r="V994" s="26">
        <v>5000000</v>
      </c>
      <c r="W994" s="26">
        <v>5000000</v>
      </c>
      <c r="X994" s="6" t="s">
        <v>2003</v>
      </c>
      <c r="Y994" s="6" t="s">
        <v>80</v>
      </c>
      <c r="Z994" s="6">
        <v>227179</v>
      </c>
    </row>
    <row r="995" spans="1:26" x14ac:dyDescent="0.3">
      <c r="A995" s="28" t="s">
        <v>42</v>
      </c>
      <c r="B995" s="6" t="s">
        <v>1328</v>
      </c>
      <c r="C995" s="6" t="s">
        <v>1975</v>
      </c>
      <c r="D995" s="6" t="s">
        <v>2291</v>
      </c>
      <c r="E995" s="6">
        <v>1</v>
      </c>
      <c r="F995" s="6" t="s">
        <v>2004</v>
      </c>
      <c r="G995" s="32" t="s">
        <v>2299</v>
      </c>
      <c r="H995" s="32" t="s">
        <v>2300</v>
      </c>
      <c r="I995" s="6" t="str">
        <f t="shared" si="34"/>
        <v>Side Breaker</v>
      </c>
      <c r="J995" s="6" t="s">
        <v>83</v>
      </c>
      <c r="K995" s="6">
        <v>1</v>
      </c>
      <c r="L995" s="6">
        <f t="shared" si="35"/>
        <v>1940000</v>
      </c>
      <c r="M995" s="6">
        <v>1650000</v>
      </c>
      <c r="N995" s="6" t="s">
        <v>2003</v>
      </c>
      <c r="O995" s="6" t="s">
        <v>2007</v>
      </c>
      <c r="P995" s="6">
        <v>2014</v>
      </c>
      <c r="Q995" s="6">
        <v>1</v>
      </c>
      <c r="R995" s="6" t="s">
        <v>45</v>
      </c>
      <c r="S995" s="31" t="s">
        <v>2113</v>
      </c>
      <c r="T995" s="6">
        <v>1</v>
      </c>
      <c r="U995" s="26">
        <v>1550000</v>
      </c>
      <c r="V995" s="26">
        <v>1550000</v>
      </c>
      <c r="W995" s="26">
        <v>1550000</v>
      </c>
      <c r="X995" s="6" t="s">
        <v>2003</v>
      </c>
      <c r="Y995" s="6" t="s">
        <v>49</v>
      </c>
      <c r="Z995" s="6">
        <v>227181</v>
      </c>
    </row>
    <row r="996" spans="1:26" x14ac:dyDescent="0.3">
      <c r="A996" s="28" t="s">
        <v>42</v>
      </c>
      <c r="B996" s="6" t="s">
        <v>2239</v>
      </c>
      <c r="C996" s="6" t="s">
        <v>1972</v>
      </c>
      <c r="D996" s="6" t="s">
        <v>2292</v>
      </c>
      <c r="E996" s="6">
        <v>1</v>
      </c>
      <c r="F996" s="6" t="s">
        <v>2004</v>
      </c>
      <c r="G996" s="32" t="s">
        <v>2299</v>
      </c>
      <c r="H996" s="32" t="s">
        <v>2300</v>
      </c>
      <c r="I996" s="6" t="str">
        <f t="shared" si="34"/>
        <v>Stone Grapple</v>
      </c>
      <c r="J996" s="6" t="s">
        <v>1939</v>
      </c>
      <c r="K996" s="6">
        <v>1</v>
      </c>
      <c r="L996" s="6">
        <f t="shared" si="35"/>
        <v>5520000</v>
      </c>
      <c r="M996" s="6">
        <v>4700000</v>
      </c>
      <c r="N996" s="6" t="s">
        <v>2003</v>
      </c>
      <c r="O996" s="6" t="s">
        <v>54</v>
      </c>
      <c r="P996" s="6">
        <v>2010</v>
      </c>
      <c r="Q996" s="6">
        <v>1</v>
      </c>
      <c r="R996" s="6" t="s">
        <v>45</v>
      </c>
      <c r="S996" s="31" t="s">
        <v>2114</v>
      </c>
      <c r="T996" s="6">
        <v>1</v>
      </c>
      <c r="U996" s="26">
        <v>4500000</v>
      </c>
      <c r="V996" s="26">
        <v>4500000</v>
      </c>
      <c r="W996" s="26">
        <v>4500000</v>
      </c>
      <c r="X996" s="6" t="s">
        <v>2003</v>
      </c>
      <c r="Y996" s="6" t="s">
        <v>54</v>
      </c>
      <c r="Z996" s="6">
        <v>227183</v>
      </c>
    </row>
    <row r="997" spans="1:26" x14ac:dyDescent="0.3">
      <c r="A997" s="28" t="s">
        <v>42</v>
      </c>
      <c r="B997" s="6" t="s">
        <v>1326</v>
      </c>
      <c r="C997" s="6" t="s">
        <v>1972</v>
      </c>
      <c r="D997" s="6" t="s">
        <v>2291</v>
      </c>
      <c r="E997" s="6">
        <v>1</v>
      </c>
      <c r="F997" s="6" t="s">
        <v>2004</v>
      </c>
      <c r="G997" s="32" t="s">
        <v>2299</v>
      </c>
      <c r="H997" s="32" t="s">
        <v>2300</v>
      </c>
      <c r="I997" s="6" t="str">
        <f t="shared" si="34"/>
        <v>Stone Grapple</v>
      </c>
      <c r="J997" s="6" t="s">
        <v>1941</v>
      </c>
      <c r="K997" s="6">
        <v>1</v>
      </c>
      <c r="L997" s="6">
        <f t="shared" si="35"/>
        <v>3880000</v>
      </c>
      <c r="M997" s="6">
        <v>3300000</v>
      </c>
      <c r="N997" s="6" t="s">
        <v>2003</v>
      </c>
      <c r="O997" s="6" t="s">
        <v>1898</v>
      </c>
      <c r="P997" s="6">
        <v>2014</v>
      </c>
      <c r="Q997" s="6">
        <v>1</v>
      </c>
      <c r="R997" s="6" t="s">
        <v>45</v>
      </c>
      <c r="S997" s="31" t="s">
        <v>2113</v>
      </c>
      <c r="T997" s="6">
        <v>1</v>
      </c>
      <c r="U997" s="26">
        <v>3100000</v>
      </c>
      <c r="V997" s="26">
        <v>3100000</v>
      </c>
      <c r="W997" s="26">
        <v>3100000</v>
      </c>
      <c r="X997" s="6" t="s">
        <v>2003</v>
      </c>
      <c r="Y997" s="6" t="s">
        <v>49</v>
      </c>
      <c r="Z997" s="6">
        <v>227185</v>
      </c>
    </row>
    <row r="998" spans="1:26" x14ac:dyDescent="0.3">
      <c r="A998" s="28" t="s">
        <v>42</v>
      </c>
      <c r="B998" s="6" t="s">
        <v>1326</v>
      </c>
      <c r="C998" s="6" t="s">
        <v>1974</v>
      </c>
      <c r="D998" s="6" t="s">
        <v>2291</v>
      </c>
      <c r="E998" s="6">
        <v>1</v>
      </c>
      <c r="F998" s="6" t="s">
        <v>2004</v>
      </c>
      <c r="G998" s="32" t="s">
        <v>2299</v>
      </c>
      <c r="H998" s="32" t="s">
        <v>2300</v>
      </c>
      <c r="I998" s="6" t="str">
        <f t="shared" si="34"/>
        <v>Etc Grapple</v>
      </c>
      <c r="J998" s="6" t="s">
        <v>136</v>
      </c>
      <c r="K998" s="6">
        <v>1</v>
      </c>
      <c r="L998" s="6">
        <f t="shared" si="35"/>
        <v>2230000</v>
      </c>
      <c r="M998" s="6">
        <v>1900000</v>
      </c>
      <c r="N998" s="6" t="s">
        <v>2003</v>
      </c>
      <c r="O998" s="6" t="s">
        <v>2011</v>
      </c>
      <c r="P998" s="6">
        <v>2010</v>
      </c>
      <c r="Q998" s="6">
        <v>5</v>
      </c>
      <c r="R998" s="6" t="s">
        <v>45</v>
      </c>
      <c r="S998" s="31" t="s">
        <v>2123</v>
      </c>
      <c r="T998" s="6">
        <v>1</v>
      </c>
      <c r="U998" s="26">
        <v>1800000</v>
      </c>
      <c r="V998" s="26">
        <v>1800000</v>
      </c>
      <c r="W998" s="26">
        <v>1800000</v>
      </c>
      <c r="X998" s="6" t="s">
        <v>2003</v>
      </c>
      <c r="Y998" s="6" t="s">
        <v>1200</v>
      </c>
      <c r="Z998" s="6">
        <v>227189</v>
      </c>
    </row>
    <row r="999" spans="1:26" x14ac:dyDescent="0.3">
      <c r="A999" s="28" t="s">
        <v>42</v>
      </c>
      <c r="B999" s="6" t="s">
        <v>1327</v>
      </c>
      <c r="C999" s="6" t="s">
        <v>1982</v>
      </c>
      <c r="D999" s="6" t="s">
        <v>2291</v>
      </c>
      <c r="E999" s="6">
        <v>1</v>
      </c>
      <c r="F999" s="6" t="s">
        <v>2004</v>
      </c>
      <c r="G999" s="32" t="s">
        <v>2299</v>
      </c>
      <c r="H999" s="32" t="s">
        <v>2300</v>
      </c>
      <c r="I999" s="6" t="str">
        <f t="shared" si="34"/>
        <v>Standard Bucket</v>
      </c>
      <c r="J999" s="6" t="s">
        <v>428</v>
      </c>
      <c r="K999" s="6">
        <v>1</v>
      </c>
      <c r="L999" s="6">
        <f t="shared" si="35"/>
        <v>380000</v>
      </c>
      <c r="M999" s="6">
        <v>330000</v>
      </c>
      <c r="N999" s="6" t="s">
        <v>2003</v>
      </c>
      <c r="O999" s="6" t="s">
        <v>823</v>
      </c>
      <c r="P999" s="6">
        <v>2013</v>
      </c>
      <c r="Q999" s="6">
        <v>1</v>
      </c>
      <c r="R999" s="6" t="s">
        <v>45</v>
      </c>
      <c r="S999" s="31" t="s">
        <v>2113</v>
      </c>
      <c r="T999" s="6">
        <v>1</v>
      </c>
      <c r="U999" s="26">
        <v>280000</v>
      </c>
      <c r="V999" s="26">
        <v>280000</v>
      </c>
      <c r="W999" s="26">
        <v>280000</v>
      </c>
      <c r="X999" s="6" t="s">
        <v>2003</v>
      </c>
      <c r="Y999" s="6" t="s">
        <v>49</v>
      </c>
      <c r="Z999" s="6">
        <v>227191</v>
      </c>
    </row>
    <row r="1000" spans="1:26" x14ac:dyDescent="0.3">
      <c r="A1000" s="28" t="s">
        <v>42</v>
      </c>
      <c r="B1000" s="6" t="s">
        <v>1327</v>
      </c>
      <c r="C1000" s="6" t="s">
        <v>1977</v>
      </c>
      <c r="D1000" s="6" t="s">
        <v>2291</v>
      </c>
      <c r="E1000" s="6">
        <v>1</v>
      </c>
      <c r="F1000" s="6" t="s">
        <v>2004</v>
      </c>
      <c r="G1000" s="32" t="s">
        <v>2299</v>
      </c>
      <c r="H1000" s="32" t="s">
        <v>2300</v>
      </c>
      <c r="I1000" s="6" t="str">
        <f t="shared" si="34"/>
        <v>Wide Bucket</v>
      </c>
      <c r="J1000" s="6" t="s">
        <v>64</v>
      </c>
      <c r="K1000" s="6">
        <v>1</v>
      </c>
      <c r="L1000" s="6">
        <f t="shared" si="35"/>
        <v>410000</v>
      </c>
      <c r="M1000" s="6">
        <v>350000</v>
      </c>
      <c r="N1000" s="6" t="s">
        <v>2003</v>
      </c>
      <c r="O1000" s="6" t="s">
        <v>793</v>
      </c>
      <c r="P1000" s="6">
        <v>2012</v>
      </c>
      <c r="Q1000" s="6">
        <v>1</v>
      </c>
      <c r="R1000" s="6" t="s">
        <v>45</v>
      </c>
      <c r="S1000" s="31" t="s">
        <v>2116</v>
      </c>
      <c r="T1000" s="6">
        <v>1</v>
      </c>
      <c r="U1000" s="26">
        <v>300000</v>
      </c>
      <c r="V1000" s="26">
        <v>300000</v>
      </c>
      <c r="W1000" s="26">
        <v>300000</v>
      </c>
      <c r="X1000" s="6" t="s">
        <v>2003</v>
      </c>
      <c r="Y1000" s="6" t="s">
        <v>1146</v>
      </c>
      <c r="Z1000" s="6">
        <v>227192</v>
      </c>
    </row>
    <row r="1001" spans="1:26" x14ac:dyDescent="0.3">
      <c r="A1001" s="28" t="s">
        <v>42</v>
      </c>
      <c r="B1001" s="6" t="s">
        <v>1337</v>
      </c>
      <c r="C1001" s="6"/>
      <c r="D1001" s="6" t="s">
        <v>2291</v>
      </c>
      <c r="E1001" s="6">
        <v>1</v>
      </c>
      <c r="F1001" s="6" t="s">
        <v>2004</v>
      </c>
      <c r="G1001" s="32" t="s">
        <v>2299</v>
      </c>
      <c r="H1001" s="32" t="s">
        <v>2300</v>
      </c>
      <c r="I1001" s="6" t="str">
        <f t="shared" si="34"/>
        <v>ETC</v>
      </c>
      <c r="J1001" s="6" t="s">
        <v>138</v>
      </c>
      <c r="K1001" s="6">
        <v>1</v>
      </c>
      <c r="L1001" s="6">
        <f t="shared" si="35"/>
        <v>4350000</v>
      </c>
      <c r="M1001" s="6">
        <v>3700000</v>
      </c>
      <c r="N1001" s="6" t="s">
        <v>2003</v>
      </c>
      <c r="O1001" s="6" t="s">
        <v>2015</v>
      </c>
      <c r="P1001" s="6">
        <v>2012</v>
      </c>
      <c r="Q1001" s="6">
        <v>6</v>
      </c>
      <c r="R1001" s="6" t="s">
        <v>45</v>
      </c>
      <c r="S1001" s="31" t="s">
        <v>2113</v>
      </c>
      <c r="T1001" s="6">
        <v>1</v>
      </c>
      <c r="U1001" s="26">
        <v>3500000</v>
      </c>
      <c r="V1001" s="26">
        <v>3500000</v>
      </c>
      <c r="W1001" s="26">
        <v>3500000</v>
      </c>
      <c r="X1001" s="6" t="s">
        <v>2003</v>
      </c>
      <c r="Y1001" s="6" t="s">
        <v>47</v>
      </c>
      <c r="Z1001" s="6">
        <v>227193</v>
      </c>
    </row>
    <row r="1002" spans="1:26" x14ac:dyDescent="0.3">
      <c r="A1002" s="28" t="s">
        <v>42</v>
      </c>
      <c r="B1002" s="6" t="s">
        <v>1326</v>
      </c>
      <c r="C1002" s="6" t="s">
        <v>1974</v>
      </c>
      <c r="D1002" s="6" t="s">
        <v>2291</v>
      </c>
      <c r="E1002" s="6">
        <v>1</v>
      </c>
      <c r="F1002" s="6" t="s">
        <v>2004</v>
      </c>
      <c r="G1002" s="32" t="s">
        <v>2299</v>
      </c>
      <c r="H1002" s="32" t="s">
        <v>2300</v>
      </c>
      <c r="I1002" s="6" t="str">
        <f t="shared" si="34"/>
        <v>Etc Grapple</v>
      </c>
      <c r="J1002" s="6" t="s">
        <v>136</v>
      </c>
      <c r="K1002" s="6">
        <v>1</v>
      </c>
      <c r="L1002" s="6">
        <f t="shared" si="35"/>
        <v>2580000</v>
      </c>
      <c r="M1002" s="6">
        <v>2200000</v>
      </c>
      <c r="N1002" s="6" t="s">
        <v>2003</v>
      </c>
      <c r="O1002" s="6" t="s">
        <v>54</v>
      </c>
      <c r="P1002" s="6">
        <v>2010</v>
      </c>
      <c r="Q1002" s="6">
        <v>1</v>
      </c>
      <c r="R1002" s="6" t="s">
        <v>45</v>
      </c>
      <c r="S1002" s="31" t="s">
        <v>2114</v>
      </c>
      <c r="T1002" s="6">
        <v>1</v>
      </c>
      <c r="U1002" s="26">
        <v>2000000</v>
      </c>
      <c r="V1002" s="26">
        <v>2000000</v>
      </c>
      <c r="W1002" s="26">
        <v>2000000</v>
      </c>
      <c r="X1002" s="6" t="s">
        <v>2003</v>
      </c>
      <c r="Y1002" s="6" t="s">
        <v>54</v>
      </c>
      <c r="Z1002" s="6">
        <v>227194</v>
      </c>
    </row>
    <row r="1003" spans="1:26" x14ac:dyDescent="0.3">
      <c r="A1003" s="28" t="s">
        <v>42</v>
      </c>
      <c r="B1003" s="6" t="s">
        <v>1326</v>
      </c>
      <c r="C1003" s="6" t="s">
        <v>1972</v>
      </c>
      <c r="D1003" s="6" t="s">
        <v>2292</v>
      </c>
      <c r="E1003" s="6">
        <v>1</v>
      </c>
      <c r="F1003" s="6" t="s">
        <v>2004</v>
      </c>
      <c r="G1003" s="32" t="s">
        <v>2299</v>
      </c>
      <c r="H1003" s="32" t="s">
        <v>2300</v>
      </c>
      <c r="I1003" s="6" t="str">
        <f t="shared" si="34"/>
        <v>Stone Grapple</v>
      </c>
      <c r="J1003" s="6" t="s">
        <v>225</v>
      </c>
      <c r="K1003" s="6">
        <v>1</v>
      </c>
      <c r="L1003" s="6">
        <f t="shared" si="35"/>
        <v>3050000</v>
      </c>
      <c r="M1003" s="6">
        <v>2600000</v>
      </c>
      <c r="N1003" s="6" t="s">
        <v>2003</v>
      </c>
      <c r="O1003" s="6" t="s">
        <v>2007</v>
      </c>
      <c r="P1003" s="6">
        <v>2014</v>
      </c>
      <c r="Q1003" s="6">
        <v>1</v>
      </c>
      <c r="R1003" s="6" t="s">
        <v>45</v>
      </c>
      <c r="S1003" s="31" t="s">
        <v>2113</v>
      </c>
      <c r="T1003" s="6">
        <v>1</v>
      </c>
      <c r="U1003" s="26">
        <v>2400000</v>
      </c>
      <c r="V1003" s="26">
        <v>2400000</v>
      </c>
      <c r="W1003" s="26">
        <v>2400000</v>
      </c>
      <c r="X1003" s="6" t="s">
        <v>2003</v>
      </c>
      <c r="Y1003" s="6" t="s">
        <v>49</v>
      </c>
      <c r="Z1003" s="6">
        <v>227196</v>
      </c>
    </row>
    <row r="1004" spans="1:26" x14ac:dyDescent="0.3">
      <c r="A1004" s="28" t="s">
        <v>42</v>
      </c>
      <c r="B1004" s="6" t="s">
        <v>1328</v>
      </c>
      <c r="C1004" s="6" t="s">
        <v>1975</v>
      </c>
      <c r="D1004" s="6" t="s">
        <v>2290</v>
      </c>
      <c r="E1004" s="6">
        <v>1</v>
      </c>
      <c r="F1004" s="6" t="s">
        <v>2004</v>
      </c>
      <c r="G1004" s="32" t="s">
        <v>2299</v>
      </c>
      <c r="H1004" s="32" t="s">
        <v>2300</v>
      </c>
      <c r="I1004" s="6" t="str">
        <f t="shared" si="34"/>
        <v>Side Breaker</v>
      </c>
      <c r="J1004" s="6" t="s">
        <v>1942</v>
      </c>
      <c r="K1004" s="6">
        <v>1</v>
      </c>
      <c r="L1004" s="6">
        <f t="shared" si="35"/>
        <v>11170000</v>
      </c>
      <c r="M1004" s="6">
        <v>9500000</v>
      </c>
      <c r="N1004" s="6" t="s">
        <v>2003</v>
      </c>
      <c r="O1004" s="6" t="s">
        <v>1899</v>
      </c>
      <c r="P1004" s="6">
        <v>2016</v>
      </c>
      <c r="Q1004" s="6">
        <v>1</v>
      </c>
      <c r="R1004" s="6" t="s">
        <v>45</v>
      </c>
      <c r="S1004" s="31" t="s">
        <v>2118</v>
      </c>
      <c r="T1004" s="6">
        <v>1</v>
      </c>
      <c r="U1004" s="26">
        <v>9000000</v>
      </c>
      <c r="V1004" s="26">
        <v>9000000</v>
      </c>
      <c r="W1004" s="26">
        <v>9000000</v>
      </c>
      <c r="X1004" s="6" t="s">
        <v>2003</v>
      </c>
      <c r="Y1004" s="6" t="s">
        <v>63</v>
      </c>
      <c r="Z1004" s="6">
        <v>227197</v>
      </c>
    </row>
    <row r="1005" spans="1:26" x14ac:dyDescent="0.3">
      <c r="A1005" s="28" t="s">
        <v>42</v>
      </c>
      <c r="B1005" s="6" t="s">
        <v>2163</v>
      </c>
      <c r="C1005" s="6"/>
      <c r="D1005" s="6" t="s">
        <v>2292</v>
      </c>
      <c r="E1005" s="6">
        <v>1</v>
      </c>
      <c r="F1005" s="6" t="s">
        <v>2004</v>
      </c>
      <c r="G1005" s="32" t="s">
        <v>2299</v>
      </c>
      <c r="H1005" s="32" t="s">
        <v>2300</v>
      </c>
      <c r="I1005" s="6" t="str">
        <f t="shared" si="34"/>
        <v>Lift Fork</v>
      </c>
      <c r="J1005" s="6" t="s">
        <v>102</v>
      </c>
      <c r="K1005" s="6">
        <v>1</v>
      </c>
      <c r="L1005" s="6">
        <f t="shared" si="35"/>
        <v>880000</v>
      </c>
      <c r="M1005" s="6">
        <v>750000</v>
      </c>
      <c r="N1005" s="6" t="s">
        <v>2003</v>
      </c>
      <c r="O1005" s="6" t="s">
        <v>1900</v>
      </c>
      <c r="P1005" s="6">
        <v>2013</v>
      </c>
      <c r="Q1005" s="6">
        <v>1</v>
      </c>
      <c r="R1005" s="6" t="s">
        <v>45</v>
      </c>
      <c r="S1005" s="31" t="s">
        <v>2110</v>
      </c>
      <c r="T1005" s="6">
        <v>1</v>
      </c>
      <c r="U1005" s="26">
        <v>650000</v>
      </c>
      <c r="V1005" s="26">
        <v>650000</v>
      </c>
      <c r="W1005" s="26">
        <v>650000</v>
      </c>
      <c r="X1005" s="6" t="s">
        <v>2003</v>
      </c>
      <c r="Y1005" s="6" t="s">
        <v>1317</v>
      </c>
      <c r="Z1005" s="6">
        <v>227199</v>
      </c>
    </row>
    <row r="1006" spans="1:26" x14ac:dyDescent="0.3">
      <c r="A1006" s="28" t="s">
        <v>42</v>
      </c>
      <c r="B1006" s="6" t="s">
        <v>1328</v>
      </c>
      <c r="C1006" s="6" t="s">
        <v>1975</v>
      </c>
      <c r="D1006" s="6" t="s">
        <v>2289</v>
      </c>
      <c r="E1006" s="6">
        <v>1</v>
      </c>
      <c r="F1006" s="6" t="s">
        <v>2004</v>
      </c>
      <c r="G1006" s="32" t="s">
        <v>2299</v>
      </c>
      <c r="H1006" s="32" t="s">
        <v>2300</v>
      </c>
      <c r="I1006" s="6" t="str">
        <f t="shared" si="34"/>
        <v>Side Breaker</v>
      </c>
      <c r="J1006" s="6" t="s">
        <v>1943</v>
      </c>
      <c r="K1006" s="6">
        <v>1</v>
      </c>
      <c r="L1006" s="6">
        <f t="shared" si="35"/>
        <v>20580000</v>
      </c>
      <c r="M1006" s="6">
        <v>17500000</v>
      </c>
      <c r="N1006" s="6" t="s">
        <v>2003</v>
      </c>
      <c r="O1006" s="6" t="s">
        <v>54</v>
      </c>
      <c r="P1006" s="6">
        <v>2011</v>
      </c>
      <c r="Q1006" s="6">
        <v>1</v>
      </c>
      <c r="R1006" s="6" t="s">
        <v>45</v>
      </c>
      <c r="S1006" s="31" t="s">
        <v>2114</v>
      </c>
      <c r="T1006" s="6">
        <v>1</v>
      </c>
      <c r="U1006" s="26">
        <v>17000000</v>
      </c>
      <c r="V1006" s="26">
        <v>17000000</v>
      </c>
      <c r="W1006" s="26">
        <v>17000000</v>
      </c>
      <c r="X1006" s="6" t="s">
        <v>2003</v>
      </c>
      <c r="Y1006" s="6" t="s">
        <v>54</v>
      </c>
      <c r="Z1006" s="6">
        <v>227202</v>
      </c>
    </row>
    <row r="1007" spans="1:26" x14ac:dyDescent="0.3">
      <c r="A1007" s="28" t="s">
        <v>42</v>
      </c>
      <c r="B1007" s="6" t="s">
        <v>1326</v>
      </c>
      <c r="C1007" s="19" t="s">
        <v>2240</v>
      </c>
      <c r="D1007" s="6" t="s">
        <v>2292</v>
      </c>
      <c r="E1007" s="6">
        <v>1</v>
      </c>
      <c r="F1007" s="6" t="s">
        <v>2004</v>
      </c>
      <c r="G1007" s="32" t="s">
        <v>2299</v>
      </c>
      <c r="H1007" s="32" t="s">
        <v>2300</v>
      </c>
      <c r="I1007" s="6" t="str">
        <f t="shared" si="34"/>
        <v>Etc Grapple</v>
      </c>
      <c r="J1007" s="6" t="s">
        <v>745</v>
      </c>
      <c r="K1007" s="6">
        <v>1</v>
      </c>
      <c r="L1007" s="6">
        <f t="shared" si="35"/>
        <v>7640000</v>
      </c>
      <c r="M1007" s="6">
        <v>6500000</v>
      </c>
      <c r="N1007" s="6" t="s">
        <v>2003</v>
      </c>
      <c r="O1007" s="6" t="s">
        <v>1109</v>
      </c>
      <c r="P1007" s="6">
        <v>2016</v>
      </c>
      <c r="Q1007" s="6">
        <v>4</v>
      </c>
      <c r="R1007" s="6" t="s">
        <v>45</v>
      </c>
      <c r="S1007" s="31" t="s">
        <v>2122</v>
      </c>
      <c r="T1007" s="6">
        <v>1</v>
      </c>
      <c r="U1007" s="26">
        <v>6000000</v>
      </c>
      <c r="V1007" s="26">
        <v>6000000</v>
      </c>
      <c r="W1007" s="26">
        <v>6000000</v>
      </c>
      <c r="X1007" s="6" t="s">
        <v>2003</v>
      </c>
      <c r="Y1007" s="6" t="s">
        <v>1281</v>
      </c>
      <c r="Z1007" s="6">
        <v>227206</v>
      </c>
    </row>
    <row r="1008" spans="1:26" x14ac:dyDescent="0.3">
      <c r="A1008" s="28" t="s">
        <v>42</v>
      </c>
      <c r="B1008" s="6" t="s">
        <v>1328</v>
      </c>
      <c r="C1008" s="6" t="s">
        <v>1975</v>
      </c>
      <c r="D1008" s="6" t="s">
        <v>2001</v>
      </c>
      <c r="E1008" s="6">
        <v>1</v>
      </c>
      <c r="F1008" s="6" t="s">
        <v>2004</v>
      </c>
      <c r="G1008" s="32" t="s">
        <v>2299</v>
      </c>
      <c r="H1008" s="32" t="s">
        <v>2300</v>
      </c>
      <c r="I1008" s="6" t="str">
        <f t="shared" si="34"/>
        <v>Side Breaker</v>
      </c>
      <c r="J1008" s="6" t="s">
        <v>393</v>
      </c>
      <c r="K1008" s="6">
        <v>1</v>
      </c>
      <c r="L1008" s="6">
        <f t="shared" si="35"/>
        <v>7050000</v>
      </c>
      <c r="M1008" s="6">
        <v>6000000</v>
      </c>
      <c r="N1008" s="6" t="s">
        <v>2003</v>
      </c>
      <c r="O1008" s="6" t="s">
        <v>845</v>
      </c>
      <c r="P1008" s="6">
        <v>2010</v>
      </c>
      <c r="Q1008" s="6">
        <v>1</v>
      </c>
      <c r="R1008" s="6" t="s">
        <v>45</v>
      </c>
      <c r="S1008" s="31" t="s">
        <v>2122</v>
      </c>
      <c r="T1008" s="6">
        <v>1</v>
      </c>
      <c r="U1008" s="26">
        <v>5500000</v>
      </c>
      <c r="V1008" s="26">
        <v>5500000</v>
      </c>
      <c r="W1008" s="26">
        <v>5500000</v>
      </c>
      <c r="X1008" s="6" t="s">
        <v>2003</v>
      </c>
      <c r="Y1008" s="6" t="s">
        <v>1167</v>
      </c>
      <c r="Z1008" s="6">
        <v>227208</v>
      </c>
    </row>
    <row r="1009" spans="1:26" x14ac:dyDescent="0.3">
      <c r="A1009" s="28" t="s">
        <v>42</v>
      </c>
      <c r="B1009" s="6" t="s">
        <v>1326</v>
      </c>
      <c r="C1009" s="6" t="s">
        <v>1972</v>
      </c>
      <c r="D1009" s="6" t="s">
        <v>2292</v>
      </c>
      <c r="E1009" s="6">
        <v>1</v>
      </c>
      <c r="F1009" s="6" t="s">
        <v>2004</v>
      </c>
      <c r="G1009" s="32" t="s">
        <v>2299</v>
      </c>
      <c r="H1009" s="32" t="s">
        <v>2300</v>
      </c>
      <c r="I1009" s="6" t="str">
        <f t="shared" si="34"/>
        <v>Stone Grapple</v>
      </c>
      <c r="J1009" s="6" t="s">
        <v>81</v>
      </c>
      <c r="K1009" s="6">
        <v>1</v>
      </c>
      <c r="L1009" s="6">
        <f t="shared" si="35"/>
        <v>4350000</v>
      </c>
      <c r="M1009" s="6">
        <v>3700000</v>
      </c>
      <c r="N1009" s="6" t="s">
        <v>2003</v>
      </c>
      <c r="O1009" s="6" t="s">
        <v>2097</v>
      </c>
      <c r="P1009" s="6">
        <v>2014</v>
      </c>
      <c r="Q1009" s="6">
        <v>1</v>
      </c>
      <c r="R1009" s="6" t="s">
        <v>45</v>
      </c>
      <c r="S1009" s="31" t="s">
        <v>2110</v>
      </c>
      <c r="T1009" s="6">
        <v>1</v>
      </c>
      <c r="U1009" s="26">
        <v>3500000</v>
      </c>
      <c r="V1009" s="26">
        <v>3500000</v>
      </c>
      <c r="W1009" s="26">
        <v>3500000</v>
      </c>
      <c r="X1009" s="6" t="s">
        <v>2003</v>
      </c>
      <c r="Y1009" s="6" t="s">
        <v>1922</v>
      </c>
      <c r="Z1009" s="6">
        <v>227214</v>
      </c>
    </row>
    <row r="1010" spans="1:26" x14ac:dyDescent="0.3">
      <c r="A1010" s="28" t="s">
        <v>42</v>
      </c>
      <c r="B1010" s="6" t="s">
        <v>1328</v>
      </c>
      <c r="C1010" s="6" t="s">
        <v>1975</v>
      </c>
      <c r="D1010" s="6" t="s">
        <v>2293</v>
      </c>
      <c r="E1010" s="6">
        <v>1</v>
      </c>
      <c r="F1010" s="6" t="s">
        <v>2004</v>
      </c>
      <c r="G1010" s="32" t="s">
        <v>2299</v>
      </c>
      <c r="H1010" s="32" t="s">
        <v>2300</v>
      </c>
      <c r="I1010" s="6" t="str">
        <f t="shared" si="34"/>
        <v>Side Breaker</v>
      </c>
      <c r="J1010" s="6" t="s">
        <v>742</v>
      </c>
      <c r="K1010" s="6">
        <v>1</v>
      </c>
      <c r="L1010" s="6">
        <f t="shared" si="35"/>
        <v>2000000</v>
      </c>
      <c r="M1010" s="6">
        <v>1700000</v>
      </c>
      <c r="N1010" s="6" t="s">
        <v>2003</v>
      </c>
      <c r="O1010" s="6" t="s">
        <v>798</v>
      </c>
      <c r="P1010" s="6">
        <v>2015</v>
      </c>
      <c r="Q1010" s="6">
        <v>1</v>
      </c>
      <c r="R1010" s="6" t="s">
        <v>45</v>
      </c>
      <c r="S1010" s="31" t="s">
        <v>2113</v>
      </c>
      <c r="T1010" s="6">
        <v>1</v>
      </c>
      <c r="U1010" s="26">
        <v>1600000</v>
      </c>
      <c r="V1010" s="26">
        <v>1600000</v>
      </c>
      <c r="W1010" s="26">
        <v>1600000</v>
      </c>
      <c r="X1010" s="6" t="s">
        <v>2003</v>
      </c>
      <c r="Y1010" s="6" t="s">
        <v>1923</v>
      </c>
      <c r="Z1010" s="6">
        <v>227225</v>
      </c>
    </row>
    <row r="1011" spans="1:26" x14ac:dyDescent="0.3">
      <c r="A1011" s="28" t="s">
        <v>42</v>
      </c>
      <c r="B1011" s="6" t="s">
        <v>1326</v>
      </c>
      <c r="C1011" s="6" t="s">
        <v>1972</v>
      </c>
      <c r="D1011" s="6" t="s">
        <v>2292</v>
      </c>
      <c r="E1011" s="6">
        <v>1</v>
      </c>
      <c r="F1011" s="6" t="s">
        <v>2004</v>
      </c>
      <c r="G1011" s="32" t="s">
        <v>2299</v>
      </c>
      <c r="H1011" s="32" t="s">
        <v>2300</v>
      </c>
      <c r="I1011" s="6" t="str">
        <f t="shared" si="34"/>
        <v>Stone Grapple</v>
      </c>
      <c r="J1011" s="6" t="s">
        <v>207</v>
      </c>
      <c r="K1011" s="6">
        <v>1</v>
      </c>
      <c r="L1011" s="6">
        <f t="shared" si="35"/>
        <v>2940000</v>
      </c>
      <c r="M1011" s="6">
        <v>2500000</v>
      </c>
      <c r="N1011" s="6" t="s">
        <v>2003</v>
      </c>
      <c r="O1011" s="6" t="s">
        <v>2012</v>
      </c>
      <c r="P1011" s="6">
        <v>2014</v>
      </c>
      <c r="Q1011" s="6">
        <v>1</v>
      </c>
      <c r="R1011" s="6" t="s">
        <v>45</v>
      </c>
      <c r="S1011" s="31" t="s">
        <v>2113</v>
      </c>
      <c r="T1011" s="6">
        <v>1</v>
      </c>
      <c r="U1011" s="26">
        <v>2300000</v>
      </c>
      <c r="V1011" s="26">
        <v>2300000</v>
      </c>
      <c r="W1011" s="26">
        <v>2300000</v>
      </c>
      <c r="X1011" s="6" t="s">
        <v>2003</v>
      </c>
      <c r="Y1011" s="6" t="s">
        <v>49</v>
      </c>
      <c r="Z1011" s="6">
        <v>227230</v>
      </c>
    </row>
    <row r="1012" spans="1:26" x14ac:dyDescent="0.3">
      <c r="A1012" s="28" t="s">
        <v>42</v>
      </c>
      <c r="B1012" s="6" t="s">
        <v>1337</v>
      </c>
      <c r="C1012" s="6"/>
      <c r="D1012" s="6" t="s">
        <v>2291</v>
      </c>
      <c r="E1012" s="6">
        <v>1</v>
      </c>
      <c r="F1012" s="6" t="s">
        <v>2004</v>
      </c>
      <c r="G1012" s="32" t="s">
        <v>2299</v>
      </c>
      <c r="H1012" s="32" t="s">
        <v>2300</v>
      </c>
      <c r="I1012" s="6" t="str">
        <f t="shared" si="34"/>
        <v>ETC</v>
      </c>
      <c r="J1012" s="6" t="s">
        <v>46</v>
      </c>
      <c r="K1012" s="6">
        <v>1</v>
      </c>
      <c r="L1012" s="6">
        <f t="shared" si="35"/>
        <v>3170000</v>
      </c>
      <c r="M1012" s="6">
        <v>2700000</v>
      </c>
      <c r="N1012" s="6" t="s">
        <v>2003</v>
      </c>
      <c r="O1012" s="6" t="s">
        <v>2015</v>
      </c>
      <c r="P1012" s="6">
        <v>2012</v>
      </c>
      <c r="Q1012" s="6">
        <v>6</v>
      </c>
      <c r="R1012" s="6" t="s">
        <v>45</v>
      </c>
      <c r="S1012" s="31" t="s">
        <v>2113</v>
      </c>
      <c r="T1012" s="6">
        <v>1</v>
      </c>
      <c r="U1012" s="26">
        <v>2500000</v>
      </c>
      <c r="V1012" s="26">
        <v>2500000</v>
      </c>
      <c r="W1012" s="26">
        <v>2500000</v>
      </c>
      <c r="X1012" s="6" t="s">
        <v>2003</v>
      </c>
      <c r="Y1012" s="6" t="s">
        <v>47</v>
      </c>
      <c r="Z1012" s="6">
        <v>227232</v>
      </c>
    </row>
    <row r="1013" spans="1:26" x14ac:dyDescent="0.3">
      <c r="A1013" s="28" t="s">
        <v>42</v>
      </c>
      <c r="B1013" s="6" t="s">
        <v>1326</v>
      </c>
      <c r="C1013" s="6" t="s">
        <v>1972</v>
      </c>
      <c r="D1013" s="6" t="s">
        <v>2291</v>
      </c>
      <c r="E1013" s="6">
        <v>1</v>
      </c>
      <c r="F1013" s="6" t="s">
        <v>2004</v>
      </c>
      <c r="G1013" s="32" t="s">
        <v>2299</v>
      </c>
      <c r="H1013" s="32" t="s">
        <v>2300</v>
      </c>
      <c r="I1013" s="6" t="str">
        <f t="shared" si="34"/>
        <v>Stone Grapple</v>
      </c>
      <c r="J1013" s="6" t="s">
        <v>252</v>
      </c>
      <c r="K1013" s="6">
        <v>1</v>
      </c>
      <c r="L1013" s="6">
        <f t="shared" si="35"/>
        <v>3880000</v>
      </c>
      <c r="M1013" s="6">
        <v>3300000</v>
      </c>
      <c r="N1013" s="6" t="s">
        <v>2003</v>
      </c>
      <c r="O1013" s="6" t="s">
        <v>2007</v>
      </c>
      <c r="P1013" s="6">
        <v>2014</v>
      </c>
      <c r="Q1013" s="6">
        <v>1</v>
      </c>
      <c r="R1013" s="6" t="s">
        <v>45</v>
      </c>
      <c r="S1013" s="31" t="s">
        <v>2113</v>
      </c>
      <c r="T1013" s="6">
        <v>1</v>
      </c>
      <c r="U1013" s="26">
        <v>3100000</v>
      </c>
      <c r="V1013" s="26">
        <v>3100000</v>
      </c>
      <c r="W1013" s="26">
        <v>3100000</v>
      </c>
      <c r="X1013" s="6" t="s">
        <v>2003</v>
      </c>
      <c r="Y1013" s="6" t="s">
        <v>49</v>
      </c>
      <c r="Z1013" s="6">
        <v>227235</v>
      </c>
    </row>
    <row r="1014" spans="1:26" x14ac:dyDescent="0.3">
      <c r="A1014" s="28" t="s">
        <v>42</v>
      </c>
      <c r="B1014" s="6" t="s">
        <v>1326</v>
      </c>
      <c r="C1014" s="6" t="s">
        <v>1979</v>
      </c>
      <c r="D1014" s="6" t="s">
        <v>2292</v>
      </c>
      <c r="E1014" s="6">
        <v>1</v>
      </c>
      <c r="F1014" s="6" t="s">
        <v>2004</v>
      </c>
      <c r="G1014" s="32" t="s">
        <v>2299</v>
      </c>
      <c r="H1014" s="32" t="s">
        <v>2300</v>
      </c>
      <c r="I1014" s="6" t="str">
        <f t="shared" si="34"/>
        <v>Thumb Grapple</v>
      </c>
      <c r="J1014" s="6" t="s">
        <v>117</v>
      </c>
      <c r="K1014" s="6">
        <v>1</v>
      </c>
      <c r="L1014" s="6">
        <f t="shared" si="35"/>
        <v>700000</v>
      </c>
      <c r="M1014" s="6">
        <v>600000</v>
      </c>
      <c r="N1014" s="6" t="s">
        <v>2003</v>
      </c>
      <c r="O1014" s="6" t="s">
        <v>54</v>
      </c>
      <c r="P1014" s="6">
        <v>2011</v>
      </c>
      <c r="Q1014" s="6">
        <v>1</v>
      </c>
      <c r="R1014" s="6" t="s">
        <v>45</v>
      </c>
      <c r="S1014" s="31" t="s">
        <v>2114</v>
      </c>
      <c r="T1014" s="6">
        <v>1</v>
      </c>
      <c r="U1014" s="26">
        <v>500000</v>
      </c>
      <c r="V1014" s="26">
        <v>500000</v>
      </c>
      <c r="W1014" s="26">
        <v>500000</v>
      </c>
      <c r="X1014" s="6" t="s">
        <v>2003</v>
      </c>
      <c r="Y1014" s="6" t="s">
        <v>54</v>
      </c>
      <c r="Z1014" s="6">
        <v>227237</v>
      </c>
    </row>
    <row r="1015" spans="1:26" x14ac:dyDescent="0.3">
      <c r="A1015" s="28" t="s">
        <v>42</v>
      </c>
      <c r="B1015" s="6" t="s">
        <v>1326</v>
      </c>
      <c r="C1015" s="6" t="s">
        <v>1979</v>
      </c>
      <c r="D1015" s="6" t="s">
        <v>2001</v>
      </c>
      <c r="E1015" s="6">
        <v>1</v>
      </c>
      <c r="F1015" s="6" t="s">
        <v>2004</v>
      </c>
      <c r="G1015" s="32" t="s">
        <v>2299</v>
      </c>
      <c r="H1015" s="32" t="s">
        <v>2300</v>
      </c>
      <c r="I1015" s="6" t="str">
        <f t="shared" si="34"/>
        <v>Thumb Grapple</v>
      </c>
      <c r="J1015" s="6" t="s">
        <v>1945</v>
      </c>
      <c r="K1015" s="6">
        <v>1</v>
      </c>
      <c r="L1015" s="6">
        <f t="shared" si="35"/>
        <v>4940000</v>
      </c>
      <c r="M1015" s="6">
        <v>4200000</v>
      </c>
      <c r="N1015" s="6" t="s">
        <v>2003</v>
      </c>
      <c r="O1015" s="6" t="s">
        <v>54</v>
      </c>
      <c r="P1015" s="6">
        <v>2011</v>
      </c>
      <c r="Q1015" s="6">
        <v>1</v>
      </c>
      <c r="R1015" s="6" t="s">
        <v>45</v>
      </c>
      <c r="S1015" s="31" t="s">
        <v>2114</v>
      </c>
      <c r="T1015" s="6">
        <v>1</v>
      </c>
      <c r="U1015" s="26">
        <v>4000000</v>
      </c>
      <c r="V1015" s="26">
        <v>4000000</v>
      </c>
      <c r="W1015" s="26">
        <v>4000000</v>
      </c>
      <c r="X1015" s="6" t="s">
        <v>2003</v>
      </c>
      <c r="Y1015" s="6" t="s">
        <v>54</v>
      </c>
      <c r="Z1015" s="6">
        <v>227240</v>
      </c>
    </row>
    <row r="1016" spans="1:26" x14ac:dyDescent="0.3">
      <c r="A1016" s="28" t="s">
        <v>42</v>
      </c>
      <c r="B1016" s="6" t="s">
        <v>1328</v>
      </c>
      <c r="C1016" s="6" t="s">
        <v>1975</v>
      </c>
      <c r="D1016" s="6" t="s">
        <v>2291</v>
      </c>
      <c r="E1016" s="6">
        <v>1</v>
      </c>
      <c r="F1016" s="6" t="s">
        <v>2004</v>
      </c>
      <c r="G1016" s="32" t="s">
        <v>2299</v>
      </c>
      <c r="H1016" s="32" t="s">
        <v>2300</v>
      </c>
      <c r="I1016" s="6" t="str">
        <f t="shared" si="34"/>
        <v>Side Breaker</v>
      </c>
      <c r="J1016" s="6" t="s">
        <v>160</v>
      </c>
      <c r="K1016" s="6">
        <v>1</v>
      </c>
      <c r="L1016" s="6">
        <f t="shared" si="35"/>
        <v>1940000</v>
      </c>
      <c r="M1016" s="6">
        <v>1650000</v>
      </c>
      <c r="N1016" s="6" t="s">
        <v>2003</v>
      </c>
      <c r="O1016" s="6" t="s">
        <v>2007</v>
      </c>
      <c r="P1016" s="6">
        <v>2015</v>
      </c>
      <c r="Q1016" s="6">
        <v>1</v>
      </c>
      <c r="R1016" s="6" t="s">
        <v>45</v>
      </c>
      <c r="S1016" s="31" t="s">
        <v>2113</v>
      </c>
      <c r="T1016" s="6">
        <v>1</v>
      </c>
      <c r="U1016" s="26">
        <v>1550000</v>
      </c>
      <c r="V1016" s="26">
        <v>1550000</v>
      </c>
      <c r="W1016" s="26">
        <v>1550000</v>
      </c>
      <c r="X1016" s="6" t="s">
        <v>2003</v>
      </c>
      <c r="Y1016" s="6" t="s">
        <v>49</v>
      </c>
      <c r="Z1016" s="6">
        <v>227241</v>
      </c>
    </row>
    <row r="1017" spans="1:26" x14ac:dyDescent="0.3">
      <c r="A1017" s="28" t="s">
        <v>42</v>
      </c>
      <c r="B1017" s="6" t="s">
        <v>1326</v>
      </c>
      <c r="C1017" s="6" t="s">
        <v>1979</v>
      </c>
      <c r="D1017" s="6" t="s">
        <v>2292</v>
      </c>
      <c r="E1017" s="6">
        <v>1</v>
      </c>
      <c r="F1017" s="6" t="s">
        <v>2004</v>
      </c>
      <c r="G1017" s="32" t="s">
        <v>2299</v>
      </c>
      <c r="H1017" s="32" t="s">
        <v>2300</v>
      </c>
      <c r="I1017" s="6" t="str">
        <f t="shared" si="34"/>
        <v>Thumb Grapple</v>
      </c>
      <c r="J1017" s="6" t="s">
        <v>93</v>
      </c>
      <c r="K1017" s="6">
        <v>1</v>
      </c>
      <c r="L1017" s="6">
        <f t="shared" si="35"/>
        <v>940000</v>
      </c>
      <c r="M1017" s="6">
        <v>800000</v>
      </c>
      <c r="N1017" s="6" t="s">
        <v>2003</v>
      </c>
      <c r="O1017" s="6" t="s">
        <v>2012</v>
      </c>
      <c r="P1017" s="6">
        <v>2013</v>
      </c>
      <c r="Q1017" s="6">
        <v>1</v>
      </c>
      <c r="R1017" s="6" t="s">
        <v>45</v>
      </c>
      <c r="S1017" s="31" t="s">
        <v>2113</v>
      </c>
      <c r="T1017" s="6">
        <v>1</v>
      </c>
      <c r="U1017" s="26">
        <v>700000</v>
      </c>
      <c r="V1017" s="26">
        <v>700000</v>
      </c>
      <c r="W1017" s="26">
        <v>700000</v>
      </c>
      <c r="X1017" s="6" t="s">
        <v>2003</v>
      </c>
      <c r="Y1017" s="6" t="s">
        <v>49</v>
      </c>
      <c r="Z1017" s="6">
        <v>227244</v>
      </c>
    </row>
    <row r="1018" spans="1:26" x14ac:dyDescent="0.3">
      <c r="A1018" s="28" t="s">
        <v>42</v>
      </c>
      <c r="B1018" s="6" t="s">
        <v>2163</v>
      </c>
      <c r="C1018" s="6"/>
      <c r="D1018" s="6" t="s">
        <v>2291</v>
      </c>
      <c r="E1018" s="6">
        <v>1</v>
      </c>
      <c r="F1018" s="6" t="s">
        <v>2004</v>
      </c>
      <c r="G1018" s="32" t="s">
        <v>2299</v>
      </c>
      <c r="H1018" s="32" t="s">
        <v>2300</v>
      </c>
      <c r="I1018" s="6" t="str">
        <f t="shared" si="34"/>
        <v>Lift Fork</v>
      </c>
      <c r="J1018" s="6" t="s">
        <v>391</v>
      </c>
      <c r="K1018" s="6">
        <v>1</v>
      </c>
      <c r="L1018" s="6">
        <f t="shared" si="35"/>
        <v>1050000</v>
      </c>
      <c r="M1018" s="6">
        <v>900000</v>
      </c>
      <c r="N1018" s="6" t="s">
        <v>2003</v>
      </c>
      <c r="O1018" s="6" t="s">
        <v>2029</v>
      </c>
      <c r="P1018" s="6">
        <v>2016</v>
      </c>
      <c r="Q1018" s="6">
        <v>12</v>
      </c>
      <c r="R1018" s="6" t="s">
        <v>45</v>
      </c>
      <c r="S1018" s="31" t="s">
        <v>2123</v>
      </c>
      <c r="T1018" s="6">
        <v>1</v>
      </c>
      <c r="U1018" s="26">
        <v>800000</v>
      </c>
      <c r="V1018" s="26">
        <v>800000</v>
      </c>
      <c r="W1018" s="26">
        <v>800000</v>
      </c>
      <c r="X1018" s="6" t="s">
        <v>2003</v>
      </c>
      <c r="Y1018" s="6" t="s">
        <v>1143</v>
      </c>
      <c r="Z1018" s="6">
        <v>227246</v>
      </c>
    </row>
    <row r="1019" spans="1:26" x14ac:dyDescent="0.3">
      <c r="A1019" s="28" t="s">
        <v>42</v>
      </c>
      <c r="B1019" s="6" t="s">
        <v>1327</v>
      </c>
      <c r="C1019" s="19" t="s">
        <v>1982</v>
      </c>
      <c r="D1019" s="6" t="s">
        <v>2289</v>
      </c>
      <c r="E1019" s="6">
        <v>1</v>
      </c>
      <c r="F1019" s="6" t="s">
        <v>2004</v>
      </c>
      <c r="G1019" s="32" t="s">
        <v>2299</v>
      </c>
      <c r="H1019" s="32" t="s">
        <v>2300</v>
      </c>
      <c r="I1019" s="6" t="str">
        <f t="shared" si="34"/>
        <v>Standard Bucket</v>
      </c>
      <c r="J1019" s="6" t="s">
        <v>236</v>
      </c>
      <c r="K1019" s="6">
        <v>1</v>
      </c>
      <c r="L1019" s="6">
        <f t="shared" si="35"/>
        <v>4940000</v>
      </c>
      <c r="M1019" s="6">
        <v>4200000</v>
      </c>
      <c r="N1019" s="6" t="s">
        <v>2003</v>
      </c>
      <c r="O1019" s="6" t="s">
        <v>54</v>
      </c>
      <c r="P1019" s="6">
        <v>2010</v>
      </c>
      <c r="Q1019" s="6">
        <v>1</v>
      </c>
      <c r="R1019" s="6" t="s">
        <v>45</v>
      </c>
      <c r="S1019" s="31" t="s">
        <v>2114</v>
      </c>
      <c r="T1019" s="6">
        <v>1</v>
      </c>
      <c r="U1019" s="26">
        <v>4000000</v>
      </c>
      <c r="V1019" s="26">
        <v>4000000</v>
      </c>
      <c r="W1019" s="26">
        <v>4000000</v>
      </c>
      <c r="X1019" s="6" t="s">
        <v>2003</v>
      </c>
      <c r="Y1019" s="6" t="s">
        <v>54</v>
      </c>
      <c r="Z1019" s="6">
        <v>227247</v>
      </c>
    </row>
    <row r="1020" spans="1:26" x14ac:dyDescent="0.3">
      <c r="A1020" s="28" t="s">
        <v>42</v>
      </c>
      <c r="B1020" s="6" t="s">
        <v>1327</v>
      </c>
      <c r="C1020" s="19" t="s">
        <v>1982</v>
      </c>
      <c r="D1020" s="6" t="s">
        <v>2289</v>
      </c>
      <c r="E1020" s="6">
        <v>1</v>
      </c>
      <c r="F1020" s="6" t="s">
        <v>2004</v>
      </c>
      <c r="G1020" s="32" t="s">
        <v>2299</v>
      </c>
      <c r="H1020" s="32" t="s">
        <v>2300</v>
      </c>
      <c r="I1020" s="6" t="str">
        <f t="shared" si="34"/>
        <v>Standard Bucket</v>
      </c>
      <c r="J1020" s="6" t="s">
        <v>75</v>
      </c>
      <c r="K1020" s="6">
        <v>1</v>
      </c>
      <c r="L1020" s="6">
        <f t="shared" si="35"/>
        <v>3760000</v>
      </c>
      <c r="M1020" s="6">
        <v>3200000</v>
      </c>
      <c r="N1020" s="6" t="s">
        <v>2003</v>
      </c>
      <c r="O1020" s="6" t="s">
        <v>839</v>
      </c>
      <c r="P1020" s="6">
        <v>2011</v>
      </c>
      <c r="Q1020" s="6">
        <v>6</v>
      </c>
      <c r="R1020" s="6" t="s">
        <v>45</v>
      </c>
      <c r="S1020" s="31" t="s">
        <v>2110</v>
      </c>
      <c r="T1020" s="6">
        <v>1</v>
      </c>
      <c r="U1020" s="26">
        <v>3000000</v>
      </c>
      <c r="V1020" s="26">
        <v>3000000</v>
      </c>
      <c r="W1020" s="26">
        <v>3000000</v>
      </c>
      <c r="X1020" s="6" t="s">
        <v>2003</v>
      </c>
      <c r="Y1020" s="6" t="s">
        <v>1234</v>
      </c>
      <c r="Z1020" s="6">
        <v>227256</v>
      </c>
    </row>
    <row r="1021" spans="1:26" x14ac:dyDescent="0.3">
      <c r="A1021" s="28" t="s">
        <v>42</v>
      </c>
      <c r="B1021" s="6" t="s">
        <v>1327</v>
      </c>
      <c r="C1021" s="6" t="s">
        <v>1977</v>
      </c>
      <c r="D1021" s="6" t="s">
        <v>2290</v>
      </c>
      <c r="E1021" s="6">
        <v>1</v>
      </c>
      <c r="F1021" s="6" t="s">
        <v>2004</v>
      </c>
      <c r="G1021" s="32" t="s">
        <v>2299</v>
      </c>
      <c r="H1021" s="32" t="s">
        <v>2300</v>
      </c>
      <c r="I1021" s="6" t="str">
        <f t="shared" si="34"/>
        <v>Wide Bucket</v>
      </c>
      <c r="J1021" s="6" t="s">
        <v>275</v>
      </c>
      <c r="K1021" s="6">
        <v>1</v>
      </c>
      <c r="L1021" s="6">
        <f t="shared" si="35"/>
        <v>3170000</v>
      </c>
      <c r="M1021" s="6">
        <v>2700000</v>
      </c>
      <c r="N1021" s="6" t="s">
        <v>2003</v>
      </c>
      <c r="O1021" s="6" t="s">
        <v>2011</v>
      </c>
      <c r="P1021" s="6">
        <v>2012</v>
      </c>
      <c r="Q1021" s="6">
        <v>6</v>
      </c>
      <c r="R1021" s="6" t="s">
        <v>45</v>
      </c>
      <c r="S1021" s="31" t="s">
        <v>2123</v>
      </c>
      <c r="T1021" s="6">
        <v>1</v>
      </c>
      <c r="U1021" s="26">
        <v>2500000</v>
      </c>
      <c r="V1021" s="26">
        <v>2500000</v>
      </c>
      <c r="W1021" s="26">
        <v>2500000</v>
      </c>
      <c r="X1021" s="6" t="s">
        <v>2003</v>
      </c>
      <c r="Y1021" s="6" t="s">
        <v>1200</v>
      </c>
      <c r="Z1021" s="6">
        <v>227264</v>
      </c>
    </row>
    <row r="1022" spans="1:26" x14ac:dyDescent="0.3">
      <c r="A1022" s="28" t="s">
        <v>42</v>
      </c>
      <c r="B1022" s="6" t="s">
        <v>1328</v>
      </c>
      <c r="C1022" s="6" t="s">
        <v>1975</v>
      </c>
      <c r="D1022" s="6" t="s">
        <v>2289</v>
      </c>
      <c r="E1022" s="6">
        <v>1</v>
      </c>
      <c r="F1022" s="6" t="s">
        <v>2004</v>
      </c>
      <c r="G1022" s="32" t="s">
        <v>2299</v>
      </c>
      <c r="H1022" s="32" t="s">
        <v>2300</v>
      </c>
      <c r="I1022" s="6" t="str">
        <f t="shared" si="34"/>
        <v>Side Breaker</v>
      </c>
      <c r="J1022" s="6" t="s">
        <v>748</v>
      </c>
      <c r="K1022" s="6">
        <v>1</v>
      </c>
      <c r="L1022" s="6">
        <f t="shared" si="35"/>
        <v>24110000</v>
      </c>
      <c r="M1022" s="6">
        <v>20500000</v>
      </c>
      <c r="N1022" s="6" t="s">
        <v>2003</v>
      </c>
      <c r="O1022" s="6" t="s">
        <v>1110</v>
      </c>
      <c r="P1022" s="6">
        <v>2015</v>
      </c>
      <c r="Q1022" s="6">
        <v>5</v>
      </c>
      <c r="R1022" s="6" t="s">
        <v>45</v>
      </c>
      <c r="S1022" s="31" t="s">
        <v>2111</v>
      </c>
      <c r="T1022" s="6">
        <v>1</v>
      </c>
      <c r="U1022" s="26">
        <v>20000000</v>
      </c>
      <c r="V1022" s="26">
        <v>20000000</v>
      </c>
      <c r="W1022" s="26">
        <v>20000000</v>
      </c>
      <c r="X1022" s="6" t="s">
        <v>2003</v>
      </c>
      <c r="Y1022" s="6" t="s">
        <v>92</v>
      </c>
      <c r="Z1022" s="6">
        <v>227266</v>
      </c>
    </row>
    <row r="1023" spans="1:26" x14ac:dyDescent="0.3">
      <c r="A1023" s="28" t="s">
        <v>42</v>
      </c>
      <c r="B1023" s="6" t="s">
        <v>1325</v>
      </c>
      <c r="C1023" s="19" t="s">
        <v>2156</v>
      </c>
      <c r="D1023" s="6" t="s">
        <v>2292</v>
      </c>
      <c r="E1023" s="6">
        <v>1</v>
      </c>
      <c r="F1023" s="6" t="s">
        <v>2004</v>
      </c>
      <c r="G1023" s="32" t="s">
        <v>2299</v>
      </c>
      <c r="H1023" s="32" t="s">
        <v>2300</v>
      </c>
      <c r="I1023" s="6" t="str">
        <f t="shared" si="34"/>
        <v>Hydraulic Crusher</v>
      </c>
      <c r="J1023" s="6" t="s">
        <v>104</v>
      </c>
      <c r="K1023" s="6">
        <v>1</v>
      </c>
      <c r="L1023" s="6">
        <f t="shared" si="35"/>
        <v>13520000</v>
      </c>
      <c r="M1023" s="6">
        <v>11500000</v>
      </c>
      <c r="N1023" s="6" t="s">
        <v>2003</v>
      </c>
      <c r="O1023" s="6" t="s">
        <v>1903</v>
      </c>
      <c r="P1023" s="6">
        <v>2011</v>
      </c>
      <c r="Q1023" s="6">
        <v>1</v>
      </c>
      <c r="R1023" s="6" t="s">
        <v>45</v>
      </c>
      <c r="S1023" s="31" t="s">
        <v>2119</v>
      </c>
      <c r="T1023" s="6">
        <v>1</v>
      </c>
      <c r="U1023" s="26">
        <v>11000000</v>
      </c>
      <c r="V1023" s="26">
        <v>11000000</v>
      </c>
      <c r="W1023" s="26">
        <v>11000000</v>
      </c>
      <c r="X1023" s="6" t="s">
        <v>2003</v>
      </c>
      <c r="Y1023" s="6" t="s">
        <v>60</v>
      </c>
      <c r="Z1023" s="6">
        <v>227269</v>
      </c>
    </row>
    <row r="1024" spans="1:26" x14ac:dyDescent="0.3">
      <c r="A1024" s="28" t="s">
        <v>42</v>
      </c>
      <c r="B1024" s="6" t="s">
        <v>1326</v>
      </c>
      <c r="C1024" s="6" t="s">
        <v>1972</v>
      </c>
      <c r="D1024" s="6" t="s">
        <v>2290</v>
      </c>
      <c r="E1024" s="6">
        <v>1</v>
      </c>
      <c r="F1024" s="6" t="s">
        <v>2004</v>
      </c>
      <c r="G1024" s="32" t="s">
        <v>2299</v>
      </c>
      <c r="H1024" s="32" t="s">
        <v>2300</v>
      </c>
      <c r="I1024" s="6" t="str">
        <f t="shared" si="34"/>
        <v>Stone Grapple</v>
      </c>
      <c r="J1024" s="6" t="s">
        <v>94</v>
      </c>
      <c r="K1024" s="6">
        <v>1</v>
      </c>
      <c r="L1024" s="6">
        <f t="shared" si="35"/>
        <v>3170000</v>
      </c>
      <c r="M1024" s="6">
        <v>2700000</v>
      </c>
      <c r="N1024" s="6" t="s">
        <v>2003</v>
      </c>
      <c r="O1024" s="6" t="s">
        <v>2011</v>
      </c>
      <c r="P1024" s="6">
        <v>2010</v>
      </c>
      <c r="Q1024" s="6">
        <v>6</v>
      </c>
      <c r="R1024" s="6" t="s">
        <v>45</v>
      </c>
      <c r="S1024" s="31" t="s">
        <v>2123</v>
      </c>
      <c r="T1024" s="6">
        <v>1</v>
      </c>
      <c r="U1024" s="26">
        <v>2500000</v>
      </c>
      <c r="V1024" s="26">
        <v>2500000</v>
      </c>
      <c r="W1024" s="26">
        <v>2500000</v>
      </c>
      <c r="X1024" s="6" t="s">
        <v>2003</v>
      </c>
      <c r="Y1024" s="6" t="s">
        <v>1200</v>
      </c>
      <c r="Z1024" s="6">
        <v>227275</v>
      </c>
    </row>
    <row r="1025" spans="1:26" x14ac:dyDescent="0.3">
      <c r="A1025" s="28" t="s">
        <v>42</v>
      </c>
      <c r="B1025" s="6" t="s">
        <v>1326</v>
      </c>
      <c r="C1025" s="6" t="s">
        <v>1972</v>
      </c>
      <c r="D1025" s="6" t="s">
        <v>2292</v>
      </c>
      <c r="E1025" s="6">
        <v>1</v>
      </c>
      <c r="F1025" s="6" t="s">
        <v>2004</v>
      </c>
      <c r="G1025" s="32" t="s">
        <v>2299</v>
      </c>
      <c r="H1025" s="32" t="s">
        <v>2300</v>
      </c>
      <c r="I1025" s="6" t="str">
        <f t="shared" si="34"/>
        <v>Stone Grapple</v>
      </c>
      <c r="J1025" s="6" t="s">
        <v>44</v>
      </c>
      <c r="K1025" s="6">
        <v>1</v>
      </c>
      <c r="L1025" s="6">
        <f t="shared" si="35"/>
        <v>2700000</v>
      </c>
      <c r="M1025" s="6">
        <v>2300000</v>
      </c>
      <c r="N1025" s="6" t="s">
        <v>2003</v>
      </c>
      <c r="O1025" s="6" t="s">
        <v>1904</v>
      </c>
      <c r="P1025" s="6">
        <v>2014</v>
      </c>
      <c r="Q1025" s="6">
        <v>1</v>
      </c>
      <c r="R1025" s="6" t="s">
        <v>45</v>
      </c>
      <c r="S1025" s="31" t="s">
        <v>2114</v>
      </c>
      <c r="T1025" s="6">
        <v>1</v>
      </c>
      <c r="U1025" s="26">
        <v>2100000</v>
      </c>
      <c r="V1025" s="26">
        <v>2100000</v>
      </c>
      <c r="W1025" s="26">
        <v>2100000</v>
      </c>
      <c r="X1025" s="6" t="s">
        <v>2003</v>
      </c>
      <c r="Y1025" s="6" t="s">
        <v>57</v>
      </c>
      <c r="Z1025" s="6">
        <v>227278</v>
      </c>
    </row>
    <row r="1026" spans="1:26" x14ac:dyDescent="0.3">
      <c r="A1026" s="28" t="s">
        <v>42</v>
      </c>
      <c r="B1026" s="6" t="s">
        <v>1326</v>
      </c>
      <c r="C1026" s="6" t="s">
        <v>1972</v>
      </c>
      <c r="D1026" s="6" t="s">
        <v>2292</v>
      </c>
      <c r="E1026" s="6">
        <v>1</v>
      </c>
      <c r="F1026" s="6" t="s">
        <v>2004</v>
      </c>
      <c r="G1026" s="32" t="s">
        <v>2299</v>
      </c>
      <c r="H1026" s="32" t="s">
        <v>2300</v>
      </c>
      <c r="I1026" s="6" t="str">
        <f t="shared" si="34"/>
        <v>Stone Grapple</v>
      </c>
      <c r="J1026" s="6" t="s">
        <v>120</v>
      </c>
      <c r="K1026" s="6">
        <v>1</v>
      </c>
      <c r="L1026" s="6">
        <f t="shared" si="35"/>
        <v>7640000</v>
      </c>
      <c r="M1026" s="6">
        <v>6500000</v>
      </c>
      <c r="N1026" s="6" t="s">
        <v>2003</v>
      </c>
      <c r="O1026" s="6" t="s">
        <v>1110</v>
      </c>
      <c r="P1026" s="6">
        <v>2016</v>
      </c>
      <c r="Q1026" s="6">
        <v>7</v>
      </c>
      <c r="R1026" s="6" t="s">
        <v>45</v>
      </c>
      <c r="S1026" s="31" t="s">
        <v>2123</v>
      </c>
      <c r="T1026" s="6">
        <v>1</v>
      </c>
      <c r="U1026" s="26">
        <v>6000000</v>
      </c>
      <c r="V1026" s="26">
        <v>6000000</v>
      </c>
      <c r="W1026" s="26">
        <v>6000000</v>
      </c>
      <c r="X1026" s="6" t="s">
        <v>2003</v>
      </c>
      <c r="Y1026" s="6" t="s">
        <v>92</v>
      </c>
      <c r="Z1026" s="6">
        <v>227279</v>
      </c>
    </row>
    <row r="1027" spans="1:26" x14ac:dyDescent="0.3">
      <c r="A1027" s="28" t="s">
        <v>42</v>
      </c>
      <c r="B1027" s="6" t="s">
        <v>1337</v>
      </c>
      <c r="C1027" s="6"/>
      <c r="D1027" s="6" t="s">
        <v>2289</v>
      </c>
      <c r="E1027" s="6">
        <v>1</v>
      </c>
      <c r="F1027" s="6" t="s">
        <v>2004</v>
      </c>
      <c r="G1027" s="32" t="s">
        <v>2299</v>
      </c>
      <c r="H1027" s="32" t="s">
        <v>2300</v>
      </c>
      <c r="I1027" s="6" t="str">
        <f t="shared" si="34"/>
        <v>ETC</v>
      </c>
      <c r="J1027" s="6" t="s">
        <v>1946</v>
      </c>
      <c r="K1027" s="6">
        <v>1</v>
      </c>
      <c r="L1027" s="6">
        <f t="shared" si="35"/>
        <v>12350000</v>
      </c>
      <c r="M1027" s="6">
        <v>10500000</v>
      </c>
      <c r="N1027" s="6" t="s">
        <v>2003</v>
      </c>
      <c r="O1027" s="6" t="s">
        <v>1905</v>
      </c>
      <c r="P1027" s="6">
        <v>2005</v>
      </c>
      <c r="Q1027" s="6">
        <v>1</v>
      </c>
      <c r="R1027" s="6" t="s">
        <v>45</v>
      </c>
      <c r="S1027" s="31" t="s">
        <v>2110</v>
      </c>
      <c r="T1027" s="6">
        <v>1</v>
      </c>
      <c r="U1027" s="26">
        <v>10000000</v>
      </c>
      <c r="V1027" s="26">
        <v>10000000</v>
      </c>
      <c r="W1027" s="26">
        <v>10000000</v>
      </c>
      <c r="X1027" s="6" t="s">
        <v>2003</v>
      </c>
      <c r="Y1027" s="6" t="s">
        <v>1208</v>
      </c>
      <c r="Z1027" s="6">
        <v>227280</v>
      </c>
    </row>
    <row r="1028" spans="1:26" x14ac:dyDescent="0.3">
      <c r="A1028" s="28" t="s">
        <v>42</v>
      </c>
      <c r="B1028" s="6" t="s">
        <v>2245</v>
      </c>
      <c r="C1028" s="6" t="s">
        <v>2246</v>
      </c>
      <c r="D1028" s="6" t="s">
        <v>2289</v>
      </c>
      <c r="E1028" s="6">
        <v>1</v>
      </c>
      <c r="F1028" s="6" t="s">
        <v>2004</v>
      </c>
      <c r="G1028" s="32" t="s">
        <v>2299</v>
      </c>
      <c r="H1028" s="32" t="s">
        <v>2300</v>
      </c>
      <c r="I1028" s="6" t="str">
        <f t="shared" si="34"/>
        <v>Side Breaker</v>
      </c>
      <c r="J1028" s="6" t="s">
        <v>126</v>
      </c>
      <c r="K1028" s="6">
        <v>1</v>
      </c>
      <c r="L1028" s="6">
        <f t="shared" si="35"/>
        <v>12350000</v>
      </c>
      <c r="M1028" s="6">
        <v>10500000</v>
      </c>
      <c r="N1028" s="6" t="s">
        <v>2003</v>
      </c>
      <c r="O1028" s="6" t="s">
        <v>813</v>
      </c>
      <c r="P1028" s="6">
        <v>2014</v>
      </c>
      <c r="Q1028" s="6">
        <v>1</v>
      </c>
      <c r="R1028" s="6" t="s">
        <v>45</v>
      </c>
      <c r="S1028" s="31" t="s">
        <v>2113</v>
      </c>
      <c r="T1028" s="6">
        <v>1</v>
      </c>
      <c r="U1028" s="26">
        <v>10000000</v>
      </c>
      <c r="V1028" s="26">
        <v>10000000</v>
      </c>
      <c r="W1028" s="26">
        <v>10000000</v>
      </c>
      <c r="X1028" s="6" t="s">
        <v>2003</v>
      </c>
      <c r="Y1028" s="6" t="s">
        <v>80</v>
      </c>
      <c r="Z1028" s="6">
        <v>227282</v>
      </c>
    </row>
    <row r="1029" spans="1:26" x14ac:dyDescent="0.3">
      <c r="A1029" s="28" t="s">
        <v>42</v>
      </c>
      <c r="B1029" s="6" t="s">
        <v>1326</v>
      </c>
      <c r="C1029" s="6" t="s">
        <v>1972</v>
      </c>
      <c r="D1029" s="6" t="s">
        <v>2292</v>
      </c>
      <c r="E1029" s="6">
        <v>1</v>
      </c>
      <c r="F1029" s="6" t="s">
        <v>2004</v>
      </c>
      <c r="G1029" s="32" t="s">
        <v>2299</v>
      </c>
      <c r="H1029" s="32" t="s">
        <v>2300</v>
      </c>
      <c r="I1029" s="6" t="str">
        <f t="shared" si="34"/>
        <v>Stone Grapple</v>
      </c>
      <c r="J1029" s="6" t="s">
        <v>81</v>
      </c>
      <c r="K1029" s="6">
        <v>1</v>
      </c>
      <c r="L1029" s="6">
        <f t="shared" si="35"/>
        <v>3050000</v>
      </c>
      <c r="M1029" s="6">
        <v>2600000</v>
      </c>
      <c r="N1029" s="6" t="s">
        <v>2003</v>
      </c>
      <c r="O1029" s="6" t="s">
        <v>2007</v>
      </c>
      <c r="P1029" s="6">
        <v>2014</v>
      </c>
      <c r="Q1029" s="6">
        <v>1</v>
      </c>
      <c r="R1029" s="6" t="s">
        <v>45</v>
      </c>
      <c r="S1029" s="31" t="s">
        <v>2113</v>
      </c>
      <c r="T1029" s="6">
        <v>1</v>
      </c>
      <c r="U1029" s="26">
        <v>2400000</v>
      </c>
      <c r="V1029" s="26">
        <v>2400000</v>
      </c>
      <c r="W1029" s="26">
        <v>2400000</v>
      </c>
      <c r="X1029" s="6" t="s">
        <v>2003</v>
      </c>
      <c r="Y1029" s="6" t="s">
        <v>49</v>
      </c>
      <c r="Z1029" s="6">
        <v>227283</v>
      </c>
    </row>
    <row r="1030" spans="1:26" x14ac:dyDescent="0.3">
      <c r="A1030" s="28" t="s">
        <v>42</v>
      </c>
      <c r="B1030" s="6" t="s">
        <v>1328</v>
      </c>
      <c r="C1030" s="6" t="s">
        <v>1975</v>
      </c>
      <c r="D1030" s="6" t="s">
        <v>2291</v>
      </c>
      <c r="E1030" s="6">
        <v>1</v>
      </c>
      <c r="F1030" s="6" t="s">
        <v>2004</v>
      </c>
      <c r="G1030" s="32" t="s">
        <v>2299</v>
      </c>
      <c r="H1030" s="32" t="s">
        <v>2300</v>
      </c>
      <c r="I1030" s="6" t="str">
        <f t="shared" si="34"/>
        <v>Side Breaker</v>
      </c>
      <c r="J1030" s="6" t="s">
        <v>266</v>
      </c>
      <c r="K1030" s="6">
        <v>1</v>
      </c>
      <c r="L1030" s="6">
        <f t="shared" si="35"/>
        <v>2820000</v>
      </c>
      <c r="M1030" s="6">
        <v>2400000</v>
      </c>
      <c r="N1030" s="6" t="s">
        <v>2003</v>
      </c>
      <c r="O1030" s="6" t="s">
        <v>2011</v>
      </c>
      <c r="P1030" s="6">
        <v>2016</v>
      </c>
      <c r="Q1030" s="6">
        <v>6</v>
      </c>
      <c r="R1030" s="6" t="s">
        <v>45</v>
      </c>
      <c r="S1030" s="31" t="s">
        <v>2123</v>
      </c>
      <c r="T1030" s="6">
        <v>1</v>
      </c>
      <c r="U1030" s="26">
        <v>2200000</v>
      </c>
      <c r="V1030" s="26">
        <v>2200000</v>
      </c>
      <c r="W1030" s="26">
        <v>2200000</v>
      </c>
      <c r="X1030" s="6" t="s">
        <v>2003</v>
      </c>
      <c r="Y1030" s="6" t="s">
        <v>1200</v>
      </c>
      <c r="Z1030" s="6">
        <v>227285</v>
      </c>
    </row>
    <row r="1031" spans="1:26" x14ac:dyDescent="0.3">
      <c r="A1031" s="28" t="s">
        <v>42</v>
      </c>
      <c r="B1031" s="6" t="s">
        <v>1326</v>
      </c>
      <c r="C1031" s="6" t="s">
        <v>1972</v>
      </c>
      <c r="D1031" s="6" t="s">
        <v>2292</v>
      </c>
      <c r="E1031" s="6">
        <v>1</v>
      </c>
      <c r="F1031" s="6" t="s">
        <v>2004</v>
      </c>
      <c r="G1031" s="32" t="s">
        <v>2299</v>
      </c>
      <c r="H1031" s="32" t="s">
        <v>2300</v>
      </c>
      <c r="I1031" s="6" t="str">
        <f t="shared" si="34"/>
        <v>Stone Grapple</v>
      </c>
      <c r="J1031" s="6" t="s">
        <v>197</v>
      </c>
      <c r="K1031" s="6">
        <v>1</v>
      </c>
      <c r="L1031" s="6">
        <f t="shared" si="35"/>
        <v>3170000</v>
      </c>
      <c r="M1031" s="6">
        <v>2700000</v>
      </c>
      <c r="N1031" s="6" t="s">
        <v>2003</v>
      </c>
      <c r="O1031" s="6" t="s">
        <v>2007</v>
      </c>
      <c r="P1031" s="6">
        <v>2014</v>
      </c>
      <c r="Q1031" s="6">
        <v>1</v>
      </c>
      <c r="R1031" s="6" t="s">
        <v>45</v>
      </c>
      <c r="S1031" s="31" t="s">
        <v>2113</v>
      </c>
      <c r="T1031" s="6">
        <v>1</v>
      </c>
      <c r="U1031" s="26">
        <v>2500000</v>
      </c>
      <c r="V1031" s="26">
        <v>2500000</v>
      </c>
      <c r="W1031" s="26">
        <v>2500000</v>
      </c>
      <c r="X1031" s="6" t="s">
        <v>2003</v>
      </c>
      <c r="Y1031" s="6" t="s">
        <v>49</v>
      </c>
      <c r="Z1031" s="6">
        <v>227291</v>
      </c>
    </row>
    <row r="1032" spans="1:26" x14ac:dyDescent="0.3">
      <c r="A1032" s="28" t="s">
        <v>42</v>
      </c>
      <c r="B1032" s="6" t="s">
        <v>1326</v>
      </c>
      <c r="C1032" s="6" t="s">
        <v>1972</v>
      </c>
      <c r="D1032" s="6" t="s">
        <v>2292</v>
      </c>
      <c r="E1032" s="6">
        <v>1</v>
      </c>
      <c r="F1032" s="6" t="s">
        <v>2004</v>
      </c>
      <c r="G1032" s="32" t="s">
        <v>2299</v>
      </c>
      <c r="H1032" s="32" t="s">
        <v>2300</v>
      </c>
      <c r="I1032" s="6" t="str">
        <f t="shared" si="34"/>
        <v>Stone Grapple</v>
      </c>
      <c r="J1032" s="6" t="s">
        <v>1947</v>
      </c>
      <c r="K1032" s="6">
        <v>1</v>
      </c>
      <c r="L1032" s="6">
        <f t="shared" si="35"/>
        <v>2230000</v>
      </c>
      <c r="M1032" s="6">
        <v>1900000</v>
      </c>
      <c r="N1032" s="6" t="s">
        <v>2003</v>
      </c>
      <c r="O1032" s="6" t="s">
        <v>2007</v>
      </c>
      <c r="P1032" s="6">
        <v>2013</v>
      </c>
      <c r="Q1032" s="6">
        <v>1</v>
      </c>
      <c r="R1032" s="6" t="s">
        <v>45</v>
      </c>
      <c r="S1032" s="31" t="s">
        <v>2113</v>
      </c>
      <c r="T1032" s="6">
        <v>1</v>
      </c>
      <c r="U1032" s="26">
        <v>1800000</v>
      </c>
      <c r="V1032" s="26">
        <v>1800000</v>
      </c>
      <c r="W1032" s="26">
        <v>1800000</v>
      </c>
      <c r="X1032" s="6" t="s">
        <v>2003</v>
      </c>
      <c r="Y1032" s="6" t="s">
        <v>49</v>
      </c>
      <c r="Z1032" s="6">
        <v>227292</v>
      </c>
    </row>
    <row r="1033" spans="1:26" x14ac:dyDescent="0.3">
      <c r="A1033" s="28" t="s">
        <v>42</v>
      </c>
      <c r="B1033" s="6" t="s">
        <v>1325</v>
      </c>
      <c r="C1033" s="6" t="s">
        <v>1978</v>
      </c>
      <c r="D1033" s="6" t="s">
        <v>2001</v>
      </c>
      <c r="E1033" s="6">
        <v>1</v>
      </c>
      <c r="F1033" s="6" t="s">
        <v>2004</v>
      </c>
      <c r="G1033" s="32" t="s">
        <v>2299</v>
      </c>
      <c r="H1033" s="32" t="s">
        <v>2300</v>
      </c>
      <c r="I1033" s="6" t="str">
        <f t="shared" si="34"/>
        <v>Hydraulic Pulverizer</v>
      </c>
      <c r="J1033" s="6" t="s">
        <v>272</v>
      </c>
      <c r="K1033" s="6">
        <v>1</v>
      </c>
      <c r="L1033" s="6">
        <f t="shared" si="35"/>
        <v>16470000</v>
      </c>
      <c r="M1033" s="6">
        <v>14000000</v>
      </c>
      <c r="N1033" s="6" t="s">
        <v>2003</v>
      </c>
      <c r="O1033" s="6" t="s">
        <v>813</v>
      </c>
      <c r="P1033" s="6">
        <v>2014</v>
      </c>
      <c r="Q1033" s="6">
        <v>1</v>
      </c>
      <c r="R1033" s="6" t="s">
        <v>45</v>
      </c>
      <c r="S1033" s="31" t="s">
        <v>2113</v>
      </c>
      <c r="T1033" s="6">
        <v>1</v>
      </c>
      <c r="U1033" s="26">
        <v>13500000</v>
      </c>
      <c r="V1033" s="26">
        <v>13500000</v>
      </c>
      <c r="W1033" s="26">
        <v>13500000</v>
      </c>
      <c r="X1033" s="6" t="s">
        <v>2003</v>
      </c>
      <c r="Y1033" s="6" t="s">
        <v>79</v>
      </c>
      <c r="Z1033" s="6">
        <v>227294</v>
      </c>
    </row>
    <row r="1034" spans="1:26" x14ac:dyDescent="0.3">
      <c r="A1034" s="28" t="s">
        <v>42</v>
      </c>
      <c r="B1034" s="6" t="s">
        <v>1326</v>
      </c>
      <c r="C1034" s="6" t="s">
        <v>1986</v>
      </c>
      <c r="D1034" s="6" t="s">
        <v>2290</v>
      </c>
      <c r="E1034" s="6">
        <v>1</v>
      </c>
      <c r="F1034" s="6" t="s">
        <v>2004</v>
      </c>
      <c r="G1034" s="32" t="s">
        <v>2299</v>
      </c>
      <c r="H1034" s="32" t="s">
        <v>2300</v>
      </c>
      <c r="I1034" s="6" t="str">
        <f t="shared" si="34"/>
        <v>ClamShell Grapple</v>
      </c>
      <c r="J1034" s="6" t="s">
        <v>720</v>
      </c>
      <c r="K1034" s="6">
        <v>1</v>
      </c>
      <c r="L1034" s="6">
        <f t="shared" si="35"/>
        <v>3760000</v>
      </c>
      <c r="M1034" s="6">
        <v>3200000</v>
      </c>
      <c r="N1034" s="6" t="s">
        <v>2003</v>
      </c>
      <c r="O1034" s="6" t="s">
        <v>813</v>
      </c>
      <c r="P1034" s="6">
        <v>2013</v>
      </c>
      <c r="Q1034" s="6">
        <v>1</v>
      </c>
      <c r="R1034" s="6" t="s">
        <v>45</v>
      </c>
      <c r="S1034" s="31" t="s">
        <v>2113</v>
      </c>
      <c r="T1034" s="6">
        <v>1</v>
      </c>
      <c r="U1034" s="26">
        <v>3000000</v>
      </c>
      <c r="V1034" s="26">
        <v>3000000</v>
      </c>
      <c r="W1034" s="26">
        <v>3000000</v>
      </c>
      <c r="X1034" s="6" t="s">
        <v>2003</v>
      </c>
      <c r="Y1034" s="6" t="s">
        <v>80</v>
      </c>
      <c r="Z1034" s="6">
        <v>227299</v>
      </c>
    </row>
    <row r="1035" spans="1:26" x14ac:dyDescent="0.3">
      <c r="A1035" s="28" t="s">
        <v>42</v>
      </c>
      <c r="B1035" s="6" t="s">
        <v>1337</v>
      </c>
      <c r="C1035" s="6"/>
      <c r="D1035" s="6" t="s">
        <v>2001</v>
      </c>
      <c r="E1035" s="6">
        <v>1</v>
      </c>
      <c r="F1035" s="6" t="s">
        <v>2004</v>
      </c>
      <c r="G1035" s="32" t="s">
        <v>2299</v>
      </c>
      <c r="H1035" s="32" t="s">
        <v>2300</v>
      </c>
      <c r="I1035" s="6" t="str">
        <f t="shared" ref="I1035:I1098" si="36">IF(ISBLANK(C1035),B1035,C1035)</f>
        <v>ETC</v>
      </c>
      <c r="J1035" s="6" t="s">
        <v>1949</v>
      </c>
      <c r="K1035" s="6">
        <v>1</v>
      </c>
      <c r="L1035" s="6">
        <f t="shared" ref="L1035:L1098" si="37">FLOOR(((M1035*100)/85)/10000, 1)*10000</f>
        <v>15880000</v>
      </c>
      <c r="M1035" s="6">
        <v>13500000</v>
      </c>
      <c r="N1035" s="6" t="s">
        <v>2003</v>
      </c>
      <c r="O1035" s="6" t="s">
        <v>1906</v>
      </c>
      <c r="P1035" s="6">
        <v>2015</v>
      </c>
      <c r="Q1035" s="6">
        <v>9</v>
      </c>
      <c r="R1035" s="6" t="s">
        <v>45</v>
      </c>
      <c r="S1035" s="31" t="s">
        <v>2118</v>
      </c>
      <c r="T1035" s="6">
        <v>1</v>
      </c>
      <c r="U1035" s="26">
        <v>13000000</v>
      </c>
      <c r="V1035" s="26">
        <v>13000000</v>
      </c>
      <c r="W1035" s="26">
        <v>13000000</v>
      </c>
      <c r="X1035" s="6" t="s">
        <v>2003</v>
      </c>
      <c r="Y1035" s="6" t="s">
        <v>63</v>
      </c>
      <c r="Z1035" s="6">
        <v>227302</v>
      </c>
    </row>
    <row r="1036" spans="1:26" x14ac:dyDescent="0.3">
      <c r="A1036" s="28" t="s">
        <v>42</v>
      </c>
      <c r="B1036" s="6" t="s">
        <v>1328</v>
      </c>
      <c r="C1036" s="6" t="s">
        <v>1975</v>
      </c>
      <c r="D1036" s="6" t="s">
        <v>2291</v>
      </c>
      <c r="E1036" s="6">
        <v>1</v>
      </c>
      <c r="F1036" s="6" t="s">
        <v>2004</v>
      </c>
      <c r="G1036" s="32" t="s">
        <v>2299</v>
      </c>
      <c r="H1036" s="32" t="s">
        <v>2300</v>
      </c>
      <c r="I1036" s="6" t="str">
        <f t="shared" si="36"/>
        <v>Side Breaker</v>
      </c>
      <c r="J1036" s="6" t="s">
        <v>1950</v>
      </c>
      <c r="K1036" s="6">
        <v>1</v>
      </c>
      <c r="L1036" s="6">
        <f t="shared" si="37"/>
        <v>1880000</v>
      </c>
      <c r="M1036" s="6">
        <v>1600000</v>
      </c>
      <c r="N1036" s="6" t="s">
        <v>2003</v>
      </c>
      <c r="O1036" s="6" t="s">
        <v>54</v>
      </c>
      <c r="P1036" s="6">
        <v>2011</v>
      </c>
      <c r="Q1036" s="6">
        <v>1</v>
      </c>
      <c r="R1036" s="6" t="s">
        <v>45</v>
      </c>
      <c r="S1036" s="31" t="s">
        <v>2114</v>
      </c>
      <c r="T1036" s="6">
        <v>1</v>
      </c>
      <c r="U1036" s="26">
        <v>1500000</v>
      </c>
      <c r="V1036" s="26">
        <v>1500000</v>
      </c>
      <c r="W1036" s="26">
        <v>1500000</v>
      </c>
      <c r="X1036" s="6" t="s">
        <v>2003</v>
      </c>
      <c r="Y1036" s="6" t="s">
        <v>54</v>
      </c>
      <c r="Z1036" s="6">
        <v>227305</v>
      </c>
    </row>
    <row r="1037" spans="1:26" x14ac:dyDescent="0.3">
      <c r="A1037" s="28" t="s">
        <v>42</v>
      </c>
      <c r="B1037" s="6" t="s">
        <v>1326</v>
      </c>
      <c r="C1037" s="6" t="s">
        <v>1972</v>
      </c>
      <c r="D1037" s="6" t="s">
        <v>2292</v>
      </c>
      <c r="E1037" s="6">
        <v>1</v>
      </c>
      <c r="F1037" s="6" t="s">
        <v>2004</v>
      </c>
      <c r="G1037" s="32" t="s">
        <v>2299</v>
      </c>
      <c r="H1037" s="32" t="s">
        <v>2300</v>
      </c>
      <c r="I1037" s="6" t="str">
        <f t="shared" si="36"/>
        <v>Stone Grapple</v>
      </c>
      <c r="J1037" s="6" t="s">
        <v>340</v>
      </c>
      <c r="K1037" s="6">
        <v>1</v>
      </c>
      <c r="L1037" s="6">
        <f t="shared" si="37"/>
        <v>2940000</v>
      </c>
      <c r="M1037" s="6">
        <v>2500000</v>
      </c>
      <c r="N1037" s="6" t="s">
        <v>2003</v>
      </c>
      <c r="O1037" s="6" t="s">
        <v>814</v>
      </c>
      <c r="P1037" s="6">
        <v>2014</v>
      </c>
      <c r="Q1037" s="6">
        <v>12</v>
      </c>
      <c r="R1037" s="6" t="s">
        <v>45</v>
      </c>
      <c r="S1037" s="31" t="s">
        <v>2119</v>
      </c>
      <c r="T1037" s="6">
        <v>1</v>
      </c>
      <c r="U1037" s="26">
        <v>2300000</v>
      </c>
      <c r="V1037" s="26">
        <v>2300000</v>
      </c>
      <c r="W1037" s="26">
        <v>2300000</v>
      </c>
      <c r="X1037" s="6" t="s">
        <v>2003</v>
      </c>
      <c r="Y1037" s="6" t="s">
        <v>1194</v>
      </c>
      <c r="Z1037" s="6">
        <v>227306</v>
      </c>
    </row>
    <row r="1038" spans="1:26" x14ac:dyDescent="0.3">
      <c r="A1038" s="28" t="s">
        <v>42</v>
      </c>
      <c r="B1038" s="6" t="s">
        <v>1326</v>
      </c>
      <c r="C1038" s="6" t="s">
        <v>1972</v>
      </c>
      <c r="D1038" s="6" t="s">
        <v>2292</v>
      </c>
      <c r="E1038" s="6">
        <v>1</v>
      </c>
      <c r="F1038" s="6" t="s">
        <v>2004</v>
      </c>
      <c r="G1038" s="32" t="s">
        <v>2299</v>
      </c>
      <c r="H1038" s="32" t="s">
        <v>2300</v>
      </c>
      <c r="I1038" s="6" t="str">
        <f t="shared" si="36"/>
        <v>Stone Grapple</v>
      </c>
      <c r="J1038" s="6" t="s">
        <v>340</v>
      </c>
      <c r="K1038" s="6">
        <v>1</v>
      </c>
      <c r="L1038" s="6">
        <f t="shared" si="37"/>
        <v>3170000</v>
      </c>
      <c r="M1038" s="6">
        <v>2700000</v>
      </c>
      <c r="N1038" s="6" t="s">
        <v>2003</v>
      </c>
      <c r="O1038" s="6" t="s">
        <v>814</v>
      </c>
      <c r="P1038" s="6">
        <v>2015</v>
      </c>
      <c r="Q1038" s="6">
        <v>11</v>
      </c>
      <c r="R1038" s="6" t="s">
        <v>45</v>
      </c>
      <c r="S1038" s="31" t="s">
        <v>2119</v>
      </c>
      <c r="T1038" s="6">
        <v>1</v>
      </c>
      <c r="U1038" s="26">
        <v>2500000</v>
      </c>
      <c r="V1038" s="26">
        <v>2500000</v>
      </c>
      <c r="W1038" s="26">
        <v>2500000</v>
      </c>
      <c r="X1038" s="6" t="s">
        <v>2003</v>
      </c>
      <c r="Y1038" s="6" t="s">
        <v>1194</v>
      </c>
      <c r="Z1038" s="6">
        <v>227310</v>
      </c>
    </row>
    <row r="1039" spans="1:26" x14ac:dyDescent="0.3">
      <c r="A1039" s="28" t="s">
        <v>42</v>
      </c>
      <c r="B1039" s="6" t="s">
        <v>1326</v>
      </c>
      <c r="C1039" s="6" t="s">
        <v>1972</v>
      </c>
      <c r="D1039" s="6" t="s">
        <v>2292</v>
      </c>
      <c r="E1039" s="6">
        <v>1</v>
      </c>
      <c r="F1039" s="6" t="s">
        <v>2004</v>
      </c>
      <c r="G1039" s="32" t="s">
        <v>2299</v>
      </c>
      <c r="H1039" s="32" t="s">
        <v>2300</v>
      </c>
      <c r="I1039" s="6" t="str">
        <f t="shared" si="36"/>
        <v>Stone Grapple</v>
      </c>
      <c r="J1039" s="6" t="s">
        <v>44</v>
      </c>
      <c r="K1039" s="6">
        <v>1</v>
      </c>
      <c r="L1039" s="6">
        <f t="shared" si="37"/>
        <v>2940000</v>
      </c>
      <c r="M1039" s="6">
        <v>2500000</v>
      </c>
      <c r="N1039" s="6" t="s">
        <v>2003</v>
      </c>
      <c r="O1039" s="6" t="s">
        <v>813</v>
      </c>
      <c r="P1039" s="6">
        <v>2014</v>
      </c>
      <c r="Q1039" s="6">
        <v>1</v>
      </c>
      <c r="R1039" s="6" t="s">
        <v>45</v>
      </c>
      <c r="S1039" s="31" t="s">
        <v>2113</v>
      </c>
      <c r="T1039" s="6">
        <v>1</v>
      </c>
      <c r="U1039" s="26">
        <v>2300000</v>
      </c>
      <c r="V1039" s="26">
        <v>2300000</v>
      </c>
      <c r="W1039" s="26">
        <v>2300000</v>
      </c>
      <c r="X1039" s="6" t="s">
        <v>2003</v>
      </c>
      <c r="Y1039" s="6" t="s">
        <v>80</v>
      </c>
      <c r="Z1039" s="6">
        <v>227311</v>
      </c>
    </row>
    <row r="1040" spans="1:26" x14ac:dyDescent="0.3">
      <c r="A1040" s="28" t="s">
        <v>42</v>
      </c>
      <c r="B1040" s="6" t="s">
        <v>2163</v>
      </c>
      <c r="C1040" s="6"/>
      <c r="D1040" s="6" t="s">
        <v>2292</v>
      </c>
      <c r="E1040" s="6">
        <v>1</v>
      </c>
      <c r="F1040" s="6" t="s">
        <v>2004</v>
      </c>
      <c r="G1040" s="32" t="s">
        <v>2299</v>
      </c>
      <c r="H1040" s="32" t="s">
        <v>2300</v>
      </c>
      <c r="I1040" s="6" t="str">
        <f t="shared" si="36"/>
        <v>Lift Fork</v>
      </c>
      <c r="J1040" s="6" t="s">
        <v>102</v>
      </c>
      <c r="K1040" s="6">
        <v>1</v>
      </c>
      <c r="L1040" s="6">
        <f t="shared" si="37"/>
        <v>820000</v>
      </c>
      <c r="M1040" s="6">
        <v>700000</v>
      </c>
      <c r="N1040" s="6" t="s">
        <v>2003</v>
      </c>
      <c r="O1040" s="6" t="s">
        <v>2007</v>
      </c>
      <c r="P1040" s="6">
        <v>2012</v>
      </c>
      <c r="Q1040" s="6">
        <v>1</v>
      </c>
      <c r="R1040" s="6" t="s">
        <v>45</v>
      </c>
      <c r="S1040" s="31" t="s">
        <v>2113</v>
      </c>
      <c r="T1040" s="6">
        <v>1</v>
      </c>
      <c r="U1040" s="26">
        <v>600000</v>
      </c>
      <c r="V1040" s="26">
        <v>600000</v>
      </c>
      <c r="W1040" s="26">
        <v>600000</v>
      </c>
      <c r="X1040" s="6" t="s">
        <v>2003</v>
      </c>
      <c r="Y1040" s="6" t="s">
        <v>49</v>
      </c>
      <c r="Z1040" s="6">
        <v>227314</v>
      </c>
    </row>
    <row r="1041" spans="1:26" x14ac:dyDescent="0.3">
      <c r="A1041" s="28" t="s">
        <v>42</v>
      </c>
      <c r="B1041" s="6" t="s">
        <v>1326</v>
      </c>
      <c r="C1041" s="6" t="s">
        <v>1972</v>
      </c>
      <c r="D1041" s="6" t="s">
        <v>2001</v>
      </c>
      <c r="E1041" s="6">
        <v>1</v>
      </c>
      <c r="F1041" s="6" t="s">
        <v>2004</v>
      </c>
      <c r="G1041" s="32" t="s">
        <v>2299</v>
      </c>
      <c r="H1041" s="32" t="s">
        <v>2300</v>
      </c>
      <c r="I1041" s="6" t="str">
        <f t="shared" si="36"/>
        <v>Stone Grapple</v>
      </c>
      <c r="J1041" s="6" t="s">
        <v>472</v>
      </c>
      <c r="K1041" s="6">
        <v>1</v>
      </c>
      <c r="L1041" s="6">
        <f t="shared" si="37"/>
        <v>11760000</v>
      </c>
      <c r="M1041" s="6">
        <v>10000000</v>
      </c>
      <c r="N1041" s="6" t="s">
        <v>2003</v>
      </c>
      <c r="O1041" s="6" t="s">
        <v>814</v>
      </c>
      <c r="P1041" s="6">
        <v>2016</v>
      </c>
      <c r="Q1041" s="6">
        <v>5</v>
      </c>
      <c r="R1041" s="6" t="s">
        <v>45</v>
      </c>
      <c r="S1041" s="31" t="s">
        <v>2119</v>
      </c>
      <c r="T1041" s="6">
        <v>1</v>
      </c>
      <c r="U1041" s="26">
        <v>9500000</v>
      </c>
      <c r="V1041" s="26">
        <v>9500000</v>
      </c>
      <c r="W1041" s="26">
        <v>9500000</v>
      </c>
      <c r="X1041" s="6" t="s">
        <v>2003</v>
      </c>
      <c r="Y1041" s="6" t="s">
        <v>1194</v>
      </c>
      <c r="Z1041" s="6">
        <v>227315</v>
      </c>
    </row>
    <row r="1042" spans="1:26" x14ac:dyDescent="0.3">
      <c r="A1042" s="28" t="s">
        <v>42</v>
      </c>
      <c r="B1042" s="6" t="s">
        <v>1326</v>
      </c>
      <c r="C1042" s="6" t="s">
        <v>1972</v>
      </c>
      <c r="D1042" s="6" t="s">
        <v>2292</v>
      </c>
      <c r="E1042" s="6">
        <v>1</v>
      </c>
      <c r="F1042" s="6" t="s">
        <v>2004</v>
      </c>
      <c r="G1042" s="32" t="s">
        <v>2299</v>
      </c>
      <c r="H1042" s="32" t="s">
        <v>2300</v>
      </c>
      <c r="I1042" s="6" t="str">
        <f t="shared" si="36"/>
        <v>Stone Grapple</v>
      </c>
      <c r="J1042" s="6" t="s">
        <v>207</v>
      </c>
      <c r="K1042" s="6">
        <v>1</v>
      </c>
      <c r="L1042" s="6">
        <f t="shared" si="37"/>
        <v>3050000</v>
      </c>
      <c r="M1042" s="6">
        <v>2600000</v>
      </c>
      <c r="N1042" s="6" t="s">
        <v>2003</v>
      </c>
      <c r="O1042" s="6" t="s">
        <v>813</v>
      </c>
      <c r="P1042" s="6">
        <v>2014</v>
      </c>
      <c r="Q1042" s="6">
        <v>1</v>
      </c>
      <c r="R1042" s="6" t="s">
        <v>45</v>
      </c>
      <c r="S1042" s="31" t="s">
        <v>2113</v>
      </c>
      <c r="T1042" s="6">
        <v>1</v>
      </c>
      <c r="U1042" s="26">
        <v>2400000</v>
      </c>
      <c r="V1042" s="26">
        <v>2400000</v>
      </c>
      <c r="W1042" s="26">
        <v>2400000</v>
      </c>
      <c r="X1042" s="6" t="s">
        <v>2003</v>
      </c>
      <c r="Y1042" s="6" t="s">
        <v>79</v>
      </c>
      <c r="Z1042" s="6">
        <v>227316</v>
      </c>
    </row>
    <row r="1043" spans="1:26" x14ac:dyDescent="0.3">
      <c r="A1043" s="28" t="s">
        <v>42</v>
      </c>
      <c r="B1043" s="6" t="s">
        <v>1327</v>
      </c>
      <c r="C1043" s="19" t="s">
        <v>1982</v>
      </c>
      <c r="D1043" s="6" t="s">
        <v>2289</v>
      </c>
      <c r="E1043" s="6">
        <v>1</v>
      </c>
      <c r="F1043" s="6" t="s">
        <v>2004</v>
      </c>
      <c r="G1043" s="32" t="s">
        <v>2299</v>
      </c>
      <c r="H1043" s="32" t="s">
        <v>2300</v>
      </c>
      <c r="I1043" s="6" t="str">
        <f t="shared" si="36"/>
        <v>Standard Bucket</v>
      </c>
      <c r="J1043" s="6" t="s">
        <v>778</v>
      </c>
      <c r="K1043" s="6">
        <v>1</v>
      </c>
      <c r="L1043" s="6">
        <f t="shared" si="37"/>
        <v>4940000</v>
      </c>
      <c r="M1043" s="6">
        <v>4200000</v>
      </c>
      <c r="N1043" s="6" t="s">
        <v>2003</v>
      </c>
      <c r="O1043" s="6" t="s">
        <v>1130</v>
      </c>
      <c r="P1043" s="6">
        <v>2010</v>
      </c>
      <c r="Q1043" s="6">
        <v>1</v>
      </c>
      <c r="R1043" s="6" t="s">
        <v>45</v>
      </c>
      <c r="S1043" s="31" t="s">
        <v>2123</v>
      </c>
      <c r="T1043" s="6">
        <v>1</v>
      </c>
      <c r="U1043" s="26">
        <v>4000000</v>
      </c>
      <c r="V1043" s="26">
        <v>4000000</v>
      </c>
      <c r="W1043" s="26">
        <v>4000000</v>
      </c>
      <c r="X1043" s="6" t="s">
        <v>2003</v>
      </c>
      <c r="Y1043" s="6" t="s">
        <v>1167</v>
      </c>
      <c r="Z1043" s="6">
        <v>227318</v>
      </c>
    </row>
    <row r="1044" spans="1:26" x14ac:dyDescent="0.3">
      <c r="A1044" s="28" t="s">
        <v>42</v>
      </c>
      <c r="B1044" s="6" t="s">
        <v>1328</v>
      </c>
      <c r="C1044" s="6" t="s">
        <v>1975</v>
      </c>
      <c r="D1044" s="6" t="s">
        <v>2001</v>
      </c>
      <c r="E1044" s="6">
        <v>1</v>
      </c>
      <c r="F1044" s="6" t="s">
        <v>2004</v>
      </c>
      <c r="G1044" s="32" t="s">
        <v>2299</v>
      </c>
      <c r="H1044" s="32" t="s">
        <v>2300</v>
      </c>
      <c r="I1044" s="6" t="str">
        <f t="shared" si="36"/>
        <v>Side Breaker</v>
      </c>
      <c r="J1044" s="6" t="s">
        <v>668</v>
      </c>
      <c r="K1044" s="6">
        <v>1</v>
      </c>
      <c r="L1044" s="6">
        <f t="shared" si="37"/>
        <v>11170000</v>
      </c>
      <c r="M1044" s="6">
        <v>9500000</v>
      </c>
      <c r="N1044" s="6" t="s">
        <v>2003</v>
      </c>
      <c r="O1044" s="6" t="s">
        <v>814</v>
      </c>
      <c r="P1044" s="6">
        <v>2015</v>
      </c>
      <c r="Q1044" s="6">
        <v>10</v>
      </c>
      <c r="R1044" s="6" t="s">
        <v>45</v>
      </c>
      <c r="S1044" s="31" t="s">
        <v>2119</v>
      </c>
      <c r="T1044" s="6">
        <v>1</v>
      </c>
      <c r="U1044" s="26">
        <v>9000000</v>
      </c>
      <c r="V1044" s="26">
        <v>9000000</v>
      </c>
      <c r="W1044" s="26">
        <v>9000000</v>
      </c>
      <c r="X1044" s="6" t="s">
        <v>2003</v>
      </c>
      <c r="Y1044" s="6" t="s">
        <v>1194</v>
      </c>
      <c r="Z1044" s="6">
        <v>227319</v>
      </c>
    </row>
    <row r="1045" spans="1:26" x14ac:dyDescent="0.3">
      <c r="A1045" s="28" t="s">
        <v>42</v>
      </c>
      <c r="B1045" s="6" t="s">
        <v>1327</v>
      </c>
      <c r="C1045" s="19" t="s">
        <v>1982</v>
      </c>
      <c r="D1045" s="6" t="s">
        <v>2292</v>
      </c>
      <c r="E1045" s="6">
        <v>1</v>
      </c>
      <c r="F1045" s="6" t="s">
        <v>2004</v>
      </c>
      <c r="G1045" s="32" t="s">
        <v>2299</v>
      </c>
      <c r="H1045" s="32" t="s">
        <v>2300</v>
      </c>
      <c r="I1045" s="6" t="str">
        <f t="shared" si="36"/>
        <v>Standard Bucket</v>
      </c>
      <c r="J1045" s="6" t="s">
        <v>143</v>
      </c>
      <c r="K1045" s="6">
        <v>1</v>
      </c>
      <c r="L1045" s="6">
        <f t="shared" si="37"/>
        <v>1110000</v>
      </c>
      <c r="M1045" s="6">
        <v>950000</v>
      </c>
      <c r="N1045" s="6" t="s">
        <v>2003</v>
      </c>
      <c r="O1045" s="6" t="s">
        <v>813</v>
      </c>
      <c r="P1045" s="6">
        <v>2013</v>
      </c>
      <c r="Q1045" s="6">
        <v>1</v>
      </c>
      <c r="R1045" s="6" t="s">
        <v>45</v>
      </c>
      <c r="S1045" s="31" t="s">
        <v>2113</v>
      </c>
      <c r="T1045" s="6">
        <v>1</v>
      </c>
      <c r="U1045" s="26">
        <v>850000</v>
      </c>
      <c r="V1045" s="26">
        <v>850000</v>
      </c>
      <c r="W1045" s="26">
        <v>850000</v>
      </c>
      <c r="X1045" s="6" t="s">
        <v>2003</v>
      </c>
      <c r="Y1045" s="6" t="s">
        <v>79</v>
      </c>
      <c r="Z1045" s="6">
        <v>227325</v>
      </c>
    </row>
    <row r="1046" spans="1:26" x14ac:dyDescent="0.3">
      <c r="A1046" s="28" t="s">
        <v>42</v>
      </c>
      <c r="B1046" s="6" t="s">
        <v>1326</v>
      </c>
      <c r="C1046" s="6" t="s">
        <v>1974</v>
      </c>
      <c r="D1046" s="6" t="s">
        <v>2293</v>
      </c>
      <c r="E1046" s="6">
        <v>1</v>
      </c>
      <c r="F1046" s="6" t="s">
        <v>2004</v>
      </c>
      <c r="G1046" s="32" t="s">
        <v>2299</v>
      </c>
      <c r="H1046" s="32" t="s">
        <v>2300</v>
      </c>
      <c r="I1046" s="6" t="str">
        <f t="shared" si="36"/>
        <v>Etc Grapple</v>
      </c>
      <c r="J1046" s="6" t="s">
        <v>672</v>
      </c>
      <c r="K1046" s="6">
        <v>1</v>
      </c>
      <c r="L1046" s="6">
        <f t="shared" si="37"/>
        <v>4820000</v>
      </c>
      <c r="M1046" s="6">
        <v>4100000</v>
      </c>
      <c r="N1046" s="6" t="s">
        <v>2003</v>
      </c>
      <c r="O1046" s="6" t="s">
        <v>2098</v>
      </c>
      <c r="P1046" s="6">
        <v>2017</v>
      </c>
      <c r="Q1046" s="6">
        <v>1</v>
      </c>
      <c r="R1046" s="6" t="s">
        <v>45</v>
      </c>
      <c r="S1046" s="31" t="s">
        <v>2110</v>
      </c>
      <c r="T1046" s="6">
        <v>1</v>
      </c>
      <c r="U1046" s="26">
        <v>3900000</v>
      </c>
      <c r="V1046" s="26">
        <v>3900000</v>
      </c>
      <c r="W1046" s="26">
        <v>3900000</v>
      </c>
      <c r="X1046" s="6" t="s">
        <v>2003</v>
      </c>
      <c r="Y1046" s="6" t="s">
        <v>1155</v>
      </c>
      <c r="Z1046" s="6">
        <v>227328</v>
      </c>
    </row>
    <row r="1047" spans="1:26" x14ac:dyDescent="0.3">
      <c r="A1047" s="28" t="s">
        <v>42</v>
      </c>
      <c r="B1047" s="6" t="s">
        <v>2172</v>
      </c>
      <c r="C1047" s="6"/>
      <c r="D1047" s="6" t="s">
        <v>2292</v>
      </c>
      <c r="E1047" s="6">
        <v>1</v>
      </c>
      <c r="F1047" s="6" t="s">
        <v>2004</v>
      </c>
      <c r="G1047" s="32" t="s">
        <v>2299</v>
      </c>
      <c r="H1047" s="32" t="s">
        <v>2300</v>
      </c>
      <c r="I1047" s="6" t="str">
        <f t="shared" si="36"/>
        <v>Quick Coupler</v>
      </c>
      <c r="J1047" s="6" t="s">
        <v>140</v>
      </c>
      <c r="K1047" s="6">
        <v>1</v>
      </c>
      <c r="L1047" s="6">
        <f t="shared" si="37"/>
        <v>1050000</v>
      </c>
      <c r="M1047" s="6">
        <v>900000</v>
      </c>
      <c r="N1047" s="6" t="s">
        <v>2003</v>
      </c>
      <c r="O1047" s="6" t="s">
        <v>813</v>
      </c>
      <c r="P1047" s="6">
        <v>2014</v>
      </c>
      <c r="Q1047" s="6">
        <v>1</v>
      </c>
      <c r="R1047" s="6" t="s">
        <v>45</v>
      </c>
      <c r="S1047" s="31" t="s">
        <v>2113</v>
      </c>
      <c r="T1047" s="6">
        <v>1</v>
      </c>
      <c r="U1047" s="26">
        <v>800000</v>
      </c>
      <c r="V1047" s="26">
        <v>800000</v>
      </c>
      <c r="W1047" s="26">
        <v>800000</v>
      </c>
      <c r="X1047" s="6" t="s">
        <v>2003</v>
      </c>
      <c r="Y1047" s="6" t="s">
        <v>79</v>
      </c>
      <c r="Z1047" s="6">
        <v>227330</v>
      </c>
    </row>
    <row r="1048" spans="1:26" x14ac:dyDescent="0.3">
      <c r="A1048" s="28" t="s">
        <v>42</v>
      </c>
      <c r="B1048" s="6" t="s">
        <v>2163</v>
      </c>
      <c r="C1048" s="6"/>
      <c r="D1048" s="6" t="s">
        <v>2291</v>
      </c>
      <c r="E1048" s="6">
        <v>1</v>
      </c>
      <c r="F1048" s="6" t="s">
        <v>2004</v>
      </c>
      <c r="G1048" s="32" t="s">
        <v>2299</v>
      </c>
      <c r="H1048" s="32" t="s">
        <v>2300</v>
      </c>
      <c r="I1048" s="6" t="str">
        <f t="shared" si="36"/>
        <v>Lift Fork</v>
      </c>
      <c r="J1048" s="6" t="s">
        <v>617</v>
      </c>
      <c r="K1048" s="6">
        <v>1</v>
      </c>
      <c r="L1048" s="6">
        <f t="shared" si="37"/>
        <v>1050000</v>
      </c>
      <c r="M1048" s="6">
        <v>900000</v>
      </c>
      <c r="N1048" s="6" t="s">
        <v>2003</v>
      </c>
      <c r="O1048" s="6" t="s">
        <v>2011</v>
      </c>
      <c r="P1048" s="6">
        <v>2017</v>
      </c>
      <c r="Q1048" s="6">
        <v>2</v>
      </c>
      <c r="R1048" s="6" t="s">
        <v>45</v>
      </c>
      <c r="S1048" s="31" t="s">
        <v>2123</v>
      </c>
      <c r="T1048" s="6">
        <v>1</v>
      </c>
      <c r="U1048" s="26">
        <v>800000</v>
      </c>
      <c r="V1048" s="26">
        <v>800000</v>
      </c>
      <c r="W1048" s="26">
        <v>800000</v>
      </c>
      <c r="X1048" s="6" t="s">
        <v>2003</v>
      </c>
      <c r="Y1048" s="6" t="s">
        <v>1200</v>
      </c>
      <c r="Z1048" s="6">
        <v>227332</v>
      </c>
    </row>
    <row r="1049" spans="1:26" x14ac:dyDescent="0.3">
      <c r="A1049" s="28" t="s">
        <v>42</v>
      </c>
      <c r="B1049" s="6" t="s">
        <v>2163</v>
      </c>
      <c r="C1049" s="6"/>
      <c r="D1049" s="6" t="s">
        <v>2292</v>
      </c>
      <c r="E1049" s="6">
        <v>1</v>
      </c>
      <c r="F1049" s="6" t="s">
        <v>2004</v>
      </c>
      <c r="G1049" s="32" t="s">
        <v>2299</v>
      </c>
      <c r="H1049" s="32" t="s">
        <v>2300</v>
      </c>
      <c r="I1049" s="6" t="str">
        <f t="shared" si="36"/>
        <v>Lift Fork</v>
      </c>
      <c r="J1049" s="6" t="s">
        <v>102</v>
      </c>
      <c r="K1049" s="6">
        <v>1</v>
      </c>
      <c r="L1049" s="6">
        <f t="shared" si="37"/>
        <v>820000</v>
      </c>
      <c r="M1049" s="6">
        <v>700000</v>
      </c>
      <c r="N1049" s="6" t="s">
        <v>2003</v>
      </c>
      <c r="O1049" s="6" t="s">
        <v>813</v>
      </c>
      <c r="P1049" s="6">
        <v>2013</v>
      </c>
      <c r="Q1049" s="6">
        <v>1</v>
      </c>
      <c r="R1049" s="6" t="s">
        <v>45</v>
      </c>
      <c r="S1049" s="31" t="s">
        <v>2113</v>
      </c>
      <c r="T1049" s="6">
        <v>1</v>
      </c>
      <c r="U1049" s="26">
        <v>600000</v>
      </c>
      <c r="V1049" s="26">
        <v>600000</v>
      </c>
      <c r="W1049" s="26">
        <v>600000</v>
      </c>
      <c r="X1049" s="6" t="s">
        <v>2003</v>
      </c>
      <c r="Y1049" s="6" t="s">
        <v>80</v>
      </c>
      <c r="Z1049" s="6">
        <v>227336</v>
      </c>
    </row>
    <row r="1050" spans="1:26" x14ac:dyDescent="0.3">
      <c r="A1050" s="28" t="s">
        <v>42</v>
      </c>
      <c r="B1050" s="6" t="s">
        <v>1326</v>
      </c>
      <c r="C1050" s="6" t="s">
        <v>1974</v>
      </c>
      <c r="D1050" s="6" t="s">
        <v>2291</v>
      </c>
      <c r="E1050" s="6">
        <v>1</v>
      </c>
      <c r="F1050" s="6" t="s">
        <v>2004</v>
      </c>
      <c r="G1050" s="32" t="s">
        <v>2299</v>
      </c>
      <c r="H1050" s="32" t="s">
        <v>2300</v>
      </c>
      <c r="I1050" s="6" t="str">
        <f t="shared" si="36"/>
        <v>Etc Grapple</v>
      </c>
      <c r="J1050" s="6" t="s">
        <v>1951</v>
      </c>
      <c r="K1050" s="6">
        <v>1</v>
      </c>
      <c r="L1050" s="6">
        <f t="shared" si="37"/>
        <v>1050000</v>
      </c>
      <c r="M1050" s="6">
        <v>900000</v>
      </c>
      <c r="N1050" s="6" t="s">
        <v>2003</v>
      </c>
      <c r="O1050" s="6" t="s">
        <v>823</v>
      </c>
      <c r="P1050" s="6">
        <v>2013</v>
      </c>
      <c r="Q1050" s="6">
        <v>1</v>
      </c>
      <c r="R1050" s="6" t="s">
        <v>45</v>
      </c>
      <c r="S1050" s="31" t="s">
        <v>2113</v>
      </c>
      <c r="T1050" s="6">
        <v>1</v>
      </c>
      <c r="U1050" s="26">
        <v>800000</v>
      </c>
      <c r="V1050" s="26">
        <v>800000</v>
      </c>
      <c r="W1050" s="26">
        <v>800000</v>
      </c>
      <c r="X1050" s="6" t="s">
        <v>2003</v>
      </c>
      <c r="Y1050" s="6" t="s">
        <v>49</v>
      </c>
      <c r="Z1050" s="6">
        <v>227339</v>
      </c>
    </row>
    <row r="1051" spans="1:26" x14ac:dyDescent="0.3">
      <c r="A1051" s="28" t="s">
        <v>42</v>
      </c>
      <c r="B1051" s="6" t="s">
        <v>1326</v>
      </c>
      <c r="C1051" s="6" t="s">
        <v>1979</v>
      </c>
      <c r="D1051" s="6" t="s">
        <v>2292</v>
      </c>
      <c r="E1051" s="6">
        <v>1</v>
      </c>
      <c r="F1051" s="6" t="s">
        <v>2004</v>
      </c>
      <c r="G1051" s="32" t="s">
        <v>2299</v>
      </c>
      <c r="H1051" s="32" t="s">
        <v>2300</v>
      </c>
      <c r="I1051" s="6" t="str">
        <f t="shared" si="36"/>
        <v>Thumb Grapple</v>
      </c>
      <c r="J1051" s="6" t="s">
        <v>1952</v>
      </c>
      <c r="K1051" s="6">
        <v>1</v>
      </c>
      <c r="L1051" s="6">
        <f t="shared" si="37"/>
        <v>1290000</v>
      </c>
      <c r="M1051" s="6">
        <v>1100000</v>
      </c>
      <c r="N1051" s="6" t="s">
        <v>2003</v>
      </c>
      <c r="O1051" s="6" t="s">
        <v>793</v>
      </c>
      <c r="P1051" s="6">
        <v>2012</v>
      </c>
      <c r="Q1051" s="6">
        <v>6</v>
      </c>
      <c r="R1051" s="6" t="s">
        <v>45</v>
      </c>
      <c r="S1051" s="31" t="s">
        <v>2116</v>
      </c>
      <c r="T1051" s="6">
        <v>1</v>
      </c>
      <c r="U1051" s="26">
        <v>1000000</v>
      </c>
      <c r="V1051" s="26">
        <v>1000000</v>
      </c>
      <c r="W1051" s="26">
        <v>1000000</v>
      </c>
      <c r="X1051" s="6" t="s">
        <v>2003</v>
      </c>
      <c r="Y1051" s="6" t="s">
        <v>1146</v>
      </c>
      <c r="Z1051" s="6">
        <v>227340</v>
      </c>
    </row>
    <row r="1052" spans="1:26" x14ac:dyDescent="0.3">
      <c r="A1052" s="28" t="s">
        <v>42</v>
      </c>
      <c r="B1052" s="6" t="s">
        <v>1327</v>
      </c>
      <c r="C1052" s="6" t="s">
        <v>1976</v>
      </c>
      <c r="D1052" s="6" t="s">
        <v>2291</v>
      </c>
      <c r="E1052" s="6">
        <v>1</v>
      </c>
      <c r="F1052" s="6" t="s">
        <v>2004</v>
      </c>
      <c r="G1052" s="32" t="s">
        <v>2299</v>
      </c>
      <c r="H1052" s="32" t="s">
        <v>2300</v>
      </c>
      <c r="I1052" s="6" t="str">
        <f t="shared" si="36"/>
        <v>Skeleton Bucket</v>
      </c>
      <c r="J1052" s="6" t="s">
        <v>557</v>
      </c>
      <c r="K1052" s="6">
        <v>1</v>
      </c>
      <c r="L1052" s="6">
        <f t="shared" si="37"/>
        <v>820000</v>
      </c>
      <c r="M1052" s="6">
        <v>700000</v>
      </c>
      <c r="N1052" s="6" t="s">
        <v>2003</v>
      </c>
      <c r="O1052" s="6" t="s">
        <v>2011</v>
      </c>
      <c r="P1052" s="6">
        <v>2017</v>
      </c>
      <c r="Q1052" s="6">
        <v>2</v>
      </c>
      <c r="R1052" s="6" t="s">
        <v>45</v>
      </c>
      <c r="S1052" s="31" t="s">
        <v>2123</v>
      </c>
      <c r="T1052" s="6">
        <v>1</v>
      </c>
      <c r="U1052" s="26">
        <v>600000</v>
      </c>
      <c r="V1052" s="26">
        <v>600000</v>
      </c>
      <c r="W1052" s="26">
        <v>600000</v>
      </c>
      <c r="X1052" s="6" t="s">
        <v>2003</v>
      </c>
      <c r="Y1052" s="6" t="s">
        <v>1200</v>
      </c>
      <c r="Z1052" s="6">
        <v>227345</v>
      </c>
    </row>
    <row r="1053" spans="1:26" x14ac:dyDescent="0.3">
      <c r="A1053" s="28" t="s">
        <v>42</v>
      </c>
      <c r="B1053" s="6" t="s">
        <v>1327</v>
      </c>
      <c r="C1053" s="6" t="s">
        <v>1976</v>
      </c>
      <c r="D1053" s="6" t="s">
        <v>2001</v>
      </c>
      <c r="E1053" s="6">
        <v>1</v>
      </c>
      <c r="F1053" s="6" t="s">
        <v>2004</v>
      </c>
      <c r="G1053" s="32" t="s">
        <v>2299</v>
      </c>
      <c r="H1053" s="32" t="s">
        <v>2300</v>
      </c>
      <c r="I1053" s="6" t="str">
        <f t="shared" si="36"/>
        <v>Skeleton Bucket</v>
      </c>
      <c r="J1053" s="6" t="s">
        <v>336</v>
      </c>
      <c r="K1053" s="6">
        <v>1</v>
      </c>
      <c r="L1053" s="6">
        <f t="shared" si="37"/>
        <v>2580000</v>
      </c>
      <c r="M1053" s="6">
        <v>2200000</v>
      </c>
      <c r="N1053" s="6" t="s">
        <v>2003</v>
      </c>
      <c r="O1053" s="6" t="s">
        <v>2011</v>
      </c>
      <c r="P1053" s="6">
        <v>2010</v>
      </c>
      <c r="Q1053" s="6">
        <v>6</v>
      </c>
      <c r="R1053" s="6" t="s">
        <v>45</v>
      </c>
      <c r="S1053" s="31" t="s">
        <v>2123</v>
      </c>
      <c r="T1053" s="6">
        <v>1</v>
      </c>
      <c r="U1053" s="26">
        <v>2000000</v>
      </c>
      <c r="V1053" s="26">
        <v>2000000</v>
      </c>
      <c r="W1053" s="26">
        <v>2000000</v>
      </c>
      <c r="X1053" s="6" t="s">
        <v>2003</v>
      </c>
      <c r="Y1053" s="6" t="s">
        <v>1200</v>
      </c>
      <c r="Z1053" s="6">
        <v>227350</v>
      </c>
    </row>
    <row r="1054" spans="1:26" x14ac:dyDescent="0.3">
      <c r="A1054" s="28" t="s">
        <v>42</v>
      </c>
      <c r="B1054" s="6" t="s">
        <v>1328</v>
      </c>
      <c r="C1054" s="6" t="s">
        <v>1975</v>
      </c>
      <c r="D1054" s="6" t="s">
        <v>2292</v>
      </c>
      <c r="E1054" s="6">
        <v>1</v>
      </c>
      <c r="F1054" s="6" t="s">
        <v>2004</v>
      </c>
      <c r="G1054" s="32" t="s">
        <v>2299</v>
      </c>
      <c r="H1054" s="32" t="s">
        <v>2300</v>
      </c>
      <c r="I1054" s="6" t="str">
        <f t="shared" si="36"/>
        <v>Side Breaker</v>
      </c>
      <c r="J1054" s="6" t="s">
        <v>218</v>
      </c>
      <c r="K1054" s="6">
        <v>1</v>
      </c>
      <c r="L1054" s="6">
        <f t="shared" si="37"/>
        <v>3410000</v>
      </c>
      <c r="M1054" s="6">
        <v>2900000</v>
      </c>
      <c r="N1054" s="6" t="s">
        <v>2003</v>
      </c>
      <c r="O1054" s="6" t="s">
        <v>814</v>
      </c>
      <c r="P1054" s="6">
        <v>2015</v>
      </c>
      <c r="Q1054" s="6">
        <v>8</v>
      </c>
      <c r="R1054" s="6" t="s">
        <v>45</v>
      </c>
      <c r="S1054" s="31" t="s">
        <v>2119</v>
      </c>
      <c r="T1054" s="6">
        <v>1</v>
      </c>
      <c r="U1054" s="26">
        <v>2700000</v>
      </c>
      <c r="V1054" s="26">
        <v>2700000</v>
      </c>
      <c r="W1054" s="26">
        <v>2700000</v>
      </c>
      <c r="X1054" s="6" t="s">
        <v>2003</v>
      </c>
      <c r="Y1054" s="6" t="s">
        <v>1194</v>
      </c>
      <c r="Z1054" s="6">
        <v>227353</v>
      </c>
    </row>
    <row r="1055" spans="1:26" x14ac:dyDescent="0.3">
      <c r="A1055" s="28" t="s">
        <v>42</v>
      </c>
      <c r="B1055" s="6" t="s">
        <v>1326</v>
      </c>
      <c r="C1055" s="6" t="s">
        <v>1973</v>
      </c>
      <c r="D1055" s="6" t="s">
        <v>2292</v>
      </c>
      <c r="E1055" s="6">
        <v>1</v>
      </c>
      <c r="F1055" s="6" t="s">
        <v>2004</v>
      </c>
      <c r="G1055" s="32" t="s">
        <v>2299</v>
      </c>
      <c r="H1055" s="32" t="s">
        <v>2300</v>
      </c>
      <c r="I1055" s="6" t="str">
        <f t="shared" si="36"/>
        <v>Wood Grapple</v>
      </c>
      <c r="J1055" s="6" t="s">
        <v>101</v>
      </c>
      <c r="K1055" s="6">
        <v>1</v>
      </c>
      <c r="L1055" s="6">
        <f t="shared" si="37"/>
        <v>5640000</v>
      </c>
      <c r="M1055" s="6">
        <v>4800000</v>
      </c>
      <c r="N1055" s="6" t="s">
        <v>2003</v>
      </c>
      <c r="O1055" s="6" t="s">
        <v>813</v>
      </c>
      <c r="P1055" s="6">
        <v>2014</v>
      </c>
      <c r="Q1055" s="6">
        <v>1</v>
      </c>
      <c r="R1055" s="6" t="s">
        <v>45</v>
      </c>
      <c r="S1055" s="31" t="s">
        <v>2113</v>
      </c>
      <c r="T1055" s="6">
        <v>1</v>
      </c>
      <c r="U1055" s="26">
        <v>4600000</v>
      </c>
      <c r="V1055" s="26">
        <v>4600000</v>
      </c>
      <c r="W1055" s="26">
        <v>4600000</v>
      </c>
      <c r="X1055" s="6" t="s">
        <v>2003</v>
      </c>
      <c r="Y1055" s="6" t="s">
        <v>79</v>
      </c>
      <c r="Z1055" s="6">
        <v>227354</v>
      </c>
    </row>
    <row r="1056" spans="1:26" x14ac:dyDescent="0.3">
      <c r="A1056" s="28" t="s">
        <v>42</v>
      </c>
      <c r="B1056" s="6" t="s">
        <v>1337</v>
      </c>
      <c r="C1056" s="6"/>
      <c r="D1056" s="6" t="s">
        <v>2289</v>
      </c>
      <c r="E1056" s="6">
        <v>1</v>
      </c>
      <c r="F1056" s="6" t="s">
        <v>2004</v>
      </c>
      <c r="G1056" s="32" t="s">
        <v>2299</v>
      </c>
      <c r="H1056" s="32" t="s">
        <v>2300</v>
      </c>
      <c r="I1056" s="6" t="str">
        <f t="shared" si="36"/>
        <v>ETC</v>
      </c>
      <c r="J1056" s="6" t="s">
        <v>1953</v>
      </c>
      <c r="K1056" s="6">
        <v>1</v>
      </c>
      <c r="L1056" s="6">
        <f t="shared" si="37"/>
        <v>41760000</v>
      </c>
      <c r="M1056" s="6">
        <v>35500000</v>
      </c>
      <c r="N1056" s="6" t="s">
        <v>2003</v>
      </c>
      <c r="O1056" s="6" t="s">
        <v>821</v>
      </c>
      <c r="P1056" s="6">
        <v>2015</v>
      </c>
      <c r="Q1056" s="6">
        <v>8</v>
      </c>
      <c r="R1056" s="6" t="s">
        <v>45</v>
      </c>
      <c r="S1056" s="31" t="s">
        <v>2121</v>
      </c>
      <c r="T1056" s="6">
        <v>1</v>
      </c>
      <c r="U1056" s="26">
        <v>35000000</v>
      </c>
      <c r="V1056" s="26">
        <v>35000000</v>
      </c>
      <c r="W1056" s="26">
        <v>35000000</v>
      </c>
      <c r="X1056" s="6" t="s">
        <v>2003</v>
      </c>
      <c r="Y1056" s="6" t="s">
        <v>87</v>
      </c>
      <c r="Z1056" s="6">
        <v>227355</v>
      </c>
    </row>
    <row r="1057" spans="1:26" x14ac:dyDescent="0.3">
      <c r="A1057" s="28" t="s">
        <v>42</v>
      </c>
      <c r="B1057" s="6" t="s">
        <v>1328</v>
      </c>
      <c r="C1057" s="6" t="s">
        <v>1975</v>
      </c>
      <c r="D1057" s="6" t="s">
        <v>2291</v>
      </c>
      <c r="E1057" s="6">
        <v>1</v>
      </c>
      <c r="F1057" s="6" t="s">
        <v>2004</v>
      </c>
      <c r="G1057" s="32" t="s">
        <v>2299</v>
      </c>
      <c r="H1057" s="32" t="s">
        <v>2300</v>
      </c>
      <c r="I1057" s="6" t="str">
        <f t="shared" si="36"/>
        <v>Side Breaker</v>
      </c>
      <c r="J1057" s="6" t="s">
        <v>522</v>
      </c>
      <c r="K1057" s="6">
        <v>1</v>
      </c>
      <c r="L1057" s="6">
        <f t="shared" si="37"/>
        <v>1880000</v>
      </c>
      <c r="M1057" s="6">
        <v>1600000</v>
      </c>
      <c r="N1057" s="6" t="s">
        <v>2003</v>
      </c>
      <c r="O1057" s="6" t="s">
        <v>794</v>
      </c>
      <c r="P1057" s="6">
        <v>2015</v>
      </c>
      <c r="Q1057" s="6">
        <v>8</v>
      </c>
      <c r="R1057" s="6" t="s">
        <v>45</v>
      </c>
      <c r="S1057" s="31" t="s">
        <v>2122</v>
      </c>
      <c r="T1057" s="6">
        <v>1</v>
      </c>
      <c r="U1057" s="26">
        <v>1500000</v>
      </c>
      <c r="V1057" s="26">
        <v>1500000</v>
      </c>
      <c r="W1057" s="26">
        <v>1500000</v>
      </c>
      <c r="X1057" s="6" t="s">
        <v>2003</v>
      </c>
      <c r="Y1057" s="6" t="s">
        <v>1154</v>
      </c>
      <c r="Z1057" s="6">
        <v>227360</v>
      </c>
    </row>
    <row r="1058" spans="1:26" x14ac:dyDescent="0.3">
      <c r="A1058" s="28" t="s">
        <v>42</v>
      </c>
      <c r="B1058" s="6" t="s">
        <v>1326</v>
      </c>
      <c r="C1058" s="6" t="s">
        <v>1972</v>
      </c>
      <c r="D1058" s="6" t="s">
        <v>2291</v>
      </c>
      <c r="E1058" s="6">
        <v>1</v>
      </c>
      <c r="F1058" s="6" t="s">
        <v>2004</v>
      </c>
      <c r="G1058" s="32" t="s">
        <v>2299</v>
      </c>
      <c r="H1058" s="32" t="s">
        <v>2300</v>
      </c>
      <c r="I1058" s="6" t="str">
        <f t="shared" si="36"/>
        <v>Stone Grapple</v>
      </c>
      <c r="J1058" s="6" t="s">
        <v>1954</v>
      </c>
      <c r="K1058" s="6">
        <v>1</v>
      </c>
      <c r="L1058" s="6">
        <f t="shared" si="37"/>
        <v>3880000</v>
      </c>
      <c r="M1058" s="6">
        <v>3300000</v>
      </c>
      <c r="N1058" s="6" t="s">
        <v>2003</v>
      </c>
      <c r="O1058" s="6" t="s">
        <v>823</v>
      </c>
      <c r="P1058" s="6">
        <v>2014</v>
      </c>
      <c r="Q1058" s="6">
        <v>1</v>
      </c>
      <c r="R1058" s="6" t="s">
        <v>45</v>
      </c>
      <c r="S1058" s="31" t="s">
        <v>2113</v>
      </c>
      <c r="T1058" s="6">
        <v>1</v>
      </c>
      <c r="U1058" s="26">
        <v>3100000</v>
      </c>
      <c r="V1058" s="26">
        <v>3100000</v>
      </c>
      <c r="W1058" s="26">
        <v>3100000</v>
      </c>
      <c r="X1058" s="6" t="s">
        <v>2003</v>
      </c>
      <c r="Y1058" s="6" t="s">
        <v>49</v>
      </c>
      <c r="Z1058" s="6">
        <v>227362</v>
      </c>
    </row>
    <row r="1059" spans="1:26" x14ac:dyDescent="0.3">
      <c r="A1059" s="28" t="s">
        <v>42</v>
      </c>
      <c r="B1059" s="6" t="s">
        <v>1327</v>
      </c>
      <c r="C1059" s="6" t="s">
        <v>1980</v>
      </c>
      <c r="D1059" s="6" t="s">
        <v>2289</v>
      </c>
      <c r="E1059" s="6">
        <v>1</v>
      </c>
      <c r="F1059" s="6" t="s">
        <v>2004</v>
      </c>
      <c r="G1059" s="32" t="s">
        <v>2299</v>
      </c>
      <c r="H1059" s="32" t="s">
        <v>2300</v>
      </c>
      <c r="I1059" s="6" t="str">
        <f t="shared" si="36"/>
        <v>Small Bucket</v>
      </c>
      <c r="J1059" s="6" t="s">
        <v>535</v>
      </c>
      <c r="K1059" s="6">
        <v>1</v>
      </c>
      <c r="L1059" s="6">
        <f t="shared" si="37"/>
        <v>1880000</v>
      </c>
      <c r="M1059" s="6">
        <v>1600000</v>
      </c>
      <c r="N1059" s="6" t="s">
        <v>2003</v>
      </c>
      <c r="O1059" s="6" t="s">
        <v>946</v>
      </c>
      <c r="P1059" s="6">
        <v>2010</v>
      </c>
      <c r="Q1059" s="6">
        <v>1</v>
      </c>
      <c r="R1059" s="6" t="s">
        <v>45</v>
      </c>
      <c r="S1059" s="31" t="s">
        <v>2122</v>
      </c>
      <c r="T1059" s="6">
        <v>1</v>
      </c>
      <c r="U1059" s="26">
        <v>1500000</v>
      </c>
      <c r="V1059" s="26">
        <v>1500000</v>
      </c>
      <c r="W1059" s="26">
        <v>1500000</v>
      </c>
      <c r="X1059" s="6" t="s">
        <v>2003</v>
      </c>
      <c r="Y1059" s="6" t="s">
        <v>1167</v>
      </c>
      <c r="Z1059" s="6">
        <v>227368</v>
      </c>
    </row>
    <row r="1060" spans="1:26" x14ac:dyDescent="0.3">
      <c r="A1060" s="28" t="s">
        <v>42</v>
      </c>
      <c r="B1060" s="6" t="s">
        <v>2247</v>
      </c>
      <c r="C1060" s="6" t="s">
        <v>1978</v>
      </c>
      <c r="D1060" s="6" t="s">
        <v>2001</v>
      </c>
      <c r="E1060" s="6">
        <v>1</v>
      </c>
      <c r="F1060" s="6" t="s">
        <v>2004</v>
      </c>
      <c r="G1060" s="32" t="s">
        <v>2299</v>
      </c>
      <c r="H1060" s="32" t="s">
        <v>2300</v>
      </c>
      <c r="I1060" s="6" t="str">
        <f t="shared" si="36"/>
        <v>Hydraulic Pulverizer</v>
      </c>
      <c r="J1060" s="6" t="s">
        <v>253</v>
      </c>
      <c r="K1060" s="6">
        <v>1</v>
      </c>
      <c r="L1060" s="6">
        <f t="shared" si="37"/>
        <v>12350000</v>
      </c>
      <c r="M1060" s="6">
        <v>10500000</v>
      </c>
      <c r="N1060" s="6" t="s">
        <v>2003</v>
      </c>
      <c r="O1060" s="6" t="s">
        <v>1907</v>
      </c>
      <c r="P1060" s="6">
        <v>2005</v>
      </c>
      <c r="Q1060" s="6">
        <v>1</v>
      </c>
      <c r="R1060" s="6" t="s">
        <v>45</v>
      </c>
      <c r="S1060" s="31" t="s">
        <v>2110</v>
      </c>
      <c r="T1060" s="6">
        <v>1</v>
      </c>
      <c r="U1060" s="26">
        <v>10000000</v>
      </c>
      <c r="V1060" s="26">
        <v>10000000</v>
      </c>
      <c r="W1060" s="26">
        <v>10000000</v>
      </c>
      <c r="X1060" s="6" t="s">
        <v>2003</v>
      </c>
      <c r="Y1060" s="6" t="s">
        <v>1317</v>
      </c>
      <c r="Z1060" s="6">
        <v>227372</v>
      </c>
    </row>
    <row r="1061" spans="1:26" x14ac:dyDescent="0.3">
      <c r="A1061" s="28" t="s">
        <v>42</v>
      </c>
      <c r="B1061" s="6" t="s">
        <v>1325</v>
      </c>
      <c r="C1061" s="19" t="s">
        <v>2156</v>
      </c>
      <c r="D1061" s="6" t="s">
        <v>2001</v>
      </c>
      <c r="E1061" s="6">
        <v>1</v>
      </c>
      <c r="F1061" s="6" t="s">
        <v>2004</v>
      </c>
      <c r="G1061" s="32" t="s">
        <v>2299</v>
      </c>
      <c r="H1061" s="32" t="s">
        <v>2300</v>
      </c>
      <c r="I1061" s="6" t="str">
        <f t="shared" si="36"/>
        <v>Hydraulic Crusher</v>
      </c>
      <c r="J1061" s="6" t="s">
        <v>181</v>
      </c>
      <c r="K1061" s="6">
        <v>1</v>
      </c>
      <c r="L1061" s="6">
        <f t="shared" si="37"/>
        <v>14700000</v>
      </c>
      <c r="M1061" s="6">
        <v>12500000</v>
      </c>
      <c r="N1061" s="6" t="s">
        <v>2003</v>
      </c>
      <c r="O1061" s="6" t="s">
        <v>1908</v>
      </c>
      <c r="P1061" s="6">
        <v>2005</v>
      </c>
      <c r="Q1061" s="6">
        <v>1</v>
      </c>
      <c r="R1061" s="6" t="s">
        <v>45</v>
      </c>
      <c r="S1061" s="31" t="s">
        <v>2110</v>
      </c>
      <c r="T1061" s="6">
        <v>1</v>
      </c>
      <c r="U1061" s="26">
        <v>12000000</v>
      </c>
      <c r="V1061" s="26">
        <v>12000000</v>
      </c>
      <c r="W1061" s="26">
        <v>12000000</v>
      </c>
      <c r="X1061" s="6" t="s">
        <v>2003</v>
      </c>
      <c r="Y1061" s="6" t="s">
        <v>1317</v>
      </c>
      <c r="Z1061" s="6">
        <v>227375</v>
      </c>
    </row>
    <row r="1062" spans="1:26" x14ac:dyDescent="0.3">
      <c r="A1062" s="28" t="s">
        <v>42</v>
      </c>
      <c r="B1062" s="6" t="s">
        <v>1326</v>
      </c>
      <c r="C1062" s="13" t="s">
        <v>1974</v>
      </c>
      <c r="D1062" s="6" t="s">
        <v>2292</v>
      </c>
      <c r="E1062" s="6">
        <v>1</v>
      </c>
      <c r="F1062" s="6" t="s">
        <v>2004</v>
      </c>
      <c r="G1062" s="32" t="s">
        <v>2299</v>
      </c>
      <c r="H1062" s="32" t="s">
        <v>2300</v>
      </c>
      <c r="I1062" s="6" t="str">
        <f t="shared" si="36"/>
        <v>Etc Grapple</v>
      </c>
      <c r="J1062" s="6" t="s">
        <v>1956</v>
      </c>
      <c r="K1062" s="6">
        <v>1</v>
      </c>
      <c r="L1062" s="6">
        <f t="shared" si="37"/>
        <v>1290000</v>
      </c>
      <c r="M1062" s="6">
        <v>1100000</v>
      </c>
      <c r="N1062" s="6" t="s">
        <v>2003</v>
      </c>
      <c r="O1062" s="6" t="s">
        <v>54</v>
      </c>
      <c r="P1062" s="6">
        <v>2012</v>
      </c>
      <c r="Q1062" s="6">
        <v>1</v>
      </c>
      <c r="R1062" s="6" t="s">
        <v>45</v>
      </c>
      <c r="S1062" s="31" t="s">
        <v>2114</v>
      </c>
      <c r="T1062" s="6">
        <v>1</v>
      </c>
      <c r="U1062" s="26">
        <v>1000000</v>
      </c>
      <c r="V1062" s="26">
        <v>1000000</v>
      </c>
      <c r="W1062" s="26">
        <v>1000000</v>
      </c>
      <c r="X1062" s="6" t="s">
        <v>2003</v>
      </c>
      <c r="Y1062" s="6" t="s">
        <v>54</v>
      </c>
      <c r="Z1062" s="6">
        <v>227377</v>
      </c>
    </row>
    <row r="1063" spans="1:26" x14ac:dyDescent="0.3">
      <c r="A1063" s="28" t="s">
        <v>42</v>
      </c>
      <c r="B1063" s="6" t="s">
        <v>1337</v>
      </c>
      <c r="C1063" s="6"/>
      <c r="D1063" s="6" t="s">
        <v>2290</v>
      </c>
      <c r="E1063" s="6">
        <v>1</v>
      </c>
      <c r="F1063" s="6" t="s">
        <v>2004</v>
      </c>
      <c r="G1063" s="32" t="s">
        <v>2299</v>
      </c>
      <c r="H1063" s="32" t="s">
        <v>2300</v>
      </c>
      <c r="I1063" s="6" t="str">
        <f t="shared" si="36"/>
        <v>ETC</v>
      </c>
      <c r="J1063" s="6" t="s">
        <v>1957</v>
      </c>
      <c r="K1063" s="6">
        <v>1</v>
      </c>
      <c r="L1063" s="6">
        <f t="shared" si="37"/>
        <v>17050000</v>
      </c>
      <c r="M1063" s="6">
        <v>14500000</v>
      </c>
      <c r="N1063" s="6" t="s">
        <v>2003</v>
      </c>
      <c r="O1063" s="6" t="s">
        <v>1909</v>
      </c>
      <c r="P1063" s="6">
        <v>2013</v>
      </c>
      <c r="Q1063" s="6">
        <v>1</v>
      </c>
      <c r="R1063" s="6" t="s">
        <v>45</v>
      </c>
      <c r="S1063" s="31" t="s">
        <v>2111</v>
      </c>
      <c r="T1063" s="6">
        <v>1</v>
      </c>
      <c r="U1063" s="26">
        <v>14000000</v>
      </c>
      <c r="V1063" s="26">
        <v>14000000</v>
      </c>
      <c r="W1063" s="26">
        <v>14000000</v>
      </c>
      <c r="X1063" s="6" t="s">
        <v>2003</v>
      </c>
      <c r="Y1063" s="6" t="s">
        <v>1924</v>
      </c>
      <c r="Z1063" s="6">
        <v>227379</v>
      </c>
    </row>
    <row r="1064" spans="1:26" x14ac:dyDescent="0.3">
      <c r="A1064" s="28" t="s">
        <v>42</v>
      </c>
      <c r="B1064" s="6" t="s">
        <v>1326</v>
      </c>
      <c r="C1064" s="6" t="s">
        <v>1974</v>
      </c>
      <c r="D1064" s="6" t="s">
        <v>2292</v>
      </c>
      <c r="E1064" s="6">
        <v>1</v>
      </c>
      <c r="F1064" s="6" t="s">
        <v>2004</v>
      </c>
      <c r="G1064" s="32" t="s">
        <v>2299</v>
      </c>
      <c r="H1064" s="32" t="s">
        <v>2300</v>
      </c>
      <c r="I1064" s="6" t="str">
        <f t="shared" si="36"/>
        <v>Etc Grapple</v>
      </c>
      <c r="J1064" s="6" t="s">
        <v>125</v>
      </c>
      <c r="K1064" s="6">
        <v>1</v>
      </c>
      <c r="L1064" s="6">
        <f t="shared" si="37"/>
        <v>1290000</v>
      </c>
      <c r="M1064" s="6">
        <v>1100000</v>
      </c>
      <c r="N1064" s="6" t="s">
        <v>2003</v>
      </c>
      <c r="O1064" s="6" t="s">
        <v>54</v>
      </c>
      <c r="P1064" s="6">
        <v>2005</v>
      </c>
      <c r="Q1064" s="6">
        <v>1</v>
      </c>
      <c r="R1064" s="6" t="s">
        <v>45</v>
      </c>
      <c r="S1064" s="31" t="s">
        <v>2114</v>
      </c>
      <c r="T1064" s="6">
        <v>1</v>
      </c>
      <c r="U1064" s="26">
        <v>1000000</v>
      </c>
      <c r="V1064" s="26">
        <v>1000000</v>
      </c>
      <c r="W1064" s="26">
        <v>1000000</v>
      </c>
      <c r="X1064" s="6" t="s">
        <v>2003</v>
      </c>
      <c r="Y1064" s="6" t="s">
        <v>54</v>
      </c>
      <c r="Z1064" s="6">
        <v>227382</v>
      </c>
    </row>
    <row r="1065" spans="1:26" x14ac:dyDescent="0.3">
      <c r="A1065" s="28" t="s">
        <v>42</v>
      </c>
      <c r="B1065" s="6" t="s">
        <v>1326</v>
      </c>
      <c r="C1065" s="6" t="s">
        <v>1972</v>
      </c>
      <c r="D1065" s="6" t="s">
        <v>2292</v>
      </c>
      <c r="E1065" s="6">
        <v>1</v>
      </c>
      <c r="F1065" s="6" t="s">
        <v>2004</v>
      </c>
      <c r="G1065" s="32" t="s">
        <v>2299</v>
      </c>
      <c r="H1065" s="32" t="s">
        <v>2300</v>
      </c>
      <c r="I1065" s="6" t="str">
        <f t="shared" si="36"/>
        <v>Stone Grapple</v>
      </c>
      <c r="J1065" s="6" t="s">
        <v>1959</v>
      </c>
      <c r="K1065" s="6">
        <v>1</v>
      </c>
      <c r="L1065" s="6">
        <f t="shared" si="37"/>
        <v>2230000</v>
      </c>
      <c r="M1065" s="6">
        <v>1900000</v>
      </c>
      <c r="N1065" s="6" t="s">
        <v>2003</v>
      </c>
      <c r="O1065" s="6" t="s">
        <v>823</v>
      </c>
      <c r="P1065" s="6">
        <v>2014</v>
      </c>
      <c r="Q1065" s="6">
        <v>1</v>
      </c>
      <c r="R1065" s="6" t="s">
        <v>45</v>
      </c>
      <c r="S1065" s="31" t="s">
        <v>2113</v>
      </c>
      <c r="T1065" s="6">
        <v>1</v>
      </c>
      <c r="U1065" s="26">
        <v>1800000</v>
      </c>
      <c r="V1065" s="26">
        <v>1800000</v>
      </c>
      <c r="W1065" s="26">
        <v>1800000</v>
      </c>
      <c r="X1065" s="6" t="s">
        <v>2003</v>
      </c>
      <c r="Y1065" s="6" t="s">
        <v>49</v>
      </c>
      <c r="Z1065" s="6">
        <v>227391</v>
      </c>
    </row>
    <row r="1066" spans="1:26" x14ac:dyDescent="0.3">
      <c r="A1066" s="28" t="s">
        <v>42</v>
      </c>
      <c r="B1066" s="6" t="s">
        <v>1328</v>
      </c>
      <c r="C1066" s="6" t="s">
        <v>1975</v>
      </c>
      <c r="D1066" s="6" t="s">
        <v>2289</v>
      </c>
      <c r="E1066" s="6">
        <v>1</v>
      </c>
      <c r="F1066" s="6" t="s">
        <v>2004</v>
      </c>
      <c r="G1066" s="32" t="s">
        <v>2299</v>
      </c>
      <c r="H1066" s="32" t="s">
        <v>2300</v>
      </c>
      <c r="I1066" s="6" t="str">
        <f t="shared" si="36"/>
        <v>Side Breaker</v>
      </c>
      <c r="J1066" s="6" t="s">
        <v>1943</v>
      </c>
      <c r="K1066" s="6">
        <v>1</v>
      </c>
      <c r="L1066" s="6">
        <f t="shared" si="37"/>
        <v>20580000</v>
      </c>
      <c r="M1066" s="6">
        <v>17500000</v>
      </c>
      <c r="N1066" s="6" t="s">
        <v>2003</v>
      </c>
      <c r="O1066" s="6" t="s">
        <v>54</v>
      </c>
      <c r="P1066" s="6">
        <v>2012</v>
      </c>
      <c r="Q1066" s="6">
        <v>1</v>
      </c>
      <c r="R1066" s="6" t="s">
        <v>45</v>
      </c>
      <c r="S1066" s="31" t="s">
        <v>2111</v>
      </c>
      <c r="T1066" s="6">
        <v>1</v>
      </c>
      <c r="U1066" s="26">
        <v>17000000</v>
      </c>
      <c r="V1066" s="26">
        <v>17000000</v>
      </c>
      <c r="W1066" s="26">
        <v>17000000</v>
      </c>
      <c r="X1066" s="6" t="s">
        <v>2003</v>
      </c>
      <c r="Y1066" s="6" t="s">
        <v>54</v>
      </c>
      <c r="Z1066" s="6">
        <v>227392</v>
      </c>
    </row>
    <row r="1067" spans="1:26" x14ac:dyDescent="0.3">
      <c r="A1067" s="28" t="s">
        <v>42</v>
      </c>
      <c r="B1067" s="6" t="s">
        <v>2172</v>
      </c>
      <c r="C1067" s="6"/>
      <c r="D1067" s="6" t="s">
        <v>2291</v>
      </c>
      <c r="E1067" s="6">
        <v>1</v>
      </c>
      <c r="F1067" s="6" t="s">
        <v>2004</v>
      </c>
      <c r="G1067" s="32" t="s">
        <v>2299</v>
      </c>
      <c r="H1067" s="32" t="s">
        <v>2300</v>
      </c>
      <c r="I1067" s="6" t="str">
        <f t="shared" si="36"/>
        <v>Quick Coupler</v>
      </c>
      <c r="J1067" s="6" t="s">
        <v>367</v>
      </c>
      <c r="K1067" s="6">
        <v>1</v>
      </c>
      <c r="L1067" s="6">
        <f t="shared" si="37"/>
        <v>1110000</v>
      </c>
      <c r="M1067" s="6">
        <v>950000</v>
      </c>
      <c r="N1067" s="6" t="s">
        <v>2003</v>
      </c>
      <c r="O1067" s="6" t="s">
        <v>2007</v>
      </c>
      <c r="P1067" s="6">
        <v>2017</v>
      </c>
      <c r="Q1067" s="6">
        <v>1</v>
      </c>
      <c r="R1067" s="6" t="s">
        <v>45</v>
      </c>
      <c r="S1067" s="31" t="s">
        <v>2113</v>
      </c>
      <c r="T1067" s="6">
        <v>1</v>
      </c>
      <c r="U1067" s="26">
        <v>850000</v>
      </c>
      <c r="V1067" s="26">
        <v>850000</v>
      </c>
      <c r="W1067" s="26">
        <v>850000</v>
      </c>
      <c r="X1067" s="6" t="s">
        <v>2003</v>
      </c>
      <c r="Y1067" s="6" t="s">
        <v>49</v>
      </c>
      <c r="Z1067" s="6">
        <v>227396</v>
      </c>
    </row>
    <row r="1068" spans="1:26" x14ac:dyDescent="0.3">
      <c r="A1068" s="28" t="s">
        <v>42</v>
      </c>
      <c r="B1068" s="6" t="s">
        <v>2172</v>
      </c>
      <c r="C1068" s="6"/>
      <c r="D1068" s="6" t="s">
        <v>2291</v>
      </c>
      <c r="E1068" s="6">
        <v>1</v>
      </c>
      <c r="F1068" s="6" t="s">
        <v>2004</v>
      </c>
      <c r="G1068" s="32" t="s">
        <v>2299</v>
      </c>
      <c r="H1068" s="32" t="s">
        <v>2300</v>
      </c>
      <c r="I1068" s="6" t="str">
        <f t="shared" si="36"/>
        <v>Quick Coupler</v>
      </c>
      <c r="J1068" s="6" t="s">
        <v>1960</v>
      </c>
      <c r="K1068" s="6">
        <v>1</v>
      </c>
      <c r="L1068" s="6">
        <f t="shared" si="37"/>
        <v>1110000</v>
      </c>
      <c r="M1068" s="6">
        <v>950000</v>
      </c>
      <c r="N1068" s="6" t="s">
        <v>2003</v>
      </c>
      <c r="O1068" s="6" t="s">
        <v>2007</v>
      </c>
      <c r="P1068" s="6">
        <v>2017</v>
      </c>
      <c r="Q1068" s="6">
        <v>1</v>
      </c>
      <c r="R1068" s="6" t="s">
        <v>45</v>
      </c>
      <c r="S1068" s="31" t="s">
        <v>2113</v>
      </c>
      <c r="T1068" s="6">
        <v>1</v>
      </c>
      <c r="U1068" s="26">
        <v>850000</v>
      </c>
      <c r="V1068" s="26">
        <v>850000</v>
      </c>
      <c r="W1068" s="26">
        <v>850000</v>
      </c>
      <c r="X1068" s="6" t="s">
        <v>2003</v>
      </c>
      <c r="Y1068" s="6" t="s">
        <v>49</v>
      </c>
      <c r="Z1068" s="6">
        <v>227405</v>
      </c>
    </row>
    <row r="1069" spans="1:26" x14ac:dyDescent="0.3">
      <c r="A1069" s="28" t="s">
        <v>42</v>
      </c>
      <c r="B1069" s="6" t="s">
        <v>1328</v>
      </c>
      <c r="C1069" s="6" t="s">
        <v>1975</v>
      </c>
      <c r="D1069" s="6" t="s">
        <v>2001</v>
      </c>
      <c r="E1069" s="6">
        <v>1</v>
      </c>
      <c r="F1069" s="6" t="s">
        <v>2004</v>
      </c>
      <c r="G1069" s="32" t="s">
        <v>2299</v>
      </c>
      <c r="H1069" s="32" t="s">
        <v>2300</v>
      </c>
      <c r="I1069" s="6" t="str">
        <f t="shared" si="36"/>
        <v>Side Breaker</v>
      </c>
      <c r="J1069" s="6" t="s">
        <v>709</v>
      </c>
      <c r="K1069" s="6">
        <v>1</v>
      </c>
      <c r="L1069" s="6">
        <f t="shared" si="37"/>
        <v>4350000</v>
      </c>
      <c r="M1069" s="6">
        <v>3700000</v>
      </c>
      <c r="N1069" s="6" t="s">
        <v>2003</v>
      </c>
      <c r="O1069" s="6" t="s">
        <v>1132</v>
      </c>
      <c r="P1069" s="6">
        <v>2010</v>
      </c>
      <c r="Q1069" s="6">
        <v>1</v>
      </c>
      <c r="R1069" s="6" t="s">
        <v>45</v>
      </c>
      <c r="S1069" s="31" t="s">
        <v>2116</v>
      </c>
      <c r="T1069" s="6">
        <v>1</v>
      </c>
      <c r="U1069" s="26">
        <v>3500000</v>
      </c>
      <c r="V1069" s="26">
        <v>3500000</v>
      </c>
      <c r="W1069" s="26">
        <v>3500000</v>
      </c>
      <c r="X1069" s="6" t="s">
        <v>2003</v>
      </c>
      <c r="Y1069" s="6" t="s">
        <v>1146</v>
      </c>
      <c r="Z1069" s="6">
        <v>227409</v>
      </c>
    </row>
    <row r="1070" spans="1:26" x14ac:dyDescent="0.3">
      <c r="A1070" s="28" t="s">
        <v>42</v>
      </c>
      <c r="B1070" s="6" t="s">
        <v>1328</v>
      </c>
      <c r="C1070" s="6" t="s">
        <v>1975</v>
      </c>
      <c r="D1070" s="6" t="s">
        <v>2002</v>
      </c>
      <c r="E1070" s="6">
        <v>1</v>
      </c>
      <c r="F1070" s="6" t="s">
        <v>2004</v>
      </c>
      <c r="G1070" s="32" t="s">
        <v>2299</v>
      </c>
      <c r="H1070" s="32" t="s">
        <v>2300</v>
      </c>
      <c r="I1070" s="6" t="str">
        <f t="shared" si="36"/>
        <v>Side Breaker</v>
      </c>
      <c r="J1070" s="6" t="s">
        <v>318</v>
      </c>
      <c r="K1070" s="6">
        <v>1</v>
      </c>
      <c r="L1070" s="6">
        <f t="shared" si="37"/>
        <v>1410000</v>
      </c>
      <c r="M1070" s="6">
        <v>1200000</v>
      </c>
      <c r="N1070" s="6" t="s">
        <v>2003</v>
      </c>
      <c r="O1070" s="6" t="s">
        <v>2007</v>
      </c>
      <c r="P1070" s="6">
        <v>2013</v>
      </c>
      <c r="Q1070" s="6">
        <v>1</v>
      </c>
      <c r="R1070" s="6" t="s">
        <v>45</v>
      </c>
      <c r="S1070" s="31" t="s">
        <v>2113</v>
      </c>
      <c r="T1070" s="6">
        <v>1</v>
      </c>
      <c r="U1070" s="26">
        <v>1100000</v>
      </c>
      <c r="V1070" s="26">
        <v>1100000</v>
      </c>
      <c r="W1070" s="26">
        <v>1100000</v>
      </c>
      <c r="X1070" s="6" t="s">
        <v>2003</v>
      </c>
      <c r="Y1070" s="6" t="s">
        <v>49</v>
      </c>
      <c r="Z1070" s="6">
        <v>227415</v>
      </c>
    </row>
    <row r="1071" spans="1:26" x14ac:dyDescent="0.3">
      <c r="A1071" s="28" t="s">
        <v>42</v>
      </c>
      <c r="B1071" s="6" t="s">
        <v>2172</v>
      </c>
      <c r="C1071" s="6"/>
      <c r="D1071" s="6" t="s">
        <v>2289</v>
      </c>
      <c r="E1071" s="6">
        <v>1</v>
      </c>
      <c r="F1071" s="6" t="s">
        <v>2004</v>
      </c>
      <c r="G1071" s="32" t="s">
        <v>2299</v>
      </c>
      <c r="H1071" s="32" t="s">
        <v>2300</v>
      </c>
      <c r="I1071" s="6" t="str">
        <f t="shared" si="36"/>
        <v>Quick Coupler</v>
      </c>
      <c r="J1071" s="6" t="s">
        <v>238</v>
      </c>
      <c r="K1071" s="6">
        <v>1</v>
      </c>
      <c r="L1071" s="6">
        <f t="shared" si="37"/>
        <v>2580000</v>
      </c>
      <c r="M1071" s="6">
        <v>2200000</v>
      </c>
      <c r="N1071" s="6" t="s">
        <v>2003</v>
      </c>
      <c r="O1071" s="6" t="s">
        <v>1110</v>
      </c>
      <c r="P1071" s="6">
        <v>2015</v>
      </c>
      <c r="Q1071" s="6">
        <v>6</v>
      </c>
      <c r="R1071" s="6" t="s">
        <v>45</v>
      </c>
      <c r="S1071" s="31" t="s">
        <v>2123</v>
      </c>
      <c r="T1071" s="6">
        <v>1</v>
      </c>
      <c r="U1071" s="26">
        <v>2000000</v>
      </c>
      <c r="V1071" s="26">
        <v>2000000</v>
      </c>
      <c r="W1071" s="26">
        <v>2000000</v>
      </c>
      <c r="X1071" s="6" t="s">
        <v>2003</v>
      </c>
      <c r="Y1071" s="6" t="s">
        <v>92</v>
      </c>
      <c r="Z1071" s="6">
        <v>227416</v>
      </c>
    </row>
    <row r="1072" spans="1:26" x14ac:dyDescent="0.3">
      <c r="A1072" s="28" t="s">
        <v>42</v>
      </c>
      <c r="B1072" s="6" t="s">
        <v>1327</v>
      </c>
      <c r="C1072" s="6" t="s">
        <v>1982</v>
      </c>
      <c r="D1072" s="6" t="s">
        <v>2289</v>
      </c>
      <c r="E1072" s="6">
        <v>1</v>
      </c>
      <c r="F1072" s="6" t="s">
        <v>2004</v>
      </c>
      <c r="G1072" s="32" t="s">
        <v>2299</v>
      </c>
      <c r="H1072" s="32" t="s">
        <v>2300</v>
      </c>
      <c r="I1072" s="6" t="str">
        <f t="shared" si="36"/>
        <v>Standard Bucket</v>
      </c>
      <c r="J1072" s="6" t="s">
        <v>569</v>
      </c>
      <c r="K1072" s="6">
        <v>1</v>
      </c>
      <c r="L1072" s="6">
        <f t="shared" si="37"/>
        <v>15880000</v>
      </c>
      <c r="M1072" s="6">
        <v>13500000</v>
      </c>
      <c r="N1072" s="6" t="s">
        <v>2003</v>
      </c>
      <c r="O1072" s="6" t="s">
        <v>831</v>
      </c>
      <c r="P1072" s="6">
        <v>2012</v>
      </c>
      <c r="Q1072" s="6">
        <v>1</v>
      </c>
      <c r="R1072" s="6" t="s">
        <v>45</v>
      </c>
      <c r="S1072" s="31" t="s">
        <v>2117</v>
      </c>
      <c r="T1072" s="6">
        <v>1</v>
      </c>
      <c r="U1072" s="26">
        <v>13000000</v>
      </c>
      <c r="V1072" s="26">
        <v>13000000</v>
      </c>
      <c r="W1072" s="26">
        <v>13000000</v>
      </c>
      <c r="X1072" s="6" t="s">
        <v>2003</v>
      </c>
      <c r="Y1072" s="6" t="s">
        <v>1145</v>
      </c>
      <c r="Z1072" s="6">
        <v>227417</v>
      </c>
    </row>
    <row r="1073" spans="1:26" x14ac:dyDescent="0.3">
      <c r="A1073" s="28" t="s">
        <v>42</v>
      </c>
      <c r="B1073" s="6" t="s">
        <v>2172</v>
      </c>
      <c r="C1073" s="6"/>
      <c r="D1073" s="6" t="s">
        <v>2292</v>
      </c>
      <c r="E1073" s="6">
        <v>1</v>
      </c>
      <c r="F1073" s="6" t="s">
        <v>2004</v>
      </c>
      <c r="G1073" s="32" t="s">
        <v>2299</v>
      </c>
      <c r="H1073" s="32" t="s">
        <v>2300</v>
      </c>
      <c r="I1073" s="6" t="str">
        <f t="shared" si="36"/>
        <v>Quick Coupler</v>
      </c>
      <c r="J1073" s="6" t="s">
        <v>249</v>
      </c>
      <c r="K1073" s="6">
        <v>1</v>
      </c>
      <c r="L1073" s="6">
        <f t="shared" si="37"/>
        <v>1050000</v>
      </c>
      <c r="M1073" s="6">
        <v>900000</v>
      </c>
      <c r="N1073" s="6" t="s">
        <v>2003</v>
      </c>
      <c r="O1073" s="6" t="s">
        <v>2012</v>
      </c>
      <c r="P1073" s="6">
        <v>2014</v>
      </c>
      <c r="Q1073" s="6">
        <v>1</v>
      </c>
      <c r="R1073" s="6" t="s">
        <v>45</v>
      </c>
      <c r="S1073" s="31" t="s">
        <v>2113</v>
      </c>
      <c r="T1073" s="6">
        <v>1</v>
      </c>
      <c r="U1073" s="26">
        <v>800000</v>
      </c>
      <c r="V1073" s="26">
        <v>800000</v>
      </c>
      <c r="W1073" s="26">
        <v>800000</v>
      </c>
      <c r="X1073" s="6" t="s">
        <v>2003</v>
      </c>
      <c r="Y1073" s="6" t="s">
        <v>49</v>
      </c>
      <c r="Z1073" s="6">
        <v>227418</v>
      </c>
    </row>
    <row r="1074" spans="1:26" x14ac:dyDescent="0.3">
      <c r="A1074" s="28" t="s">
        <v>42</v>
      </c>
      <c r="B1074" s="6" t="s">
        <v>1326</v>
      </c>
      <c r="C1074" s="6" t="s">
        <v>1974</v>
      </c>
      <c r="D1074" s="6" t="s">
        <v>2291</v>
      </c>
      <c r="E1074" s="6">
        <v>1</v>
      </c>
      <c r="F1074" s="6" t="s">
        <v>2004</v>
      </c>
      <c r="G1074" s="32" t="s">
        <v>2299</v>
      </c>
      <c r="H1074" s="32" t="s">
        <v>2300</v>
      </c>
      <c r="I1074" s="6" t="str">
        <f t="shared" si="36"/>
        <v>Etc Grapple</v>
      </c>
      <c r="J1074" s="6" t="s">
        <v>782</v>
      </c>
      <c r="K1074" s="6">
        <v>1</v>
      </c>
      <c r="L1074" s="6">
        <f t="shared" si="37"/>
        <v>2580000</v>
      </c>
      <c r="M1074" s="6">
        <v>2200000</v>
      </c>
      <c r="N1074" s="6" t="s">
        <v>2003</v>
      </c>
      <c r="O1074" s="6" t="s">
        <v>799</v>
      </c>
      <c r="P1074" s="6">
        <v>2012</v>
      </c>
      <c r="Q1074" s="6">
        <v>1</v>
      </c>
      <c r="R1074" s="6" t="s">
        <v>45</v>
      </c>
      <c r="S1074" s="31" t="s">
        <v>2110</v>
      </c>
      <c r="T1074" s="6">
        <v>1</v>
      </c>
      <c r="U1074" s="26">
        <v>2000000</v>
      </c>
      <c r="V1074" s="26">
        <v>2000000</v>
      </c>
      <c r="W1074" s="26">
        <v>2000000</v>
      </c>
      <c r="X1074" s="6" t="s">
        <v>2003</v>
      </c>
      <c r="Y1074" s="6" t="s">
        <v>1320</v>
      </c>
      <c r="Z1074" s="6">
        <v>227429</v>
      </c>
    </row>
    <row r="1075" spans="1:26" x14ac:dyDescent="0.3">
      <c r="A1075" s="28" t="s">
        <v>42</v>
      </c>
      <c r="B1075" s="6" t="s">
        <v>1328</v>
      </c>
      <c r="C1075" s="6" t="s">
        <v>1975</v>
      </c>
      <c r="D1075" s="6" t="s">
        <v>2291</v>
      </c>
      <c r="E1075" s="6">
        <v>1</v>
      </c>
      <c r="F1075" s="6" t="s">
        <v>2004</v>
      </c>
      <c r="G1075" s="32" t="s">
        <v>2299</v>
      </c>
      <c r="H1075" s="32" t="s">
        <v>2300</v>
      </c>
      <c r="I1075" s="6" t="str">
        <f t="shared" si="36"/>
        <v>Side Breaker</v>
      </c>
      <c r="J1075" s="6" t="s">
        <v>333</v>
      </c>
      <c r="K1075" s="6">
        <v>1</v>
      </c>
      <c r="L1075" s="6">
        <f t="shared" si="37"/>
        <v>1880000</v>
      </c>
      <c r="M1075" s="6">
        <v>1600000</v>
      </c>
      <c r="N1075" s="6" t="s">
        <v>2003</v>
      </c>
      <c r="O1075" s="6" t="s">
        <v>814</v>
      </c>
      <c r="P1075" s="6">
        <v>2014</v>
      </c>
      <c r="Q1075" s="6">
        <v>6</v>
      </c>
      <c r="R1075" s="6" t="s">
        <v>45</v>
      </c>
      <c r="S1075" s="31" t="s">
        <v>2119</v>
      </c>
      <c r="T1075" s="6">
        <v>1</v>
      </c>
      <c r="U1075" s="26">
        <v>1500000</v>
      </c>
      <c r="V1075" s="26">
        <v>1500000</v>
      </c>
      <c r="W1075" s="26">
        <v>1500000</v>
      </c>
      <c r="X1075" s="6" t="s">
        <v>2003</v>
      </c>
      <c r="Y1075" s="6" t="s">
        <v>1194</v>
      </c>
      <c r="Z1075" s="6">
        <v>227431</v>
      </c>
    </row>
    <row r="1076" spans="1:26" x14ac:dyDescent="0.3">
      <c r="A1076" s="28" t="s">
        <v>42</v>
      </c>
      <c r="B1076" s="6" t="s">
        <v>1328</v>
      </c>
      <c r="C1076" s="6" t="s">
        <v>1975</v>
      </c>
      <c r="D1076" s="6" t="s">
        <v>2292</v>
      </c>
      <c r="E1076" s="6">
        <v>1</v>
      </c>
      <c r="F1076" s="6" t="s">
        <v>2004</v>
      </c>
      <c r="G1076" s="32" t="s">
        <v>2299</v>
      </c>
      <c r="H1076" s="32" t="s">
        <v>2300</v>
      </c>
      <c r="I1076" s="6" t="str">
        <f t="shared" si="36"/>
        <v>Side Breaker</v>
      </c>
      <c r="J1076" s="6" t="s">
        <v>198</v>
      </c>
      <c r="K1076" s="6">
        <v>1</v>
      </c>
      <c r="L1076" s="6">
        <f t="shared" si="37"/>
        <v>3760000</v>
      </c>
      <c r="M1076" s="6">
        <v>3200000</v>
      </c>
      <c r="N1076" s="6" t="s">
        <v>2003</v>
      </c>
      <c r="O1076" s="6" t="s">
        <v>66</v>
      </c>
      <c r="P1076" s="6">
        <v>2010</v>
      </c>
      <c r="Q1076" s="6">
        <v>1</v>
      </c>
      <c r="R1076" s="6" t="s">
        <v>45</v>
      </c>
      <c r="S1076" s="31" t="s">
        <v>2118</v>
      </c>
      <c r="T1076" s="6">
        <v>1</v>
      </c>
      <c r="U1076" s="26">
        <v>3000000</v>
      </c>
      <c r="V1076" s="26">
        <v>3000000</v>
      </c>
      <c r="W1076" s="26">
        <v>3000000</v>
      </c>
      <c r="X1076" s="6" t="s">
        <v>2003</v>
      </c>
      <c r="Y1076" s="6" t="s">
        <v>67</v>
      </c>
      <c r="Z1076" s="6">
        <v>227434</v>
      </c>
    </row>
    <row r="1077" spans="1:26" x14ac:dyDescent="0.3">
      <c r="A1077" s="28" t="s">
        <v>42</v>
      </c>
      <c r="B1077" s="6" t="s">
        <v>1327</v>
      </c>
      <c r="C1077" s="6" t="s">
        <v>1971</v>
      </c>
      <c r="D1077" s="6" t="s">
        <v>2289</v>
      </c>
      <c r="E1077" s="6">
        <v>1</v>
      </c>
      <c r="F1077" s="6" t="s">
        <v>2004</v>
      </c>
      <c r="G1077" s="32" t="s">
        <v>2299</v>
      </c>
      <c r="H1077" s="32" t="s">
        <v>2300</v>
      </c>
      <c r="I1077" s="6" t="str">
        <f t="shared" si="36"/>
        <v>Special Bucket</v>
      </c>
      <c r="J1077" s="6" t="s">
        <v>604</v>
      </c>
      <c r="K1077" s="6">
        <v>1</v>
      </c>
      <c r="L1077" s="6">
        <f t="shared" si="37"/>
        <v>8230000</v>
      </c>
      <c r="M1077" s="6">
        <v>7000000</v>
      </c>
      <c r="N1077" s="6" t="s">
        <v>2003</v>
      </c>
      <c r="O1077" s="6" t="s">
        <v>796</v>
      </c>
      <c r="P1077" s="6">
        <v>2013</v>
      </c>
      <c r="Q1077" s="6">
        <v>1</v>
      </c>
      <c r="R1077" s="6" t="s">
        <v>45</v>
      </c>
      <c r="S1077" s="31" t="s">
        <v>2112</v>
      </c>
      <c r="T1077" s="6">
        <v>1</v>
      </c>
      <c r="U1077" s="26">
        <v>6500000</v>
      </c>
      <c r="V1077" s="26">
        <v>6500000</v>
      </c>
      <c r="W1077" s="26">
        <v>6500000</v>
      </c>
      <c r="X1077" s="6" t="s">
        <v>2003</v>
      </c>
      <c r="Y1077" s="6" t="s">
        <v>1213</v>
      </c>
      <c r="Z1077" s="6">
        <v>227435</v>
      </c>
    </row>
    <row r="1078" spans="1:26" x14ac:dyDescent="0.3">
      <c r="A1078" s="28" t="s">
        <v>42</v>
      </c>
      <c r="B1078" s="6" t="s">
        <v>1326</v>
      </c>
      <c r="C1078" s="6" t="s">
        <v>1972</v>
      </c>
      <c r="D1078" s="6" t="s">
        <v>2290</v>
      </c>
      <c r="E1078" s="6">
        <v>1</v>
      </c>
      <c r="F1078" s="6" t="s">
        <v>2004</v>
      </c>
      <c r="G1078" s="32" t="s">
        <v>2299</v>
      </c>
      <c r="H1078" s="32" t="s">
        <v>2300</v>
      </c>
      <c r="I1078" s="6" t="str">
        <f t="shared" si="36"/>
        <v>Stone Grapple</v>
      </c>
      <c r="J1078" s="6" t="s">
        <v>94</v>
      </c>
      <c r="K1078" s="6">
        <v>1</v>
      </c>
      <c r="L1078" s="6">
        <f t="shared" si="37"/>
        <v>3170000</v>
      </c>
      <c r="M1078" s="6">
        <v>2700000</v>
      </c>
      <c r="N1078" s="6" t="s">
        <v>2003</v>
      </c>
      <c r="O1078" s="6" t="s">
        <v>2011</v>
      </c>
      <c r="P1078" s="6">
        <v>2010</v>
      </c>
      <c r="Q1078" s="6">
        <v>6</v>
      </c>
      <c r="R1078" s="6" t="s">
        <v>45</v>
      </c>
      <c r="S1078" s="31" t="s">
        <v>2123</v>
      </c>
      <c r="T1078" s="6">
        <v>1</v>
      </c>
      <c r="U1078" s="26">
        <v>2500000</v>
      </c>
      <c r="V1078" s="26">
        <v>2500000</v>
      </c>
      <c r="W1078" s="26">
        <v>2500000</v>
      </c>
      <c r="X1078" s="6" t="s">
        <v>2003</v>
      </c>
      <c r="Y1078" s="6" t="s">
        <v>1200</v>
      </c>
      <c r="Z1078" s="6">
        <v>227439</v>
      </c>
    </row>
    <row r="1079" spans="1:26" x14ac:dyDescent="0.3">
      <c r="A1079" s="28" t="s">
        <v>42</v>
      </c>
      <c r="B1079" s="6" t="s">
        <v>1326</v>
      </c>
      <c r="C1079" s="6" t="s">
        <v>1987</v>
      </c>
      <c r="D1079" s="6" t="s">
        <v>2292</v>
      </c>
      <c r="E1079" s="6">
        <v>1</v>
      </c>
      <c r="F1079" s="6" t="s">
        <v>2004</v>
      </c>
      <c r="G1079" s="32" t="s">
        <v>2299</v>
      </c>
      <c r="H1079" s="32" t="s">
        <v>2300</v>
      </c>
      <c r="I1079" s="6" t="str">
        <f t="shared" si="36"/>
        <v>Progressive Thumb Grapple</v>
      </c>
      <c r="J1079" s="6" t="s">
        <v>1961</v>
      </c>
      <c r="K1079" s="6">
        <v>1</v>
      </c>
      <c r="L1079" s="6">
        <f t="shared" si="37"/>
        <v>1290000</v>
      </c>
      <c r="M1079" s="6">
        <v>1100000</v>
      </c>
      <c r="N1079" s="6" t="s">
        <v>2003</v>
      </c>
      <c r="O1079" s="6" t="s">
        <v>54</v>
      </c>
      <c r="P1079" s="6">
        <v>2010</v>
      </c>
      <c r="Q1079" s="6">
        <v>1</v>
      </c>
      <c r="R1079" s="6" t="s">
        <v>45</v>
      </c>
      <c r="S1079" s="31" t="s">
        <v>2111</v>
      </c>
      <c r="T1079" s="6">
        <v>1</v>
      </c>
      <c r="U1079" s="26">
        <v>1000000</v>
      </c>
      <c r="V1079" s="26">
        <v>1000000</v>
      </c>
      <c r="W1079" s="26">
        <v>1000000</v>
      </c>
      <c r="X1079" s="6" t="s">
        <v>2003</v>
      </c>
      <c r="Y1079" s="6" t="s">
        <v>54</v>
      </c>
      <c r="Z1079" s="6">
        <v>227441</v>
      </c>
    </row>
    <row r="1080" spans="1:26" x14ac:dyDescent="0.3">
      <c r="A1080" s="28" t="s">
        <v>42</v>
      </c>
      <c r="B1080" s="6" t="s">
        <v>1337</v>
      </c>
      <c r="C1080" s="6"/>
      <c r="D1080" s="6" t="s">
        <v>2290</v>
      </c>
      <c r="E1080" s="6">
        <v>1</v>
      </c>
      <c r="F1080" s="6" t="s">
        <v>2004</v>
      </c>
      <c r="G1080" s="32" t="s">
        <v>2299</v>
      </c>
      <c r="H1080" s="32" t="s">
        <v>2300</v>
      </c>
      <c r="I1080" s="6" t="str">
        <f t="shared" si="36"/>
        <v>ETC</v>
      </c>
      <c r="J1080" s="6" t="s">
        <v>331</v>
      </c>
      <c r="K1080" s="6">
        <v>1</v>
      </c>
      <c r="L1080" s="6">
        <f t="shared" si="37"/>
        <v>5520000</v>
      </c>
      <c r="M1080" s="6">
        <v>4700000</v>
      </c>
      <c r="N1080" s="6" t="s">
        <v>2003</v>
      </c>
      <c r="O1080" s="6" t="s">
        <v>1913</v>
      </c>
      <c r="P1080" s="6">
        <v>2000</v>
      </c>
      <c r="Q1080" s="6">
        <v>1</v>
      </c>
      <c r="R1080" s="6" t="s">
        <v>45</v>
      </c>
      <c r="S1080" s="31" t="s">
        <v>2111</v>
      </c>
      <c r="T1080" s="6">
        <v>1</v>
      </c>
      <c r="U1080" s="26">
        <v>4500000</v>
      </c>
      <c r="V1080" s="26">
        <v>4500000</v>
      </c>
      <c r="W1080" s="26">
        <v>4500000</v>
      </c>
      <c r="X1080" s="6" t="s">
        <v>2003</v>
      </c>
      <c r="Y1080" s="6" t="s">
        <v>1924</v>
      </c>
      <c r="Z1080" s="6">
        <v>227442</v>
      </c>
    </row>
    <row r="1081" spans="1:26" x14ac:dyDescent="0.3">
      <c r="A1081" s="28" t="s">
        <v>42</v>
      </c>
      <c r="B1081" s="6" t="s">
        <v>1325</v>
      </c>
      <c r="C1081" s="6" t="s">
        <v>1978</v>
      </c>
      <c r="D1081" s="6" t="s">
        <v>2001</v>
      </c>
      <c r="E1081" s="6">
        <v>1</v>
      </c>
      <c r="F1081" s="6" t="s">
        <v>2004</v>
      </c>
      <c r="G1081" s="32" t="s">
        <v>2299</v>
      </c>
      <c r="H1081" s="32" t="s">
        <v>2300</v>
      </c>
      <c r="I1081" s="6" t="str">
        <f t="shared" si="36"/>
        <v>Hydraulic Pulverizer</v>
      </c>
      <c r="J1081" s="6" t="s">
        <v>412</v>
      </c>
      <c r="K1081" s="6">
        <v>1</v>
      </c>
      <c r="L1081" s="6">
        <f t="shared" si="37"/>
        <v>19410000</v>
      </c>
      <c r="M1081" s="6">
        <v>16500000</v>
      </c>
      <c r="N1081" s="6" t="s">
        <v>2003</v>
      </c>
      <c r="O1081" s="6" t="s">
        <v>813</v>
      </c>
      <c r="P1081" s="6">
        <v>2014</v>
      </c>
      <c r="Q1081" s="6">
        <v>1</v>
      </c>
      <c r="R1081" s="6" t="s">
        <v>45</v>
      </c>
      <c r="S1081" s="31" t="s">
        <v>2113</v>
      </c>
      <c r="T1081" s="6">
        <v>1</v>
      </c>
      <c r="U1081" s="26">
        <v>16000000</v>
      </c>
      <c r="V1081" s="26">
        <v>16000000</v>
      </c>
      <c r="W1081" s="26">
        <v>16000000</v>
      </c>
      <c r="X1081" s="6" t="s">
        <v>2003</v>
      </c>
      <c r="Y1081" s="6" t="s">
        <v>79</v>
      </c>
      <c r="Z1081" s="6">
        <v>227445</v>
      </c>
    </row>
    <row r="1082" spans="1:26" x14ac:dyDescent="0.3">
      <c r="A1082" s="28" t="s">
        <v>42</v>
      </c>
      <c r="B1082" s="6" t="s">
        <v>1328</v>
      </c>
      <c r="C1082" s="6" t="s">
        <v>1975</v>
      </c>
      <c r="D1082" s="6" t="s">
        <v>2292</v>
      </c>
      <c r="E1082" s="6">
        <v>1</v>
      </c>
      <c r="F1082" s="6" t="s">
        <v>2004</v>
      </c>
      <c r="G1082" s="32" t="s">
        <v>2299</v>
      </c>
      <c r="H1082" s="32" t="s">
        <v>2300</v>
      </c>
      <c r="I1082" s="6" t="str">
        <f t="shared" si="36"/>
        <v>Side Breaker</v>
      </c>
      <c r="J1082" s="6" t="s">
        <v>100</v>
      </c>
      <c r="K1082" s="6">
        <v>1</v>
      </c>
      <c r="L1082" s="6">
        <f t="shared" si="37"/>
        <v>3520000</v>
      </c>
      <c r="M1082" s="6">
        <v>3000000</v>
      </c>
      <c r="N1082" s="6" t="s">
        <v>2003</v>
      </c>
      <c r="O1082" s="6" t="s">
        <v>66</v>
      </c>
      <c r="P1082" s="6">
        <v>2008</v>
      </c>
      <c r="Q1082" s="6">
        <v>1</v>
      </c>
      <c r="R1082" s="6" t="s">
        <v>45</v>
      </c>
      <c r="S1082" s="31" t="s">
        <v>2118</v>
      </c>
      <c r="T1082" s="6">
        <v>1</v>
      </c>
      <c r="U1082" s="26">
        <v>2800000</v>
      </c>
      <c r="V1082" s="26">
        <v>2800000</v>
      </c>
      <c r="W1082" s="26">
        <v>2800000</v>
      </c>
      <c r="X1082" s="6" t="s">
        <v>2003</v>
      </c>
      <c r="Y1082" s="6" t="s">
        <v>67</v>
      </c>
      <c r="Z1082" s="6">
        <v>227448</v>
      </c>
    </row>
    <row r="1083" spans="1:26" x14ac:dyDescent="0.3">
      <c r="A1083" s="28" t="s">
        <v>42</v>
      </c>
      <c r="B1083" s="6" t="s">
        <v>1327</v>
      </c>
      <c r="C1083" s="6" t="s">
        <v>1977</v>
      </c>
      <c r="D1083" s="6" t="s">
        <v>2291</v>
      </c>
      <c r="E1083" s="6">
        <v>1</v>
      </c>
      <c r="F1083" s="6" t="s">
        <v>2004</v>
      </c>
      <c r="G1083" s="32" t="s">
        <v>2299</v>
      </c>
      <c r="H1083" s="32" t="s">
        <v>2300</v>
      </c>
      <c r="I1083" s="6" t="str">
        <f t="shared" si="36"/>
        <v>Wide Bucket</v>
      </c>
      <c r="J1083" s="6" t="s">
        <v>1963</v>
      </c>
      <c r="K1083" s="6">
        <v>1</v>
      </c>
      <c r="L1083" s="6">
        <f t="shared" si="37"/>
        <v>520000</v>
      </c>
      <c r="M1083" s="6">
        <v>450000</v>
      </c>
      <c r="N1083" s="6" t="s">
        <v>2003</v>
      </c>
      <c r="O1083" s="6" t="s">
        <v>846</v>
      </c>
      <c r="P1083" s="6">
        <v>2017</v>
      </c>
      <c r="Q1083" s="6">
        <v>1</v>
      </c>
      <c r="R1083" s="6" t="s">
        <v>45</v>
      </c>
      <c r="S1083" s="31" t="s">
        <v>2113</v>
      </c>
      <c r="T1083" s="6">
        <v>1</v>
      </c>
      <c r="U1083" s="26">
        <v>400000</v>
      </c>
      <c r="V1083" s="26">
        <v>400000</v>
      </c>
      <c r="W1083" s="26">
        <v>400000</v>
      </c>
      <c r="X1083" s="6" t="s">
        <v>2003</v>
      </c>
      <c r="Y1083" s="6" t="s">
        <v>49</v>
      </c>
      <c r="Z1083" s="6">
        <v>227450</v>
      </c>
    </row>
    <row r="1084" spans="1:26" x14ac:dyDescent="0.3">
      <c r="A1084" s="28" t="s">
        <v>42</v>
      </c>
      <c r="B1084" s="6" t="s">
        <v>1326</v>
      </c>
      <c r="C1084" s="6" t="s">
        <v>1972</v>
      </c>
      <c r="D1084" s="6" t="s">
        <v>2001</v>
      </c>
      <c r="E1084" s="6">
        <v>1</v>
      </c>
      <c r="F1084" s="6" t="s">
        <v>2004</v>
      </c>
      <c r="G1084" s="32" t="s">
        <v>2299</v>
      </c>
      <c r="H1084" s="32" t="s">
        <v>2300</v>
      </c>
      <c r="I1084" s="6" t="str">
        <f t="shared" si="36"/>
        <v>Stone Grapple</v>
      </c>
      <c r="J1084" s="6" t="s">
        <v>174</v>
      </c>
      <c r="K1084" s="6">
        <v>1</v>
      </c>
      <c r="L1084" s="6">
        <f t="shared" si="37"/>
        <v>8820000</v>
      </c>
      <c r="M1084" s="6">
        <v>7500000</v>
      </c>
      <c r="N1084" s="6" t="s">
        <v>2003</v>
      </c>
      <c r="O1084" s="6" t="s">
        <v>2033</v>
      </c>
      <c r="P1084" s="6">
        <v>2015</v>
      </c>
      <c r="Q1084" s="6">
        <v>5</v>
      </c>
      <c r="R1084" s="6" t="s">
        <v>45</v>
      </c>
      <c r="S1084" s="31" t="s">
        <v>2123</v>
      </c>
      <c r="T1084" s="6">
        <v>1</v>
      </c>
      <c r="U1084" s="26">
        <v>7000000</v>
      </c>
      <c r="V1084" s="26">
        <v>7000000</v>
      </c>
      <c r="W1084" s="26">
        <v>7000000</v>
      </c>
      <c r="X1084" s="6" t="s">
        <v>2003</v>
      </c>
      <c r="Y1084" s="6" t="s">
        <v>1218</v>
      </c>
      <c r="Z1084" s="6">
        <v>227451</v>
      </c>
    </row>
    <row r="1085" spans="1:26" x14ac:dyDescent="0.3">
      <c r="A1085" s="28" t="s">
        <v>42</v>
      </c>
      <c r="B1085" s="6" t="s">
        <v>1337</v>
      </c>
      <c r="C1085" s="6"/>
      <c r="D1085" s="6" t="s">
        <v>2293</v>
      </c>
      <c r="E1085" s="6">
        <v>1</v>
      </c>
      <c r="F1085" s="6" t="s">
        <v>2004</v>
      </c>
      <c r="G1085" s="32" t="s">
        <v>2299</v>
      </c>
      <c r="H1085" s="32" t="s">
        <v>2300</v>
      </c>
      <c r="I1085" s="6" t="str">
        <f t="shared" si="36"/>
        <v>ETC</v>
      </c>
      <c r="J1085" s="6" t="s">
        <v>1964</v>
      </c>
      <c r="K1085" s="6">
        <v>1</v>
      </c>
      <c r="L1085" s="6">
        <f t="shared" si="37"/>
        <v>2230000</v>
      </c>
      <c r="M1085" s="6">
        <v>1900000</v>
      </c>
      <c r="N1085" s="6" t="s">
        <v>2003</v>
      </c>
      <c r="O1085" s="6" t="s">
        <v>798</v>
      </c>
      <c r="P1085" s="6">
        <v>2015</v>
      </c>
      <c r="Q1085" s="6">
        <v>1</v>
      </c>
      <c r="R1085" s="6" t="s">
        <v>45</v>
      </c>
      <c r="S1085" s="31" t="s">
        <v>2113</v>
      </c>
      <c r="T1085" s="6">
        <v>1</v>
      </c>
      <c r="U1085" s="26">
        <v>1800000</v>
      </c>
      <c r="V1085" s="26">
        <v>1800000</v>
      </c>
      <c r="W1085" s="26">
        <v>1800000</v>
      </c>
      <c r="X1085" s="6" t="s">
        <v>2003</v>
      </c>
      <c r="Y1085" s="6" t="s">
        <v>71</v>
      </c>
      <c r="Z1085" s="6">
        <v>227462</v>
      </c>
    </row>
    <row r="1086" spans="1:26" x14ac:dyDescent="0.3">
      <c r="A1086" s="28" t="s">
        <v>42</v>
      </c>
      <c r="B1086" s="6" t="s">
        <v>1326</v>
      </c>
      <c r="C1086" s="6" t="s">
        <v>1972</v>
      </c>
      <c r="D1086" s="6" t="s">
        <v>2292</v>
      </c>
      <c r="E1086" s="6">
        <v>1</v>
      </c>
      <c r="F1086" s="6" t="s">
        <v>2004</v>
      </c>
      <c r="G1086" s="32" t="s">
        <v>2299</v>
      </c>
      <c r="H1086" s="32" t="s">
        <v>2300</v>
      </c>
      <c r="I1086" s="6" t="str">
        <f t="shared" si="36"/>
        <v>Stone Grapple</v>
      </c>
      <c r="J1086" s="6" t="s">
        <v>120</v>
      </c>
      <c r="K1086" s="6">
        <v>1</v>
      </c>
      <c r="L1086" s="6">
        <f t="shared" si="37"/>
        <v>6470000</v>
      </c>
      <c r="M1086" s="6">
        <v>5500000</v>
      </c>
      <c r="N1086" s="6" t="s">
        <v>2003</v>
      </c>
      <c r="O1086" s="6" t="s">
        <v>2007</v>
      </c>
      <c r="P1086" s="6">
        <v>2014</v>
      </c>
      <c r="Q1086" s="6">
        <v>1</v>
      </c>
      <c r="R1086" s="6" t="s">
        <v>45</v>
      </c>
      <c r="S1086" s="31" t="s">
        <v>2113</v>
      </c>
      <c r="T1086" s="6">
        <v>1</v>
      </c>
      <c r="U1086" s="26">
        <v>5000000</v>
      </c>
      <c r="V1086" s="26">
        <v>5000000</v>
      </c>
      <c r="W1086" s="26">
        <v>5000000</v>
      </c>
      <c r="X1086" s="6" t="s">
        <v>2003</v>
      </c>
      <c r="Y1086" s="6" t="s">
        <v>49</v>
      </c>
      <c r="Z1086" s="6">
        <v>227468</v>
      </c>
    </row>
    <row r="1087" spans="1:26" x14ac:dyDescent="0.3">
      <c r="A1087" s="28" t="s">
        <v>42</v>
      </c>
      <c r="B1087" s="6" t="s">
        <v>1337</v>
      </c>
      <c r="C1087" s="6"/>
      <c r="D1087" s="6" t="s">
        <v>2295</v>
      </c>
      <c r="E1087" s="6">
        <v>1</v>
      </c>
      <c r="F1087" s="6" t="s">
        <v>2004</v>
      </c>
      <c r="G1087" s="32" t="s">
        <v>2299</v>
      </c>
      <c r="H1087" s="32" t="s">
        <v>2300</v>
      </c>
      <c r="I1087" s="6" t="str">
        <f t="shared" si="36"/>
        <v>ETC</v>
      </c>
      <c r="J1087" s="6" t="s">
        <v>378</v>
      </c>
      <c r="K1087" s="6">
        <v>1</v>
      </c>
      <c r="L1087" s="6">
        <f t="shared" si="37"/>
        <v>350000</v>
      </c>
      <c r="M1087" s="6">
        <v>300000</v>
      </c>
      <c r="N1087" s="6" t="s">
        <v>2003</v>
      </c>
      <c r="O1087" s="6" t="s">
        <v>798</v>
      </c>
      <c r="P1087" s="6">
        <v>2017</v>
      </c>
      <c r="Q1087" s="6">
        <v>1</v>
      </c>
      <c r="R1087" s="6" t="s">
        <v>45</v>
      </c>
      <c r="S1087" s="31" t="s">
        <v>2113</v>
      </c>
      <c r="T1087" s="6">
        <v>1</v>
      </c>
      <c r="U1087" s="26">
        <v>250000</v>
      </c>
      <c r="V1087" s="26">
        <v>250000</v>
      </c>
      <c r="W1087" s="26">
        <v>250000</v>
      </c>
      <c r="X1087" s="6" t="s">
        <v>2003</v>
      </c>
      <c r="Y1087" s="6" t="s">
        <v>71</v>
      </c>
      <c r="Z1087" s="6">
        <v>227473</v>
      </c>
    </row>
    <row r="1088" spans="1:26" x14ac:dyDescent="0.3">
      <c r="A1088" s="28" t="s">
        <v>42</v>
      </c>
      <c r="B1088" s="6" t="s">
        <v>1326</v>
      </c>
      <c r="C1088" s="6" t="s">
        <v>1973</v>
      </c>
      <c r="D1088" s="6" t="s">
        <v>2291</v>
      </c>
      <c r="E1088" s="6">
        <v>1</v>
      </c>
      <c r="F1088" s="6" t="s">
        <v>2004</v>
      </c>
      <c r="G1088" s="32" t="s">
        <v>2299</v>
      </c>
      <c r="H1088" s="32" t="s">
        <v>2300</v>
      </c>
      <c r="I1088" s="6" t="str">
        <f t="shared" si="36"/>
        <v>Wood Grapple</v>
      </c>
      <c r="J1088" s="6" t="s">
        <v>127</v>
      </c>
      <c r="K1088" s="6">
        <v>1</v>
      </c>
      <c r="L1088" s="6">
        <f t="shared" si="37"/>
        <v>2580000</v>
      </c>
      <c r="M1088" s="6">
        <v>2200000</v>
      </c>
      <c r="N1088" s="6" t="s">
        <v>2003</v>
      </c>
      <c r="O1088" s="6" t="s">
        <v>54</v>
      </c>
      <c r="P1088" s="6">
        <v>2010</v>
      </c>
      <c r="Q1088" s="6">
        <v>1</v>
      </c>
      <c r="R1088" s="6" t="s">
        <v>45</v>
      </c>
      <c r="S1088" s="31" t="s">
        <v>2114</v>
      </c>
      <c r="T1088" s="6">
        <v>1</v>
      </c>
      <c r="U1088" s="26">
        <v>2000000</v>
      </c>
      <c r="V1088" s="26">
        <v>2000000</v>
      </c>
      <c r="W1088" s="26">
        <v>2000000</v>
      </c>
      <c r="X1088" s="6" t="s">
        <v>2003</v>
      </c>
      <c r="Y1088" s="6" t="s">
        <v>54</v>
      </c>
      <c r="Z1088" s="6">
        <v>227474</v>
      </c>
    </row>
    <row r="1089" spans="1:26" x14ac:dyDescent="0.3">
      <c r="A1089" s="28" t="s">
        <v>42</v>
      </c>
      <c r="B1089" s="6" t="s">
        <v>1325</v>
      </c>
      <c r="C1089" s="6" t="s">
        <v>1978</v>
      </c>
      <c r="D1089" s="6" t="s">
        <v>2290</v>
      </c>
      <c r="E1089" s="6">
        <v>1</v>
      </c>
      <c r="F1089" s="6" t="s">
        <v>2004</v>
      </c>
      <c r="G1089" s="32" t="s">
        <v>2299</v>
      </c>
      <c r="H1089" s="32" t="s">
        <v>2300</v>
      </c>
      <c r="I1089" s="6" t="str">
        <f t="shared" si="36"/>
        <v>Hydraulic Pulverizer</v>
      </c>
      <c r="J1089" s="6" t="s">
        <v>753</v>
      </c>
      <c r="K1089" s="6">
        <v>1</v>
      </c>
      <c r="L1089" s="6">
        <f t="shared" si="37"/>
        <v>7640000</v>
      </c>
      <c r="M1089" s="6">
        <v>6500000</v>
      </c>
      <c r="N1089" s="6" t="s">
        <v>2003</v>
      </c>
      <c r="O1089" s="6" t="s">
        <v>813</v>
      </c>
      <c r="P1089" s="6">
        <v>2013</v>
      </c>
      <c r="Q1089" s="6">
        <v>1</v>
      </c>
      <c r="R1089" s="6" t="s">
        <v>45</v>
      </c>
      <c r="S1089" s="31" t="s">
        <v>2113</v>
      </c>
      <c r="T1089" s="6">
        <v>1</v>
      </c>
      <c r="U1089" s="26">
        <v>6000000</v>
      </c>
      <c r="V1089" s="26">
        <v>6000000</v>
      </c>
      <c r="W1089" s="26">
        <v>6000000</v>
      </c>
      <c r="X1089" s="6" t="s">
        <v>2003</v>
      </c>
      <c r="Y1089" s="6" t="s">
        <v>80</v>
      </c>
      <c r="Z1089" s="6">
        <v>227476</v>
      </c>
    </row>
    <row r="1090" spans="1:26" x14ac:dyDescent="0.3">
      <c r="A1090" s="28" t="s">
        <v>42</v>
      </c>
      <c r="B1090" s="6" t="s">
        <v>1328</v>
      </c>
      <c r="C1090" s="6" t="s">
        <v>1975</v>
      </c>
      <c r="D1090" s="6" t="s">
        <v>2290</v>
      </c>
      <c r="E1090" s="6">
        <v>1</v>
      </c>
      <c r="F1090" s="6" t="s">
        <v>2004</v>
      </c>
      <c r="G1090" s="32" t="s">
        <v>2299</v>
      </c>
      <c r="H1090" s="32" t="s">
        <v>2300</v>
      </c>
      <c r="I1090" s="6" t="str">
        <f t="shared" si="36"/>
        <v>Side Breaker</v>
      </c>
      <c r="J1090" s="6" t="s">
        <v>1942</v>
      </c>
      <c r="K1090" s="6">
        <v>1</v>
      </c>
      <c r="L1090" s="6">
        <f t="shared" si="37"/>
        <v>10580000</v>
      </c>
      <c r="M1090" s="6">
        <v>9000000</v>
      </c>
      <c r="N1090" s="6" t="s">
        <v>2003</v>
      </c>
      <c r="O1090" s="6" t="s">
        <v>1833</v>
      </c>
      <c r="P1090" s="6">
        <v>2016</v>
      </c>
      <c r="Q1090" s="6">
        <v>6</v>
      </c>
      <c r="R1090" s="6" t="s">
        <v>45</v>
      </c>
      <c r="S1090" s="31" t="s">
        <v>2118</v>
      </c>
      <c r="T1090" s="6">
        <v>1</v>
      </c>
      <c r="U1090" s="26">
        <v>8500000</v>
      </c>
      <c r="V1090" s="26">
        <v>8500000</v>
      </c>
      <c r="W1090" s="26">
        <v>8500000</v>
      </c>
      <c r="X1090" s="6" t="s">
        <v>2003</v>
      </c>
      <c r="Y1090" s="6" t="s">
        <v>63</v>
      </c>
      <c r="Z1090" s="6">
        <v>227477</v>
      </c>
    </row>
    <row r="1091" spans="1:26" x14ac:dyDescent="0.3">
      <c r="A1091" s="28" t="s">
        <v>42</v>
      </c>
      <c r="B1091" s="6" t="s">
        <v>2172</v>
      </c>
      <c r="C1091" s="6"/>
      <c r="D1091" s="6" t="s">
        <v>2292</v>
      </c>
      <c r="E1091" s="6">
        <v>1</v>
      </c>
      <c r="F1091" s="6" t="s">
        <v>2004</v>
      </c>
      <c r="G1091" s="32" t="s">
        <v>2299</v>
      </c>
      <c r="H1091" s="32" t="s">
        <v>2300</v>
      </c>
      <c r="I1091" s="6" t="str">
        <f t="shared" si="36"/>
        <v>Quick Coupler</v>
      </c>
      <c r="J1091" s="6" t="s">
        <v>259</v>
      </c>
      <c r="K1091" s="6">
        <v>1</v>
      </c>
      <c r="L1091" s="6">
        <f t="shared" si="37"/>
        <v>940000</v>
      </c>
      <c r="M1091" s="6">
        <v>800000</v>
      </c>
      <c r="N1091" s="6" t="s">
        <v>2003</v>
      </c>
      <c r="O1091" s="6" t="s">
        <v>2007</v>
      </c>
      <c r="P1091" s="6">
        <v>2015</v>
      </c>
      <c r="Q1091" s="6">
        <v>1</v>
      </c>
      <c r="R1091" s="6" t="s">
        <v>45</v>
      </c>
      <c r="S1091" s="31" t="s">
        <v>2113</v>
      </c>
      <c r="T1091" s="6">
        <v>1</v>
      </c>
      <c r="U1091" s="26">
        <v>700000</v>
      </c>
      <c r="V1091" s="26">
        <v>700000</v>
      </c>
      <c r="W1091" s="26">
        <v>700000</v>
      </c>
      <c r="X1091" s="6" t="s">
        <v>2003</v>
      </c>
      <c r="Y1091" s="6" t="s">
        <v>49</v>
      </c>
      <c r="Z1091" s="6">
        <v>227480</v>
      </c>
    </row>
    <row r="1092" spans="1:26" x14ac:dyDescent="0.3">
      <c r="A1092" s="28" t="s">
        <v>42</v>
      </c>
      <c r="B1092" s="6" t="s">
        <v>1327</v>
      </c>
      <c r="C1092" s="6" t="s">
        <v>1977</v>
      </c>
      <c r="D1092" s="6" t="s">
        <v>2292</v>
      </c>
      <c r="E1092" s="6">
        <v>1</v>
      </c>
      <c r="F1092" s="6" t="s">
        <v>2004</v>
      </c>
      <c r="G1092" s="32" t="s">
        <v>2299</v>
      </c>
      <c r="H1092" s="32" t="s">
        <v>2300</v>
      </c>
      <c r="I1092" s="6" t="str">
        <f t="shared" si="36"/>
        <v>Wide Bucket</v>
      </c>
      <c r="J1092" s="6" t="s">
        <v>123</v>
      </c>
      <c r="K1092" s="6">
        <v>1</v>
      </c>
      <c r="L1092" s="6">
        <f t="shared" si="37"/>
        <v>1410000</v>
      </c>
      <c r="M1092" s="6">
        <v>1200000</v>
      </c>
      <c r="N1092" s="6" t="s">
        <v>2003</v>
      </c>
      <c r="O1092" s="6" t="s">
        <v>813</v>
      </c>
      <c r="P1092" s="6">
        <v>2013</v>
      </c>
      <c r="Q1092" s="6">
        <v>1</v>
      </c>
      <c r="R1092" s="6" t="s">
        <v>45</v>
      </c>
      <c r="S1092" s="31" t="s">
        <v>2113</v>
      </c>
      <c r="T1092" s="6">
        <v>1</v>
      </c>
      <c r="U1092" s="26">
        <v>1100000</v>
      </c>
      <c r="V1092" s="26">
        <v>1100000</v>
      </c>
      <c r="W1092" s="26">
        <v>1100000</v>
      </c>
      <c r="X1092" s="6" t="s">
        <v>2003</v>
      </c>
      <c r="Y1092" s="6" t="s">
        <v>80</v>
      </c>
      <c r="Z1092" s="6">
        <v>227485</v>
      </c>
    </row>
    <row r="1093" spans="1:26" x14ac:dyDescent="0.3">
      <c r="A1093" s="28" t="s">
        <v>42</v>
      </c>
      <c r="B1093" s="6" t="s">
        <v>1326</v>
      </c>
      <c r="C1093" s="6" t="s">
        <v>1972</v>
      </c>
      <c r="D1093" s="6" t="s">
        <v>2292</v>
      </c>
      <c r="E1093" s="6">
        <v>1</v>
      </c>
      <c r="F1093" s="6" t="s">
        <v>2004</v>
      </c>
      <c r="G1093" s="32" t="s">
        <v>2299</v>
      </c>
      <c r="H1093" s="32" t="s">
        <v>2300</v>
      </c>
      <c r="I1093" s="6" t="str">
        <f t="shared" si="36"/>
        <v>Stone Grapple</v>
      </c>
      <c r="J1093" s="6" t="s">
        <v>58</v>
      </c>
      <c r="K1093" s="6">
        <v>1</v>
      </c>
      <c r="L1093" s="6">
        <f t="shared" si="37"/>
        <v>3050000</v>
      </c>
      <c r="M1093" s="6">
        <v>2600000</v>
      </c>
      <c r="N1093" s="6" t="s">
        <v>2003</v>
      </c>
      <c r="O1093" s="6" t="s">
        <v>813</v>
      </c>
      <c r="P1093" s="6">
        <v>2014</v>
      </c>
      <c r="Q1093" s="6">
        <v>1</v>
      </c>
      <c r="R1093" s="6" t="s">
        <v>45</v>
      </c>
      <c r="S1093" s="31" t="s">
        <v>2113</v>
      </c>
      <c r="T1093" s="6">
        <v>1</v>
      </c>
      <c r="U1093" s="26">
        <v>2400000</v>
      </c>
      <c r="V1093" s="26">
        <v>2400000</v>
      </c>
      <c r="W1093" s="26">
        <v>2400000</v>
      </c>
      <c r="X1093" s="6" t="s">
        <v>2003</v>
      </c>
      <c r="Y1093" s="6" t="s">
        <v>79</v>
      </c>
      <c r="Z1093" s="6">
        <v>227487</v>
      </c>
    </row>
    <row r="1094" spans="1:26" x14ac:dyDescent="0.3">
      <c r="A1094" s="28" t="s">
        <v>42</v>
      </c>
      <c r="B1094" s="6" t="s">
        <v>1327</v>
      </c>
      <c r="C1094" s="6" t="s">
        <v>1976</v>
      </c>
      <c r="D1094" s="6" t="s">
        <v>2292</v>
      </c>
      <c r="E1094" s="6">
        <v>1</v>
      </c>
      <c r="F1094" s="6" t="s">
        <v>2004</v>
      </c>
      <c r="G1094" s="32" t="s">
        <v>2299</v>
      </c>
      <c r="H1094" s="32" t="s">
        <v>2300</v>
      </c>
      <c r="I1094" s="6" t="str">
        <f t="shared" si="36"/>
        <v>Skeleton Bucket</v>
      </c>
      <c r="J1094" s="6" t="s">
        <v>455</v>
      </c>
      <c r="K1094" s="6">
        <v>1</v>
      </c>
      <c r="L1094" s="6">
        <f t="shared" si="37"/>
        <v>1050000</v>
      </c>
      <c r="M1094" s="6">
        <v>900000</v>
      </c>
      <c r="N1094" s="6" t="s">
        <v>2003</v>
      </c>
      <c r="O1094" s="6" t="s">
        <v>813</v>
      </c>
      <c r="P1094" s="6">
        <v>2013</v>
      </c>
      <c r="Q1094" s="6">
        <v>1</v>
      </c>
      <c r="R1094" s="6" t="s">
        <v>45</v>
      </c>
      <c r="S1094" s="31" t="s">
        <v>2113</v>
      </c>
      <c r="T1094" s="6">
        <v>1</v>
      </c>
      <c r="U1094" s="26">
        <v>800000</v>
      </c>
      <c r="V1094" s="26">
        <v>800000</v>
      </c>
      <c r="W1094" s="26">
        <v>800000</v>
      </c>
      <c r="X1094" s="6" t="s">
        <v>2003</v>
      </c>
      <c r="Y1094" s="6" t="s">
        <v>80</v>
      </c>
      <c r="Z1094" s="6">
        <v>227491</v>
      </c>
    </row>
    <row r="1095" spans="1:26" x14ac:dyDescent="0.3">
      <c r="A1095" s="28" t="s">
        <v>42</v>
      </c>
      <c r="B1095" s="6" t="s">
        <v>1327</v>
      </c>
      <c r="C1095" s="6" t="s">
        <v>1976</v>
      </c>
      <c r="D1095" s="6" t="s">
        <v>2292</v>
      </c>
      <c r="E1095" s="6">
        <v>1</v>
      </c>
      <c r="F1095" s="6" t="s">
        <v>2004</v>
      </c>
      <c r="G1095" s="32" t="s">
        <v>2299</v>
      </c>
      <c r="H1095" s="32" t="s">
        <v>2300</v>
      </c>
      <c r="I1095" s="6" t="str">
        <f t="shared" si="36"/>
        <v>Skeleton Bucket</v>
      </c>
      <c r="J1095" s="6" t="s">
        <v>62</v>
      </c>
      <c r="K1095" s="6">
        <v>1</v>
      </c>
      <c r="L1095" s="6">
        <f t="shared" si="37"/>
        <v>1050000</v>
      </c>
      <c r="M1095" s="6">
        <v>900000</v>
      </c>
      <c r="N1095" s="6" t="s">
        <v>2003</v>
      </c>
      <c r="O1095" s="6" t="s">
        <v>813</v>
      </c>
      <c r="P1095" s="6">
        <v>2013</v>
      </c>
      <c r="Q1095" s="6">
        <v>1</v>
      </c>
      <c r="R1095" s="6" t="s">
        <v>45</v>
      </c>
      <c r="S1095" s="31" t="s">
        <v>2113</v>
      </c>
      <c r="T1095" s="6">
        <v>1</v>
      </c>
      <c r="U1095" s="26">
        <v>800000</v>
      </c>
      <c r="V1095" s="26">
        <v>800000</v>
      </c>
      <c r="W1095" s="26">
        <v>800000</v>
      </c>
      <c r="X1095" s="6" t="s">
        <v>2003</v>
      </c>
      <c r="Y1095" s="6" t="s">
        <v>79</v>
      </c>
      <c r="Z1095" s="6">
        <v>227492</v>
      </c>
    </row>
    <row r="1096" spans="1:26" x14ac:dyDescent="0.3">
      <c r="A1096" s="28" t="s">
        <v>42</v>
      </c>
      <c r="B1096" s="6" t="s">
        <v>1328</v>
      </c>
      <c r="C1096" s="6" t="s">
        <v>1975</v>
      </c>
      <c r="D1096" s="6" t="s">
        <v>2292</v>
      </c>
      <c r="E1096" s="6">
        <v>1</v>
      </c>
      <c r="F1096" s="6" t="s">
        <v>2004</v>
      </c>
      <c r="G1096" s="32" t="s">
        <v>2299</v>
      </c>
      <c r="H1096" s="32" t="s">
        <v>2300</v>
      </c>
      <c r="I1096" s="6" t="str">
        <f t="shared" si="36"/>
        <v>Side Breaker</v>
      </c>
      <c r="J1096" s="6" t="s">
        <v>146</v>
      </c>
      <c r="K1096" s="6">
        <v>1</v>
      </c>
      <c r="L1096" s="6">
        <f t="shared" si="37"/>
        <v>4110000</v>
      </c>
      <c r="M1096" s="6">
        <v>3500000</v>
      </c>
      <c r="N1096" s="6" t="s">
        <v>2003</v>
      </c>
      <c r="O1096" s="6" t="s">
        <v>816</v>
      </c>
      <c r="P1096" s="6">
        <v>2010</v>
      </c>
      <c r="Q1096" s="6">
        <v>1</v>
      </c>
      <c r="R1096" s="6" t="s">
        <v>45</v>
      </c>
      <c r="S1096" s="31" t="s">
        <v>2118</v>
      </c>
      <c r="T1096" s="6">
        <v>1</v>
      </c>
      <c r="U1096" s="26">
        <v>3300000</v>
      </c>
      <c r="V1096" s="26">
        <v>3300000</v>
      </c>
      <c r="W1096" s="26">
        <v>3300000</v>
      </c>
      <c r="X1096" s="6" t="s">
        <v>2003</v>
      </c>
      <c r="Y1096" s="6" t="s">
        <v>67</v>
      </c>
      <c r="Z1096" s="6">
        <v>227495</v>
      </c>
    </row>
    <row r="1097" spans="1:26" x14ac:dyDescent="0.3">
      <c r="A1097" s="28" t="s">
        <v>42</v>
      </c>
      <c r="B1097" s="6" t="s">
        <v>1327</v>
      </c>
      <c r="C1097" s="6" t="s">
        <v>1976</v>
      </c>
      <c r="D1097" s="6" t="s">
        <v>2001</v>
      </c>
      <c r="E1097" s="6">
        <v>1</v>
      </c>
      <c r="F1097" s="6" t="s">
        <v>2004</v>
      </c>
      <c r="G1097" s="32" t="s">
        <v>2299</v>
      </c>
      <c r="H1097" s="32" t="s">
        <v>2300</v>
      </c>
      <c r="I1097" s="6" t="str">
        <f t="shared" si="36"/>
        <v>Skeleton Bucket</v>
      </c>
      <c r="J1097" s="6" t="s">
        <v>336</v>
      </c>
      <c r="K1097" s="6">
        <v>1</v>
      </c>
      <c r="L1097" s="6">
        <f t="shared" si="37"/>
        <v>2580000</v>
      </c>
      <c r="M1097" s="6">
        <v>2200000</v>
      </c>
      <c r="N1097" s="6" t="s">
        <v>2003</v>
      </c>
      <c r="O1097" s="6" t="s">
        <v>2011</v>
      </c>
      <c r="P1097" s="6">
        <v>2010</v>
      </c>
      <c r="Q1097" s="6">
        <v>6</v>
      </c>
      <c r="R1097" s="6" t="s">
        <v>45</v>
      </c>
      <c r="S1097" s="31" t="s">
        <v>2123</v>
      </c>
      <c r="T1097" s="6">
        <v>1</v>
      </c>
      <c r="U1097" s="26">
        <v>2000000</v>
      </c>
      <c r="V1097" s="26">
        <v>2000000</v>
      </c>
      <c r="W1097" s="26">
        <v>2000000</v>
      </c>
      <c r="X1097" s="6" t="s">
        <v>2003</v>
      </c>
      <c r="Y1097" s="6" t="s">
        <v>1200</v>
      </c>
      <c r="Z1097" s="6">
        <v>227496</v>
      </c>
    </row>
    <row r="1098" spans="1:26" x14ac:dyDescent="0.3">
      <c r="A1098" s="28" t="s">
        <v>42</v>
      </c>
      <c r="B1098" s="6" t="s">
        <v>1328</v>
      </c>
      <c r="C1098" s="6" t="s">
        <v>1975</v>
      </c>
      <c r="D1098" s="6" t="s">
        <v>2292</v>
      </c>
      <c r="E1098" s="6">
        <v>1</v>
      </c>
      <c r="F1098" s="6" t="s">
        <v>2004</v>
      </c>
      <c r="G1098" s="32" t="s">
        <v>2299</v>
      </c>
      <c r="H1098" s="32" t="s">
        <v>2300</v>
      </c>
      <c r="I1098" s="6" t="str">
        <f t="shared" si="36"/>
        <v>Side Breaker</v>
      </c>
      <c r="J1098" s="6" t="s">
        <v>119</v>
      </c>
      <c r="K1098" s="6">
        <v>1</v>
      </c>
      <c r="L1098" s="6">
        <f t="shared" si="37"/>
        <v>3520000</v>
      </c>
      <c r="M1098" s="6">
        <v>3000000</v>
      </c>
      <c r="N1098" s="6" t="s">
        <v>2003</v>
      </c>
      <c r="O1098" s="6" t="s">
        <v>1915</v>
      </c>
      <c r="P1098" s="6">
        <v>2015</v>
      </c>
      <c r="Q1098" s="6">
        <v>5</v>
      </c>
      <c r="R1098" s="6" t="s">
        <v>45</v>
      </c>
      <c r="S1098" s="31" t="s">
        <v>2119</v>
      </c>
      <c r="T1098" s="6">
        <v>1</v>
      </c>
      <c r="U1098" s="26">
        <v>2800000</v>
      </c>
      <c r="V1098" s="26">
        <v>2800000</v>
      </c>
      <c r="W1098" s="26">
        <v>2800000</v>
      </c>
      <c r="X1098" s="6" t="s">
        <v>2003</v>
      </c>
      <c r="Y1098" s="6" t="s">
        <v>1165</v>
      </c>
      <c r="Z1098" s="6">
        <v>227504</v>
      </c>
    </row>
    <row r="1099" spans="1:26" x14ac:dyDescent="0.3">
      <c r="A1099" s="28" t="s">
        <v>42</v>
      </c>
      <c r="B1099" s="6" t="s">
        <v>1378</v>
      </c>
      <c r="C1099" s="6"/>
      <c r="D1099" s="6" t="s">
        <v>2001</v>
      </c>
      <c r="E1099" s="6">
        <v>1</v>
      </c>
      <c r="F1099" s="6" t="s">
        <v>2004</v>
      </c>
      <c r="G1099" s="32" t="s">
        <v>2299</v>
      </c>
      <c r="H1099" s="32" t="s">
        <v>2300</v>
      </c>
      <c r="I1099" s="6" t="str">
        <f t="shared" ref="I1099:I1118" si="38">IF(ISBLANK(C1099),B1099,C1099)</f>
        <v>Shear&amp;Cutter</v>
      </c>
      <c r="J1099" s="6" t="s">
        <v>1965</v>
      </c>
      <c r="K1099" s="6">
        <v>1</v>
      </c>
      <c r="L1099" s="6">
        <f t="shared" ref="L1099:L1118" si="39">FLOOR(((M1099*100)/85)/10000, 1)*10000</f>
        <v>18230000</v>
      </c>
      <c r="M1099" s="6">
        <v>15500000</v>
      </c>
      <c r="N1099" s="6" t="s">
        <v>2003</v>
      </c>
      <c r="O1099" s="6" t="s">
        <v>1916</v>
      </c>
      <c r="P1099" s="6">
        <v>2009</v>
      </c>
      <c r="Q1099" s="6">
        <v>1</v>
      </c>
      <c r="R1099" s="6" t="s">
        <v>45</v>
      </c>
      <c r="S1099" s="31" t="s">
        <v>2116</v>
      </c>
      <c r="T1099" s="6">
        <v>1</v>
      </c>
      <c r="U1099" s="26">
        <v>15000000</v>
      </c>
      <c r="V1099" s="26">
        <v>15000000</v>
      </c>
      <c r="W1099" s="26">
        <v>15000000</v>
      </c>
      <c r="X1099" s="6" t="s">
        <v>2003</v>
      </c>
      <c r="Y1099" s="6" t="s">
        <v>1207</v>
      </c>
      <c r="Z1099" s="6">
        <v>227505</v>
      </c>
    </row>
    <row r="1100" spans="1:26" x14ac:dyDescent="0.3">
      <c r="A1100" s="28" t="s">
        <v>42</v>
      </c>
      <c r="B1100" s="6" t="s">
        <v>1337</v>
      </c>
      <c r="C1100" s="6"/>
      <c r="D1100" s="6" t="s">
        <v>2292</v>
      </c>
      <c r="E1100" s="6">
        <v>1</v>
      </c>
      <c r="F1100" s="6" t="s">
        <v>2004</v>
      </c>
      <c r="G1100" s="32" t="s">
        <v>2299</v>
      </c>
      <c r="H1100" s="32" t="s">
        <v>2300</v>
      </c>
      <c r="I1100" s="6" t="str">
        <f t="shared" si="38"/>
        <v>ETC</v>
      </c>
      <c r="J1100" s="6" t="s">
        <v>405</v>
      </c>
      <c r="K1100" s="6">
        <v>1</v>
      </c>
      <c r="L1100" s="6">
        <f t="shared" si="39"/>
        <v>14700000</v>
      </c>
      <c r="M1100" s="6">
        <v>12500000</v>
      </c>
      <c r="N1100" s="6" t="s">
        <v>2003</v>
      </c>
      <c r="O1100" s="6" t="s">
        <v>813</v>
      </c>
      <c r="P1100" s="6">
        <v>2014</v>
      </c>
      <c r="Q1100" s="6">
        <v>1</v>
      </c>
      <c r="R1100" s="6" t="s">
        <v>45</v>
      </c>
      <c r="S1100" s="31" t="s">
        <v>2113</v>
      </c>
      <c r="T1100" s="6">
        <v>1</v>
      </c>
      <c r="U1100" s="26">
        <v>12000000</v>
      </c>
      <c r="V1100" s="26">
        <v>12000000</v>
      </c>
      <c r="W1100" s="26">
        <v>12000000</v>
      </c>
      <c r="X1100" s="6" t="s">
        <v>2003</v>
      </c>
      <c r="Y1100" s="6" t="s">
        <v>80</v>
      </c>
      <c r="Z1100" s="6">
        <v>227509</v>
      </c>
    </row>
    <row r="1101" spans="1:26" x14ac:dyDescent="0.3">
      <c r="A1101" s="28" t="s">
        <v>42</v>
      </c>
      <c r="B1101" s="6" t="s">
        <v>1327</v>
      </c>
      <c r="C1101" s="6" t="s">
        <v>1977</v>
      </c>
      <c r="D1101" s="6" t="s">
        <v>2291</v>
      </c>
      <c r="E1101" s="6">
        <v>1</v>
      </c>
      <c r="F1101" s="6" t="s">
        <v>2004</v>
      </c>
      <c r="G1101" s="32" t="s">
        <v>2299</v>
      </c>
      <c r="H1101" s="32" t="s">
        <v>2300</v>
      </c>
      <c r="I1101" s="6" t="str">
        <f t="shared" si="38"/>
        <v>Wide Bucket</v>
      </c>
      <c r="J1101" s="6" t="s">
        <v>361</v>
      </c>
      <c r="K1101" s="6">
        <v>1</v>
      </c>
      <c r="L1101" s="6">
        <f t="shared" si="39"/>
        <v>580000</v>
      </c>
      <c r="M1101" s="6">
        <v>500000</v>
      </c>
      <c r="N1101" s="6" t="s">
        <v>2003</v>
      </c>
      <c r="O1101" s="6" t="s">
        <v>2099</v>
      </c>
      <c r="P1101" s="6">
        <v>2017</v>
      </c>
      <c r="Q1101" s="6">
        <v>2</v>
      </c>
      <c r="R1101" s="6" t="s">
        <v>45</v>
      </c>
      <c r="S1101" s="31" t="s">
        <v>2124</v>
      </c>
      <c r="T1101" s="6">
        <v>1</v>
      </c>
      <c r="U1101" s="26">
        <v>450000</v>
      </c>
      <c r="V1101" s="26">
        <v>450000</v>
      </c>
      <c r="W1101" s="26">
        <v>450000</v>
      </c>
      <c r="X1101" s="6" t="s">
        <v>2003</v>
      </c>
      <c r="Y1101" s="6" t="s">
        <v>1144</v>
      </c>
      <c r="Z1101" s="6">
        <v>227512</v>
      </c>
    </row>
    <row r="1102" spans="1:26" x14ac:dyDescent="0.3">
      <c r="A1102" s="28" t="s">
        <v>42</v>
      </c>
      <c r="B1102" s="6" t="s">
        <v>1326</v>
      </c>
      <c r="C1102" s="6" t="s">
        <v>1972</v>
      </c>
      <c r="D1102" s="6" t="s">
        <v>2291</v>
      </c>
      <c r="E1102" s="6">
        <v>1</v>
      </c>
      <c r="F1102" s="6" t="s">
        <v>2004</v>
      </c>
      <c r="G1102" s="32" t="s">
        <v>2299</v>
      </c>
      <c r="H1102" s="32" t="s">
        <v>2300</v>
      </c>
      <c r="I1102" s="6" t="str">
        <f t="shared" si="38"/>
        <v>Stone Grapple</v>
      </c>
      <c r="J1102" s="6" t="s">
        <v>470</v>
      </c>
      <c r="K1102" s="6">
        <v>1</v>
      </c>
      <c r="L1102" s="6">
        <f t="shared" si="39"/>
        <v>2000000</v>
      </c>
      <c r="M1102" s="6">
        <v>1700000</v>
      </c>
      <c r="N1102" s="6" t="s">
        <v>2003</v>
      </c>
      <c r="O1102" s="6" t="s">
        <v>2033</v>
      </c>
      <c r="P1102" s="6">
        <v>2010</v>
      </c>
      <c r="Q1102" s="6">
        <v>5</v>
      </c>
      <c r="R1102" s="6" t="s">
        <v>45</v>
      </c>
      <c r="S1102" s="31" t="s">
        <v>2122</v>
      </c>
      <c r="T1102" s="6">
        <v>1</v>
      </c>
      <c r="U1102" s="26">
        <v>1600000</v>
      </c>
      <c r="V1102" s="26">
        <v>1600000</v>
      </c>
      <c r="W1102" s="26">
        <v>1600000</v>
      </c>
      <c r="X1102" s="6" t="s">
        <v>2003</v>
      </c>
      <c r="Y1102" s="6" t="s">
        <v>1218</v>
      </c>
      <c r="Z1102" s="6">
        <v>227514</v>
      </c>
    </row>
    <row r="1103" spans="1:26" x14ac:dyDescent="0.3">
      <c r="A1103" s="28" t="s">
        <v>42</v>
      </c>
      <c r="B1103" s="6" t="s">
        <v>1328</v>
      </c>
      <c r="C1103" s="6" t="s">
        <v>1975</v>
      </c>
      <c r="D1103" s="6" t="s">
        <v>2291</v>
      </c>
      <c r="E1103" s="6">
        <v>1</v>
      </c>
      <c r="F1103" s="6" t="s">
        <v>2004</v>
      </c>
      <c r="G1103" s="32" t="s">
        <v>2299</v>
      </c>
      <c r="H1103" s="32" t="s">
        <v>2300</v>
      </c>
      <c r="I1103" s="6" t="str">
        <f t="shared" si="38"/>
        <v>Side Breaker</v>
      </c>
      <c r="J1103" s="6" t="s">
        <v>160</v>
      </c>
      <c r="K1103" s="6">
        <v>1</v>
      </c>
      <c r="L1103" s="6">
        <f t="shared" si="39"/>
        <v>1760000</v>
      </c>
      <c r="M1103" s="6">
        <v>1500000</v>
      </c>
      <c r="N1103" s="6" t="s">
        <v>2003</v>
      </c>
      <c r="O1103" s="6" t="s">
        <v>816</v>
      </c>
      <c r="P1103" s="6">
        <v>2015</v>
      </c>
      <c r="Q1103" s="6">
        <v>1</v>
      </c>
      <c r="R1103" s="6" t="s">
        <v>45</v>
      </c>
      <c r="S1103" s="31" t="s">
        <v>2119</v>
      </c>
      <c r="T1103" s="6">
        <v>1</v>
      </c>
      <c r="U1103" s="26">
        <v>1400000</v>
      </c>
      <c r="V1103" s="26">
        <v>1400000</v>
      </c>
      <c r="W1103" s="26">
        <v>1400000</v>
      </c>
      <c r="X1103" s="6" t="s">
        <v>2003</v>
      </c>
      <c r="Y1103" s="6" t="s">
        <v>1165</v>
      </c>
      <c r="Z1103" s="6">
        <v>227515</v>
      </c>
    </row>
    <row r="1104" spans="1:26" x14ac:dyDescent="0.3">
      <c r="A1104" s="28" t="s">
        <v>42</v>
      </c>
      <c r="B1104" s="6" t="s">
        <v>1326</v>
      </c>
      <c r="C1104" s="6" t="s">
        <v>1972</v>
      </c>
      <c r="D1104" s="6" t="s">
        <v>2292</v>
      </c>
      <c r="E1104" s="6">
        <v>1</v>
      </c>
      <c r="F1104" s="6" t="s">
        <v>2004</v>
      </c>
      <c r="G1104" s="32" t="s">
        <v>2299</v>
      </c>
      <c r="H1104" s="32" t="s">
        <v>2300</v>
      </c>
      <c r="I1104" s="6" t="str">
        <f t="shared" si="38"/>
        <v>Stone Grapple</v>
      </c>
      <c r="J1104" s="6" t="s">
        <v>44</v>
      </c>
      <c r="K1104" s="6">
        <v>1</v>
      </c>
      <c r="L1104" s="6">
        <f t="shared" si="39"/>
        <v>2700000</v>
      </c>
      <c r="M1104" s="6">
        <v>2300000</v>
      </c>
      <c r="N1104" s="6" t="s">
        <v>2003</v>
      </c>
      <c r="O1104" s="6" t="s">
        <v>808</v>
      </c>
      <c r="P1104" s="6">
        <v>2014</v>
      </c>
      <c r="Q1104" s="6">
        <v>1</v>
      </c>
      <c r="R1104" s="6" t="s">
        <v>45</v>
      </c>
      <c r="S1104" s="31" t="s">
        <v>2114</v>
      </c>
      <c r="T1104" s="6">
        <v>1</v>
      </c>
      <c r="U1104" s="26">
        <v>2100000</v>
      </c>
      <c r="V1104" s="26">
        <v>2100000</v>
      </c>
      <c r="W1104" s="26">
        <v>2100000</v>
      </c>
      <c r="X1104" s="6" t="s">
        <v>2003</v>
      </c>
      <c r="Y1104" s="6" t="s">
        <v>57</v>
      </c>
      <c r="Z1104" s="6">
        <v>227517</v>
      </c>
    </row>
    <row r="1105" spans="1:26" x14ac:dyDescent="0.3">
      <c r="A1105" s="28" t="s">
        <v>42</v>
      </c>
      <c r="B1105" s="6" t="s">
        <v>1326</v>
      </c>
      <c r="C1105" s="19" t="s">
        <v>1974</v>
      </c>
      <c r="D1105" s="6" t="s">
        <v>2001</v>
      </c>
      <c r="E1105" s="6">
        <v>1</v>
      </c>
      <c r="F1105" s="6" t="s">
        <v>2004</v>
      </c>
      <c r="G1105" s="32" t="s">
        <v>2299</v>
      </c>
      <c r="H1105" s="32" t="s">
        <v>2300</v>
      </c>
      <c r="I1105" s="6" t="str">
        <f t="shared" si="38"/>
        <v>Etc Grapple</v>
      </c>
      <c r="J1105" s="6" t="s">
        <v>1966</v>
      </c>
      <c r="K1105" s="6">
        <v>1</v>
      </c>
      <c r="L1105" s="6">
        <f t="shared" si="39"/>
        <v>14700000</v>
      </c>
      <c r="M1105" s="6">
        <v>12500000</v>
      </c>
      <c r="N1105" s="6" t="s">
        <v>2003</v>
      </c>
      <c r="O1105" s="6" t="s">
        <v>1917</v>
      </c>
      <c r="P1105" s="6">
        <v>2014</v>
      </c>
      <c r="Q1105" s="6">
        <v>1</v>
      </c>
      <c r="R1105" s="6" t="s">
        <v>45</v>
      </c>
      <c r="S1105" s="31" t="s">
        <v>2116</v>
      </c>
      <c r="T1105" s="6">
        <v>1</v>
      </c>
      <c r="U1105" s="26">
        <v>12000000</v>
      </c>
      <c r="V1105" s="26">
        <v>12000000</v>
      </c>
      <c r="W1105" s="26">
        <v>12000000</v>
      </c>
      <c r="X1105" s="6" t="s">
        <v>2003</v>
      </c>
      <c r="Y1105" s="6" t="s">
        <v>1207</v>
      </c>
      <c r="Z1105" s="6">
        <v>227519</v>
      </c>
    </row>
    <row r="1106" spans="1:26" x14ac:dyDescent="0.3">
      <c r="A1106" s="28" t="s">
        <v>42</v>
      </c>
      <c r="B1106" s="6" t="s">
        <v>2163</v>
      </c>
      <c r="C1106" s="6"/>
      <c r="D1106" s="6" t="s">
        <v>2291</v>
      </c>
      <c r="E1106" s="6">
        <v>1</v>
      </c>
      <c r="F1106" s="6" t="s">
        <v>2004</v>
      </c>
      <c r="G1106" s="32" t="s">
        <v>2299</v>
      </c>
      <c r="H1106" s="32" t="s">
        <v>2300</v>
      </c>
      <c r="I1106" s="6" t="str">
        <f t="shared" si="38"/>
        <v>Lift Fork</v>
      </c>
      <c r="J1106" s="6" t="s">
        <v>617</v>
      </c>
      <c r="K1106" s="6">
        <v>1</v>
      </c>
      <c r="L1106" s="6">
        <f t="shared" si="39"/>
        <v>1050000</v>
      </c>
      <c r="M1106" s="6">
        <v>900000</v>
      </c>
      <c r="N1106" s="6" t="s">
        <v>2003</v>
      </c>
      <c r="O1106" s="6" t="s">
        <v>2011</v>
      </c>
      <c r="P1106" s="6">
        <v>2017</v>
      </c>
      <c r="Q1106" s="6">
        <v>2</v>
      </c>
      <c r="R1106" s="6" t="s">
        <v>45</v>
      </c>
      <c r="S1106" s="31" t="s">
        <v>2123</v>
      </c>
      <c r="T1106" s="6">
        <v>1</v>
      </c>
      <c r="U1106" s="26">
        <v>800000</v>
      </c>
      <c r="V1106" s="26">
        <v>800000</v>
      </c>
      <c r="W1106" s="26">
        <v>800000</v>
      </c>
      <c r="X1106" s="6" t="s">
        <v>2003</v>
      </c>
      <c r="Y1106" s="6" t="s">
        <v>1200</v>
      </c>
      <c r="Z1106" s="6">
        <v>227524</v>
      </c>
    </row>
    <row r="1107" spans="1:26" x14ac:dyDescent="0.3">
      <c r="A1107" s="28" t="s">
        <v>42</v>
      </c>
      <c r="B1107" s="6" t="s">
        <v>1326</v>
      </c>
      <c r="C1107" s="6" t="s">
        <v>1974</v>
      </c>
      <c r="D1107" s="6" t="s">
        <v>2291</v>
      </c>
      <c r="E1107" s="6">
        <v>1</v>
      </c>
      <c r="F1107" s="6" t="s">
        <v>2004</v>
      </c>
      <c r="G1107" s="32" t="s">
        <v>2299</v>
      </c>
      <c r="H1107" s="32" t="s">
        <v>2300</v>
      </c>
      <c r="I1107" s="6" t="str">
        <f t="shared" si="38"/>
        <v>Etc Grapple</v>
      </c>
      <c r="J1107" s="6" t="s">
        <v>136</v>
      </c>
      <c r="K1107" s="6">
        <v>1</v>
      </c>
      <c r="L1107" s="6">
        <f t="shared" si="39"/>
        <v>2230000</v>
      </c>
      <c r="M1107" s="6">
        <v>1900000</v>
      </c>
      <c r="N1107" s="6" t="s">
        <v>2003</v>
      </c>
      <c r="O1107" s="6" t="s">
        <v>2011</v>
      </c>
      <c r="P1107" s="6">
        <v>2010</v>
      </c>
      <c r="Q1107" s="6">
        <v>6</v>
      </c>
      <c r="R1107" s="6" t="s">
        <v>45</v>
      </c>
      <c r="S1107" s="31" t="s">
        <v>2123</v>
      </c>
      <c r="T1107" s="6">
        <v>1</v>
      </c>
      <c r="U1107" s="26">
        <v>1800000</v>
      </c>
      <c r="V1107" s="26">
        <v>1800000</v>
      </c>
      <c r="W1107" s="26">
        <v>1800000</v>
      </c>
      <c r="X1107" s="6" t="s">
        <v>2003</v>
      </c>
      <c r="Y1107" s="6" t="s">
        <v>1200</v>
      </c>
      <c r="Z1107" s="6">
        <v>227531</v>
      </c>
    </row>
    <row r="1108" spans="1:26" x14ac:dyDescent="0.3">
      <c r="A1108" s="28" t="s">
        <v>42</v>
      </c>
      <c r="B1108" s="6" t="s">
        <v>1328</v>
      </c>
      <c r="C1108" s="6" t="s">
        <v>1975</v>
      </c>
      <c r="D1108" s="6" t="s">
        <v>2291</v>
      </c>
      <c r="E1108" s="6">
        <v>1</v>
      </c>
      <c r="F1108" s="6" t="s">
        <v>2004</v>
      </c>
      <c r="G1108" s="32" t="s">
        <v>2299</v>
      </c>
      <c r="H1108" s="32" t="s">
        <v>2300</v>
      </c>
      <c r="I1108" s="6" t="str">
        <f t="shared" si="38"/>
        <v>Side Breaker</v>
      </c>
      <c r="J1108" s="6" t="s">
        <v>1967</v>
      </c>
      <c r="K1108" s="6">
        <v>1</v>
      </c>
      <c r="L1108" s="6">
        <f t="shared" si="39"/>
        <v>1940000</v>
      </c>
      <c r="M1108" s="6">
        <v>1650000</v>
      </c>
      <c r="N1108" s="6" t="s">
        <v>2003</v>
      </c>
      <c r="O1108" s="6" t="s">
        <v>2012</v>
      </c>
      <c r="P1108" s="6">
        <v>2013</v>
      </c>
      <c r="Q1108" s="6">
        <v>1</v>
      </c>
      <c r="R1108" s="6" t="s">
        <v>45</v>
      </c>
      <c r="S1108" s="31" t="s">
        <v>2113</v>
      </c>
      <c r="T1108" s="6">
        <v>1</v>
      </c>
      <c r="U1108" s="26">
        <v>1550000</v>
      </c>
      <c r="V1108" s="26">
        <v>1550000</v>
      </c>
      <c r="W1108" s="26">
        <v>1550000</v>
      </c>
      <c r="X1108" s="6" t="s">
        <v>2003</v>
      </c>
      <c r="Y1108" s="6" t="s">
        <v>49</v>
      </c>
      <c r="Z1108" s="6">
        <v>227532</v>
      </c>
    </row>
    <row r="1109" spans="1:26" x14ac:dyDescent="0.3">
      <c r="A1109" s="28" t="s">
        <v>42</v>
      </c>
      <c r="B1109" s="6" t="s">
        <v>1328</v>
      </c>
      <c r="C1109" s="6" t="s">
        <v>1975</v>
      </c>
      <c r="D1109" s="6" t="s">
        <v>2294</v>
      </c>
      <c r="E1109" s="6">
        <v>1</v>
      </c>
      <c r="F1109" s="6" t="s">
        <v>2004</v>
      </c>
      <c r="G1109" s="32" t="s">
        <v>2299</v>
      </c>
      <c r="H1109" s="32" t="s">
        <v>2300</v>
      </c>
      <c r="I1109" s="6" t="str">
        <f t="shared" si="38"/>
        <v>Side Breaker</v>
      </c>
      <c r="J1109" s="6" t="s">
        <v>256</v>
      </c>
      <c r="K1109" s="6">
        <v>1</v>
      </c>
      <c r="L1109" s="6">
        <f t="shared" si="39"/>
        <v>2940000</v>
      </c>
      <c r="M1109" s="6">
        <v>2500000</v>
      </c>
      <c r="N1109" s="6" t="s">
        <v>2003</v>
      </c>
      <c r="O1109" s="6" t="s">
        <v>2012</v>
      </c>
      <c r="P1109" s="6">
        <v>2014</v>
      </c>
      <c r="Q1109" s="6">
        <v>1</v>
      </c>
      <c r="R1109" s="6" t="s">
        <v>45</v>
      </c>
      <c r="S1109" s="31" t="s">
        <v>2113</v>
      </c>
      <c r="T1109" s="6">
        <v>1</v>
      </c>
      <c r="U1109" s="26">
        <v>2300000</v>
      </c>
      <c r="V1109" s="26">
        <v>2300000</v>
      </c>
      <c r="W1109" s="26">
        <v>2300000</v>
      </c>
      <c r="X1109" s="6" t="s">
        <v>2003</v>
      </c>
      <c r="Y1109" s="6" t="s">
        <v>49</v>
      </c>
      <c r="Z1109" s="6">
        <v>227534</v>
      </c>
    </row>
    <row r="1110" spans="1:26" x14ac:dyDescent="0.3">
      <c r="A1110" s="28" t="s">
        <v>42</v>
      </c>
      <c r="B1110" s="6" t="s">
        <v>1326</v>
      </c>
      <c r="C1110" s="6" t="s">
        <v>1979</v>
      </c>
      <c r="D1110" s="6" t="s">
        <v>2292</v>
      </c>
      <c r="E1110" s="6">
        <v>1</v>
      </c>
      <c r="F1110" s="6" t="s">
        <v>2004</v>
      </c>
      <c r="G1110" s="32" t="s">
        <v>2299</v>
      </c>
      <c r="H1110" s="32" t="s">
        <v>2300</v>
      </c>
      <c r="I1110" s="6" t="str">
        <f t="shared" si="38"/>
        <v>Thumb Grapple</v>
      </c>
      <c r="J1110" s="6" t="s">
        <v>195</v>
      </c>
      <c r="K1110" s="6">
        <v>1</v>
      </c>
      <c r="L1110" s="6">
        <f t="shared" si="39"/>
        <v>1520000</v>
      </c>
      <c r="M1110" s="6">
        <v>1300000</v>
      </c>
      <c r="N1110" s="6" t="s">
        <v>2003</v>
      </c>
      <c r="O1110" s="6" t="s">
        <v>54</v>
      </c>
      <c r="P1110" s="6">
        <v>2010</v>
      </c>
      <c r="Q1110" s="6">
        <v>1</v>
      </c>
      <c r="R1110" s="6" t="s">
        <v>45</v>
      </c>
      <c r="S1110" s="31" t="s">
        <v>2116</v>
      </c>
      <c r="T1110" s="6">
        <v>1</v>
      </c>
      <c r="U1110" s="26">
        <v>1200000</v>
      </c>
      <c r="V1110" s="26">
        <v>1200000</v>
      </c>
      <c r="W1110" s="26">
        <v>1200000</v>
      </c>
      <c r="X1110" s="6" t="s">
        <v>2003</v>
      </c>
      <c r="Y1110" s="6" t="s">
        <v>54</v>
      </c>
      <c r="Z1110" s="6">
        <v>227535</v>
      </c>
    </row>
    <row r="1111" spans="1:26" x14ac:dyDescent="0.3">
      <c r="A1111" s="28" t="s">
        <v>42</v>
      </c>
      <c r="B1111" s="6" t="s">
        <v>2172</v>
      </c>
      <c r="C1111" s="6"/>
      <c r="D1111" s="6" t="s">
        <v>2292</v>
      </c>
      <c r="E1111" s="6">
        <v>1</v>
      </c>
      <c r="F1111" s="6" t="s">
        <v>2004</v>
      </c>
      <c r="G1111" s="32" t="s">
        <v>2299</v>
      </c>
      <c r="H1111" s="32" t="s">
        <v>2300</v>
      </c>
      <c r="I1111" s="6" t="str">
        <f t="shared" si="38"/>
        <v>Quick Coupler</v>
      </c>
      <c r="J1111" s="6" t="s">
        <v>1968</v>
      </c>
      <c r="K1111" s="6">
        <v>1</v>
      </c>
      <c r="L1111" s="6">
        <f t="shared" si="39"/>
        <v>1050000</v>
      </c>
      <c r="M1111" s="6">
        <v>900000</v>
      </c>
      <c r="N1111" s="6" t="s">
        <v>2003</v>
      </c>
      <c r="O1111" s="6" t="s">
        <v>2007</v>
      </c>
      <c r="P1111" s="6">
        <v>2015</v>
      </c>
      <c r="Q1111" s="6">
        <v>1</v>
      </c>
      <c r="R1111" s="6" t="s">
        <v>45</v>
      </c>
      <c r="S1111" s="31" t="s">
        <v>2113</v>
      </c>
      <c r="T1111" s="6">
        <v>1</v>
      </c>
      <c r="U1111" s="26">
        <v>800000</v>
      </c>
      <c r="V1111" s="26">
        <v>800000</v>
      </c>
      <c r="W1111" s="26">
        <v>800000</v>
      </c>
      <c r="X1111" s="6" t="s">
        <v>2003</v>
      </c>
      <c r="Y1111" s="6" t="s">
        <v>49</v>
      </c>
      <c r="Z1111" s="6">
        <v>227537</v>
      </c>
    </row>
    <row r="1112" spans="1:26" x14ac:dyDescent="0.3">
      <c r="A1112" s="28" t="s">
        <v>42</v>
      </c>
      <c r="B1112" s="6" t="s">
        <v>1337</v>
      </c>
      <c r="C1112" s="6"/>
      <c r="D1112" s="6" t="s">
        <v>2291</v>
      </c>
      <c r="E1112" s="6">
        <v>1</v>
      </c>
      <c r="F1112" s="6" t="s">
        <v>2004</v>
      </c>
      <c r="G1112" s="32" t="s">
        <v>2299</v>
      </c>
      <c r="H1112" s="32" t="s">
        <v>2300</v>
      </c>
      <c r="I1112" s="6" t="str">
        <f t="shared" si="38"/>
        <v>ETC</v>
      </c>
      <c r="J1112" s="6" t="s">
        <v>138</v>
      </c>
      <c r="K1112" s="6">
        <v>1</v>
      </c>
      <c r="L1112" s="6">
        <f t="shared" si="39"/>
        <v>3170000</v>
      </c>
      <c r="M1112" s="6">
        <v>2700000</v>
      </c>
      <c r="N1112" s="6" t="s">
        <v>2003</v>
      </c>
      <c r="O1112" s="6" t="s">
        <v>2015</v>
      </c>
      <c r="P1112" s="6">
        <v>2012</v>
      </c>
      <c r="Q1112" s="6">
        <v>6</v>
      </c>
      <c r="R1112" s="6" t="s">
        <v>45</v>
      </c>
      <c r="S1112" s="31" t="s">
        <v>2113</v>
      </c>
      <c r="T1112" s="6">
        <v>1</v>
      </c>
      <c r="U1112" s="26">
        <v>2500000</v>
      </c>
      <c r="V1112" s="26">
        <v>2500000</v>
      </c>
      <c r="W1112" s="26">
        <v>2500000</v>
      </c>
      <c r="X1112" s="6" t="s">
        <v>2003</v>
      </c>
      <c r="Y1112" s="6" t="s">
        <v>47</v>
      </c>
      <c r="Z1112" s="6">
        <v>227540</v>
      </c>
    </row>
    <row r="1113" spans="1:26" x14ac:dyDescent="0.3">
      <c r="A1113" s="28" t="s">
        <v>42</v>
      </c>
      <c r="B1113" s="6" t="s">
        <v>1326</v>
      </c>
      <c r="C1113" s="6" t="s">
        <v>1972</v>
      </c>
      <c r="D1113" s="6" t="s">
        <v>2292</v>
      </c>
      <c r="E1113" s="6">
        <v>1</v>
      </c>
      <c r="F1113" s="6" t="s">
        <v>2004</v>
      </c>
      <c r="G1113" s="32" t="s">
        <v>2299</v>
      </c>
      <c r="H1113" s="32" t="s">
        <v>2300</v>
      </c>
      <c r="I1113" s="6" t="str">
        <f t="shared" si="38"/>
        <v>Stone Grapple</v>
      </c>
      <c r="J1113" s="6" t="s">
        <v>197</v>
      </c>
      <c r="K1113" s="6">
        <v>1</v>
      </c>
      <c r="L1113" s="6">
        <f t="shared" si="39"/>
        <v>3050000</v>
      </c>
      <c r="M1113" s="6">
        <v>2600000</v>
      </c>
      <c r="N1113" s="6" t="s">
        <v>2003</v>
      </c>
      <c r="O1113" s="6" t="s">
        <v>2007</v>
      </c>
      <c r="P1113" s="6">
        <v>2014</v>
      </c>
      <c r="Q1113" s="6">
        <v>1</v>
      </c>
      <c r="R1113" s="6" t="s">
        <v>45</v>
      </c>
      <c r="S1113" s="31" t="s">
        <v>2113</v>
      </c>
      <c r="T1113" s="6">
        <v>1</v>
      </c>
      <c r="U1113" s="26">
        <v>2400000</v>
      </c>
      <c r="V1113" s="26">
        <v>2400000</v>
      </c>
      <c r="W1113" s="26">
        <v>2400000</v>
      </c>
      <c r="X1113" s="6" t="s">
        <v>2003</v>
      </c>
      <c r="Y1113" s="6" t="s">
        <v>49</v>
      </c>
      <c r="Z1113" s="6">
        <v>227541</v>
      </c>
    </row>
    <row r="1114" spans="1:26" x14ac:dyDescent="0.3">
      <c r="A1114" s="28" t="s">
        <v>42</v>
      </c>
      <c r="B1114" s="6" t="s">
        <v>1326</v>
      </c>
      <c r="C1114" s="6" t="s">
        <v>1979</v>
      </c>
      <c r="D1114" s="6" t="s">
        <v>2292</v>
      </c>
      <c r="E1114" s="6">
        <v>1</v>
      </c>
      <c r="F1114" s="6" t="s">
        <v>2004</v>
      </c>
      <c r="G1114" s="32" t="s">
        <v>2299</v>
      </c>
      <c r="H1114" s="32" t="s">
        <v>2300</v>
      </c>
      <c r="I1114" s="6" t="str">
        <f t="shared" si="38"/>
        <v>Thumb Grapple</v>
      </c>
      <c r="J1114" s="6" t="s">
        <v>117</v>
      </c>
      <c r="K1114" s="6">
        <v>1</v>
      </c>
      <c r="L1114" s="6">
        <f t="shared" si="39"/>
        <v>1050000</v>
      </c>
      <c r="M1114" s="6">
        <v>900000</v>
      </c>
      <c r="N1114" s="6" t="s">
        <v>2003</v>
      </c>
      <c r="O1114" s="6" t="s">
        <v>54</v>
      </c>
      <c r="P1114" s="6">
        <v>2012</v>
      </c>
      <c r="Q1114" s="6">
        <v>1</v>
      </c>
      <c r="R1114" s="6" t="s">
        <v>45</v>
      </c>
      <c r="S1114" s="31" t="s">
        <v>2114</v>
      </c>
      <c r="T1114" s="6">
        <v>1</v>
      </c>
      <c r="U1114" s="26">
        <v>800000</v>
      </c>
      <c r="V1114" s="26">
        <v>800000</v>
      </c>
      <c r="W1114" s="26">
        <v>800000</v>
      </c>
      <c r="X1114" s="6" t="s">
        <v>2003</v>
      </c>
      <c r="Y1114" s="6" t="s">
        <v>54</v>
      </c>
      <c r="Z1114" s="6">
        <v>227542</v>
      </c>
    </row>
    <row r="1115" spans="1:26" x14ac:dyDescent="0.3">
      <c r="A1115" s="28" t="s">
        <v>42</v>
      </c>
      <c r="B1115" s="6" t="s">
        <v>1326</v>
      </c>
      <c r="C1115" s="6" t="s">
        <v>1985</v>
      </c>
      <c r="D1115" s="6" t="s">
        <v>2292</v>
      </c>
      <c r="E1115" s="6">
        <v>1</v>
      </c>
      <c r="F1115" s="6" t="s">
        <v>2004</v>
      </c>
      <c r="G1115" s="32" t="s">
        <v>2299</v>
      </c>
      <c r="H1115" s="32" t="s">
        <v>2300</v>
      </c>
      <c r="I1115" s="6" t="str">
        <f t="shared" si="38"/>
        <v>Multi Grapple</v>
      </c>
      <c r="J1115" s="6" t="s">
        <v>296</v>
      </c>
      <c r="K1115" s="6">
        <v>1</v>
      </c>
      <c r="L1115" s="6">
        <f t="shared" si="39"/>
        <v>3520000</v>
      </c>
      <c r="M1115" s="6">
        <v>3000000</v>
      </c>
      <c r="N1115" s="6" t="s">
        <v>2003</v>
      </c>
      <c r="O1115" s="6" t="s">
        <v>51</v>
      </c>
      <c r="P1115" s="6">
        <v>2013</v>
      </c>
      <c r="Q1115" s="6">
        <v>1</v>
      </c>
      <c r="R1115" s="6" t="s">
        <v>45</v>
      </c>
      <c r="S1115" s="31" t="s">
        <v>2113</v>
      </c>
      <c r="T1115" s="6">
        <v>1</v>
      </c>
      <c r="U1115" s="26">
        <v>2800000</v>
      </c>
      <c r="V1115" s="26">
        <v>2800000</v>
      </c>
      <c r="W1115" s="26">
        <v>2800000</v>
      </c>
      <c r="X1115" s="6" t="s">
        <v>2003</v>
      </c>
      <c r="Y1115" s="6" t="s">
        <v>49</v>
      </c>
      <c r="Z1115" s="6">
        <v>227544</v>
      </c>
    </row>
    <row r="1116" spans="1:26" x14ac:dyDescent="0.3">
      <c r="A1116" s="28" t="s">
        <v>42</v>
      </c>
      <c r="B1116" s="6" t="s">
        <v>1326</v>
      </c>
      <c r="C1116" s="6" t="s">
        <v>1972</v>
      </c>
      <c r="D1116" s="6" t="s">
        <v>2291</v>
      </c>
      <c r="E1116" s="6">
        <v>1</v>
      </c>
      <c r="F1116" s="6" t="s">
        <v>2004</v>
      </c>
      <c r="G1116" s="32" t="s">
        <v>2299</v>
      </c>
      <c r="H1116" s="32" t="s">
        <v>2300</v>
      </c>
      <c r="I1116" s="6" t="str">
        <f t="shared" si="38"/>
        <v>Stone Grapple</v>
      </c>
      <c r="J1116" s="6" t="s">
        <v>201</v>
      </c>
      <c r="K1116" s="6">
        <v>1</v>
      </c>
      <c r="L1116" s="6">
        <f t="shared" si="39"/>
        <v>2000000</v>
      </c>
      <c r="M1116" s="6">
        <v>1700000</v>
      </c>
      <c r="N1116" s="6" t="s">
        <v>2003</v>
      </c>
      <c r="O1116" s="6" t="s">
        <v>1140</v>
      </c>
      <c r="P1116" s="6">
        <v>2016</v>
      </c>
      <c r="Q1116" s="6">
        <v>1</v>
      </c>
      <c r="R1116" s="6" t="s">
        <v>45</v>
      </c>
      <c r="S1116" s="31" t="s">
        <v>2110</v>
      </c>
      <c r="T1116" s="6">
        <v>1</v>
      </c>
      <c r="U1116" s="26">
        <v>1600000</v>
      </c>
      <c r="V1116" s="26">
        <v>1600000</v>
      </c>
      <c r="W1116" s="26">
        <v>1600000</v>
      </c>
      <c r="X1116" s="6" t="s">
        <v>2003</v>
      </c>
      <c r="Y1116" s="6" t="s">
        <v>1228</v>
      </c>
      <c r="Z1116" s="6">
        <v>227552</v>
      </c>
    </row>
    <row r="1117" spans="1:26" x14ac:dyDescent="0.3">
      <c r="A1117" s="28" t="s">
        <v>42</v>
      </c>
      <c r="B1117" s="6" t="s">
        <v>1326</v>
      </c>
      <c r="C1117" s="6" t="s">
        <v>1972</v>
      </c>
      <c r="D1117" s="6" t="s">
        <v>2292</v>
      </c>
      <c r="E1117" s="6">
        <v>1</v>
      </c>
      <c r="F1117" s="6" t="s">
        <v>2004</v>
      </c>
      <c r="G1117" s="32" t="s">
        <v>2299</v>
      </c>
      <c r="H1117" s="32" t="s">
        <v>2300</v>
      </c>
      <c r="I1117" s="6" t="str">
        <f t="shared" si="38"/>
        <v>Stone Grapple</v>
      </c>
      <c r="J1117" s="6" t="s">
        <v>194</v>
      </c>
      <c r="K1117" s="6">
        <v>1</v>
      </c>
      <c r="L1117" s="6">
        <f t="shared" si="39"/>
        <v>2580000</v>
      </c>
      <c r="M1117" s="6">
        <v>2200000</v>
      </c>
      <c r="N1117" s="6" t="s">
        <v>2003</v>
      </c>
      <c r="O1117" s="6" t="s">
        <v>818</v>
      </c>
      <c r="P1117" s="6">
        <v>2010</v>
      </c>
      <c r="Q1117" s="6">
        <v>1</v>
      </c>
      <c r="R1117" s="6" t="s">
        <v>45</v>
      </c>
      <c r="S1117" s="31" t="s">
        <v>2112</v>
      </c>
      <c r="T1117" s="6">
        <v>1</v>
      </c>
      <c r="U1117" s="26">
        <v>2000000</v>
      </c>
      <c r="V1117" s="26">
        <v>2000000</v>
      </c>
      <c r="W1117" s="26">
        <v>2000000</v>
      </c>
      <c r="X1117" s="6" t="s">
        <v>2003</v>
      </c>
      <c r="Y1117" s="6" t="s">
        <v>1243</v>
      </c>
      <c r="Z1117" s="6">
        <v>227566</v>
      </c>
    </row>
    <row r="1118" spans="1:26" x14ac:dyDescent="0.3">
      <c r="A1118" s="28" t="s">
        <v>42</v>
      </c>
      <c r="B1118" s="6" t="s">
        <v>1327</v>
      </c>
      <c r="C1118" s="6" t="s">
        <v>1977</v>
      </c>
      <c r="D1118" s="6" t="s">
        <v>2291</v>
      </c>
      <c r="E1118" s="6">
        <v>1</v>
      </c>
      <c r="F1118" s="6" t="s">
        <v>2004</v>
      </c>
      <c r="G1118" s="32" t="s">
        <v>2299</v>
      </c>
      <c r="H1118" s="32" t="s">
        <v>2300</v>
      </c>
      <c r="I1118" s="6" t="str">
        <f t="shared" si="38"/>
        <v>Wide Bucket</v>
      </c>
      <c r="J1118" s="6" t="s">
        <v>64</v>
      </c>
      <c r="K1118" s="6">
        <v>1</v>
      </c>
      <c r="L1118" s="6">
        <f t="shared" si="39"/>
        <v>540000</v>
      </c>
      <c r="M1118" s="6">
        <v>460000</v>
      </c>
      <c r="N1118" s="6" t="s">
        <v>2003</v>
      </c>
      <c r="O1118" s="6" t="s">
        <v>789</v>
      </c>
      <c r="P1118" s="6">
        <v>2015</v>
      </c>
      <c r="Q1118" s="6">
        <v>1</v>
      </c>
      <c r="R1118" s="6" t="s">
        <v>45</v>
      </c>
      <c r="S1118" s="31" t="s">
        <v>2122</v>
      </c>
      <c r="T1118" s="6">
        <v>1</v>
      </c>
      <c r="U1118" s="26">
        <v>410000</v>
      </c>
      <c r="V1118" s="26">
        <v>410000</v>
      </c>
      <c r="W1118" s="26">
        <v>410000</v>
      </c>
      <c r="X1118" s="6" t="s">
        <v>2003</v>
      </c>
      <c r="Y1118" s="6" t="s">
        <v>65</v>
      </c>
      <c r="Z1118" s="6">
        <v>227568</v>
      </c>
    </row>
  </sheetData>
  <sortState ref="A2:Z1117">
    <sortCondition ref="Z2:Z1117"/>
  </sortState>
  <phoneticPr fontId="18" type="noConversion"/>
  <dataValidations count="1">
    <dataValidation type="list" allowBlank="1" showInputMessage="1" showErrorMessage="1" sqref="D2:D1118">
      <formula1>excavator1</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1118"/>
  <sheetViews>
    <sheetView workbookViewId="0"/>
  </sheetViews>
  <sheetFormatPr defaultRowHeight="16.5" x14ac:dyDescent="0.3"/>
  <cols>
    <col min="1" max="1" width="19.25" style="32" bestFit="1" customWidth="1"/>
    <col min="2" max="2" width="17.25" style="32" bestFit="1" customWidth="1"/>
    <col min="3" max="3" width="17.25" style="32" customWidth="1"/>
    <col min="4" max="4" width="26.125" style="32" customWidth="1"/>
    <col min="5" max="8" width="9" style="32"/>
    <col min="9" max="9" width="17.375" style="32" customWidth="1"/>
    <col min="10" max="10" width="17.25" style="32" bestFit="1" customWidth="1"/>
    <col min="11" max="11" width="9" style="32"/>
    <col min="12" max="12" width="9.5" style="32" bestFit="1" customWidth="1"/>
    <col min="13" max="14" width="9" style="32"/>
    <col min="15" max="16" width="9.25" style="32" customWidth="1"/>
    <col min="17" max="17" width="9" style="32"/>
    <col min="18" max="18" width="19" style="32" bestFit="1" customWidth="1"/>
    <col min="19" max="19" width="8.375" style="32" bestFit="1" customWidth="1"/>
    <col min="20" max="24" width="9" style="32"/>
    <col min="25" max="25" width="16.125" style="32" bestFit="1" customWidth="1"/>
    <col min="26" max="16384" width="9" style="32"/>
  </cols>
  <sheetData>
    <row r="1" spans="1:26" x14ac:dyDescent="0.3">
      <c r="A1" s="32" t="s">
        <v>2251</v>
      </c>
      <c r="B1" s="32" t="s">
        <v>2252</v>
      </c>
      <c r="C1" s="32" t="s">
        <v>2253</v>
      </c>
      <c r="D1" s="32" t="s">
        <v>17</v>
      </c>
      <c r="E1" s="32" t="s">
        <v>3</v>
      </c>
      <c r="F1" s="32" t="s">
        <v>2254</v>
      </c>
      <c r="G1" s="32" t="s">
        <v>5</v>
      </c>
      <c r="H1" s="32" t="s">
        <v>6</v>
      </c>
      <c r="I1" s="32" t="s">
        <v>7</v>
      </c>
      <c r="J1" s="32" t="s">
        <v>1830</v>
      </c>
      <c r="K1" s="32" t="s">
        <v>2285</v>
      </c>
      <c r="L1" s="32" t="s">
        <v>12</v>
      </c>
      <c r="M1" s="32" t="s">
        <v>13</v>
      </c>
      <c r="N1" s="32" t="s">
        <v>14</v>
      </c>
      <c r="O1" s="32" t="s">
        <v>16</v>
      </c>
      <c r="P1" s="32" t="s">
        <v>18</v>
      </c>
      <c r="Q1" s="32" t="s">
        <v>19</v>
      </c>
      <c r="R1" s="32" t="s">
        <v>2286</v>
      </c>
      <c r="S1" s="32" t="s">
        <v>32</v>
      </c>
      <c r="T1" s="32" t="s">
        <v>33</v>
      </c>
      <c r="U1" s="32" t="s">
        <v>34</v>
      </c>
      <c r="V1" s="32" t="s">
        <v>2287</v>
      </c>
      <c r="W1" s="32" t="s">
        <v>2288</v>
      </c>
      <c r="X1" s="32" t="s">
        <v>35</v>
      </c>
      <c r="Y1" s="32" t="s">
        <v>37</v>
      </c>
      <c r="Z1" s="32" t="s">
        <v>41</v>
      </c>
    </row>
    <row r="2" spans="1:26" x14ac:dyDescent="0.3">
      <c r="A2" s="28" t="s">
        <v>42</v>
      </c>
      <c r="B2" s="6" t="s">
        <v>1326</v>
      </c>
      <c r="C2" s="6" t="s">
        <v>1974</v>
      </c>
      <c r="D2" s="6" t="s">
        <v>2291</v>
      </c>
      <c r="E2" s="6">
        <v>1</v>
      </c>
      <c r="F2" s="6" t="s">
        <v>2004</v>
      </c>
      <c r="G2" s="32" t="s">
        <v>2299</v>
      </c>
      <c r="H2" s="32" t="s">
        <v>2300</v>
      </c>
      <c r="I2" s="6" t="str">
        <f t="shared" ref="I2:I33" si="0">IF(ISBLANK(C2),B2,C2)</f>
        <v>Etc Grapple</v>
      </c>
      <c r="J2" s="6" t="s">
        <v>365</v>
      </c>
      <c r="K2" s="6">
        <v>1</v>
      </c>
      <c r="L2" s="6">
        <f t="shared" ref="L2:L65" si="1">FLOOR(((M2*100)/85)/10000, 1)*10000</f>
        <v>4110000</v>
      </c>
      <c r="M2" s="6">
        <v>3500000</v>
      </c>
      <c r="N2" s="6" t="s">
        <v>2003</v>
      </c>
      <c r="O2" s="6" t="s">
        <v>851</v>
      </c>
      <c r="P2" s="6">
        <v>2015</v>
      </c>
      <c r="Q2" s="6">
        <v>8</v>
      </c>
      <c r="R2" s="6" t="s">
        <v>45</v>
      </c>
      <c r="S2" s="32" t="s">
        <v>2111</v>
      </c>
      <c r="T2" s="6">
        <v>1</v>
      </c>
      <c r="U2" s="26">
        <v>3300000</v>
      </c>
      <c r="V2" s="26">
        <v>3300000</v>
      </c>
      <c r="W2" s="26">
        <v>3300000</v>
      </c>
      <c r="X2" s="6" t="s">
        <v>2003</v>
      </c>
      <c r="Y2" s="6" t="s">
        <v>1235</v>
      </c>
      <c r="Z2" s="6">
        <v>223301</v>
      </c>
    </row>
    <row r="3" spans="1:26" x14ac:dyDescent="0.3">
      <c r="A3" s="28" t="s">
        <v>42</v>
      </c>
      <c r="B3" s="6" t="s">
        <v>1326</v>
      </c>
      <c r="C3" s="6" t="s">
        <v>1974</v>
      </c>
      <c r="D3" s="6" t="s">
        <v>2291</v>
      </c>
      <c r="E3" s="6">
        <v>1</v>
      </c>
      <c r="F3" s="6" t="s">
        <v>2004</v>
      </c>
      <c r="G3" s="32" t="s">
        <v>2299</v>
      </c>
      <c r="H3" s="32" t="s">
        <v>2300</v>
      </c>
      <c r="I3" s="6" t="str">
        <f t="shared" si="0"/>
        <v>Etc Grapple</v>
      </c>
      <c r="J3" s="6" t="s">
        <v>365</v>
      </c>
      <c r="K3" s="6">
        <v>1</v>
      </c>
      <c r="L3" s="6">
        <f t="shared" si="1"/>
        <v>4000000</v>
      </c>
      <c r="M3" s="6">
        <v>3400000</v>
      </c>
      <c r="N3" s="6" t="s">
        <v>2003</v>
      </c>
      <c r="O3" s="6" t="s">
        <v>851</v>
      </c>
      <c r="P3" s="6">
        <v>2015</v>
      </c>
      <c r="Q3" s="6">
        <v>6</v>
      </c>
      <c r="R3" s="6" t="s">
        <v>45</v>
      </c>
      <c r="S3" s="32" t="s">
        <v>2111</v>
      </c>
      <c r="T3" s="6">
        <v>1</v>
      </c>
      <c r="U3" s="26">
        <v>3200000</v>
      </c>
      <c r="V3" s="26">
        <v>3200000</v>
      </c>
      <c r="W3" s="26">
        <v>3200000</v>
      </c>
      <c r="X3" s="6" t="s">
        <v>2003</v>
      </c>
      <c r="Y3" s="6" t="s">
        <v>1235</v>
      </c>
      <c r="Z3" s="6">
        <v>223303</v>
      </c>
    </row>
    <row r="4" spans="1:26" x14ac:dyDescent="0.3">
      <c r="A4" s="28" t="s">
        <v>42</v>
      </c>
      <c r="B4" s="6" t="s">
        <v>1327</v>
      </c>
      <c r="C4" s="6" t="s">
        <v>1971</v>
      </c>
      <c r="D4" s="6" t="s">
        <v>2289</v>
      </c>
      <c r="E4" s="6">
        <v>1</v>
      </c>
      <c r="F4" s="6" t="s">
        <v>2004</v>
      </c>
      <c r="G4" s="32" t="s">
        <v>2299</v>
      </c>
      <c r="H4" s="32" t="s">
        <v>2300</v>
      </c>
      <c r="I4" s="6" t="str">
        <f t="shared" si="0"/>
        <v>Special Bucket</v>
      </c>
      <c r="J4" s="6" t="s">
        <v>433</v>
      </c>
      <c r="K4" s="6">
        <v>1</v>
      </c>
      <c r="L4" s="6">
        <f t="shared" si="1"/>
        <v>1880000</v>
      </c>
      <c r="M4" s="6">
        <v>1600000</v>
      </c>
      <c r="N4" s="6" t="s">
        <v>2003</v>
      </c>
      <c r="O4" s="6" t="s">
        <v>239</v>
      </c>
      <c r="P4" s="6">
        <v>2015</v>
      </c>
      <c r="Q4" s="6">
        <v>1</v>
      </c>
      <c r="R4" s="6" t="s">
        <v>45</v>
      </c>
      <c r="S4" s="32" t="s">
        <v>2112</v>
      </c>
      <c r="T4" s="6">
        <v>1</v>
      </c>
      <c r="U4" s="26">
        <v>1500000</v>
      </c>
      <c r="V4" s="26">
        <v>1500000</v>
      </c>
      <c r="W4" s="26">
        <v>1500000</v>
      </c>
      <c r="X4" s="6" t="s">
        <v>2003</v>
      </c>
      <c r="Y4" s="6" t="s">
        <v>1251</v>
      </c>
      <c r="Z4" s="6">
        <v>223304</v>
      </c>
    </row>
    <row r="5" spans="1:26" x14ac:dyDescent="0.3">
      <c r="A5" s="28" t="s">
        <v>42</v>
      </c>
      <c r="B5" s="6" t="s">
        <v>2159</v>
      </c>
      <c r="C5" s="19"/>
      <c r="D5" s="6" t="s">
        <v>2295</v>
      </c>
      <c r="E5" s="6">
        <v>1</v>
      </c>
      <c r="F5" s="6" t="s">
        <v>2004</v>
      </c>
      <c r="G5" s="32" t="s">
        <v>2299</v>
      </c>
      <c r="H5" s="32" t="s">
        <v>2300</v>
      </c>
      <c r="I5" s="6" t="str">
        <f t="shared" si="0"/>
        <v>ETC</v>
      </c>
      <c r="J5" s="6" t="s">
        <v>165</v>
      </c>
      <c r="K5" s="6">
        <v>1</v>
      </c>
      <c r="L5" s="6">
        <f t="shared" si="1"/>
        <v>2940000</v>
      </c>
      <c r="M5" s="6">
        <v>2500000</v>
      </c>
      <c r="N5" s="6" t="s">
        <v>2003</v>
      </c>
      <c r="O5" s="6" t="s">
        <v>70</v>
      </c>
      <c r="P5" s="6">
        <v>2016</v>
      </c>
      <c r="Q5" s="6">
        <v>7</v>
      </c>
      <c r="R5" s="6" t="s">
        <v>45</v>
      </c>
      <c r="S5" s="32" t="s">
        <v>2113</v>
      </c>
      <c r="T5" s="6">
        <v>1</v>
      </c>
      <c r="U5" s="26">
        <v>2300000</v>
      </c>
      <c r="V5" s="26">
        <v>2300000</v>
      </c>
      <c r="W5" s="26">
        <v>2300000</v>
      </c>
      <c r="X5" s="6" t="s">
        <v>2003</v>
      </c>
      <c r="Y5" s="6" t="s">
        <v>71</v>
      </c>
      <c r="Z5" s="6">
        <v>223306</v>
      </c>
    </row>
    <row r="6" spans="1:26" x14ac:dyDescent="0.3">
      <c r="A6" s="28" t="s">
        <v>42</v>
      </c>
      <c r="B6" s="6" t="s">
        <v>1326</v>
      </c>
      <c r="C6" s="6" t="s">
        <v>1972</v>
      </c>
      <c r="D6" s="6" t="s">
        <v>2291</v>
      </c>
      <c r="E6" s="6">
        <v>1</v>
      </c>
      <c r="F6" s="6" t="s">
        <v>2004</v>
      </c>
      <c r="G6" s="32" t="s">
        <v>2299</v>
      </c>
      <c r="H6" s="32" t="s">
        <v>2300</v>
      </c>
      <c r="I6" s="6" t="str">
        <f t="shared" si="0"/>
        <v>Stone Grapple</v>
      </c>
      <c r="J6" s="6" t="s">
        <v>326</v>
      </c>
      <c r="K6" s="6">
        <v>1</v>
      </c>
      <c r="L6" s="6">
        <f t="shared" si="1"/>
        <v>4820000</v>
      </c>
      <c r="M6" s="6">
        <v>4100000</v>
      </c>
      <c r="N6" s="6" t="s">
        <v>2003</v>
      </c>
      <c r="O6" s="6" t="s">
        <v>849</v>
      </c>
      <c r="P6" s="6">
        <v>2016</v>
      </c>
      <c r="Q6" s="6">
        <v>12</v>
      </c>
      <c r="R6" s="6" t="s">
        <v>45</v>
      </c>
      <c r="S6" s="32" t="s">
        <v>2112</v>
      </c>
      <c r="T6" s="6">
        <v>1</v>
      </c>
      <c r="U6" s="26">
        <v>3900000</v>
      </c>
      <c r="V6" s="26">
        <v>3900000</v>
      </c>
      <c r="W6" s="26">
        <v>3900000</v>
      </c>
      <c r="X6" s="6" t="s">
        <v>2003</v>
      </c>
      <c r="Y6" s="6" t="s">
        <v>1142</v>
      </c>
      <c r="Z6" s="6">
        <v>223308</v>
      </c>
    </row>
    <row r="7" spans="1:26" x14ac:dyDescent="0.3">
      <c r="A7" s="28" t="s">
        <v>42</v>
      </c>
      <c r="B7" s="6" t="s">
        <v>1326</v>
      </c>
      <c r="C7" s="6" t="s">
        <v>1972</v>
      </c>
      <c r="D7" s="6" t="s">
        <v>2291</v>
      </c>
      <c r="E7" s="6">
        <v>1</v>
      </c>
      <c r="F7" s="6" t="s">
        <v>2004</v>
      </c>
      <c r="G7" s="32" t="s">
        <v>2299</v>
      </c>
      <c r="H7" s="32" t="s">
        <v>2300</v>
      </c>
      <c r="I7" s="6" t="str">
        <f t="shared" si="0"/>
        <v>Stone Grapple</v>
      </c>
      <c r="J7" s="6" t="s">
        <v>185</v>
      </c>
      <c r="K7" s="6">
        <v>1</v>
      </c>
      <c r="L7" s="6">
        <f t="shared" si="1"/>
        <v>2000000</v>
      </c>
      <c r="M7" s="6">
        <v>1700000</v>
      </c>
      <c r="N7" s="6" t="s">
        <v>2003</v>
      </c>
      <c r="O7" s="6" t="s">
        <v>51</v>
      </c>
      <c r="P7" s="6">
        <v>2016</v>
      </c>
      <c r="Q7" s="6">
        <v>1</v>
      </c>
      <c r="R7" s="6" t="s">
        <v>45</v>
      </c>
      <c r="S7" s="32" t="s">
        <v>2113</v>
      </c>
      <c r="T7" s="6">
        <v>1</v>
      </c>
      <c r="U7" s="26">
        <v>1600000</v>
      </c>
      <c r="V7" s="26">
        <v>1600000</v>
      </c>
      <c r="W7" s="26">
        <v>1600000</v>
      </c>
      <c r="X7" s="6" t="s">
        <v>2003</v>
      </c>
      <c r="Y7" s="6" t="s">
        <v>49</v>
      </c>
      <c r="Z7" s="6">
        <v>223310</v>
      </c>
    </row>
    <row r="8" spans="1:26" x14ac:dyDescent="0.3">
      <c r="A8" s="28" t="s">
        <v>42</v>
      </c>
      <c r="B8" s="6" t="s">
        <v>1326</v>
      </c>
      <c r="C8" s="6" t="s">
        <v>1973</v>
      </c>
      <c r="D8" s="6" t="s">
        <v>2291</v>
      </c>
      <c r="E8" s="6">
        <v>1</v>
      </c>
      <c r="F8" s="6" t="s">
        <v>2004</v>
      </c>
      <c r="G8" s="32" t="s">
        <v>2299</v>
      </c>
      <c r="H8" s="32" t="s">
        <v>2300</v>
      </c>
      <c r="I8" s="6" t="str">
        <f t="shared" si="0"/>
        <v>Wood Grapple</v>
      </c>
      <c r="J8" s="6" t="s">
        <v>127</v>
      </c>
      <c r="K8" s="6">
        <v>1</v>
      </c>
      <c r="L8" s="6">
        <f t="shared" si="1"/>
        <v>3170000</v>
      </c>
      <c r="M8" s="6">
        <v>2700000</v>
      </c>
      <c r="N8" s="6" t="s">
        <v>2003</v>
      </c>
      <c r="O8" s="6" t="s">
        <v>846</v>
      </c>
      <c r="P8" s="6">
        <v>2014</v>
      </c>
      <c r="Q8" s="6">
        <v>1</v>
      </c>
      <c r="R8" s="6" t="s">
        <v>45</v>
      </c>
      <c r="S8" s="32" t="s">
        <v>2113</v>
      </c>
      <c r="T8" s="6">
        <v>1</v>
      </c>
      <c r="U8" s="26">
        <v>2500000</v>
      </c>
      <c r="V8" s="26">
        <v>2500000</v>
      </c>
      <c r="W8" s="26">
        <v>2500000</v>
      </c>
      <c r="X8" s="6" t="s">
        <v>2003</v>
      </c>
      <c r="Y8" s="6" t="s">
        <v>49</v>
      </c>
      <c r="Z8" s="6">
        <v>223311</v>
      </c>
    </row>
    <row r="9" spans="1:26" x14ac:dyDescent="0.3">
      <c r="A9" s="28" t="s">
        <v>42</v>
      </c>
      <c r="B9" s="6" t="s">
        <v>2175</v>
      </c>
      <c r="C9" s="6" t="s">
        <v>2321</v>
      </c>
      <c r="D9" s="6" t="s">
        <v>2290</v>
      </c>
      <c r="E9" s="6">
        <v>1</v>
      </c>
      <c r="F9" s="6" t="s">
        <v>2004</v>
      </c>
      <c r="G9" s="32" t="s">
        <v>2299</v>
      </c>
      <c r="H9" s="32" t="s">
        <v>2300</v>
      </c>
      <c r="I9" s="6" t="str">
        <f t="shared" si="0"/>
        <v>Etc Crusher</v>
      </c>
      <c r="J9" s="6" t="s">
        <v>2141</v>
      </c>
      <c r="K9" s="6">
        <v>1</v>
      </c>
      <c r="L9" s="6">
        <f t="shared" si="1"/>
        <v>27640000</v>
      </c>
      <c r="M9" s="6">
        <v>23500000</v>
      </c>
      <c r="N9" s="6" t="s">
        <v>2003</v>
      </c>
      <c r="O9" s="6" t="s">
        <v>852</v>
      </c>
      <c r="P9" s="6">
        <v>2016</v>
      </c>
      <c r="Q9" s="6">
        <v>11</v>
      </c>
      <c r="R9" s="6" t="s">
        <v>45</v>
      </c>
      <c r="S9" s="32" t="s">
        <v>2114</v>
      </c>
      <c r="T9" s="6">
        <v>1</v>
      </c>
      <c r="U9" s="26">
        <v>23000000</v>
      </c>
      <c r="V9" s="26">
        <v>23000000</v>
      </c>
      <c r="W9" s="26">
        <v>23000000</v>
      </c>
      <c r="X9" s="6" t="s">
        <v>2003</v>
      </c>
      <c r="Y9" s="6" t="s">
        <v>1252</v>
      </c>
      <c r="Z9" s="6">
        <v>223312</v>
      </c>
    </row>
    <row r="10" spans="1:26" x14ac:dyDescent="0.3">
      <c r="A10" s="28" t="s">
        <v>42</v>
      </c>
      <c r="B10" s="6" t="s">
        <v>1326</v>
      </c>
      <c r="C10" s="6" t="s">
        <v>1974</v>
      </c>
      <c r="D10" s="6" t="s">
        <v>2292</v>
      </c>
      <c r="E10" s="6">
        <v>1</v>
      </c>
      <c r="F10" s="6" t="s">
        <v>2004</v>
      </c>
      <c r="G10" s="32" t="s">
        <v>2299</v>
      </c>
      <c r="H10" s="32" t="s">
        <v>2300</v>
      </c>
      <c r="I10" s="6" t="str">
        <f t="shared" si="0"/>
        <v>Etc Grapple</v>
      </c>
      <c r="J10" s="6" t="s">
        <v>125</v>
      </c>
      <c r="K10" s="6">
        <v>1</v>
      </c>
      <c r="L10" s="6">
        <f t="shared" si="1"/>
        <v>6470000</v>
      </c>
      <c r="M10" s="6">
        <v>5500000</v>
      </c>
      <c r="N10" s="6" t="s">
        <v>2003</v>
      </c>
      <c r="O10" s="6" t="s">
        <v>853</v>
      </c>
      <c r="P10" s="6">
        <v>2015</v>
      </c>
      <c r="Q10" s="6">
        <v>1</v>
      </c>
      <c r="R10" s="6" t="s">
        <v>45</v>
      </c>
      <c r="S10" s="32" t="s">
        <v>2115</v>
      </c>
      <c r="T10" s="6">
        <v>1</v>
      </c>
      <c r="U10" s="26">
        <v>5000000</v>
      </c>
      <c r="V10" s="26">
        <v>5000000</v>
      </c>
      <c r="W10" s="26">
        <v>5000000</v>
      </c>
      <c r="X10" s="6" t="s">
        <v>2003</v>
      </c>
      <c r="Y10" s="6" t="s">
        <v>1253</v>
      </c>
      <c r="Z10" s="6">
        <v>223320</v>
      </c>
    </row>
    <row r="11" spans="1:26" x14ac:dyDescent="0.3">
      <c r="A11" s="28" t="s">
        <v>42</v>
      </c>
      <c r="B11" s="6" t="s">
        <v>2190</v>
      </c>
      <c r="C11" s="6"/>
      <c r="D11" s="6" t="s">
        <v>2292</v>
      </c>
      <c r="E11" s="6">
        <v>1</v>
      </c>
      <c r="F11" s="6" t="s">
        <v>2004</v>
      </c>
      <c r="G11" s="32" t="s">
        <v>2299</v>
      </c>
      <c r="H11" s="32" t="s">
        <v>2300</v>
      </c>
      <c r="I11" s="6" t="str">
        <f t="shared" si="0"/>
        <v>Lift Fork</v>
      </c>
      <c r="J11" s="6" t="s">
        <v>320</v>
      </c>
      <c r="K11" s="6">
        <v>1</v>
      </c>
      <c r="L11" s="6">
        <f t="shared" si="1"/>
        <v>470000</v>
      </c>
      <c r="M11" s="6">
        <v>400000</v>
      </c>
      <c r="N11" s="6" t="s">
        <v>2003</v>
      </c>
      <c r="O11" s="6" t="s">
        <v>2007</v>
      </c>
      <c r="P11" s="6">
        <v>2014</v>
      </c>
      <c r="Q11" s="6">
        <v>1</v>
      </c>
      <c r="R11" s="6" t="s">
        <v>45</v>
      </c>
      <c r="S11" s="32" t="s">
        <v>2113</v>
      </c>
      <c r="T11" s="6">
        <v>1</v>
      </c>
      <c r="U11" s="26">
        <v>350000</v>
      </c>
      <c r="V11" s="26">
        <v>350000</v>
      </c>
      <c r="W11" s="26">
        <v>350000</v>
      </c>
      <c r="X11" s="6" t="s">
        <v>2003</v>
      </c>
      <c r="Y11" s="6" t="s">
        <v>49</v>
      </c>
      <c r="Z11" s="6">
        <v>223321</v>
      </c>
    </row>
    <row r="12" spans="1:26" x14ac:dyDescent="0.3">
      <c r="A12" s="28" t="s">
        <v>42</v>
      </c>
      <c r="B12" s="6" t="s">
        <v>2167</v>
      </c>
      <c r="C12" s="6" t="s">
        <v>1975</v>
      </c>
      <c r="D12" s="6" t="s">
        <v>2001</v>
      </c>
      <c r="E12" s="6">
        <v>1</v>
      </c>
      <c r="F12" s="6" t="s">
        <v>2004</v>
      </c>
      <c r="G12" s="32" t="s">
        <v>2299</v>
      </c>
      <c r="H12" s="32" t="s">
        <v>2300</v>
      </c>
      <c r="I12" s="6" t="str">
        <f t="shared" si="0"/>
        <v>Side Breaker</v>
      </c>
      <c r="J12" s="6" t="s">
        <v>164</v>
      </c>
      <c r="K12" s="6">
        <v>1</v>
      </c>
      <c r="L12" s="6">
        <f t="shared" si="1"/>
        <v>6470000</v>
      </c>
      <c r="M12" s="6">
        <v>5500000</v>
      </c>
      <c r="N12" s="6" t="s">
        <v>2003</v>
      </c>
      <c r="O12" s="6" t="s">
        <v>54</v>
      </c>
      <c r="P12" s="6">
        <v>2009</v>
      </c>
      <c r="Q12" s="6">
        <v>1</v>
      </c>
      <c r="R12" s="6" t="s">
        <v>45</v>
      </c>
      <c r="S12" s="32" t="s">
        <v>2111</v>
      </c>
      <c r="T12" s="6">
        <v>1</v>
      </c>
      <c r="U12" s="26">
        <v>5000000</v>
      </c>
      <c r="V12" s="26">
        <v>5000000</v>
      </c>
      <c r="W12" s="26">
        <v>5000000</v>
      </c>
      <c r="X12" s="6" t="s">
        <v>2003</v>
      </c>
      <c r="Y12" s="6" t="s">
        <v>54</v>
      </c>
      <c r="Z12" s="6">
        <v>223322</v>
      </c>
    </row>
    <row r="13" spans="1:26" x14ac:dyDescent="0.3">
      <c r="A13" s="28" t="s">
        <v>42</v>
      </c>
      <c r="B13" s="6" t="s">
        <v>1327</v>
      </c>
      <c r="C13" s="6" t="s">
        <v>1982</v>
      </c>
      <c r="D13" s="6" t="s">
        <v>2001</v>
      </c>
      <c r="E13" s="6">
        <v>1</v>
      </c>
      <c r="F13" s="6" t="s">
        <v>2004</v>
      </c>
      <c r="G13" s="32" t="s">
        <v>2299</v>
      </c>
      <c r="H13" s="32" t="s">
        <v>2300</v>
      </c>
      <c r="I13" s="6" t="str">
        <f t="shared" si="0"/>
        <v>Standard Bucket</v>
      </c>
      <c r="J13" s="6" t="s">
        <v>434</v>
      </c>
      <c r="K13" s="6">
        <v>1</v>
      </c>
      <c r="L13" s="6">
        <f t="shared" si="1"/>
        <v>2580000</v>
      </c>
      <c r="M13" s="6">
        <v>2200000</v>
      </c>
      <c r="N13" s="6" t="s">
        <v>2003</v>
      </c>
      <c r="O13" s="6" t="s">
        <v>854</v>
      </c>
      <c r="P13" s="6">
        <v>2013</v>
      </c>
      <c r="Q13" s="6">
        <v>1</v>
      </c>
      <c r="R13" s="6" t="s">
        <v>45</v>
      </c>
      <c r="S13" s="32" t="s">
        <v>2117</v>
      </c>
      <c r="T13" s="6">
        <v>1</v>
      </c>
      <c r="U13" s="26">
        <v>2000000</v>
      </c>
      <c r="V13" s="26">
        <v>2000000</v>
      </c>
      <c r="W13" s="26">
        <v>2000000</v>
      </c>
      <c r="X13" s="6" t="s">
        <v>2003</v>
      </c>
      <c r="Y13" s="6" t="s">
        <v>1248</v>
      </c>
      <c r="Z13" s="6">
        <v>223339</v>
      </c>
    </row>
    <row r="14" spans="1:26" x14ac:dyDescent="0.3">
      <c r="A14" s="28" t="s">
        <v>42</v>
      </c>
      <c r="B14" s="6" t="s">
        <v>1326</v>
      </c>
      <c r="C14" s="6" t="s">
        <v>1972</v>
      </c>
      <c r="D14" s="6" t="s">
        <v>2289</v>
      </c>
      <c r="E14" s="6">
        <v>1</v>
      </c>
      <c r="F14" s="6" t="s">
        <v>2004</v>
      </c>
      <c r="G14" s="32" t="s">
        <v>2299</v>
      </c>
      <c r="H14" s="32" t="s">
        <v>2300</v>
      </c>
      <c r="I14" s="6" t="str">
        <f t="shared" si="0"/>
        <v>Stone Grapple</v>
      </c>
      <c r="J14" s="6" t="s">
        <v>180</v>
      </c>
      <c r="K14" s="6">
        <v>1</v>
      </c>
      <c r="L14" s="6">
        <f t="shared" si="1"/>
        <v>4350000</v>
      </c>
      <c r="M14" s="6">
        <v>3700000</v>
      </c>
      <c r="N14" s="6" t="s">
        <v>2003</v>
      </c>
      <c r="O14" s="6" t="s">
        <v>823</v>
      </c>
      <c r="P14" s="6">
        <v>2014</v>
      </c>
      <c r="Q14" s="6">
        <v>1</v>
      </c>
      <c r="R14" s="6" t="s">
        <v>45</v>
      </c>
      <c r="S14" s="32" t="s">
        <v>2113</v>
      </c>
      <c r="T14" s="6">
        <v>1</v>
      </c>
      <c r="U14" s="26">
        <v>3500000</v>
      </c>
      <c r="V14" s="26">
        <v>3500000</v>
      </c>
      <c r="W14" s="26">
        <v>3500000</v>
      </c>
      <c r="X14" s="6" t="s">
        <v>2003</v>
      </c>
      <c r="Y14" s="6" t="s">
        <v>80</v>
      </c>
      <c r="Z14" s="6">
        <v>223342</v>
      </c>
    </row>
    <row r="15" spans="1:26" x14ac:dyDescent="0.3">
      <c r="A15" s="28" t="s">
        <v>42</v>
      </c>
      <c r="B15" s="6" t="s">
        <v>2167</v>
      </c>
      <c r="C15" s="6" t="s">
        <v>1975</v>
      </c>
      <c r="D15" s="6" t="s">
        <v>2001</v>
      </c>
      <c r="E15" s="6">
        <v>1</v>
      </c>
      <c r="F15" s="6" t="s">
        <v>2004</v>
      </c>
      <c r="G15" s="32" t="s">
        <v>2299</v>
      </c>
      <c r="H15" s="32" t="s">
        <v>2300</v>
      </c>
      <c r="I15" s="6" t="str">
        <f t="shared" si="0"/>
        <v>Side Breaker</v>
      </c>
      <c r="J15" s="6" t="s">
        <v>233</v>
      </c>
      <c r="K15" s="6">
        <v>1</v>
      </c>
      <c r="L15" s="6">
        <f t="shared" si="1"/>
        <v>4940000</v>
      </c>
      <c r="M15" s="6">
        <v>4200000</v>
      </c>
      <c r="N15" s="6" t="s">
        <v>2003</v>
      </c>
      <c r="O15" s="6" t="s">
        <v>855</v>
      </c>
      <c r="P15" s="6">
        <v>2008</v>
      </c>
      <c r="Q15" s="6">
        <v>1</v>
      </c>
      <c r="R15" s="6" t="s">
        <v>45</v>
      </c>
      <c r="S15" s="32" t="s">
        <v>2118</v>
      </c>
      <c r="T15" s="6">
        <v>1</v>
      </c>
      <c r="U15" s="26">
        <v>4000000</v>
      </c>
      <c r="V15" s="26">
        <v>4000000</v>
      </c>
      <c r="W15" s="26">
        <v>4000000</v>
      </c>
      <c r="X15" s="6" t="s">
        <v>2003</v>
      </c>
      <c r="Y15" s="6" t="s">
        <v>67</v>
      </c>
      <c r="Z15" s="6">
        <v>223343</v>
      </c>
    </row>
    <row r="16" spans="1:26" x14ac:dyDescent="0.3">
      <c r="A16" s="28" t="s">
        <v>42</v>
      </c>
      <c r="B16" s="6" t="s">
        <v>1327</v>
      </c>
      <c r="C16" s="6" t="s">
        <v>1976</v>
      </c>
      <c r="D16" s="6" t="s">
        <v>2001</v>
      </c>
      <c r="E16" s="6">
        <v>1</v>
      </c>
      <c r="F16" s="6" t="s">
        <v>2004</v>
      </c>
      <c r="G16" s="32" t="s">
        <v>2299</v>
      </c>
      <c r="H16" s="32" t="s">
        <v>2300</v>
      </c>
      <c r="I16" s="6" t="str">
        <f t="shared" si="0"/>
        <v>Skeleton Bucket</v>
      </c>
      <c r="J16" s="6" t="s">
        <v>124</v>
      </c>
      <c r="K16" s="6">
        <v>1</v>
      </c>
      <c r="L16" s="6">
        <f t="shared" si="1"/>
        <v>1880000</v>
      </c>
      <c r="M16" s="6">
        <v>1600000</v>
      </c>
      <c r="N16" s="6" t="s">
        <v>2003</v>
      </c>
      <c r="O16" s="6" t="s">
        <v>813</v>
      </c>
      <c r="P16" s="6">
        <v>2013</v>
      </c>
      <c r="Q16" s="6">
        <v>1</v>
      </c>
      <c r="R16" s="6" t="s">
        <v>45</v>
      </c>
      <c r="S16" s="32" t="s">
        <v>2113</v>
      </c>
      <c r="T16" s="6">
        <v>1</v>
      </c>
      <c r="U16" s="26">
        <v>1500000</v>
      </c>
      <c r="V16" s="26">
        <v>1500000</v>
      </c>
      <c r="W16" s="26">
        <v>1500000</v>
      </c>
      <c r="X16" s="6" t="s">
        <v>2003</v>
      </c>
      <c r="Y16" s="6" t="s">
        <v>80</v>
      </c>
      <c r="Z16" s="6">
        <v>223353</v>
      </c>
    </row>
    <row r="17" spans="1:26" x14ac:dyDescent="0.3">
      <c r="A17" s="28" t="s">
        <v>42</v>
      </c>
      <c r="B17" s="6" t="s">
        <v>2175</v>
      </c>
      <c r="C17" s="6" t="s">
        <v>2321</v>
      </c>
      <c r="D17" s="6" t="s">
        <v>2293</v>
      </c>
      <c r="E17" s="6">
        <v>1</v>
      </c>
      <c r="F17" s="6" t="s">
        <v>2004</v>
      </c>
      <c r="G17" s="32" t="s">
        <v>2299</v>
      </c>
      <c r="H17" s="32" t="s">
        <v>2300</v>
      </c>
      <c r="I17" s="6" t="str">
        <f t="shared" si="0"/>
        <v>Etc Crusher</v>
      </c>
      <c r="J17" s="6" t="s">
        <v>76</v>
      </c>
      <c r="K17" s="6">
        <v>1</v>
      </c>
      <c r="L17" s="6">
        <f t="shared" si="1"/>
        <v>6820000</v>
      </c>
      <c r="M17" s="6">
        <v>5800000</v>
      </c>
      <c r="N17" s="6" t="s">
        <v>2003</v>
      </c>
      <c r="O17" s="6" t="s">
        <v>70</v>
      </c>
      <c r="P17" s="6">
        <v>2016</v>
      </c>
      <c r="Q17" s="6">
        <v>1</v>
      </c>
      <c r="R17" s="6" t="s">
        <v>45</v>
      </c>
      <c r="S17" s="32" t="s">
        <v>2113</v>
      </c>
      <c r="T17" s="6">
        <v>1</v>
      </c>
      <c r="U17" s="26">
        <v>5300000</v>
      </c>
      <c r="V17" s="26">
        <v>5300000</v>
      </c>
      <c r="W17" s="26">
        <v>5300000</v>
      </c>
      <c r="X17" s="6" t="s">
        <v>2003</v>
      </c>
      <c r="Y17" s="6" t="s">
        <v>71</v>
      </c>
      <c r="Z17" s="6">
        <v>223362</v>
      </c>
    </row>
    <row r="18" spans="1:26" x14ac:dyDescent="0.3">
      <c r="A18" s="28" t="s">
        <v>42</v>
      </c>
      <c r="B18" s="6" t="s">
        <v>1327</v>
      </c>
      <c r="C18" s="6" t="s">
        <v>1977</v>
      </c>
      <c r="D18" s="6" t="s">
        <v>2290</v>
      </c>
      <c r="E18" s="6">
        <v>1</v>
      </c>
      <c r="F18" s="6" t="s">
        <v>2004</v>
      </c>
      <c r="G18" s="32" t="s">
        <v>2299</v>
      </c>
      <c r="H18" s="32" t="s">
        <v>2300</v>
      </c>
      <c r="I18" s="6" t="str">
        <f t="shared" si="0"/>
        <v>Wide Bucket</v>
      </c>
      <c r="J18" s="6" t="s">
        <v>293</v>
      </c>
      <c r="K18" s="6">
        <v>1</v>
      </c>
      <c r="L18" s="6">
        <f t="shared" si="1"/>
        <v>1410000</v>
      </c>
      <c r="M18" s="6">
        <v>1200000</v>
      </c>
      <c r="N18" s="6" t="s">
        <v>2003</v>
      </c>
      <c r="O18" s="6" t="s">
        <v>813</v>
      </c>
      <c r="P18" s="6">
        <v>2013</v>
      </c>
      <c r="Q18" s="6">
        <v>1</v>
      </c>
      <c r="R18" s="6" t="s">
        <v>45</v>
      </c>
      <c r="S18" s="32" t="s">
        <v>2113</v>
      </c>
      <c r="T18" s="6">
        <v>1</v>
      </c>
      <c r="U18" s="26">
        <v>1100000</v>
      </c>
      <c r="V18" s="26">
        <v>1100000</v>
      </c>
      <c r="W18" s="26">
        <v>1100000</v>
      </c>
      <c r="X18" s="6" t="s">
        <v>2003</v>
      </c>
      <c r="Y18" s="6" t="s">
        <v>79</v>
      </c>
      <c r="Z18" s="6">
        <v>223369</v>
      </c>
    </row>
    <row r="19" spans="1:26" x14ac:dyDescent="0.3">
      <c r="A19" s="28" t="s">
        <v>42</v>
      </c>
      <c r="B19" s="6" t="s">
        <v>2167</v>
      </c>
      <c r="C19" s="6" t="s">
        <v>1975</v>
      </c>
      <c r="D19" s="6" t="s">
        <v>2002</v>
      </c>
      <c r="E19" s="6">
        <v>1</v>
      </c>
      <c r="F19" s="6" t="s">
        <v>2004</v>
      </c>
      <c r="G19" s="32" t="s">
        <v>2299</v>
      </c>
      <c r="H19" s="32" t="s">
        <v>2300</v>
      </c>
      <c r="I19" s="6" t="str">
        <f t="shared" si="0"/>
        <v>Side Breaker</v>
      </c>
      <c r="J19" s="6" t="s">
        <v>135</v>
      </c>
      <c r="K19" s="6">
        <v>1</v>
      </c>
      <c r="L19" s="6">
        <f t="shared" si="1"/>
        <v>1520000</v>
      </c>
      <c r="M19" s="6">
        <v>1300000</v>
      </c>
      <c r="N19" s="6" t="s">
        <v>2003</v>
      </c>
      <c r="O19" s="6" t="s">
        <v>2007</v>
      </c>
      <c r="P19" s="6">
        <v>2013</v>
      </c>
      <c r="Q19" s="6">
        <v>1</v>
      </c>
      <c r="R19" s="6" t="s">
        <v>45</v>
      </c>
      <c r="S19" s="32" t="s">
        <v>2113</v>
      </c>
      <c r="T19" s="6">
        <v>1</v>
      </c>
      <c r="U19" s="26">
        <v>1200000</v>
      </c>
      <c r="V19" s="26">
        <v>1200000</v>
      </c>
      <c r="W19" s="26">
        <v>1200000</v>
      </c>
      <c r="X19" s="6" t="s">
        <v>2003</v>
      </c>
      <c r="Y19" s="6" t="s">
        <v>49</v>
      </c>
      <c r="Z19" s="6">
        <v>223371</v>
      </c>
    </row>
    <row r="20" spans="1:26" x14ac:dyDescent="0.3">
      <c r="A20" s="28" t="s">
        <v>42</v>
      </c>
      <c r="B20" s="6" t="s">
        <v>1327</v>
      </c>
      <c r="C20" s="6" t="s">
        <v>1977</v>
      </c>
      <c r="D20" s="6" t="s">
        <v>2291</v>
      </c>
      <c r="E20" s="6">
        <v>1</v>
      </c>
      <c r="F20" s="6" t="s">
        <v>2004</v>
      </c>
      <c r="G20" s="32" t="s">
        <v>2299</v>
      </c>
      <c r="H20" s="32" t="s">
        <v>2300</v>
      </c>
      <c r="I20" s="6" t="str">
        <f t="shared" si="0"/>
        <v>Wide Bucket</v>
      </c>
      <c r="J20" s="6" t="s">
        <v>64</v>
      </c>
      <c r="K20" s="6">
        <v>1</v>
      </c>
      <c r="L20" s="6">
        <f t="shared" si="1"/>
        <v>410000</v>
      </c>
      <c r="M20" s="6">
        <v>350000</v>
      </c>
      <c r="N20" s="6" t="s">
        <v>2003</v>
      </c>
      <c r="O20" s="6" t="s">
        <v>2007</v>
      </c>
      <c r="P20" s="6">
        <v>2013</v>
      </c>
      <c r="Q20" s="6">
        <v>1</v>
      </c>
      <c r="R20" s="6" t="s">
        <v>45</v>
      </c>
      <c r="S20" s="32" t="s">
        <v>2113</v>
      </c>
      <c r="T20" s="6">
        <v>1</v>
      </c>
      <c r="U20" s="26">
        <v>300000</v>
      </c>
      <c r="V20" s="26">
        <v>300000</v>
      </c>
      <c r="W20" s="26">
        <v>300000</v>
      </c>
      <c r="X20" s="6" t="s">
        <v>2003</v>
      </c>
      <c r="Y20" s="6" t="s">
        <v>49</v>
      </c>
      <c r="Z20" s="6">
        <v>223372</v>
      </c>
    </row>
    <row r="21" spans="1:26" x14ac:dyDescent="0.3">
      <c r="A21" s="28" t="s">
        <v>42</v>
      </c>
      <c r="B21" s="6" t="s">
        <v>2167</v>
      </c>
      <c r="C21" s="6" t="s">
        <v>1975</v>
      </c>
      <c r="D21" s="6" t="s">
        <v>2292</v>
      </c>
      <c r="E21" s="6">
        <v>1</v>
      </c>
      <c r="F21" s="6" t="s">
        <v>2004</v>
      </c>
      <c r="G21" s="32" t="s">
        <v>2299</v>
      </c>
      <c r="H21" s="32" t="s">
        <v>2300</v>
      </c>
      <c r="I21" s="6" t="str">
        <f t="shared" si="0"/>
        <v>Side Breaker</v>
      </c>
      <c r="J21" s="6" t="s">
        <v>435</v>
      </c>
      <c r="K21" s="6">
        <v>1</v>
      </c>
      <c r="L21" s="6">
        <f t="shared" si="1"/>
        <v>4580000</v>
      </c>
      <c r="M21" s="6">
        <v>3900000</v>
      </c>
      <c r="N21" s="6" t="s">
        <v>2003</v>
      </c>
      <c r="O21" s="6" t="s">
        <v>815</v>
      </c>
      <c r="P21" s="6">
        <v>2015</v>
      </c>
      <c r="Q21" s="6">
        <v>7</v>
      </c>
      <c r="R21" s="6" t="s">
        <v>45</v>
      </c>
      <c r="S21" s="32" t="s">
        <v>2118</v>
      </c>
      <c r="T21" s="6">
        <v>1</v>
      </c>
      <c r="U21" s="26">
        <v>3700000</v>
      </c>
      <c r="V21" s="26">
        <v>3700000</v>
      </c>
      <c r="W21" s="26">
        <v>3700000</v>
      </c>
      <c r="X21" s="6" t="s">
        <v>2003</v>
      </c>
      <c r="Y21" s="6" t="s">
        <v>1197</v>
      </c>
      <c r="Z21" s="6">
        <v>223373</v>
      </c>
    </row>
    <row r="22" spans="1:26" x14ac:dyDescent="0.3">
      <c r="A22" s="28" t="s">
        <v>42</v>
      </c>
      <c r="B22" s="6" t="s">
        <v>2172</v>
      </c>
      <c r="C22" s="6"/>
      <c r="D22" s="6" t="s">
        <v>2289</v>
      </c>
      <c r="E22" s="6">
        <v>1</v>
      </c>
      <c r="F22" s="6" t="s">
        <v>2004</v>
      </c>
      <c r="G22" s="32" t="s">
        <v>2299</v>
      </c>
      <c r="H22" s="32" t="s">
        <v>2300</v>
      </c>
      <c r="I22" s="6" t="str">
        <f t="shared" si="0"/>
        <v>Quick Coupler</v>
      </c>
      <c r="J22" s="6" t="s">
        <v>436</v>
      </c>
      <c r="K22" s="6">
        <v>1</v>
      </c>
      <c r="L22" s="6">
        <f t="shared" si="1"/>
        <v>2580000</v>
      </c>
      <c r="M22" s="6">
        <v>2200000</v>
      </c>
      <c r="N22" s="6" t="s">
        <v>2003</v>
      </c>
      <c r="O22" s="6" t="s">
        <v>856</v>
      </c>
      <c r="P22" s="6">
        <v>2014</v>
      </c>
      <c r="Q22" s="6">
        <v>1</v>
      </c>
      <c r="R22" s="6" t="s">
        <v>45</v>
      </c>
      <c r="S22" s="32" t="s">
        <v>2119</v>
      </c>
      <c r="T22" s="6">
        <v>1</v>
      </c>
      <c r="U22" s="26">
        <v>2000000</v>
      </c>
      <c r="V22" s="26">
        <v>2000000</v>
      </c>
      <c r="W22" s="26">
        <v>2000000</v>
      </c>
      <c r="X22" s="6" t="s">
        <v>2003</v>
      </c>
      <c r="Y22" s="6" t="s">
        <v>60</v>
      </c>
      <c r="Z22" s="6">
        <v>223375</v>
      </c>
    </row>
    <row r="23" spans="1:26" x14ac:dyDescent="0.3">
      <c r="A23" s="28" t="s">
        <v>42</v>
      </c>
      <c r="B23" s="6" t="s">
        <v>1326</v>
      </c>
      <c r="C23" s="6" t="s">
        <v>1974</v>
      </c>
      <c r="D23" s="6" t="s">
        <v>2293</v>
      </c>
      <c r="E23" s="6">
        <v>1</v>
      </c>
      <c r="F23" s="6" t="s">
        <v>2004</v>
      </c>
      <c r="G23" s="32" t="s">
        <v>2299</v>
      </c>
      <c r="H23" s="32" t="s">
        <v>2300</v>
      </c>
      <c r="I23" s="6" t="str">
        <f t="shared" si="0"/>
        <v>Etc Grapple</v>
      </c>
      <c r="J23" s="6" t="s">
        <v>339</v>
      </c>
      <c r="K23" s="6">
        <v>1</v>
      </c>
      <c r="L23" s="6">
        <f t="shared" si="1"/>
        <v>2640000</v>
      </c>
      <c r="M23" s="6">
        <v>2250000</v>
      </c>
      <c r="N23" s="6" t="s">
        <v>2003</v>
      </c>
      <c r="O23" s="6" t="s">
        <v>2007</v>
      </c>
      <c r="P23" s="6">
        <v>2016</v>
      </c>
      <c r="Q23" s="6">
        <v>1</v>
      </c>
      <c r="R23" s="6" t="s">
        <v>45</v>
      </c>
      <c r="S23" s="32" t="s">
        <v>2113</v>
      </c>
      <c r="T23" s="6">
        <v>1</v>
      </c>
      <c r="U23" s="26">
        <v>2050000</v>
      </c>
      <c r="V23" s="26">
        <v>2050000</v>
      </c>
      <c r="W23" s="26">
        <v>2050000</v>
      </c>
      <c r="X23" s="6" t="s">
        <v>2003</v>
      </c>
      <c r="Y23" s="6" t="s">
        <v>49</v>
      </c>
      <c r="Z23" s="6">
        <v>223378</v>
      </c>
    </row>
    <row r="24" spans="1:26" x14ac:dyDescent="0.3">
      <c r="A24" s="28" t="s">
        <v>42</v>
      </c>
      <c r="B24" s="6" t="s">
        <v>2159</v>
      </c>
      <c r="C24" s="6"/>
      <c r="D24" s="6" t="s">
        <v>2291</v>
      </c>
      <c r="E24" s="6">
        <v>1</v>
      </c>
      <c r="F24" s="6" t="s">
        <v>2004</v>
      </c>
      <c r="G24" s="32" t="s">
        <v>2299</v>
      </c>
      <c r="H24" s="32" t="s">
        <v>2300</v>
      </c>
      <c r="I24" s="6" t="str">
        <f t="shared" si="0"/>
        <v>ETC</v>
      </c>
      <c r="J24" s="6" t="s">
        <v>373</v>
      </c>
      <c r="K24" s="6">
        <v>1</v>
      </c>
      <c r="L24" s="6">
        <f t="shared" si="1"/>
        <v>2110000</v>
      </c>
      <c r="M24" s="6">
        <v>1800000</v>
      </c>
      <c r="N24" s="6" t="s">
        <v>2003</v>
      </c>
      <c r="O24" s="6" t="s">
        <v>841</v>
      </c>
      <c r="P24" s="6">
        <v>2016</v>
      </c>
      <c r="Q24" s="6">
        <v>8</v>
      </c>
      <c r="R24" s="6" t="s">
        <v>45</v>
      </c>
      <c r="S24" s="32" t="s">
        <v>2118</v>
      </c>
      <c r="T24" s="6">
        <v>1</v>
      </c>
      <c r="U24" s="26">
        <v>1700000</v>
      </c>
      <c r="V24" s="26">
        <v>1700000</v>
      </c>
      <c r="W24" s="26">
        <v>1700000</v>
      </c>
      <c r="X24" s="6" t="s">
        <v>2003</v>
      </c>
      <c r="Y24" s="6" t="s">
        <v>1170</v>
      </c>
      <c r="Z24" s="6">
        <v>223380</v>
      </c>
    </row>
    <row r="25" spans="1:26" x14ac:dyDescent="0.3">
      <c r="A25" s="28" t="s">
        <v>42</v>
      </c>
      <c r="B25" s="6" t="s">
        <v>2167</v>
      </c>
      <c r="C25" s="6" t="s">
        <v>1975</v>
      </c>
      <c r="D25" s="6" t="s">
        <v>2292</v>
      </c>
      <c r="E25" s="6">
        <v>1</v>
      </c>
      <c r="F25" s="6" t="s">
        <v>2004</v>
      </c>
      <c r="G25" s="32" t="s">
        <v>2299</v>
      </c>
      <c r="H25" s="32" t="s">
        <v>2300</v>
      </c>
      <c r="I25" s="6" t="str">
        <f t="shared" si="0"/>
        <v>Side Breaker</v>
      </c>
      <c r="J25" s="6" t="s">
        <v>423</v>
      </c>
      <c r="K25" s="6">
        <v>1</v>
      </c>
      <c r="L25" s="6">
        <f t="shared" si="1"/>
        <v>4700000</v>
      </c>
      <c r="M25" s="6">
        <v>4000000</v>
      </c>
      <c r="N25" s="6" t="s">
        <v>2003</v>
      </c>
      <c r="O25" s="6" t="s">
        <v>797</v>
      </c>
      <c r="P25" s="6">
        <v>2015</v>
      </c>
      <c r="Q25" s="6">
        <v>7</v>
      </c>
      <c r="R25" s="6" t="s">
        <v>45</v>
      </c>
      <c r="S25" s="32" t="s">
        <v>2120</v>
      </c>
      <c r="T25" s="6">
        <v>1</v>
      </c>
      <c r="U25" s="26">
        <v>3800000</v>
      </c>
      <c r="V25" s="26">
        <v>3800000</v>
      </c>
      <c r="W25" s="26">
        <v>3800000</v>
      </c>
      <c r="X25" s="6" t="s">
        <v>2003</v>
      </c>
      <c r="Y25" s="6" t="s">
        <v>1162</v>
      </c>
      <c r="Z25" s="6">
        <v>223383</v>
      </c>
    </row>
    <row r="26" spans="1:26" x14ac:dyDescent="0.3">
      <c r="A26" s="28" t="s">
        <v>42</v>
      </c>
      <c r="B26" s="6" t="s">
        <v>2175</v>
      </c>
      <c r="C26" s="6" t="s">
        <v>1978</v>
      </c>
      <c r="D26" s="6" t="s">
        <v>2290</v>
      </c>
      <c r="E26" s="6">
        <v>1</v>
      </c>
      <c r="F26" s="6" t="s">
        <v>2004</v>
      </c>
      <c r="G26" s="32" t="s">
        <v>2299</v>
      </c>
      <c r="H26" s="32" t="s">
        <v>2300</v>
      </c>
      <c r="I26" s="6" t="str">
        <f t="shared" si="0"/>
        <v>Hydraulic Pulverizer</v>
      </c>
      <c r="J26" s="6" t="s">
        <v>437</v>
      </c>
      <c r="K26" s="6">
        <v>1</v>
      </c>
      <c r="L26" s="6">
        <f t="shared" si="1"/>
        <v>7640000</v>
      </c>
      <c r="M26" s="6">
        <v>6500000</v>
      </c>
      <c r="N26" s="6" t="s">
        <v>2003</v>
      </c>
      <c r="O26" s="6" t="s">
        <v>813</v>
      </c>
      <c r="P26" s="6">
        <v>2013</v>
      </c>
      <c r="Q26" s="6">
        <v>1</v>
      </c>
      <c r="R26" s="6" t="s">
        <v>45</v>
      </c>
      <c r="S26" s="32" t="s">
        <v>2113</v>
      </c>
      <c r="T26" s="6">
        <v>1</v>
      </c>
      <c r="U26" s="26">
        <v>6000000</v>
      </c>
      <c r="V26" s="26">
        <v>6000000</v>
      </c>
      <c r="W26" s="26">
        <v>6000000</v>
      </c>
      <c r="X26" s="6" t="s">
        <v>2003</v>
      </c>
      <c r="Y26" s="6" t="s">
        <v>80</v>
      </c>
      <c r="Z26" s="6">
        <v>223392</v>
      </c>
    </row>
    <row r="27" spans="1:26" x14ac:dyDescent="0.3">
      <c r="A27" s="28" t="s">
        <v>42</v>
      </c>
      <c r="B27" s="6" t="s">
        <v>2167</v>
      </c>
      <c r="C27" s="6" t="s">
        <v>1975</v>
      </c>
      <c r="D27" s="6" t="s">
        <v>2293</v>
      </c>
      <c r="E27" s="6">
        <v>1</v>
      </c>
      <c r="F27" s="6" t="s">
        <v>2004</v>
      </c>
      <c r="G27" s="32" t="s">
        <v>2299</v>
      </c>
      <c r="H27" s="32" t="s">
        <v>2300</v>
      </c>
      <c r="I27" s="6" t="str">
        <f t="shared" si="0"/>
        <v>Side Breaker</v>
      </c>
      <c r="J27" s="6" t="s">
        <v>438</v>
      </c>
      <c r="K27" s="6">
        <v>1</v>
      </c>
      <c r="L27" s="6">
        <f t="shared" si="1"/>
        <v>2230000</v>
      </c>
      <c r="M27" s="6">
        <v>1900000</v>
      </c>
      <c r="N27" s="6" t="s">
        <v>2003</v>
      </c>
      <c r="O27" s="6" t="s">
        <v>858</v>
      </c>
      <c r="P27" s="6">
        <v>2017</v>
      </c>
      <c r="Q27" s="6">
        <v>1</v>
      </c>
      <c r="R27" s="6" t="s">
        <v>45</v>
      </c>
      <c r="S27" s="32" t="s">
        <v>2113</v>
      </c>
      <c r="T27" s="6">
        <v>1</v>
      </c>
      <c r="U27" s="26">
        <v>1800000</v>
      </c>
      <c r="V27" s="26">
        <v>1800000</v>
      </c>
      <c r="W27" s="26">
        <v>1800000</v>
      </c>
      <c r="X27" s="6" t="s">
        <v>2003</v>
      </c>
      <c r="Y27" s="6" t="s">
        <v>49</v>
      </c>
      <c r="Z27" s="6">
        <v>223393</v>
      </c>
    </row>
    <row r="28" spans="1:26" x14ac:dyDescent="0.3">
      <c r="A28" s="28" t="s">
        <v>42</v>
      </c>
      <c r="B28" s="6" t="s">
        <v>1326</v>
      </c>
      <c r="C28" s="6" t="s">
        <v>1973</v>
      </c>
      <c r="D28" s="6" t="s">
        <v>2291</v>
      </c>
      <c r="E28" s="6">
        <v>1</v>
      </c>
      <c r="F28" s="6" t="s">
        <v>2004</v>
      </c>
      <c r="G28" s="32" t="s">
        <v>2299</v>
      </c>
      <c r="H28" s="32" t="s">
        <v>2300</v>
      </c>
      <c r="I28" s="6" t="str">
        <f t="shared" si="0"/>
        <v>Wood Grapple</v>
      </c>
      <c r="J28" s="6" t="s">
        <v>439</v>
      </c>
      <c r="K28" s="6">
        <v>1</v>
      </c>
      <c r="L28" s="6">
        <f t="shared" si="1"/>
        <v>3170000</v>
      </c>
      <c r="M28" s="6">
        <v>2700000</v>
      </c>
      <c r="N28" s="6" t="s">
        <v>2003</v>
      </c>
      <c r="O28" s="6" t="s">
        <v>859</v>
      </c>
      <c r="P28" s="6">
        <v>2015</v>
      </c>
      <c r="Q28" s="6">
        <v>10</v>
      </c>
      <c r="R28" s="6" t="s">
        <v>45</v>
      </c>
      <c r="S28" s="32" t="s">
        <v>2121</v>
      </c>
      <c r="T28" s="6">
        <v>1</v>
      </c>
      <c r="U28" s="26">
        <v>2500000</v>
      </c>
      <c r="V28" s="26">
        <v>2500000</v>
      </c>
      <c r="W28" s="26">
        <v>2500000</v>
      </c>
      <c r="X28" s="6" t="s">
        <v>2003</v>
      </c>
      <c r="Y28" s="6" t="s">
        <v>1254</v>
      </c>
      <c r="Z28" s="6">
        <v>223398</v>
      </c>
    </row>
    <row r="29" spans="1:26" x14ac:dyDescent="0.3">
      <c r="A29" s="28" t="s">
        <v>42</v>
      </c>
      <c r="B29" s="6" t="s">
        <v>2167</v>
      </c>
      <c r="C29" s="6" t="s">
        <v>1975</v>
      </c>
      <c r="D29" s="6" t="s">
        <v>2293</v>
      </c>
      <c r="E29" s="6">
        <v>1</v>
      </c>
      <c r="F29" s="6" t="s">
        <v>2004</v>
      </c>
      <c r="G29" s="32" t="s">
        <v>2299</v>
      </c>
      <c r="H29" s="32" t="s">
        <v>2300</v>
      </c>
      <c r="I29" s="6" t="str">
        <f t="shared" si="0"/>
        <v>Side Breaker</v>
      </c>
      <c r="J29" s="6" t="s">
        <v>172</v>
      </c>
      <c r="K29" s="6">
        <v>1</v>
      </c>
      <c r="L29" s="6">
        <f t="shared" si="1"/>
        <v>1880000</v>
      </c>
      <c r="M29" s="6">
        <v>1600000</v>
      </c>
      <c r="N29" s="6" t="s">
        <v>2003</v>
      </c>
      <c r="O29" s="6" t="s">
        <v>860</v>
      </c>
      <c r="P29" s="6">
        <v>2013</v>
      </c>
      <c r="Q29" s="6">
        <v>1</v>
      </c>
      <c r="R29" s="6" t="s">
        <v>45</v>
      </c>
      <c r="S29" s="32" t="s">
        <v>2119</v>
      </c>
      <c r="T29" s="6">
        <v>1</v>
      </c>
      <c r="U29" s="26">
        <v>1500000</v>
      </c>
      <c r="V29" s="26">
        <v>1500000</v>
      </c>
      <c r="W29" s="26">
        <v>1500000</v>
      </c>
      <c r="X29" s="6" t="s">
        <v>2003</v>
      </c>
      <c r="Y29" s="6" t="s">
        <v>60</v>
      </c>
      <c r="Z29" s="6">
        <v>223399</v>
      </c>
    </row>
    <row r="30" spans="1:26" x14ac:dyDescent="0.3">
      <c r="A30" s="28" t="s">
        <v>42</v>
      </c>
      <c r="B30" s="6" t="s">
        <v>2159</v>
      </c>
      <c r="C30" s="6"/>
      <c r="D30" s="6" t="s">
        <v>2290</v>
      </c>
      <c r="E30" s="6">
        <v>1</v>
      </c>
      <c r="F30" s="6" t="s">
        <v>2004</v>
      </c>
      <c r="G30" s="32" t="s">
        <v>2299</v>
      </c>
      <c r="H30" s="32" t="s">
        <v>2300</v>
      </c>
      <c r="I30" s="6" t="str">
        <f t="shared" si="0"/>
        <v>ETC</v>
      </c>
      <c r="J30" s="6" t="s">
        <v>545</v>
      </c>
      <c r="K30" s="6">
        <v>1</v>
      </c>
      <c r="L30" s="6">
        <f t="shared" si="1"/>
        <v>18230000</v>
      </c>
      <c r="M30" s="6">
        <v>15500000</v>
      </c>
      <c r="N30" s="6" t="s">
        <v>2003</v>
      </c>
      <c r="O30" s="6" t="s">
        <v>813</v>
      </c>
      <c r="P30" s="6">
        <v>2014</v>
      </c>
      <c r="Q30" s="6">
        <v>1</v>
      </c>
      <c r="R30" s="6" t="s">
        <v>45</v>
      </c>
      <c r="S30" s="32" t="s">
        <v>2113</v>
      </c>
      <c r="T30" s="6">
        <v>1</v>
      </c>
      <c r="U30" s="26">
        <v>15000000</v>
      </c>
      <c r="V30" s="26">
        <v>15000000</v>
      </c>
      <c r="W30" s="26">
        <v>15000000</v>
      </c>
      <c r="X30" s="6" t="s">
        <v>2003</v>
      </c>
      <c r="Y30" s="6" t="s">
        <v>80</v>
      </c>
      <c r="Z30" s="6">
        <v>223404</v>
      </c>
    </row>
    <row r="31" spans="1:26" x14ac:dyDescent="0.3">
      <c r="A31" s="28" t="s">
        <v>42</v>
      </c>
      <c r="B31" s="6" t="s">
        <v>2193</v>
      </c>
      <c r="C31" s="6"/>
      <c r="D31" s="6" t="s">
        <v>2290</v>
      </c>
      <c r="E31" s="6">
        <v>1</v>
      </c>
      <c r="F31" s="6" t="s">
        <v>2004</v>
      </c>
      <c r="G31" s="32" t="s">
        <v>2299</v>
      </c>
      <c r="H31" s="32" t="s">
        <v>2300</v>
      </c>
      <c r="I31" s="6" t="str">
        <f t="shared" si="0"/>
        <v>Ripper</v>
      </c>
      <c r="J31" s="6" t="s">
        <v>346</v>
      </c>
      <c r="K31" s="6">
        <v>1</v>
      </c>
      <c r="L31" s="6">
        <f t="shared" si="1"/>
        <v>1520000</v>
      </c>
      <c r="M31" s="6">
        <v>1300000</v>
      </c>
      <c r="N31" s="6" t="s">
        <v>2003</v>
      </c>
      <c r="O31" s="6" t="s">
        <v>2008</v>
      </c>
      <c r="P31" s="6">
        <v>2017</v>
      </c>
      <c r="Q31" s="6">
        <v>1</v>
      </c>
      <c r="R31" s="6" t="s">
        <v>45</v>
      </c>
      <c r="S31" s="32" t="s">
        <v>2110</v>
      </c>
      <c r="T31" s="6">
        <v>1</v>
      </c>
      <c r="U31" s="26">
        <v>1200000</v>
      </c>
      <c r="V31" s="26">
        <v>1200000</v>
      </c>
      <c r="W31" s="26">
        <v>1200000</v>
      </c>
      <c r="X31" s="6" t="s">
        <v>2003</v>
      </c>
      <c r="Y31" s="6" t="s">
        <v>1155</v>
      </c>
      <c r="Z31" s="6">
        <v>223407</v>
      </c>
    </row>
    <row r="32" spans="1:26" x14ac:dyDescent="0.3">
      <c r="A32" s="28" t="s">
        <v>42</v>
      </c>
      <c r="B32" s="6" t="s">
        <v>2308</v>
      </c>
      <c r="C32" s="6" t="s">
        <v>1975</v>
      </c>
      <c r="D32" s="6" t="s">
        <v>2290</v>
      </c>
      <c r="E32" s="6">
        <v>1</v>
      </c>
      <c r="F32" s="6" t="s">
        <v>2004</v>
      </c>
      <c r="G32" s="32" t="s">
        <v>2299</v>
      </c>
      <c r="H32" s="32" t="s">
        <v>2300</v>
      </c>
      <c r="I32" s="6" t="str">
        <f t="shared" si="0"/>
        <v>Side Breaker</v>
      </c>
      <c r="J32" s="6" t="s">
        <v>235</v>
      </c>
      <c r="K32" s="6">
        <v>1</v>
      </c>
      <c r="L32" s="6">
        <f t="shared" si="1"/>
        <v>10000000</v>
      </c>
      <c r="M32" s="6">
        <v>8500000</v>
      </c>
      <c r="N32" s="6" t="s">
        <v>2003</v>
      </c>
      <c r="O32" s="6" t="s">
        <v>1835</v>
      </c>
      <c r="P32" s="6">
        <v>2014</v>
      </c>
      <c r="Q32" s="6">
        <v>1</v>
      </c>
      <c r="R32" s="6" t="s">
        <v>45</v>
      </c>
      <c r="S32" s="32" t="s">
        <v>2114</v>
      </c>
      <c r="T32" s="6">
        <v>1</v>
      </c>
      <c r="U32" s="26">
        <v>8000000</v>
      </c>
      <c r="V32" s="26">
        <v>8000000</v>
      </c>
      <c r="W32" s="26">
        <v>8000000</v>
      </c>
      <c r="X32" s="6" t="s">
        <v>2003</v>
      </c>
      <c r="Y32" s="6" t="s">
        <v>1230</v>
      </c>
      <c r="Z32" s="6">
        <v>223409</v>
      </c>
    </row>
    <row r="33" spans="1:26" x14ac:dyDescent="0.3">
      <c r="A33" s="28" t="s">
        <v>42</v>
      </c>
      <c r="B33" s="6" t="s">
        <v>2308</v>
      </c>
      <c r="C33" s="6" t="s">
        <v>1975</v>
      </c>
      <c r="D33" s="6" t="s">
        <v>2292</v>
      </c>
      <c r="E33" s="6">
        <v>1</v>
      </c>
      <c r="F33" s="6" t="s">
        <v>2004</v>
      </c>
      <c r="G33" s="32" t="s">
        <v>2299</v>
      </c>
      <c r="H33" s="32" t="s">
        <v>2300</v>
      </c>
      <c r="I33" s="6" t="str">
        <f t="shared" si="0"/>
        <v>Side Breaker</v>
      </c>
      <c r="J33" s="6" t="s">
        <v>153</v>
      </c>
      <c r="K33" s="6">
        <v>1</v>
      </c>
      <c r="L33" s="6">
        <f t="shared" si="1"/>
        <v>3520000</v>
      </c>
      <c r="M33" s="6">
        <v>3000000</v>
      </c>
      <c r="N33" s="6" t="s">
        <v>2003</v>
      </c>
      <c r="O33" s="6" t="s">
        <v>2007</v>
      </c>
      <c r="P33" s="6">
        <v>2012</v>
      </c>
      <c r="Q33" s="6">
        <v>1</v>
      </c>
      <c r="R33" s="6" t="s">
        <v>45</v>
      </c>
      <c r="S33" s="32" t="s">
        <v>2113</v>
      </c>
      <c r="T33" s="6">
        <v>1</v>
      </c>
      <c r="U33" s="26">
        <v>2800000</v>
      </c>
      <c r="V33" s="26">
        <v>2800000</v>
      </c>
      <c r="W33" s="26">
        <v>2800000</v>
      </c>
      <c r="X33" s="6" t="s">
        <v>2003</v>
      </c>
      <c r="Y33" s="6" t="s">
        <v>49</v>
      </c>
      <c r="Z33" s="6">
        <v>223410</v>
      </c>
    </row>
    <row r="34" spans="1:26" x14ac:dyDescent="0.3">
      <c r="A34" s="28" t="s">
        <v>42</v>
      </c>
      <c r="B34" s="6" t="s">
        <v>2309</v>
      </c>
      <c r="C34" s="6" t="s">
        <v>1972</v>
      </c>
      <c r="D34" s="6" t="s">
        <v>2290</v>
      </c>
      <c r="E34" s="6">
        <v>1</v>
      </c>
      <c r="F34" s="6" t="s">
        <v>2004</v>
      </c>
      <c r="G34" s="32" t="s">
        <v>2299</v>
      </c>
      <c r="H34" s="32" t="s">
        <v>2300</v>
      </c>
      <c r="I34" s="6" t="str">
        <f t="shared" ref="I34:I65" si="2">IF(ISBLANK(C34),B34,C34)</f>
        <v>Stone Grapple</v>
      </c>
      <c r="J34" s="6" t="s">
        <v>403</v>
      </c>
      <c r="K34" s="6">
        <v>1</v>
      </c>
      <c r="L34" s="6">
        <f t="shared" si="1"/>
        <v>8820000</v>
      </c>
      <c r="M34" s="6">
        <v>7500000</v>
      </c>
      <c r="N34" s="6" t="s">
        <v>2003</v>
      </c>
      <c r="O34" s="6" t="s">
        <v>813</v>
      </c>
      <c r="P34" s="6">
        <v>2014</v>
      </c>
      <c r="Q34" s="6">
        <v>1</v>
      </c>
      <c r="R34" s="6" t="s">
        <v>45</v>
      </c>
      <c r="S34" s="32" t="s">
        <v>2113</v>
      </c>
      <c r="T34" s="6">
        <v>1</v>
      </c>
      <c r="U34" s="26">
        <v>7000000</v>
      </c>
      <c r="V34" s="26">
        <v>7000000</v>
      </c>
      <c r="W34" s="26">
        <v>7000000</v>
      </c>
      <c r="X34" s="6" t="s">
        <v>2003</v>
      </c>
      <c r="Y34" s="6" t="s">
        <v>80</v>
      </c>
      <c r="Z34" s="6">
        <v>223411</v>
      </c>
    </row>
    <row r="35" spans="1:26" x14ac:dyDescent="0.3">
      <c r="A35" s="28" t="s">
        <v>42</v>
      </c>
      <c r="B35" s="6" t="s">
        <v>2309</v>
      </c>
      <c r="C35" s="6" t="s">
        <v>1972</v>
      </c>
      <c r="D35" s="6" t="s">
        <v>2292</v>
      </c>
      <c r="E35" s="6">
        <v>1</v>
      </c>
      <c r="F35" s="6" t="s">
        <v>2004</v>
      </c>
      <c r="G35" s="32" t="s">
        <v>2299</v>
      </c>
      <c r="H35" s="32" t="s">
        <v>2300</v>
      </c>
      <c r="I35" s="6" t="str">
        <f t="shared" si="2"/>
        <v>Stone Grapple</v>
      </c>
      <c r="J35" s="6" t="s">
        <v>207</v>
      </c>
      <c r="K35" s="6">
        <v>1</v>
      </c>
      <c r="L35" s="6">
        <f t="shared" si="1"/>
        <v>2700000</v>
      </c>
      <c r="M35" s="6">
        <v>2300000</v>
      </c>
      <c r="N35" s="6" t="s">
        <v>2003</v>
      </c>
      <c r="O35" s="6" t="s">
        <v>813</v>
      </c>
      <c r="P35" s="6">
        <v>2013</v>
      </c>
      <c r="Q35" s="6">
        <v>1</v>
      </c>
      <c r="R35" s="6" t="s">
        <v>45</v>
      </c>
      <c r="S35" s="32" t="s">
        <v>2113</v>
      </c>
      <c r="T35" s="6">
        <v>1</v>
      </c>
      <c r="U35" s="26">
        <v>2100000</v>
      </c>
      <c r="V35" s="26">
        <v>2100000</v>
      </c>
      <c r="W35" s="26">
        <v>2100000</v>
      </c>
      <c r="X35" s="6" t="s">
        <v>2003</v>
      </c>
      <c r="Y35" s="6" t="s">
        <v>80</v>
      </c>
      <c r="Z35" s="6">
        <v>223417</v>
      </c>
    </row>
    <row r="36" spans="1:26" x14ac:dyDescent="0.3">
      <c r="A36" s="28" t="s">
        <v>42</v>
      </c>
      <c r="B36" s="6" t="s">
        <v>2309</v>
      </c>
      <c r="C36" s="6" t="s">
        <v>1972</v>
      </c>
      <c r="D36" s="6" t="s">
        <v>2291</v>
      </c>
      <c r="E36" s="6">
        <v>1</v>
      </c>
      <c r="F36" s="6" t="s">
        <v>2004</v>
      </c>
      <c r="G36" s="32" t="s">
        <v>2299</v>
      </c>
      <c r="H36" s="32" t="s">
        <v>2300</v>
      </c>
      <c r="I36" s="6" t="str">
        <f t="shared" si="2"/>
        <v>Stone Grapple</v>
      </c>
      <c r="J36" s="6" t="s">
        <v>168</v>
      </c>
      <c r="K36" s="6">
        <v>1</v>
      </c>
      <c r="L36" s="6">
        <f t="shared" si="1"/>
        <v>2000000</v>
      </c>
      <c r="M36" s="6">
        <v>1700000</v>
      </c>
      <c r="N36" s="6" t="s">
        <v>2003</v>
      </c>
      <c r="O36" s="6" t="s">
        <v>861</v>
      </c>
      <c r="P36" s="6">
        <v>2015</v>
      </c>
      <c r="Q36" s="6">
        <v>1</v>
      </c>
      <c r="R36" s="6" t="s">
        <v>45</v>
      </c>
      <c r="S36" s="32" t="s">
        <v>2113</v>
      </c>
      <c r="T36" s="6">
        <v>1</v>
      </c>
      <c r="U36" s="26">
        <v>1600000</v>
      </c>
      <c r="V36" s="26">
        <v>1600000</v>
      </c>
      <c r="W36" s="26">
        <v>1600000</v>
      </c>
      <c r="X36" s="6" t="s">
        <v>2003</v>
      </c>
      <c r="Y36" s="6" t="s">
        <v>49</v>
      </c>
      <c r="Z36" s="6">
        <v>223430</v>
      </c>
    </row>
    <row r="37" spans="1:26" x14ac:dyDescent="0.3">
      <c r="A37" s="28" t="s">
        <v>42</v>
      </c>
      <c r="B37" s="6" t="s">
        <v>2310</v>
      </c>
      <c r="C37" s="6" t="s">
        <v>1982</v>
      </c>
      <c r="D37" s="6" t="s">
        <v>2292</v>
      </c>
      <c r="E37" s="6">
        <v>1</v>
      </c>
      <c r="F37" s="6" t="s">
        <v>2004</v>
      </c>
      <c r="G37" s="32" t="s">
        <v>2299</v>
      </c>
      <c r="H37" s="32" t="s">
        <v>2300</v>
      </c>
      <c r="I37" s="6" t="str">
        <f t="shared" si="2"/>
        <v>Standard Bucket</v>
      </c>
      <c r="J37" s="6" t="s">
        <v>249</v>
      </c>
      <c r="K37" s="6">
        <v>1</v>
      </c>
      <c r="L37" s="6">
        <f t="shared" si="1"/>
        <v>1050000</v>
      </c>
      <c r="M37" s="6">
        <v>900000</v>
      </c>
      <c r="N37" s="6" t="s">
        <v>2003</v>
      </c>
      <c r="O37" s="6" t="s">
        <v>813</v>
      </c>
      <c r="P37" s="6">
        <v>2014</v>
      </c>
      <c r="Q37" s="6">
        <v>1</v>
      </c>
      <c r="R37" s="6" t="s">
        <v>45</v>
      </c>
      <c r="S37" s="32" t="s">
        <v>2113</v>
      </c>
      <c r="T37" s="6">
        <v>1</v>
      </c>
      <c r="U37" s="26">
        <v>800000</v>
      </c>
      <c r="V37" s="26">
        <v>800000</v>
      </c>
      <c r="W37" s="26">
        <v>800000</v>
      </c>
      <c r="X37" s="6" t="s">
        <v>2003</v>
      </c>
      <c r="Y37" s="6" t="s">
        <v>79</v>
      </c>
      <c r="Z37" s="6">
        <v>223431</v>
      </c>
    </row>
    <row r="38" spans="1:26" x14ac:dyDescent="0.3">
      <c r="A38" s="28" t="s">
        <v>42</v>
      </c>
      <c r="B38" s="6" t="s">
        <v>2167</v>
      </c>
      <c r="C38" s="6" t="s">
        <v>1975</v>
      </c>
      <c r="D38" s="6" t="s">
        <v>2001</v>
      </c>
      <c r="E38" s="6">
        <v>1</v>
      </c>
      <c r="F38" s="6" t="s">
        <v>2004</v>
      </c>
      <c r="G38" s="32" t="s">
        <v>2299</v>
      </c>
      <c r="H38" s="32" t="s">
        <v>2300</v>
      </c>
      <c r="I38" s="6" t="str">
        <f t="shared" si="2"/>
        <v>Side Breaker</v>
      </c>
      <c r="J38" s="6" t="s">
        <v>150</v>
      </c>
      <c r="K38" s="6">
        <v>1</v>
      </c>
      <c r="L38" s="6">
        <f t="shared" si="1"/>
        <v>7050000</v>
      </c>
      <c r="M38" s="6">
        <v>6000000</v>
      </c>
      <c r="N38" s="6" t="s">
        <v>2003</v>
      </c>
      <c r="O38" s="6" t="s">
        <v>1836</v>
      </c>
      <c r="P38" s="6">
        <v>2005</v>
      </c>
      <c r="Q38" s="6">
        <v>1</v>
      </c>
      <c r="R38" s="6" t="s">
        <v>45</v>
      </c>
      <c r="S38" s="32" t="s">
        <v>2114</v>
      </c>
      <c r="T38" s="6">
        <v>1</v>
      </c>
      <c r="U38" s="26">
        <v>5500000</v>
      </c>
      <c r="V38" s="26">
        <v>5500000</v>
      </c>
      <c r="W38" s="26">
        <v>5500000</v>
      </c>
      <c r="X38" s="6" t="s">
        <v>2003</v>
      </c>
      <c r="Y38" s="6" t="s">
        <v>830</v>
      </c>
      <c r="Z38" s="6">
        <v>223434</v>
      </c>
    </row>
    <row r="39" spans="1:26" x14ac:dyDescent="0.3">
      <c r="A39" s="28" t="s">
        <v>42</v>
      </c>
      <c r="B39" s="6" t="s">
        <v>2167</v>
      </c>
      <c r="C39" s="6" t="s">
        <v>1975</v>
      </c>
      <c r="D39" s="6" t="s">
        <v>2292</v>
      </c>
      <c r="E39" s="6">
        <v>1</v>
      </c>
      <c r="F39" s="6" t="s">
        <v>2004</v>
      </c>
      <c r="G39" s="32" t="s">
        <v>2299</v>
      </c>
      <c r="H39" s="32" t="s">
        <v>2300</v>
      </c>
      <c r="I39" s="6" t="str">
        <f t="shared" si="2"/>
        <v>Side Breaker</v>
      </c>
      <c r="J39" s="6" t="s">
        <v>325</v>
      </c>
      <c r="K39" s="6">
        <v>1</v>
      </c>
      <c r="L39" s="6">
        <f t="shared" si="1"/>
        <v>3760000</v>
      </c>
      <c r="M39" s="6">
        <v>3200000</v>
      </c>
      <c r="N39" s="6" t="s">
        <v>2003</v>
      </c>
      <c r="O39" s="6" t="s">
        <v>2009</v>
      </c>
      <c r="P39" s="6">
        <v>2009</v>
      </c>
      <c r="Q39" s="6">
        <v>1</v>
      </c>
      <c r="R39" s="6" t="s">
        <v>45</v>
      </c>
      <c r="S39" s="32" t="s">
        <v>2110</v>
      </c>
      <c r="T39" s="6">
        <v>1</v>
      </c>
      <c r="U39" s="26">
        <v>3000000</v>
      </c>
      <c r="V39" s="26">
        <v>3000000</v>
      </c>
      <c r="W39" s="26">
        <v>3000000</v>
      </c>
      <c r="X39" s="6" t="s">
        <v>2003</v>
      </c>
      <c r="Y39" s="6" t="s">
        <v>1152</v>
      </c>
      <c r="Z39" s="6">
        <v>223437</v>
      </c>
    </row>
    <row r="40" spans="1:26" x14ac:dyDescent="0.3">
      <c r="A40" s="28" t="s">
        <v>42</v>
      </c>
      <c r="B40" s="6" t="s">
        <v>1326</v>
      </c>
      <c r="C40" s="6" t="s">
        <v>1979</v>
      </c>
      <c r="D40" s="6" t="s">
        <v>2292</v>
      </c>
      <c r="E40" s="6">
        <v>1</v>
      </c>
      <c r="F40" s="6" t="s">
        <v>2004</v>
      </c>
      <c r="G40" s="32" t="s">
        <v>2299</v>
      </c>
      <c r="H40" s="32" t="s">
        <v>2300</v>
      </c>
      <c r="I40" s="6" t="str">
        <f t="shared" si="2"/>
        <v>Thumb Grapple</v>
      </c>
      <c r="J40" s="6" t="s">
        <v>96</v>
      </c>
      <c r="K40" s="6">
        <v>1</v>
      </c>
      <c r="L40" s="6">
        <f t="shared" si="1"/>
        <v>1640000</v>
      </c>
      <c r="M40" s="6">
        <v>1400000</v>
      </c>
      <c r="N40" s="6" t="s">
        <v>2003</v>
      </c>
      <c r="O40" s="6" t="s">
        <v>2007</v>
      </c>
      <c r="P40" s="6">
        <v>2014</v>
      </c>
      <c r="Q40" s="6">
        <v>1</v>
      </c>
      <c r="R40" s="6" t="s">
        <v>45</v>
      </c>
      <c r="S40" s="32" t="s">
        <v>2116</v>
      </c>
      <c r="T40" s="6">
        <v>1</v>
      </c>
      <c r="U40" s="26">
        <v>1300000</v>
      </c>
      <c r="V40" s="26">
        <v>1300000</v>
      </c>
      <c r="W40" s="26">
        <v>1300000</v>
      </c>
      <c r="X40" s="6" t="s">
        <v>2003</v>
      </c>
      <c r="Y40" s="6" t="s">
        <v>49</v>
      </c>
      <c r="Z40" s="6">
        <v>223438</v>
      </c>
    </row>
    <row r="41" spans="1:26" x14ac:dyDescent="0.3">
      <c r="A41" s="28" t="s">
        <v>42</v>
      </c>
      <c r="B41" s="6" t="s">
        <v>1327</v>
      </c>
      <c r="C41" s="6" t="s">
        <v>1980</v>
      </c>
      <c r="D41" s="6" t="s">
        <v>2292</v>
      </c>
      <c r="E41" s="6">
        <v>1</v>
      </c>
      <c r="F41" s="6" t="s">
        <v>2004</v>
      </c>
      <c r="G41" s="32" t="s">
        <v>2299</v>
      </c>
      <c r="H41" s="32" t="s">
        <v>2300</v>
      </c>
      <c r="I41" s="6" t="str">
        <f t="shared" si="2"/>
        <v>Small Bucket</v>
      </c>
      <c r="J41" s="6" t="s">
        <v>97</v>
      </c>
      <c r="K41" s="6">
        <v>1</v>
      </c>
      <c r="L41" s="6">
        <f t="shared" si="1"/>
        <v>580000</v>
      </c>
      <c r="M41" s="6">
        <v>500000</v>
      </c>
      <c r="N41" s="6" t="s">
        <v>2003</v>
      </c>
      <c r="O41" s="6" t="s">
        <v>795</v>
      </c>
      <c r="P41" s="6">
        <v>2013</v>
      </c>
      <c r="Q41" s="6">
        <v>1</v>
      </c>
      <c r="R41" s="6" t="s">
        <v>45</v>
      </c>
      <c r="S41" s="32" t="s">
        <v>2114</v>
      </c>
      <c r="T41" s="6">
        <v>1</v>
      </c>
      <c r="U41" s="26">
        <v>450000</v>
      </c>
      <c r="V41" s="26">
        <v>450000</v>
      </c>
      <c r="W41" s="26">
        <v>450000</v>
      </c>
      <c r="X41" s="6" t="s">
        <v>2003</v>
      </c>
      <c r="Y41" s="6" t="s">
        <v>57</v>
      </c>
      <c r="Z41" s="6">
        <v>223442</v>
      </c>
    </row>
    <row r="42" spans="1:26" x14ac:dyDescent="0.3">
      <c r="A42" s="28" t="s">
        <v>42</v>
      </c>
      <c r="B42" s="6" t="s">
        <v>1327</v>
      </c>
      <c r="C42" s="6" t="s">
        <v>1982</v>
      </c>
      <c r="D42" s="6" t="s">
        <v>2289</v>
      </c>
      <c r="E42" s="6">
        <v>1</v>
      </c>
      <c r="F42" s="6" t="s">
        <v>2004</v>
      </c>
      <c r="G42" s="32" t="s">
        <v>2299</v>
      </c>
      <c r="H42" s="32" t="s">
        <v>2300</v>
      </c>
      <c r="I42" s="6" t="str">
        <f t="shared" si="2"/>
        <v>Standard Bucket</v>
      </c>
      <c r="J42" s="6" t="s">
        <v>427</v>
      </c>
      <c r="K42" s="6">
        <v>1</v>
      </c>
      <c r="L42" s="6">
        <f t="shared" si="1"/>
        <v>1050000</v>
      </c>
      <c r="M42" s="6">
        <v>900000</v>
      </c>
      <c r="N42" s="6" t="s">
        <v>2003</v>
      </c>
      <c r="O42" s="6" t="s">
        <v>70</v>
      </c>
      <c r="P42" s="6">
        <v>2014</v>
      </c>
      <c r="Q42" s="6">
        <v>9</v>
      </c>
      <c r="R42" s="6" t="s">
        <v>45</v>
      </c>
      <c r="S42" s="32" t="s">
        <v>2122</v>
      </c>
      <c r="T42" s="6">
        <v>1</v>
      </c>
      <c r="U42" s="26">
        <v>800000</v>
      </c>
      <c r="V42" s="26">
        <v>800000</v>
      </c>
      <c r="W42" s="26">
        <v>800000</v>
      </c>
      <c r="X42" s="6" t="s">
        <v>2003</v>
      </c>
      <c r="Y42" s="6" t="s">
        <v>1238</v>
      </c>
      <c r="Z42" s="6">
        <v>223443</v>
      </c>
    </row>
    <row r="43" spans="1:26" x14ac:dyDescent="0.3">
      <c r="A43" s="28" t="s">
        <v>42</v>
      </c>
      <c r="B43" s="6" t="s">
        <v>1326</v>
      </c>
      <c r="C43" s="6" t="s">
        <v>1972</v>
      </c>
      <c r="D43" s="6" t="s">
        <v>2292</v>
      </c>
      <c r="E43" s="6">
        <v>1</v>
      </c>
      <c r="F43" s="6" t="s">
        <v>2004</v>
      </c>
      <c r="G43" s="32" t="s">
        <v>2299</v>
      </c>
      <c r="H43" s="32" t="s">
        <v>2300</v>
      </c>
      <c r="I43" s="6" t="str">
        <f t="shared" si="2"/>
        <v>Stone Grapple</v>
      </c>
      <c r="J43" s="6" t="s">
        <v>421</v>
      </c>
      <c r="K43" s="6">
        <v>1</v>
      </c>
      <c r="L43" s="6">
        <f t="shared" si="1"/>
        <v>3290000</v>
      </c>
      <c r="M43" s="6">
        <v>2800000</v>
      </c>
      <c r="N43" s="6" t="s">
        <v>2003</v>
      </c>
      <c r="O43" s="6" t="s">
        <v>2007</v>
      </c>
      <c r="P43" s="6">
        <v>2015</v>
      </c>
      <c r="Q43" s="6">
        <v>1</v>
      </c>
      <c r="R43" s="6" t="s">
        <v>45</v>
      </c>
      <c r="S43" s="32" t="s">
        <v>2113</v>
      </c>
      <c r="T43" s="6">
        <v>1</v>
      </c>
      <c r="U43" s="26">
        <v>2600000</v>
      </c>
      <c r="V43" s="26">
        <v>2600000</v>
      </c>
      <c r="W43" s="26">
        <v>2600000</v>
      </c>
      <c r="X43" s="6" t="s">
        <v>2003</v>
      </c>
      <c r="Y43" s="6" t="s">
        <v>49</v>
      </c>
      <c r="Z43" s="6">
        <v>223444</v>
      </c>
    </row>
    <row r="44" spans="1:26" x14ac:dyDescent="0.3">
      <c r="A44" s="28" t="s">
        <v>42</v>
      </c>
      <c r="B44" s="6" t="s">
        <v>1327</v>
      </c>
      <c r="C44" s="6" t="s">
        <v>1982</v>
      </c>
      <c r="D44" s="6" t="s">
        <v>2291</v>
      </c>
      <c r="E44" s="6">
        <v>1</v>
      </c>
      <c r="F44" s="6" t="s">
        <v>2004</v>
      </c>
      <c r="G44" s="32" t="s">
        <v>2299</v>
      </c>
      <c r="H44" s="32" t="s">
        <v>2300</v>
      </c>
      <c r="I44" s="6" t="str">
        <f t="shared" si="2"/>
        <v>Standard Bucket</v>
      </c>
      <c r="J44" s="6" t="s">
        <v>430</v>
      </c>
      <c r="K44" s="6">
        <v>1</v>
      </c>
      <c r="L44" s="6">
        <f t="shared" si="1"/>
        <v>350000</v>
      </c>
      <c r="M44" s="6">
        <v>300000</v>
      </c>
      <c r="N44" s="6" t="s">
        <v>2003</v>
      </c>
      <c r="O44" s="6" t="s">
        <v>2010</v>
      </c>
      <c r="P44" s="6">
        <v>2015</v>
      </c>
      <c r="Q44" s="6">
        <v>1</v>
      </c>
      <c r="R44" s="6" t="s">
        <v>45</v>
      </c>
      <c r="S44" s="32" t="s">
        <v>2116</v>
      </c>
      <c r="T44" s="6">
        <v>1</v>
      </c>
      <c r="U44" s="26">
        <v>250000</v>
      </c>
      <c r="V44" s="26">
        <v>250000</v>
      </c>
      <c r="W44" s="26">
        <v>250000</v>
      </c>
      <c r="X44" s="6" t="s">
        <v>2003</v>
      </c>
      <c r="Y44" s="6" t="s">
        <v>90</v>
      </c>
      <c r="Z44" s="6">
        <v>223446</v>
      </c>
    </row>
    <row r="45" spans="1:26" x14ac:dyDescent="0.3">
      <c r="A45" s="28" t="s">
        <v>42</v>
      </c>
      <c r="B45" s="6" t="s">
        <v>2167</v>
      </c>
      <c r="C45" s="6" t="s">
        <v>1975</v>
      </c>
      <c r="D45" s="6" t="s">
        <v>2292</v>
      </c>
      <c r="E45" s="6">
        <v>1</v>
      </c>
      <c r="F45" s="6" t="s">
        <v>2004</v>
      </c>
      <c r="G45" s="32" t="s">
        <v>2299</v>
      </c>
      <c r="H45" s="32" t="s">
        <v>2300</v>
      </c>
      <c r="I45" s="6" t="str">
        <f t="shared" si="2"/>
        <v>Side Breaker</v>
      </c>
      <c r="J45" s="6" t="s">
        <v>154</v>
      </c>
      <c r="K45" s="6">
        <v>1</v>
      </c>
      <c r="L45" s="6">
        <f t="shared" si="1"/>
        <v>4940000</v>
      </c>
      <c r="M45" s="6">
        <v>4200000</v>
      </c>
      <c r="N45" s="6" t="s">
        <v>2003</v>
      </c>
      <c r="O45" s="6" t="s">
        <v>862</v>
      </c>
      <c r="P45" s="6">
        <v>2015</v>
      </c>
      <c r="Q45" s="6">
        <v>8</v>
      </c>
      <c r="R45" s="6" t="s">
        <v>45</v>
      </c>
      <c r="S45" s="32" t="s">
        <v>2118</v>
      </c>
      <c r="T45" s="6">
        <v>1</v>
      </c>
      <c r="U45" s="26">
        <v>4000000</v>
      </c>
      <c r="V45" s="26">
        <v>4000000</v>
      </c>
      <c r="W45" s="26">
        <v>4000000</v>
      </c>
      <c r="X45" s="6" t="s">
        <v>2003</v>
      </c>
      <c r="Y45" s="6" t="s">
        <v>67</v>
      </c>
      <c r="Z45" s="6">
        <v>223450</v>
      </c>
    </row>
    <row r="46" spans="1:26" x14ac:dyDescent="0.3">
      <c r="A46" s="28" t="s">
        <v>42</v>
      </c>
      <c r="B46" s="6" t="s">
        <v>1326</v>
      </c>
      <c r="C46" s="6" t="s">
        <v>1974</v>
      </c>
      <c r="D46" s="6" t="s">
        <v>2291</v>
      </c>
      <c r="E46" s="6">
        <v>1</v>
      </c>
      <c r="F46" s="6" t="s">
        <v>2004</v>
      </c>
      <c r="G46" s="32" t="s">
        <v>2299</v>
      </c>
      <c r="H46" s="32" t="s">
        <v>2300</v>
      </c>
      <c r="I46" s="6" t="str">
        <f t="shared" si="2"/>
        <v>Etc Grapple</v>
      </c>
      <c r="J46" s="6" t="s">
        <v>136</v>
      </c>
      <c r="K46" s="6">
        <v>1</v>
      </c>
      <c r="L46" s="6">
        <f t="shared" si="1"/>
        <v>21760000</v>
      </c>
      <c r="M46" s="6">
        <v>18500000</v>
      </c>
      <c r="N46" s="6" t="s">
        <v>2003</v>
      </c>
      <c r="O46" s="6" t="s">
        <v>2011</v>
      </c>
      <c r="P46" s="6">
        <v>2010</v>
      </c>
      <c r="Q46" s="6">
        <v>6</v>
      </c>
      <c r="R46" s="6" t="s">
        <v>45</v>
      </c>
      <c r="S46" s="32" t="s">
        <v>2123</v>
      </c>
      <c r="T46" s="6">
        <v>1</v>
      </c>
      <c r="U46" s="26">
        <v>18000000</v>
      </c>
      <c r="V46" s="26">
        <v>18000000</v>
      </c>
      <c r="W46" s="26">
        <v>18000000</v>
      </c>
      <c r="X46" s="6" t="s">
        <v>2003</v>
      </c>
      <c r="Y46" s="6" t="s">
        <v>1200</v>
      </c>
      <c r="Z46" s="6">
        <v>223452</v>
      </c>
    </row>
    <row r="47" spans="1:26" x14ac:dyDescent="0.3">
      <c r="A47" s="28" t="s">
        <v>42</v>
      </c>
      <c r="B47" s="6" t="s">
        <v>2167</v>
      </c>
      <c r="C47" s="6" t="s">
        <v>1975</v>
      </c>
      <c r="D47" s="6" t="s">
        <v>2292</v>
      </c>
      <c r="E47" s="6">
        <v>1</v>
      </c>
      <c r="F47" s="6" t="s">
        <v>2004</v>
      </c>
      <c r="G47" s="32" t="s">
        <v>2299</v>
      </c>
      <c r="H47" s="32" t="s">
        <v>2300</v>
      </c>
      <c r="I47" s="6" t="str">
        <f t="shared" si="2"/>
        <v>Side Breaker</v>
      </c>
      <c r="J47" s="6" t="s">
        <v>119</v>
      </c>
      <c r="K47" s="6">
        <v>1</v>
      </c>
      <c r="L47" s="6">
        <f t="shared" si="1"/>
        <v>3520000</v>
      </c>
      <c r="M47" s="6">
        <v>3000000</v>
      </c>
      <c r="N47" s="6" t="s">
        <v>2003</v>
      </c>
      <c r="O47" s="6" t="s">
        <v>813</v>
      </c>
      <c r="P47" s="6">
        <v>2013</v>
      </c>
      <c r="Q47" s="6">
        <v>1</v>
      </c>
      <c r="R47" s="6" t="s">
        <v>45</v>
      </c>
      <c r="S47" s="32" t="s">
        <v>2113</v>
      </c>
      <c r="T47" s="6">
        <v>1</v>
      </c>
      <c r="U47" s="26">
        <v>2800000</v>
      </c>
      <c r="V47" s="26">
        <v>2800000</v>
      </c>
      <c r="W47" s="26">
        <v>2800000</v>
      </c>
      <c r="X47" s="6" t="s">
        <v>2003</v>
      </c>
      <c r="Y47" s="6" t="s">
        <v>79</v>
      </c>
      <c r="Z47" s="6">
        <v>223453</v>
      </c>
    </row>
    <row r="48" spans="1:26" x14ac:dyDescent="0.3">
      <c r="A48" s="28" t="s">
        <v>42</v>
      </c>
      <c r="B48" s="6" t="s">
        <v>2167</v>
      </c>
      <c r="C48" s="6" t="s">
        <v>1975</v>
      </c>
      <c r="D48" s="6" t="s">
        <v>2292</v>
      </c>
      <c r="E48" s="6">
        <v>1</v>
      </c>
      <c r="F48" s="6" t="s">
        <v>2004</v>
      </c>
      <c r="G48" s="32" t="s">
        <v>2299</v>
      </c>
      <c r="H48" s="32" t="s">
        <v>2300</v>
      </c>
      <c r="I48" s="6" t="str">
        <f t="shared" si="2"/>
        <v>Side Breaker</v>
      </c>
      <c r="J48" s="6" t="s">
        <v>177</v>
      </c>
      <c r="K48" s="6">
        <v>1</v>
      </c>
      <c r="L48" s="6">
        <f t="shared" si="1"/>
        <v>2580000</v>
      </c>
      <c r="M48" s="6">
        <v>2200000</v>
      </c>
      <c r="N48" s="6" t="s">
        <v>2003</v>
      </c>
      <c r="O48" s="6" t="s">
        <v>865</v>
      </c>
      <c r="P48" s="6">
        <v>2014</v>
      </c>
      <c r="Q48" s="6">
        <v>5</v>
      </c>
      <c r="R48" s="6" t="s">
        <v>45</v>
      </c>
      <c r="S48" s="32" t="s">
        <v>2123</v>
      </c>
      <c r="T48" s="6">
        <v>1</v>
      </c>
      <c r="U48" s="26">
        <v>2000000</v>
      </c>
      <c r="V48" s="26">
        <v>2000000</v>
      </c>
      <c r="W48" s="26">
        <v>2000000</v>
      </c>
      <c r="X48" s="6" t="s">
        <v>2003</v>
      </c>
      <c r="Y48" s="6" t="s">
        <v>1187</v>
      </c>
      <c r="Z48" s="6">
        <v>223457</v>
      </c>
    </row>
    <row r="49" spans="1:26" x14ac:dyDescent="0.3">
      <c r="A49" s="28" t="s">
        <v>42</v>
      </c>
      <c r="B49" s="6" t="s">
        <v>2175</v>
      </c>
      <c r="C49" s="6" t="s">
        <v>2321</v>
      </c>
      <c r="D49" s="6" t="s">
        <v>2292</v>
      </c>
      <c r="E49" s="6">
        <v>1</v>
      </c>
      <c r="F49" s="6" t="s">
        <v>2004</v>
      </c>
      <c r="G49" s="32" t="s">
        <v>2299</v>
      </c>
      <c r="H49" s="32" t="s">
        <v>2300</v>
      </c>
      <c r="I49" s="6" t="str">
        <f t="shared" si="2"/>
        <v>Etc Crusher</v>
      </c>
      <c r="J49" s="6" t="s">
        <v>192</v>
      </c>
      <c r="K49" s="6">
        <v>1</v>
      </c>
      <c r="L49" s="6">
        <f t="shared" si="1"/>
        <v>8820000</v>
      </c>
      <c r="M49" s="6">
        <v>7500000</v>
      </c>
      <c r="N49" s="6" t="s">
        <v>2003</v>
      </c>
      <c r="O49" s="6" t="s">
        <v>813</v>
      </c>
      <c r="P49" s="6">
        <v>2014</v>
      </c>
      <c r="Q49" s="6">
        <v>1</v>
      </c>
      <c r="R49" s="6" t="s">
        <v>45</v>
      </c>
      <c r="S49" s="32" t="s">
        <v>2113</v>
      </c>
      <c r="T49" s="6">
        <v>1</v>
      </c>
      <c r="U49" s="26">
        <v>7000000</v>
      </c>
      <c r="V49" s="26">
        <v>7000000</v>
      </c>
      <c r="W49" s="26">
        <v>7000000</v>
      </c>
      <c r="X49" s="6" t="s">
        <v>2003</v>
      </c>
      <c r="Y49" s="6" t="s">
        <v>79</v>
      </c>
      <c r="Z49" s="6">
        <v>223459</v>
      </c>
    </row>
    <row r="50" spans="1:26" x14ac:dyDescent="0.3">
      <c r="A50" s="28" t="s">
        <v>42</v>
      </c>
      <c r="B50" s="6" t="s">
        <v>2311</v>
      </c>
      <c r="C50" s="6"/>
      <c r="D50" s="6" t="s">
        <v>2001</v>
      </c>
      <c r="E50" s="6">
        <v>1</v>
      </c>
      <c r="F50" s="6" t="s">
        <v>2004</v>
      </c>
      <c r="G50" s="32" t="s">
        <v>2299</v>
      </c>
      <c r="H50" s="32" t="s">
        <v>2300</v>
      </c>
      <c r="I50" s="6" t="str">
        <f t="shared" si="2"/>
        <v>Shear&amp;Cutter</v>
      </c>
      <c r="J50" s="6" t="s">
        <v>441</v>
      </c>
      <c r="K50" s="6">
        <v>1</v>
      </c>
      <c r="L50" s="6">
        <f t="shared" si="1"/>
        <v>12350000</v>
      </c>
      <c r="M50" s="6">
        <v>10500000</v>
      </c>
      <c r="N50" s="6" t="s">
        <v>2003</v>
      </c>
      <c r="O50" s="6" t="s">
        <v>863</v>
      </c>
      <c r="P50" s="6">
        <v>2011</v>
      </c>
      <c r="Q50" s="6">
        <v>7</v>
      </c>
      <c r="R50" s="6" t="s">
        <v>45</v>
      </c>
      <c r="S50" s="32" t="s">
        <v>2118</v>
      </c>
      <c r="T50" s="6">
        <v>1</v>
      </c>
      <c r="U50" s="26">
        <v>10000000</v>
      </c>
      <c r="V50" s="26">
        <v>10000000</v>
      </c>
      <c r="W50" s="26">
        <v>10000000</v>
      </c>
      <c r="X50" s="6" t="s">
        <v>2003</v>
      </c>
      <c r="Y50" s="6" t="s">
        <v>1221</v>
      </c>
      <c r="Z50" s="6">
        <v>223461</v>
      </c>
    </row>
    <row r="51" spans="1:26" x14ac:dyDescent="0.3">
      <c r="A51" s="28" t="s">
        <v>42</v>
      </c>
      <c r="B51" s="6" t="s">
        <v>1326</v>
      </c>
      <c r="C51" s="6" t="s">
        <v>1981</v>
      </c>
      <c r="D51" s="6" t="s">
        <v>2001</v>
      </c>
      <c r="E51" s="6">
        <v>1</v>
      </c>
      <c r="F51" s="6" t="s">
        <v>2004</v>
      </c>
      <c r="G51" s="32" t="s">
        <v>2299</v>
      </c>
      <c r="H51" s="32" t="s">
        <v>2300</v>
      </c>
      <c r="I51" s="6" t="str">
        <f t="shared" si="2"/>
        <v>Orange Grapple</v>
      </c>
      <c r="J51" s="6" t="s">
        <v>380</v>
      </c>
      <c r="K51" s="6">
        <v>1</v>
      </c>
      <c r="L51" s="6">
        <f t="shared" si="1"/>
        <v>3760000</v>
      </c>
      <c r="M51" s="6">
        <v>3200000</v>
      </c>
      <c r="N51" s="6" t="s">
        <v>2003</v>
      </c>
      <c r="O51" s="6" t="s">
        <v>865</v>
      </c>
      <c r="P51" s="6">
        <v>2014</v>
      </c>
      <c r="Q51" s="6">
        <v>5</v>
      </c>
      <c r="R51" s="6" t="s">
        <v>45</v>
      </c>
      <c r="S51" s="32" t="s">
        <v>2123</v>
      </c>
      <c r="T51" s="6">
        <v>1</v>
      </c>
      <c r="U51" s="26">
        <v>3000000</v>
      </c>
      <c r="V51" s="26">
        <v>3000000</v>
      </c>
      <c r="W51" s="26">
        <v>3000000</v>
      </c>
      <c r="X51" s="6" t="s">
        <v>2003</v>
      </c>
      <c r="Y51" s="6" t="s">
        <v>1187</v>
      </c>
      <c r="Z51" s="6">
        <v>223464</v>
      </c>
    </row>
    <row r="52" spans="1:26" x14ac:dyDescent="0.3">
      <c r="A52" s="28" t="s">
        <v>42</v>
      </c>
      <c r="B52" s="6" t="s">
        <v>1326</v>
      </c>
      <c r="C52" s="6" t="s">
        <v>1972</v>
      </c>
      <c r="D52" s="6" t="s">
        <v>2292</v>
      </c>
      <c r="E52" s="6">
        <v>1</v>
      </c>
      <c r="F52" s="6" t="s">
        <v>2004</v>
      </c>
      <c r="G52" s="32" t="s">
        <v>2299</v>
      </c>
      <c r="H52" s="32" t="s">
        <v>2300</v>
      </c>
      <c r="I52" s="6" t="str">
        <f t="shared" si="2"/>
        <v>Stone Grapple</v>
      </c>
      <c r="J52" s="6" t="s">
        <v>120</v>
      </c>
      <c r="K52" s="6">
        <v>1</v>
      </c>
      <c r="L52" s="6">
        <f t="shared" si="1"/>
        <v>5880000</v>
      </c>
      <c r="M52" s="6">
        <v>5000000</v>
      </c>
      <c r="N52" s="6" t="s">
        <v>2003</v>
      </c>
      <c r="O52" s="6" t="s">
        <v>813</v>
      </c>
      <c r="P52" s="6">
        <v>2014</v>
      </c>
      <c r="Q52" s="6">
        <v>1</v>
      </c>
      <c r="R52" s="6" t="s">
        <v>45</v>
      </c>
      <c r="S52" s="32" t="s">
        <v>2113</v>
      </c>
      <c r="T52" s="6">
        <v>1</v>
      </c>
      <c r="U52" s="26">
        <v>4800000</v>
      </c>
      <c r="V52" s="26">
        <v>4800000</v>
      </c>
      <c r="W52" s="26">
        <v>4800000</v>
      </c>
      <c r="X52" s="6" t="s">
        <v>2003</v>
      </c>
      <c r="Y52" s="6" t="s">
        <v>80</v>
      </c>
      <c r="Z52" s="6">
        <v>223465</v>
      </c>
    </row>
    <row r="53" spans="1:26" x14ac:dyDescent="0.3">
      <c r="A53" s="28" t="s">
        <v>42</v>
      </c>
      <c r="B53" s="6" t="s">
        <v>2167</v>
      </c>
      <c r="C53" s="6" t="s">
        <v>1975</v>
      </c>
      <c r="D53" s="6" t="s">
        <v>2292</v>
      </c>
      <c r="E53" s="6">
        <v>1</v>
      </c>
      <c r="F53" s="6" t="s">
        <v>2004</v>
      </c>
      <c r="G53" s="32" t="s">
        <v>2299</v>
      </c>
      <c r="H53" s="32" t="s">
        <v>2300</v>
      </c>
      <c r="I53" s="6" t="str">
        <f t="shared" si="2"/>
        <v>Side Breaker</v>
      </c>
      <c r="J53" s="6" t="s">
        <v>119</v>
      </c>
      <c r="K53" s="6">
        <v>1</v>
      </c>
      <c r="L53" s="6">
        <f t="shared" si="1"/>
        <v>2700000</v>
      </c>
      <c r="M53" s="6">
        <v>2300000</v>
      </c>
      <c r="N53" s="6" t="s">
        <v>2003</v>
      </c>
      <c r="O53" s="6" t="s">
        <v>864</v>
      </c>
      <c r="P53" s="6">
        <v>2007</v>
      </c>
      <c r="Q53" s="6">
        <v>1</v>
      </c>
      <c r="R53" s="6" t="s">
        <v>45</v>
      </c>
      <c r="S53" s="32" t="s">
        <v>2114</v>
      </c>
      <c r="T53" s="6">
        <v>1</v>
      </c>
      <c r="U53" s="26">
        <v>2100000</v>
      </c>
      <c r="V53" s="26">
        <v>2100000</v>
      </c>
      <c r="W53" s="26">
        <v>2100000</v>
      </c>
      <c r="X53" s="6" t="s">
        <v>2003</v>
      </c>
      <c r="Y53" s="6" t="s">
        <v>830</v>
      </c>
      <c r="Z53" s="6">
        <v>223467</v>
      </c>
    </row>
    <row r="54" spans="1:26" x14ac:dyDescent="0.3">
      <c r="A54" s="28" t="s">
        <v>42</v>
      </c>
      <c r="B54" s="6" t="s">
        <v>1327</v>
      </c>
      <c r="C54" s="6" t="s">
        <v>1982</v>
      </c>
      <c r="D54" s="6" t="s">
        <v>2001</v>
      </c>
      <c r="E54" s="6">
        <v>1</v>
      </c>
      <c r="F54" s="6" t="s">
        <v>2004</v>
      </c>
      <c r="G54" s="32" t="s">
        <v>2299</v>
      </c>
      <c r="H54" s="32" t="s">
        <v>2300</v>
      </c>
      <c r="I54" s="6" t="str">
        <f t="shared" si="2"/>
        <v>Standard Bucket</v>
      </c>
      <c r="J54" s="6" t="s">
        <v>442</v>
      </c>
      <c r="K54" s="6">
        <v>1</v>
      </c>
      <c r="L54" s="6">
        <f t="shared" si="1"/>
        <v>3290000</v>
      </c>
      <c r="M54" s="6">
        <v>2800000</v>
      </c>
      <c r="N54" s="6" t="s">
        <v>2003</v>
      </c>
      <c r="O54" s="6" t="s">
        <v>865</v>
      </c>
      <c r="P54" s="6">
        <v>2015</v>
      </c>
      <c r="Q54" s="6">
        <v>5</v>
      </c>
      <c r="R54" s="6" t="s">
        <v>45</v>
      </c>
      <c r="S54" s="32" t="s">
        <v>2123</v>
      </c>
      <c r="T54" s="6">
        <v>1</v>
      </c>
      <c r="U54" s="26">
        <v>2600000</v>
      </c>
      <c r="V54" s="26">
        <v>2600000</v>
      </c>
      <c r="W54" s="26">
        <v>2600000</v>
      </c>
      <c r="X54" s="6" t="s">
        <v>2003</v>
      </c>
      <c r="Y54" s="6" t="s">
        <v>1187</v>
      </c>
      <c r="Z54" s="6">
        <v>223469</v>
      </c>
    </row>
    <row r="55" spans="1:26" x14ac:dyDescent="0.3">
      <c r="A55" s="28" t="s">
        <v>42</v>
      </c>
      <c r="B55" s="6" t="s">
        <v>2167</v>
      </c>
      <c r="C55" s="6" t="s">
        <v>1975</v>
      </c>
      <c r="D55" s="6" t="s">
        <v>2290</v>
      </c>
      <c r="E55" s="6">
        <v>1</v>
      </c>
      <c r="F55" s="6" t="s">
        <v>2004</v>
      </c>
      <c r="G55" s="32" t="s">
        <v>2299</v>
      </c>
      <c r="H55" s="32" t="s">
        <v>2300</v>
      </c>
      <c r="I55" s="6" t="str">
        <f t="shared" si="2"/>
        <v>Side Breaker</v>
      </c>
      <c r="J55" s="6" t="s">
        <v>443</v>
      </c>
      <c r="K55" s="6">
        <v>1</v>
      </c>
      <c r="L55" s="6">
        <f t="shared" si="1"/>
        <v>5290000</v>
      </c>
      <c r="M55" s="6">
        <v>4500000</v>
      </c>
      <c r="N55" s="6" t="s">
        <v>2003</v>
      </c>
      <c r="O55" s="6" t="s">
        <v>866</v>
      </c>
      <c r="P55" s="6">
        <v>2004</v>
      </c>
      <c r="Q55" s="6">
        <v>1</v>
      </c>
      <c r="R55" s="6" t="s">
        <v>45</v>
      </c>
      <c r="S55" s="32" t="s">
        <v>2123</v>
      </c>
      <c r="T55" s="6">
        <v>1</v>
      </c>
      <c r="U55" s="26">
        <v>4300000</v>
      </c>
      <c r="V55" s="26">
        <v>4300000</v>
      </c>
      <c r="W55" s="26">
        <v>4300000</v>
      </c>
      <c r="X55" s="6" t="s">
        <v>2003</v>
      </c>
      <c r="Y55" s="6" t="s">
        <v>1181</v>
      </c>
      <c r="Z55" s="6">
        <v>223470</v>
      </c>
    </row>
    <row r="56" spans="1:26" x14ac:dyDescent="0.3">
      <c r="A56" s="28" t="s">
        <v>42</v>
      </c>
      <c r="B56" s="6" t="s">
        <v>1327</v>
      </c>
      <c r="C56" s="6" t="s">
        <v>1976</v>
      </c>
      <c r="D56" s="6" t="s">
        <v>2292</v>
      </c>
      <c r="E56" s="6">
        <v>1</v>
      </c>
      <c r="F56" s="6" t="s">
        <v>2004</v>
      </c>
      <c r="G56" s="32" t="s">
        <v>2299</v>
      </c>
      <c r="H56" s="32" t="s">
        <v>2300</v>
      </c>
      <c r="I56" s="6" t="str">
        <f t="shared" si="2"/>
        <v>Skeleton Bucket</v>
      </c>
      <c r="J56" s="6" t="s">
        <v>444</v>
      </c>
      <c r="K56" s="6">
        <v>1</v>
      </c>
      <c r="L56" s="6">
        <f t="shared" si="1"/>
        <v>1050000</v>
      </c>
      <c r="M56" s="6">
        <v>900000</v>
      </c>
      <c r="N56" s="6" t="s">
        <v>2003</v>
      </c>
      <c r="O56" s="6" t="s">
        <v>823</v>
      </c>
      <c r="P56" s="6">
        <v>2013</v>
      </c>
      <c r="Q56" s="6">
        <v>1</v>
      </c>
      <c r="R56" s="6" t="s">
        <v>45</v>
      </c>
      <c r="S56" s="32" t="s">
        <v>2113</v>
      </c>
      <c r="T56" s="6">
        <v>1</v>
      </c>
      <c r="U56" s="26">
        <v>800000</v>
      </c>
      <c r="V56" s="26">
        <v>800000</v>
      </c>
      <c r="W56" s="26">
        <v>800000</v>
      </c>
      <c r="X56" s="6" t="s">
        <v>2003</v>
      </c>
      <c r="Y56" s="6" t="s">
        <v>49</v>
      </c>
      <c r="Z56" s="6">
        <v>223477</v>
      </c>
    </row>
    <row r="57" spans="1:26" x14ac:dyDescent="0.3">
      <c r="A57" s="28" t="s">
        <v>42</v>
      </c>
      <c r="B57" s="6" t="s">
        <v>1327</v>
      </c>
      <c r="C57" s="6" t="s">
        <v>1980</v>
      </c>
      <c r="D57" s="6" t="s">
        <v>2291</v>
      </c>
      <c r="E57" s="6">
        <v>1</v>
      </c>
      <c r="F57" s="6" t="s">
        <v>2004</v>
      </c>
      <c r="G57" s="32" t="s">
        <v>2299</v>
      </c>
      <c r="H57" s="32" t="s">
        <v>2300</v>
      </c>
      <c r="I57" s="6" t="str">
        <f t="shared" si="2"/>
        <v>Small Bucket</v>
      </c>
      <c r="J57" s="6" t="s">
        <v>85</v>
      </c>
      <c r="K57" s="6">
        <v>1</v>
      </c>
      <c r="L57" s="6">
        <f t="shared" si="1"/>
        <v>350000</v>
      </c>
      <c r="M57" s="6">
        <v>300000</v>
      </c>
      <c r="N57" s="6" t="s">
        <v>2003</v>
      </c>
      <c r="O57" s="6" t="s">
        <v>809</v>
      </c>
      <c r="P57" s="6">
        <v>2010</v>
      </c>
      <c r="Q57" s="6">
        <v>1</v>
      </c>
      <c r="R57" s="6" t="s">
        <v>45</v>
      </c>
      <c r="S57" s="32" t="s">
        <v>2114</v>
      </c>
      <c r="T57" s="6">
        <v>1</v>
      </c>
      <c r="U57" s="26">
        <v>250000</v>
      </c>
      <c r="V57" s="26">
        <v>250000</v>
      </c>
      <c r="W57" s="26">
        <v>250000</v>
      </c>
      <c r="X57" s="6" t="s">
        <v>2003</v>
      </c>
      <c r="Y57" s="6" t="s">
        <v>830</v>
      </c>
      <c r="Z57" s="6">
        <v>223480</v>
      </c>
    </row>
    <row r="58" spans="1:26" x14ac:dyDescent="0.3">
      <c r="A58" s="28" t="s">
        <v>42</v>
      </c>
      <c r="B58" s="6" t="s">
        <v>1327</v>
      </c>
      <c r="C58" s="6" t="s">
        <v>1976</v>
      </c>
      <c r="D58" s="6" t="s">
        <v>2001</v>
      </c>
      <c r="E58" s="6">
        <v>1</v>
      </c>
      <c r="F58" s="6" t="s">
        <v>2004</v>
      </c>
      <c r="G58" s="32" t="s">
        <v>2299</v>
      </c>
      <c r="H58" s="32" t="s">
        <v>2300</v>
      </c>
      <c r="I58" s="6" t="str">
        <f t="shared" si="2"/>
        <v>Skeleton Bucket</v>
      </c>
      <c r="J58" s="6" t="s">
        <v>336</v>
      </c>
      <c r="K58" s="6">
        <v>1</v>
      </c>
      <c r="L58" s="6">
        <f t="shared" si="1"/>
        <v>2580000</v>
      </c>
      <c r="M58" s="6">
        <v>2200000</v>
      </c>
      <c r="N58" s="6" t="s">
        <v>2003</v>
      </c>
      <c r="O58" s="6" t="s">
        <v>2011</v>
      </c>
      <c r="P58" s="6">
        <v>2010</v>
      </c>
      <c r="Q58" s="6">
        <v>6</v>
      </c>
      <c r="R58" s="6" t="s">
        <v>45</v>
      </c>
      <c r="S58" s="32" t="s">
        <v>2123</v>
      </c>
      <c r="T58" s="6">
        <v>1</v>
      </c>
      <c r="U58" s="26">
        <v>2000000</v>
      </c>
      <c r="V58" s="26">
        <v>2000000</v>
      </c>
      <c r="W58" s="26">
        <v>2000000</v>
      </c>
      <c r="X58" s="6" t="s">
        <v>2003</v>
      </c>
      <c r="Y58" s="6" t="s">
        <v>1200</v>
      </c>
      <c r="Z58" s="6">
        <v>223484</v>
      </c>
    </row>
    <row r="59" spans="1:26" x14ac:dyDescent="0.3">
      <c r="A59" s="28" t="s">
        <v>42</v>
      </c>
      <c r="B59" s="6" t="s">
        <v>2172</v>
      </c>
      <c r="C59" s="6" t="s">
        <v>1982</v>
      </c>
      <c r="D59" s="6" t="s">
        <v>2292</v>
      </c>
      <c r="E59" s="6">
        <v>1</v>
      </c>
      <c r="F59" s="6" t="s">
        <v>2004</v>
      </c>
      <c r="G59" s="32" t="s">
        <v>2299</v>
      </c>
      <c r="H59" s="32" t="s">
        <v>2300</v>
      </c>
      <c r="I59" s="6" t="str">
        <f t="shared" si="2"/>
        <v>Standard Bucket</v>
      </c>
      <c r="J59" s="6" t="s">
        <v>445</v>
      </c>
      <c r="K59" s="6">
        <v>1</v>
      </c>
      <c r="L59" s="6">
        <f t="shared" si="1"/>
        <v>1050000</v>
      </c>
      <c r="M59" s="6">
        <v>900000</v>
      </c>
      <c r="N59" s="6" t="s">
        <v>2003</v>
      </c>
      <c r="O59" s="6" t="s">
        <v>2012</v>
      </c>
      <c r="P59" s="6">
        <v>2014</v>
      </c>
      <c r="Q59" s="6">
        <v>1</v>
      </c>
      <c r="R59" s="6" t="s">
        <v>45</v>
      </c>
      <c r="S59" s="32" t="s">
        <v>2113</v>
      </c>
      <c r="T59" s="6">
        <v>1</v>
      </c>
      <c r="U59" s="26">
        <v>800000</v>
      </c>
      <c r="V59" s="26">
        <v>800000</v>
      </c>
      <c r="W59" s="26">
        <v>800000</v>
      </c>
      <c r="X59" s="6" t="s">
        <v>2003</v>
      </c>
      <c r="Y59" s="6" t="s">
        <v>49</v>
      </c>
      <c r="Z59" s="6">
        <v>223485</v>
      </c>
    </row>
    <row r="60" spans="1:26" x14ac:dyDescent="0.3">
      <c r="A60" s="28" t="s">
        <v>42</v>
      </c>
      <c r="B60" s="6" t="s">
        <v>2159</v>
      </c>
      <c r="C60" s="6"/>
      <c r="D60" s="6" t="s">
        <v>2290</v>
      </c>
      <c r="E60" s="6">
        <v>1</v>
      </c>
      <c r="F60" s="6" t="s">
        <v>2004</v>
      </c>
      <c r="G60" s="32" t="s">
        <v>2299</v>
      </c>
      <c r="H60" s="32" t="s">
        <v>2300</v>
      </c>
      <c r="I60" s="6" t="str">
        <f t="shared" si="2"/>
        <v>ETC</v>
      </c>
      <c r="J60" s="6" t="s">
        <v>446</v>
      </c>
      <c r="K60" s="6">
        <v>1</v>
      </c>
      <c r="L60" s="6">
        <f t="shared" si="1"/>
        <v>1110000</v>
      </c>
      <c r="M60" s="6">
        <v>950000</v>
      </c>
      <c r="N60" s="6" t="s">
        <v>2003</v>
      </c>
      <c r="O60" s="6" t="s">
        <v>2013</v>
      </c>
      <c r="P60" s="6">
        <v>2016</v>
      </c>
      <c r="Q60" s="6">
        <v>1</v>
      </c>
      <c r="R60" s="6" t="s">
        <v>45</v>
      </c>
      <c r="S60" s="32" t="s">
        <v>2116</v>
      </c>
      <c r="T60" s="6">
        <v>1</v>
      </c>
      <c r="U60" s="26">
        <v>850000</v>
      </c>
      <c r="V60" s="26">
        <v>850000</v>
      </c>
      <c r="W60" s="26">
        <v>850000</v>
      </c>
      <c r="X60" s="6" t="s">
        <v>2003</v>
      </c>
      <c r="Y60" s="6" t="s">
        <v>90</v>
      </c>
      <c r="Z60" s="6">
        <v>223486</v>
      </c>
    </row>
    <row r="61" spans="1:26" x14ac:dyDescent="0.3">
      <c r="A61" s="28" t="s">
        <v>42</v>
      </c>
      <c r="B61" s="6" t="s">
        <v>1326</v>
      </c>
      <c r="C61" s="6" t="s">
        <v>1974</v>
      </c>
      <c r="D61" s="6" t="s">
        <v>2292</v>
      </c>
      <c r="E61" s="6">
        <v>1</v>
      </c>
      <c r="F61" s="6" t="s">
        <v>2004</v>
      </c>
      <c r="G61" s="32" t="s">
        <v>2299</v>
      </c>
      <c r="H61" s="32" t="s">
        <v>2300</v>
      </c>
      <c r="I61" s="6" t="str">
        <f t="shared" si="2"/>
        <v>Etc Grapple</v>
      </c>
      <c r="J61" s="6" t="s">
        <v>125</v>
      </c>
      <c r="K61" s="6">
        <v>1</v>
      </c>
      <c r="L61" s="6">
        <f t="shared" si="1"/>
        <v>4940000</v>
      </c>
      <c r="M61" s="6">
        <v>4200000</v>
      </c>
      <c r="N61" s="6" t="s">
        <v>2003</v>
      </c>
      <c r="O61" s="6" t="s">
        <v>2014</v>
      </c>
      <c r="P61" s="6">
        <v>2010</v>
      </c>
      <c r="Q61" s="6">
        <v>4</v>
      </c>
      <c r="R61" s="6" t="s">
        <v>45</v>
      </c>
      <c r="S61" s="32" t="s">
        <v>2122</v>
      </c>
      <c r="T61" s="6">
        <v>1</v>
      </c>
      <c r="U61" s="26">
        <v>4000000</v>
      </c>
      <c r="V61" s="26">
        <v>4000000</v>
      </c>
      <c r="W61" s="26">
        <v>4000000</v>
      </c>
      <c r="X61" s="6" t="s">
        <v>2003</v>
      </c>
      <c r="Y61" s="6" t="s">
        <v>1166</v>
      </c>
      <c r="Z61" s="6">
        <v>223487</v>
      </c>
    </row>
    <row r="62" spans="1:26" x14ac:dyDescent="0.3">
      <c r="A62" s="28" t="s">
        <v>42</v>
      </c>
      <c r="B62" s="6" t="s">
        <v>1327</v>
      </c>
      <c r="C62" s="6" t="s">
        <v>1976</v>
      </c>
      <c r="D62" s="6" t="s">
        <v>2292</v>
      </c>
      <c r="E62" s="6">
        <v>1</v>
      </c>
      <c r="F62" s="6" t="s">
        <v>2004</v>
      </c>
      <c r="G62" s="32" t="s">
        <v>2299</v>
      </c>
      <c r="H62" s="32" t="s">
        <v>2300</v>
      </c>
      <c r="I62" s="6" t="str">
        <f t="shared" si="2"/>
        <v>Skeleton Bucket</v>
      </c>
      <c r="J62" s="6" t="s">
        <v>110</v>
      </c>
      <c r="K62" s="6">
        <v>1</v>
      </c>
      <c r="L62" s="6">
        <f t="shared" si="1"/>
        <v>1110000</v>
      </c>
      <c r="M62" s="6">
        <v>950000</v>
      </c>
      <c r="N62" s="6" t="s">
        <v>2003</v>
      </c>
      <c r="O62" s="6" t="s">
        <v>823</v>
      </c>
      <c r="P62" s="6">
        <v>2013</v>
      </c>
      <c r="Q62" s="6">
        <v>1</v>
      </c>
      <c r="R62" s="6" t="s">
        <v>45</v>
      </c>
      <c r="S62" s="32" t="s">
        <v>2113</v>
      </c>
      <c r="T62" s="6">
        <v>1</v>
      </c>
      <c r="U62" s="26">
        <v>850000</v>
      </c>
      <c r="V62" s="26">
        <v>850000</v>
      </c>
      <c r="W62" s="26">
        <v>850000</v>
      </c>
      <c r="X62" s="6" t="s">
        <v>2003</v>
      </c>
      <c r="Y62" s="6" t="s">
        <v>49</v>
      </c>
      <c r="Z62" s="6">
        <v>223488</v>
      </c>
    </row>
    <row r="63" spans="1:26" x14ac:dyDescent="0.3">
      <c r="A63" s="28" t="s">
        <v>42</v>
      </c>
      <c r="B63" s="6" t="s">
        <v>2172</v>
      </c>
      <c r="C63" s="6" t="s">
        <v>1982</v>
      </c>
      <c r="D63" s="6" t="s">
        <v>2292</v>
      </c>
      <c r="E63" s="6">
        <v>1</v>
      </c>
      <c r="F63" s="6" t="s">
        <v>2004</v>
      </c>
      <c r="G63" s="32" t="s">
        <v>2299</v>
      </c>
      <c r="H63" s="32" t="s">
        <v>2300</v>
      </c>
      <c r="I63" s="6" t="str">
        <f t="shared" si="2"/>
        <v>Standard Bucket</v>
      </c>
      <c r="J63" s="6" t="s">
        <v>447</v>
      </c>
      <c r="K63" s="6">
        <v>1</v>
      </c>
      <c r="L63" s="6">
        <f t="shared" si="1"/>
        <v>1000000</v>
      </c>
      <c r="M63" s="6">
        <v>850000</v>
      </c>
      <c r="N63" s="6" t="s">
        <v>2003</v>
      </c>
      <c r="O63" s="6" t="s">
        <v>2012</v>
      </c>
      <c r="P63" s="6">
        <v>2014</v>
      </c>
      <c r="Q63" s="6">
        <v>1</v>
      </c>
      <c r="R63" s="6" t="s">
        <v>45</v>
      </c>
      <c r="S63" s="32" t="s">
        <v>2113</v>
      </c>
      <c r="T63" s="6">
        <v>1</v>
      </c>
      <c r="U63" s="26">
        <v>750000</v>
      </c>
      <c r="V63" s="26">
        <v>750000</v>
      </c>
      <c r="W63" s="26">
        <v>750000</v>
      </c>
      <c r="X63" s="6" t="s">
        <v>2003</v>
      </c>
      <c r="Y63" s="6" t="s">
        <v>49</v>
      </c>
      <c r="Z63" s="6">
        <v>223489</v>
      </c>
    </row>
    <row r="64" spans="1:26" x14ac:dyDescent="0.3">
      <c r="A64" s="28" t="s">
        <v>42</v>
      </c>
      <c r="B64" s="6" t="s">
        <v>2159</v>
      </c>
      <c r="C64" s="6"/>
      <c r="D64" s="6" t="s">
        <v>2289</v>
      </c>
      <c r="E64" s="6">
        <v>1</v>
      </c>
      <c r="F64" s="6" t="s">
        <v>2004</v>
      </c>
      <c r="G64" s="32" t="s">
        <v>2299</v>
      </c>
      <c r="H64" s="32" t="s">
        <v>2300</v>
      </c>
      <c r="I64" s="6" t="str">
        <f t="shared" si="2"/>
        <v>ETC</v>
      </c>
      <c r="J64" s="6" t="s">
        <v>156</v>
      </c>
      <c r="K64" s="6">
        <v>1</v>
      </c>
      <c r="L64" s="6">
        <f t="shared" si="1"/>
        <v>12350000</v>
      </c>
      <c r="M64" s="6">
        <v>10500000</v>
      </c>
      <c r="N64" s="6" t="s">
        <v>2003</v>
      </c>
      <c r="O64" s="6" t="s">
        <v>2014</v>
      </c>
      <c r="P64" s="6">
        <v>2011</v>
      </c>
      <c r="Q64" s="6">
        <v>10</v>
      </c>
      <c r="R64" s="6" t="s">
        <v>45</v>
      </c>
      <c r="S64" s="32" t="s">
        <v>2122</v>
      </c>
      <c r="T64" s="6">
        <v>1</v>
      </c>
      <c r="U64" s="26">
        <v>10000000</v>
      </c>
      <c r="V64" s="26">
        <v>10000000</v>
      </c>
      <c r="W64" s="26">
        <v>10000000</v>
      </c>
      <c r="X64" s="6" t="s">
        <v>2003</v>
      </c>
      <c r="Y64" s="6" t="s">
        <v>1166</v>
      </c>
      <c r="Z64" s="6">
        <v>223495</v>
      </c>
    </row>
    <row r="65" spans="1:26" x14ac:dyDescent="0.3">
      <c r="A65" s="28" t="s">
        <v>42</v>
      </c>
      <c r="B65" s="6" t="s">
        <v>1326</v>
      </c>
      <c r="C65" s="6" t="s">
        <v>1972</v>
      </c>
      <c r="D65" s="6" t="s">
        <v>2292</v>
      </c>
      <c r="E65" s="6">
        <v>1</v>
      </c>
      <c r="F65" s="6" t="s">
        <v>2004</v>
      </c>
      <c r="G65" s="32" t="s">
        <v>2299</v>
      </c>
      <c r="H65" s="32" t="s">
        <v>2300</v>
      </c>
      <c r="I65" s="6" t="str">
        <f t="shared" si="2"/>
        <v>Stone Grapple</v>
      </c>
      <c r="J65" s="6" t="s">
        <v>448</v>
      </c>
      <c r="K65" s="6">
        <v>1</v>
      </c>
      <c r="L65" s="6">
        <f t="shared" si="1"/>
        <v>2700000</v>
      </c>
      <c r="M65" s="6">
        <v>2300000</v>
      </c>
      <c r="N65" s="6" t="s">
        <v>2003</v>
      </c>
      <c r="O65" s="6" t="s">
        <v>68</v>
      </c>
      <c r="P65" s="6">
        <v>2013</v>
      </c>
      <c r="Q65" s="6">
        <v>7</v>
      </c>
      <c r="R65" s="6" t="s">
        <v>45</v>
      </c>
      <c r="S65" s="32" t="s">
        <v>2116</v>
      </c>
      <c r="T65" s="6">
        <v>1</v>
      </c>
      <c r="U65" s="26">
        <v>2100000</v>
      </c>
      <c r="V65" s="26">
        <v>2100000</v>
      </c>
      <c r="W65" s="26">
        <v>2100000</v>
      </c>
      <c r="X65" s="6" t="s">
        <v>2003</v>
      </c>
      <c r="Y65" s="6" t="s">
        <v>1153</v>
      </c>
      <c r="Z65" s="6">
        <v>223496</v>
      </c>
    </row>
    <row r="66" spans="1:26" x14ac:dyDescent="0.3">
      <c r="A66" s="28" t="s">
        <v>42</v>
      </c>
      <c r="B66" s="6" t="s">
        <v>1326</v>
      </c>
      <c r="C66" s="6" t="s">
        <v>1972</v>
      </c>
      <c r="D66" s="6" t="s">
        <v>2291</v>
      </c>
      <c r="E66" s="6">
        <v>1</v>
      </c>
      <c r="F66" s="6" t="s">
        <v>2004</v>
      </c>
      <c r="G66" s="32" t="s">
        <v>2299</v>
      </c>
      <c r="H66" s="32" t="s">
        <v>2300</v>
      </c>
      <c r="I66" s="6" t="str">
        <f t="shared" ref="I66:I73" si="3">IF(ISBLANK(C66),B66,C66)</f>
        <v>Stone Grapple</v>
      </c>
      <c r="J66" s="6" t="s">
        <v>109</v>
      </c>
      <c r="K66" s="6">
        <v>1</v>
      </c>
      <c r="L66" s="6">
        <f t="shared" ref="L66:L73" si="4">FLOOR(((M66*100)/85)/10000, 1)*10000</f>
        <v>3880000</v>
      </c>
      <c r="M66" s="6">
        <v>3300000</v>
      </c>
      <c r="N66" s="6" t="s">
        <v>2003</v>
      </c>
      <c r="O66" s="6" t="s">
        <v>107</v>
      </c>
      <c r="P66" s="6">
        <v>2010</v>
      </c>
      <c r="Q66" s="6">
        <v>1</v>
      </c>
      <c r="R66" s="6" t="s">
        <v>45</v>
      </c>
      <c r="S66" s="32" t="s">
        <v>2114</v>
      </c>
      <c r="T66" s="6">
        <v>1</v>
      </c>
      <c r="U66" s="26">
        <v>3100000</v>
      </c>
      <c r="V66" s="26">
        <v>3100000</v>
      </c>
      <c r="W66" s="26">
        <v>3100000</v>
      </c>
      <c r="X66" s="6" t="s">
        <v>2003</v>
      </c>
      <c r="Y66" s="6" t="s">
        <v>830</v>
      </c>
      <c r="Z66" s="6">
        <v>223500</v>
      </c>
    </row>
    <row r="67" spans="1:26" x14ac:dyDescent="0.3">
      <c r="A67" s="28" t="s">
        <v>42</v>
      </c>
      <c r="B67" s="6" t="s">
        <v>2167</v>
      </c>
      <c r="C67" s="6" t="s">
        <v>1975</v>
      </c>
      <c r="D67" s="6" t="s">
        <v>2292</v>
      </c>
      <c r="E67" s="6">
        <v>1</v>
      </c>
      <c r="F67" s="6" t="s">
        <v>2004</v>
      </c>
      <c r="G67" s="32" t="s">
        <v>2299</v>
      </c>
      <c r="H67" s="32" t="s">
        <v>2300</v>
      </c>
      <c r="I67" s="6" t="str">
        <f t="shared" si="3"/>
        <v>Side Breaker</v>
      </c>
      <c r="J67" s="6" t="s">
        <v>144</v>
      </c>
      <c r="K67" s="6">
        <v>1</v>
      </c>
      <c r="L67" s="6">
        <f t="shared" si="4"/>
        <v>3520000</v>
      </c>
      <c r="M67" s="6">
        <v>3000000</v>
      </c>
      <c r="N67" s="6" t="s">
        <v>2003</v>
      </c>
      <c r="O67" s="6" t="s">
        <v>2012</v>
      </c>
      <c r="P67" s="6">
        <v>2013</v>
      </c>
      <c r="Q67" s="6">
        <v>1</v>
      </c>
      <c r="R67" s="6" t="s">
        <v>45</v>
      </c>
      <c r="S67" s="32" t="s">
        <v>2113</v>
      </c>
      <c r="T67" s="6">
        <v>1</v>
      </c>
      <c r="U67" s="26">
        <v>2800000</v>
      </c>
      <c r="V67" s="26">
        <v>2800000</v>
      </c>
      <c r="W67" s="26">
        <v>2800000</v>
      </c>
      <c r="X67" s="6" t="s">
        <v>2003</v>
      </c>
      <c r="Y67" s="6" t="s">
        <v>49</v>
      </c>
      <c r="Z67" s="6">
        <v>223503</v>
      </c>
    </row>
    <row r="68" spans="1:26" x14ac:dyDescent="0.3">
      <c r="A68" s="28" t="s">
        <v>42</v>
      </c>
      <c r="B68" s="6" t="s">
        <v>1326</v>
      </c>
      <c r="C68" s="6" t="s">
        <v>1972</v>
      </c>
      <c r="D68" s="6" t="s">
        <v>2291</v>
      </c>
      <c r="E68" s="6">
        <v>1</v>
      </c>
      <c r="F68" s="6" t="s">
        <v>2004</v>
      </c>
      <c r="G68" s="32" t="s">
        <v>2299</v>
      </c>
      <c r="H68" s="32" t="s">
        <v>2300</v>
      </c>
      <c r="I68" s="6" t="str">
        <f t="shared" si="3"/>
        <v>Stone Grapple</v>
      </c>
      <c r="J68" s="6" t="s">
        <v>109</v>
      </c>
      <c r="K68" s="6">
        <v>1</v>
      </c>
      <c r="L68" s="6">
        <f t="shared" si="4"/>
        <v>3640000</v>
      </c>
      <c r="M68" s="6">
        <v>3100000</v>
      </c>
      <c r="N68" s="6" t="s">
        <v>2003</v>
      </c>
      <c r="O68" s="6" t="s">
        <v>54</v>
      </c>
      <c r="P68" s="6">
        <v>2010</v>
      </c>
      <c r="Q68" s="6">
        <v>1</v>
      </c>
      <c r="R68" s="6" t="s">
        <v>45</v>
      </c>
      <c r="S68" s="32" t="s">
        <v>2114</v>
      </c>
      <c r="T68" s="6">
        <v>1</v>
      </c>
      <c r="U68" s="26">
        <v>2900000</v>
      </c>
      <c r="V68" s="26">
        <v>2900000</v>
      </c>
      <c r="W68" s="26">
        <v>2900000</v>
      </c>
      <c r="X68" s="6" t="s">
        <v>2003</v>
      </c>
      <c r="Y68" s="6" t="s">
        <v>54</v>
      </c>
      <c r="Z68" s="6">
        <v>223505</v>
      </c>
    </row>
    <row r="69" spans="1:26" x14ac:dyDescent="0.3">
      <c r="A69" s="28" t="s">
        <v>42</v>
      </c>
      <c r="B69" s="6" t="s">
        <v>1327</v>
      </c>
      <c r="C69" s="6" t="s">
        <v>1976</v>
      </c>
      <c r="D69" s="6" t="s">
        <v>2291</v>
      </c>
      <c r="E69" s="6">
        <v>1</v>
      </c>
      <c r="F69" s="6" t="s">
        <v>2004</v>
      </c>
      <c r="G69" s="32" t="s">
        <v>2299</v>
      </c>
      <c r="H69" s="32" t="s">
        <v>2300</v>
      </c>
      <c r="I69" s="6" t="str">
        <f t="shared" si="3"/>
        <v>Skeleton Bucket</v>
      </c>
      <c r="J69" s="6" t="s">
        <v>234</v>
      </c>
      <c r="K69" s="6">
        <v>1</v>
      </c>
      <c r="L69" s="6">
        <f t="shared" si="4"/>
        <v>700000</v>
      </c>
      <c r="M69" s="6">
        <v>600000</v>
      </c>
      <c r="N69" s="6" t="s">
        <v>2003</v>
      </c>
      <c r="O69" s="6" t="s">
        <v>54</v>
      </c>
      <c r="P69" s="6">
        <v>2014</v>
      </c>
      <c r="Q69" s="6">
        <v>1</v>
      </c>
      <c r="R69" s="6" t="s">
        <v>45</v>
      </c>
      <c r="S69" s="32" t="s">
        <v>2114</v>
      </c>
      <c r="T69" s="6">
        <v>1</v>
      </c>
      <c r="U69" s="26">
        <v>500000</v>
      </c>
      <c r="V69" s="26">
        <v>500000</v>
      </c>
      <c r="W69" s="26">
        <v>500000</v>
      </c>
      <c r="X69" s="6" t="s">
        <v>2003</v>
      </c>
      <c r="Y69" s="6" t="s">
        <v>54</v>
      </c>
      <c r="Z69" s="6">
        <v>223507</v>
      </c>
    </row>
    <row r="70" spans="1:26" x14ac:dyDescent="0.3">
      <c r="A70" s="28" t="s">
        <v>42</v>
      </c>
      <c r="B70" s="6" t="s">
        <v>1327</v>
      </c>
      <c r="C70" s="19" t="s">
        <v>1982</v>
      </c>
      <c r="D70" s="6" t="s">
        <v>2289</v>
      </c>
      <c r="E70" s="6">
        <v>1</v>
      </c>
      <c r="F70" s="6" t="s">
        <v>2004</v>
      </c>
      <c r="G70" s="32" t="s">
        <v>2299</v>
      </c>
      <c r="H70" s="32" t="s">
        <v>2300</v>
      </c>
      <c r="I70" s="6" t="str">
        <f t="shared" si="3"/>
        <v>Standard Bucket</v>
      </c>
      <c r="J70" s="6" t="s">
        <v>75</v>
      </c>
      <c r="K70" s="6">
        <v>1</v>
      </c>
      <c r="L70" s="6">
        <f t="shared" si="4"/>
        <v>4000000</v>
      </c>
      <c r="M70" s="6">
        <v>3400000</v>
      </c>
      <c r="N70" s="6" t="s">
        <v>2003</v>
      </c>
      <c r="O70" s="6" t="s">
        <v>839</v>
      </c>
      <c r="P70" s="6">
        <v>2011</v>
      </c>
      <c r="Q70" s="6">
        <v>4</v>
      </c>
      <c r="R70" s="6" t="s">
        <v>45</v>
      </c>
      <c r="S70" s="32" t="s">
        <v>2110</v>
      </c>
      <c r="T70" s="6">
        <v>1</v>
      </c>
      <c r="U70" s="26">
        <v>3200000</v>
      </c>
      <c r="V70" s="26">
        <v>3200000</v>
      </c>
      <c r="W70" s="26">
        <v>3200000</v>
      </c>
      <c r="X70" s="6" t="s">
        <v>2003</v>
      </c>
      <c r="Y70" s="6" t="s">
        <v>1234</v>
      </c>
      <c r="Z70" s="6">
        <v>223509</v>
      </c>
    </row>
    <row r="71" spans="1:26" x14ac:dyDescent="0.3">
      <c r="A71" s="28" t="s">
        <v>42</v>
      </c>
      <c r="B71" s="6" t="s">
        <v>1327</v>
      </c>
      <c r="C71" s="19" t="s">
        <v>1982</v>
      </c>
      <c r="D71" s="6" t="s">
        <v>2289</v>
      </c>
      <c r="E71" s="6">
        <v>1</v>
      </c>
      <c r="F71" s="6" t="s">
        <v>2004</v>
      </c>
      <c r="G71" s="32" t="s">
        <v>2299</v>
      </c>
      <c r="H71" s="32" t="s">
        <v>2300</v>
      </c>
      <c r="I71" s="6" t="str">
        <f t="shared" si="3"/>
        <v>Standard Bucket</v>
      </c>
      <c r="J71" s="6" t="s">
        <v>236</v>
      </c>
      <c r="K71" s="6">
        <v>1</v>
      </c>
      <c r="L71" s="6">
        <f t="shared" si="4"/>
        <v>3760000</v>
      </c>
      <c r="M71" s="6">
        <v>3200000</v>
      </c>
      <c r="N71" s="6" t="s">
        <v>2003</v>
      </c>
      <c r="O71" s="6" t="s">
        <v>54</v>
      </c>
      <c r="P71" s="6">
        <v>2010</v>
      </c>
      <c r="Q71" s="6">
        <v>1</v>
      </c>
      <c r="R71" s="6" t="s">
        <v>45</v>
      </c>
      <c r="S71" s="32" t="s">
        <v>2114</v>
      </c>
      <c r="T71" s="6">
        <v>1</v>
      </c>
      <c r="U71" s="26">
        <v>3000000</v>
      </c>
      <c r="V71" s="26">
        <v>3000000</v>
      </c>
      <c r="W71" s="26">
        <v>3000000</v>
      </c>
      <c r="X71" s="6" t="s">
        <v>2003</v>
      </c>
      <c r="Y71" s="6" t="s">
        <v>54</v>
      </c>
      <c r="Z71" s="6">
        <v>223511</v>
      </c>
    </row>
    <row r="72" spans="1:26" x14ac:dyDescent="0.3">
      <c r="A72" s="28" t="s">
        <v>42</v>
      </c>
      <c r="B72" s="6" t="s">
        <v>1327</v>
      </c>
      <c r="C72" s="6" t="s">
        <v>1976</v>
      </c>
      <c r="D72" s="6" t="s">
        <v>2001</v>
      </c>
      <c r="E72" s="6">
        <v>1</v>
      </c>
      <c r="F72" s="6" t="s">
        <v>2004</v>
      </c>
      <c r="G72" s="32" t="s">
        <v>2299</v>
      </c>
      <c r="H72" s="32" t="s">
        <v>2300</v>
      </c>
      <c r="I72" s="6" t="str">
        <f t="shared" si="3"/>
        <v>Skeleton Bucket</v>
      </c>
      <c r="J72" s="6" t="s">
        <v>210</v>
      </c>
      <c r="K72" s="6">
        <v>1</v>
      </c>
      <c r="L72" s="6">
        <f t="shared" si="4"/>
        <v>1640000</v>
      </c>
      <c r="M72" s="6">
        <v>1400000</v>
      </c>
      <c r="N72" s="6" t="s">
        <v>2003</v>
      </c>
      <c r="O72" s="6" t="s">
        <v>867</v>
      </c>
      <c r="P72" s="6">
        <v>2013</v>
      </c>
      <c r="Q72" s="6">
        <v>1</v>
      </c>
      <c r="R72" s="6" t="s">
        <v>45</v>
      </c>
      <c r="S72" s="32" t="s">
        <v>2116</v>
      </c>
      <c r="T72" s="6">
        <v>1</v>
      </c>
      <c r="U72" s="26">
        <v>1300000</v>
      </c>
      <c r="V72" s="26">
        <v>1300000</v>
      </c>
      <c r="W72" s="26">
        <v>1300000</v>
      </c>
      <c r="X72" s="6" t="s">
        <v>2003</v>
      </c>
      <c r="Y72" s="6" t="s">
        <v>90</v>
      </c>
      <c r="Z72" s="6">
        <v>223513</v>
      </c>
    </row>
    <row r="73" spans="1:26" x14ac:dyDescent="0.3">
      <c r="A73" s="28" t="s">
        <v>42</v>
      </c>
      <c r="B73" s="6" t="s">
        <v>2159</v>
      </c>
      <c r="C73" s="6"/>
      <c r="D73" s="6" t="s">
        <v>2002</v>
      </c>
      <c r="E73" s="6">
        <v>1</v>
      </c>
      <c r="F73" s="6" t="s">
        <v>2004</v>
      </c>
      <c r="G73" s="32" t="s">
        <v>2299</v>
      </c>
      <c r="H73" s="32" t="s">
        <v>2300</v>
      </c>
      <c r="I73" s="6" t="str">
        <f t="shared" si="3"/>
        <v>ETC</v>
      </c>
      <c r="J73" s="6" t="s">
        <v>450</v>
      </c>
      <c r="K73" s="6">
        <v>1</v>
      </c>
      <c r="L73" s="6">
        <f t="shared" si="4"/>
        <v>3170000</v>
      </c>
      <c r="M73" s="6">
        <v>2700000</v>
      </c>
      <c r="N73" s="6" t="s">
        <v>2003</v>
      </c>
      <c r="O73" s="6" t="s">
        <v>868</v>
      </c>
      <c r="P73" s="6">
        <v>2012</v>
      </c>
      <c r="Q73" s="6">
        <v>1</v>
      </c>
      <c r="R73" s="6" t="s">
        <v>45</v>
      </c>
      <c r="S73" s="32" t="s">
        <v>2124</v>
      </c>
      <c r="T73" s="6">
        <v>1</v>
      </c>
      <c r="U73" s="26">
        <v>2500000</v>
      </c>
      <c r="V73" s="26">
        <v>2500000</v>
      </c>
      <c r="W73" s="26">
        <v>2500000</v>
      </c>
      <c r="X73" s="6" t="s">
        <v>2003</v>
      </c>
      <c r="Y73" s="6" t="s">
        <v>1255</v>
      </c>
      <c r="Z73" s="6">
        <v>223515</v>
      </c>
    </row>
    <row r="74" spans="1:26" x14ac:dyDescent="0.3">
      <c r="A74" s="32" t="s">
        <v>42</v>
      </c>
      <c r="B74" s="32" t="s">
        <v>2159</v>
      </c>
      <c r="D74" s="32" t="s">
        <v>2298</v>
      </c>
      <c r="E74" s="32">
        <v>1</v>
      </c>
      <c r="F74" s="32" t="s">
        <v>2004</v>
      </c>
      <c r="G74" s="32" t="s">
        <v>2299</v>
      </c>
      <c r="H74" s="32" t="s">
        <v>2300</v>
      </c>
      <c r="I74" s="32" t="s">
        <v>1974</v>
      </c>
      <c r="J74" s="32" t="s">
        <v>451</v>
      </c>
      <c r="K74" s="32">
        <v>1</v>
      </c>
      <c r="L74" s="32">
        <v>4350000</v>
      </c>
      <c r="M74" s="32">
        <v>3700000</v>
      </c>
      <c r="N74" s="32" t="s">
        <v>2003</v>
      </c>
      <c r="O74" s="32" t="s">
        <v>869</v>
      </c>
      <c r="P74" s="32">
        <v>2017</v>
      </c>
      <c r="Q74" s="32">
        <v>12</v>
      </c>
      <c r="R74" s="32" t="s">
        <v>45</v>
      </c>
      <c r="S74" s="32" t="s">
        <v>2122</v>
      </c>
      <c r="T74" s="32">
        <v>1</v>
      </c>
      <c r="U74" s="32">
        <v>3500000</v>
      </c>
      <c r="V74" s="32">
        <v>3500000</v>
      </c>
      <c r="W74" s="32">
        <v>3500000</v>
      </c>
      <c r="X74" s="32" t="s">
        <v>2003</v>
      </c>
      <c r="Y74" s="32" t="s">
        <v>1256</v>
      </c>
      <c r="Z74" s="32">
        <v>223516</v>
      </c>
    </row>
    <row r="75" spans="1:26" x14ac:dyDescent="0.3">
      <c r="A75" s="28" t="s">
        <v>42</v>
      </c>
      <c r="B75" s="6" t="s">
        <v>2172</v>
      </c>
      <c r="C75" s="6"/>
      <c r="D75" s="6" t="s">
        <v>2289</v>
      </c>
      <c r="E75" s="6">
        <v>1</v>
      </c>
      <c r="F75" s="6" t="s">
        <v>2004</v>
      </c>
      <c r="G75" s="32" t="s">
        <v>2299</v>
      </c>
      <c r="H75" s="32" t="s">
        <v>2300</v>
      </c>
      <c r="I75" s="6" t="str">
        <f t="shared" ref="I75:I138" si="5">IF(ISBLANK(C75),B75,C75)</f>
        <v>Quick Coupler</v>
      </c>
      <c r="J75" s="6" t="s">
        <v>536</v>
      </c>
      <c r="K75" s="6">
        <v>1</v>
      </c>
      <c r="L75" s="6">
        <f t="shared" ref="L75:L138" si="6">FLOOR(((M75*100)/85)/10000, 1)*10000</f>
        <v>3170000</v>
      </c>
      <c r="M75" s="6">
        <v>2700000</v>
      </c>
      <c r="N75" s="6" t="s">
        <v>2003</v>
      </c>
      <c r="O75" s="6" t="s">
        <v>1837</v>
      </c>
      <c r="P75" s="6">
        <v>2015</v>
      </c>
      <c r="Q75" s="6">
        <v>11</v>
      </c>
      <c r="R75" s="6" t="s">
        <v>45</v>
      </c>
      <c r="S75" s="32" t="s">
        <v>2118</v>
      </c>
      <c r="T75" s="6">
        <v>1</v>
      </c>
      <c r="U75" s="26">
        <v>2500000</v>
      </c>
      <c r="V75" s="26">
        <v>2500000</v>
      </c>
      <c r="W75" s="26">
        <v>2500000</v>
      </c>
      <c r="X75" s="6" t="s">
        <v>2003</v>
      </c>
      <c r="Y75" s="6" t="s">
        <v>1273</v>
      </c>
      <c r="Z75" s="6">
        <v>223525</v>
      </c>
    </row>
    <row r="76" spans="1:26" x14ac:dyDescent="0.3">
      <c r="A76" s="28" t="s">
        <v>42</v>
      </c>
      <c r="B76" s="6" t="s">
        <v>1327</v>
      </c>
      <c r="C76" s="19" t="s">
        <v>1982</v>
      </c>
      <c r="D76" s="6" t="s">
        <v>2001</v>
      </c>
      <c r="E76" s="6">
        <v>1</v>
      </c>
      <c r="F76" s="6" t="s">
        <v>2004</v>
      </c>
      <c r="G76" s="32" t="s">
        <v>2299</v>
      </c>
      <c r="H76" s="32" t="s">
        <v>2300</v>
      </c>
      <c r="I76" s="6" t="str">
        <f t="shared" si="5"/>
        <v>Standard Bucket</v>
      </c>
      <c r="J76" s="6" t="s">
        <v>114</v>
      </c>
      <c r="K76" s="6">
        <v>1</v>
      </c>
      <c r="L76" s="6">
        <f t="shared" si="6"/>
        <v>2940000</v>
      </c>
      <c r="M76" s="6">
        <v>2500000</v>
      </c>
      <c r="N76" s="6" t="s">
        <v>2003</v>
      </c>
      <c r="O76" s="6" t="s">
        <v>870</v>
      </c>
      <c r="P76" s="6">
        <v>2014</v>
      </c>
      <c r="Q76" s="6">
        <v>1</v>
      </c>
      <c r="R76" s="6" t="s">
        <v>45</v>
      </c>
      <c r="S76" s="32" t="s">
        <v>2116</v>
      </c>
      <c r="T76" s="6">
        <v>1</v>
      </c>
      <c r="U76" s="26">
        <v>2300000</v>
      </c>
      <c r="V76" s="26">
        <v>2300000</v>
      </c>
      <c r="W76" s="26">
        <v>2300000</v>
      </c>
      <c r="X76" s="6" t="s">
        <v>2003</v>
      </c>
      <c r="Y76" s="6" t="s">
        <v>1174</v>
      </c>
      <c r="Z76" s="6">
        <v>223541</v>
      </c>
    </row>
    <row r="77" spans="1:26" x14ac:dyDescent="0.3">
      <c r="A77" s="28" t="s">
        <v>42</v>
      </c>
      <c r="B77" s="6" t="s">
        <v>2175</v>
      </c>
      <c r="C77" s="6" t="s">
        <v>1983</v>
      </c>
      <c r="D77" s="6" t="s">
        <v>2001</v>
      </c>
      <c r="E77" s="6">
        <v>1</v>
      </c>
      <c r="F77" s="6" t="s">
        <v>2004</v>
      </c>
      <c r="G77" s="32" t="s">
        <v>2299</v>
      </c>
      <c r="H77" s="32" t="s">
        <v>2300</v>
      </c>
      <c r="I77" s="6" t="str">
        <f t="shared" si="5"/>
        <v>Hydraulic Multi Processor</v>
      </c>
      <c r="J77" s="6" t="s">
        <v>452</v>
      </c>
      <c r="K77" s="6">
        <v>1</v>
      </c>
      <c r="L77" s="6">
        <f t="shared" si="6"/>
        <v>15880000</v>
      </c>
      <c r="M77" s="6">
        <v>13500000</v>
      </c>
      <c r="N77" s="6" t="s">
        <v>2003</v>
      </c>
      <c r="O77" s="6" t="s">
        <v>871</v>
      </c>
      <c r="P77" s="6">
        <v>2015</v>
      </c>
      <c r="Q77" s="6">
        <v>1</v>
      </c>
      <c r="R77" s="6" t="s">
        <v>45</v>
      </c>
      <c r="S77" s="32" t="s">
        <v>2116</v>
      </c>
      <c r="T77" s="6">
        <v>1</v>
      </c>
      <c r="U77" s="26">
        <v>13000000</v>
      </c>
      <c r="V77" s="26">
        <v>13000000</v>
      </c>
      <c r="W77" s="26">
        <v>13000000</v>
      </c>
      <c r="X77" s="6" t="s">
        <v>2003</v>
      </c>
      <c r="Y77" s="6" t="s">
        <v>1199</v>
      </c>
      <c r="Z77" s="6">
        <v>223543</v>
      </c>
    </row>
    <row r="78" spans="1:26" x14ac:dyDescent="0.3">
      <c r="A78" s="28" t="s">
        <v>42</v>
      </c>
      <c r="B78" s="6" t="s">
        <v>2159</v>
      </c>
      <c r="C78" s="6"/>
      <c r="D78" s="6" t="s">
        <v>2291</v>
      </c>
      <c r="E78" s="6">
        <v>1</v>
      </c>
      <c r="F78" s="6" t="s">
        <v>2004</v>
      </c>
      <c r="G78" s="32" t="s">
        <v>2299</v>
      </c>
      <c r="H78" s="32" t="s">
        <v>2300</v>
      </c>
      <c r="I78" s="6" t="str">
        <f t="shared" si="5"/>
        <v>ETC</v>
      </c>
      <c r="J78" s="6" t="s">
        <v>382</v>
      </c>
      <c r="K78" s="6">
        <v>1</v>
      </c>
      <c r="L78" s="6">
        <f t="shared" si="6"/>
        <v>4350000</v>
      </c>
      <c r="M78" s="6">
        <v>3700000</v>
      </c>
      <c r="N78" s="6" t="s">
        <v>2003</v>
      </c>
      <c r="O78" s="6" t="s">
        <v>2015</v>
      </c>
      <c r="P78" s="6">
        <v>2012</v>
      </c>
      <c r="Q78" s="6">
        <v>6</v>
      </c>
      <c r="R78" s="6" t="s">
        <v>45</v>
      </c>
      <c r="S78" s="32" t="s">
        <v>2113</v>
      </c>
      <c r="T78" s="6">
        <v>1</v>
      </c>
      <c r="U78" s="26">
        <v>3500000</v>
      </c>
      <c r="V78" s="26">
        <v>3500000</v>
      </c>
      <c r="W78" s="26">
        <v>3500000</v>
      </c>
      <c r="X78" s="6" t="s">
        <v>2003</v>
      </c>
      <c r="Y78" s="6" t="s">
        <v>47</v>
      </c>
      <c r="Z78" s="6">
        <v>223548</v>
      </c>
    </row>
    <row r="79" spans="1:26" x14ac:dyDescent="0.3">
      <c r="A79" s="28" t="s">
        <v>42</v>
      </c>
      <c r="B79" s="6" t="s">
        <v>1326</v>
      </c>
      <c r="C79" s="6" t="s">
        <v>1973</v>
      </c>
      <c r="D79" s="6" t="s">
        <v>2291</v>
      </c>
      <c r="E79" s="6">
        <v>1</v>
      </c>
      <c r="F79" s="6" t="s">
        <v>2004</v>
      </c>
      <c r="G79" s="32" t="s">
        <v>2299</v>
      </c>
      <c r="H79" s="32" t="s">
        <v>2300</v>
      </c>
      <c r="I79" s="6" t="str">
        <f t="shared" si="5"/>
        <v>Wood Grapple</v>
      </c>
      <c r="J79" s="6" t="s">
        <v>127</v>
      </c>
      <c r="K79" s="6">
        <v>1</v>
      </c>
      <c r="L79" s="6">
        <f t="shared" si="6"/>
        <v>3050000</v>
      </c>
      <c r="M79" s="6">
        <v>2600000</v>
      </c>
      <c r="N79" s="6" t="s">
        <v>2003</v>
      </c>
      <c r="O79" s="6" t="s">
        <v>2007</v>
      </c>
      <c r="P79" s="6">
        <v>2014</v>
      </c>
      <c r="Q79" s="6">
        <v>1</v>
      </c>
      <c r="R79" s="6" t="s">
        <v>45</v>
      </c>
      <c r="S79" s="32" t="s">
        <v>2113</v>
      </c>
      <c r="T79" s="6">
        <v>1</v>
      </c>
      <c r="U79" s="26">
        <v>2400000</v>
      </c>
      <c r="V79" s="26">
        <v>2400000</v>
      </c>
      <c r="W79" s="26">
        <v>2400000</v>
      </c>
      <c r="X79" s="6" t="s">
        <v>2003</v>
      </c>
      <c r="Y79" s="6" t="s">
        <v>49</v>
      </c>
      <c r="Z79" s="6">
        <v>223549</v>
      </c>
    </row>
    <row r="80" spans="1:26" x14ac:dyDescent="0.3">
      <c r="A80" s="28" t="s">
        <v>42</v>
      </c>
      <c r="B80" s="6" t="s">
        <v>2167</v>
      </c>
      <c r="C80" s="6" t="s">
        <v>1975</v>
      </c>
      <c r="D80" s="6" t="s">
        <v>2293</v>
      </c>
      <c r="E80" s="6">
        <v>1</v>
      </c>
      <c r="F80" s="6" t="s">
        <v>2004</v>
      </c>
      <c r="G80" s="32" t="s">
        <v>2299</v>
      </c>
      <c r="H80" s="32" t="s">
        <v>2300</v>
      </c>
      <c r="I80" s="6" t="str">
        <f t="shared" si="5"/>
        <v>Side Breaker</v>
      </c>
      <c r="J80" s="6" t="s">
        <v>205</v>
      </c>
      <c r="K80" s="6">
        <v>1</v>
      </c>
      <c r="L80" s="6">
        <f t="shared" si="6"/>
        <v>1640000</v>
      </c>
      <c r="M80" s="6">
        <v>1400000</v>
      </c>
      <c r="N80" s="6" t="s">
        <v>2003</v>
      </c>
      <c r="O80" s="6" t="s">
        <v>2007</v>
      </c>
      <c r="P80" s="6">
        <v>2014</v>
      </c>
      <c r="Q80" s="6">
        <v>1</v>
      </c>
      <c r="R80" s="6" t="s">
        <v>45</v>
      </c>
      <c r="S80" s="32" t="s">
        <v>2113</v>
      </c>
      <c r="T80" s="6">
        <v>1</v>
      </c>
      <c r="U80" s="26">
        <v>1300000</v>
      </c>
      <c r="V80" s="26">
        <v>1300000</v>
      </c>
      <c r="W80" s="26">
        <v>1300000</v>
      </c>
      <c r="X80" s="6" t="s">
        <v>2003</v>
      </c>
      <c r="Y80" s="6" t="s">
        <v>49</v>
      </c>
      <c r="Z80" s="6">
        <v>223552</v>
      </c>
    </row>
    <row r="81" spans="1:26" x14ac:dyDescent="0.3">
      <c r="A81" s="28" t="s">
        <v>42</v>
      </c>
      <c r="B81" s="6" t="s">
        <v>1326</v>
      </c>
      <c r="C81" s="19" t="s">
        <v>1974</v>
      </c>
      <c r="D81" s="6" t="s">
        <v>2293</v>
      </c>
      <c r="E81" s="6">
        <v>1</v>
      </c>
      <c r="F81" s="6" t="s">
        <v>2004</v>
      </c>
      <c r="G81" s="32" t="s">
        <v>2299</v>
      </c>
      <c r="H81" s="32" t="s">
        <v>2300</v>
      </c>
      <c r="I81" s="6" t="str">
        <f t="shared" si="5"/>
        <v>Etc Grapple</v>
      </c>
      <c r="J81" s="6" t="s">
        <v>300</v>
      </c>
      <c r="K81" s="6">
        <v>1</v>
      </c>
      <c r="L81" s="6">
        <f t="shared" si="6"/>
        <v>2640000</v>
      </c>
      <c r="M81" s="6">
        <v>2250000</v>
      </c>
      <c r="N81" s="6" t="s">
        <v>2003</v>
      </c>
      <c r="O81" s="6" t="s">
        <v>2007</v>
      </c>
      <c r="P81" s="6">
        <v>2016</v>
      </c>
      <c r="Q81" s="6">
        <v>1</v>
      </c>
      <c r="R81" s="6" t="s">
        <v>45</v>
      </c>
      <c r="S81" s="32" t="s">
        <v>2113</v>
      </c>
      <c r="T81" s="6">
        <v>1</v>
      </c>
      <c r="U81" s="26">
        <v>2050000</v>
      </c>
      <c r="V81" s="26">
        <v>2050000</v>
      </c>
      <c r="W81" s="26">
        <v>2050000</v>
      </c>
      <c r="X81" s="6" t="s">
        <v>2003</v>
      </c>
      <c r="Y81" s="6" t="s">
        <v>49</v>
      </c>
      <c r="Z81" s="6">
        <v>223558</v>
      </c>
    </row>
    <row r="82" spans="1:26" x14ac:dyDescent="0.3">
      <c r="A82" s="28" t="s">
        <v>42</v>
      </c>
      <c r="B82" s="6" t="s">
        <v>1326</v>
      </c>
      <c r="C82" s="6" t="s">
        <v>1972</v>
      </c>
      <c r="D82" s="6" t="s">
        <v>2292</v>
      </c>
      <c r="E82" s="6">
        <v>1</v>
      </c>
      <c r="F82" s="6" t="s">
        <v>2004</v>
      </c>
      <c r="G82" s="32" t="s">
        <v>2299</v>
      </c>
      <c r="H82" s="32" t="s">
        <v>2300</v>
      </c>
      <c r="I82" s="6" t="str">
        <f t="shared" si="5"/>
        <v>Stone Grapple</v>
      </c>
      <c r="J82" s="6" t="s">
        <v>44</v>
      </c>
      <c r="K82" s="6">
        <v>1</v>
      </c>
      <c r="L82" s="6">
        <f t="shared" si="6"/>
        <v>2820000</v>
      </c>
      <c r="M82" s="6">
        <v>2400000</v>
      </c>
      <c r="N82" s="6" t="s">
        <v>2003</v>
      </c>
      <c r="O82" s="6" t="s">
        <v>801</v>
      </c>
      <c r="P82" s="6">
        <v>2010</v>
      </c>
      <c r="Q82" s="6">
        <v>6</v>
      </c>
      <c r="R82" s="6" t="s">
        <v>45</v>
      </c>
      <c r="S82" s="32" t="s">
        <v>2110</v>
      </c>
      <c r="T82" s="6">
        <v>1</v>
      </c>
      <c r="U82" s="26">
        <v>2200000</v>
      </c>
      <c r="V82" s="26">
        <v>2200000</v>
      </c>
      <c r="W82" s="26">
        <v>2200000</v>
      </c>
      <c r="X82" s="6" t="s">
        <v>2003</v>
      </c>
      <c r="Y82" s="6" t="s">
        <v>1225</v>
      </c>
      <c r="Z82" s="6">
        <v>223563</v>
      </c>
    </row>
    <row r="83" spans="1:26" x14ac:dyDescent="0.3">
      <c r="A83" s="28" t="s">
        <v>42</v>
      </c>
      <c r="B83" s="6" t="s">
        <v>1326</v>
      </c>
      <c r="C83" s="6" t="s">
        <v>1973</v>
      </c>
      <c r="D83" s="6" t="s">
        <v>2293</v>
      </c>
      <c r="E83" s="6">
        <v>1</v>
      </c>
      <c r="F83" s="6" t="s">
        <v>2004</v>
      </c>
      <c r="G83" s="32" t="s">
        <v>2299</v>
      </c>
      <c r="H83" s="32" t="s">
        <v>2300</v>
      </c>
      <c r="I83" s="6" t="str">
        <f t="shared" si="5"/>
        <v>Wood Grapple</v>
      </c>
      <c r="J83" s="6" t="s">
        <v>417</v>
      </c>
      <c r="K83" s="6">
        <v>1</v>
      </c>
      <c r="L83" s="6">
        <f t="shared" si="6"/>
        <v>2290000</v>
      </c>
      <c r="M83" s="6">
        <v>1950000</v>
      </c>
      <c r="N83" s="6" t="s">
        <v>2003</v>
      </c>
      <c r="O83" s="6" t="s">
        <v>2007</v>
      </c>
      <c r="P83" s="6">
        <v>2014</v>
      </c>
      <c r="Q83" s="6">
        <v>1</v>
      </c>
      <c r="R83" s="6" t="s">
        <v>45</v>
      </c>
      <c r="S83" s="32" t="s">
        <v>2113</v>
      </c>
      <c r="T83" s="6">
        <v>1</v>
      </c>
      <c r="U83" s="26">
        <v>1850000</v>
      </c>
      <c r="V83" s="26">
        <v>1850000</v>
      </c>
      <c r="W83" s="26">
        <v>1850000</v>
      </c>
      <c r="X83" s="6" t="s">
        <v>2003</v>
      </c>
      <c r="Y83" s="6" t="s">
        <v>49</v>
      </c>
      <c r="Z83" s="6">
        <v>223565</v>
      </c>
    </row>
    <row r="84" spans="1:26" x14ac:dyDescent="0.3">
      <c r="A84" s="28" t="s">
        <v>42</v>
      </c>
      <c r="B84" s="6" t="s">
        <v>1329</v>
      </c>
      <c r="C84" s="6"/>
      <c r="D84" s="6" t="s">
        <v>2291</v>
      </c>
      <c r="E84" s="6">
        <v>1</v>
      </c>
      <c r="F84" s="6" t="s">
        <v>2004</v>
      </c>
      <c r="G84" s="32" t="s">
        <v>2299</v>
      </c>
      <c r="H84" s="32" t="s">
        <v>2300</v>
      </c>
      <c r="I84" s="6" t="str">
        <f t="shared" si="5"/>
        <v>Compactor</v>
      </c>
      <c r="J84" s="6" t="s">
        <v>416</v>
      </c>
      <c r="K84" s="6">
        <v>1</v>
      </c>
      <c r="L84" s="6">
        <f t="shared" si="6"/>
        <v>1880000</v>
      </c>
      <c r="M84" s="6">
        <v>1600000</v>
      </c>
      <c r="N84" s="6" t="s">
        <v>2003</v>
      </c>
      <c r="O84" s="6" t="s">
        <v>1838</v>
      </c>
      <c r="P84" s="6">
        <v>2015</v>
      </c>
      <c r="Q84" s="6">
        <v>1</v>
      </c>
      <c r="R84" s="6" t="s">
        <v>45</v>
      </c>
      <c r="S84" s="32" t="s">
        <v>2113</v>
      </c>
      <c r="T84" s="6">
        <v>1</v>
      </c>
      <c r="U84" s="26">
        <v>1500000</v>
      </c>
      <c r="V84" s="26">
        <v>1500000</v>
      </c>
      <c r="W84" s="26">
        <v>1500000</v>
      </c>
      <c r="X84" s="6" t="s">
        <v>2003</v>
      </c>
      <c r="Y84" s="6" t="s">
        <v>1246</v>
      </c>
      <c r="Z84" s="6">
        <v>223572</v>
      </c>
    </row>
    <row r="85" spans="1:26" x14ac:dyDescent="0.3">
      <c r="A85" s="28" t="s">
        <v>42</v>
      </c>
      <c r="B85" s="6" t="s">
        <v>2172</v>
      </c>
      <c r="C85" s="6"/>
      <c r="D85" s="6" t="s">
        <v>2289</v>
      </c>
      <c r="E85" s="6">
        <v>1</v>
      </c>
      <c r="F85" s="6" t="s">
        <v>2004</v>
      </c>
      <c r="G85" s="32" t="s">
        <v>2299</v>
      </c>
      <c r="H85" s="32" t="s">
        <v>2300</v>
      </c>
      <c r="I85" s="6" t="str">
        <f t="shared" si="5"/>
        <v>Quick Coupler</v>
      </c>
      <c r="J85" s="6" t="s">
        <v>244</v>
      </c>
      <c r="K85" s="6">
        <v>1</v>
      </c>
      <c r="L85" s="6">
        <f t="shared" si="6"/>
        <v>4350000</v>
      </c>
      <c r="M85" s="6">
        <v>3700000</v>
      </c>
      <c r="N85" s="6" t="s">
        <v>2003</v>
      </c>
      <c r="O85" s="6" t="s">
        <v>813</v>
      </c>
      <c r="P85" s="6">
        <v>2013</v>
      </c>
      <c r="Q85" s="6">
        <v>1</v>
      </c>
      <c r="R85" s="6" t="s">
        <v>45</v>
      </c>
      <c r="S85" s="32" t="s">
        <v>2113</v>
      </c>
      <c r="T85" s="6">
        <v>1</v>
      </c>
      <c r="U85" s="26">
        <v>3500000</v>
      </c>
      <c r="V85" s="26">
        <v>3500000</v>
      </c>
      <c r="W85" s="26">
        <v>3500000</v>
      </c>
      <c r="X85" s="6" t="s">
        <v>2003</v>
      </c>
      <c r="Y85" s="6" t="s">
        <v>79</v>
      </c>
      <c r="Z85" s="6">
        <v>223573</v>
      </c>
    </row>
    <row r="86" spans="1:26" x14ac:dyDescent="0.3">
      <c r="A86" s="28" t="s">
        <v>42</v>
      </c>
      <c r="B86" s="6" t="s">
        <v>1327</v>
      </c>
      <c r="C86" s="6" t="s">
        <v>1982</v>
      </c>
      <c r="D86" s="6" t="s">
        <v>2289</v>
      </c>
      <c r="E86" s="6">
        <v>1</v>
      </c>
      <c r="F86" s="6" t="s">
        <v>2004</v>
      </c>
      <c r="G86" s="32" t="s">
        <v>2299</v>
      </c>
      <c r="H86" s="32" t="s">
        <v>2300</v>
      </c>
      <c r="I86" s="6" t="str">
        <f t="shared" si="5"/>
        <v>Standard Bucket</v>
      </c>
      <c r="J86" s="6" t="s">
        <v>187</v>
      </c>
      <c r="K86" s="6">
        <v>1</v>
      </c>
      <c r="L86" s="6">
        <f t="shared" si="6"/>
        <v>1880000</v>
      </c>
      <c r="M86" s="6">
        <v>1600000</v>
      </c>
      <c r="N86" s="6" t="s">
        <v>2003</v>
      </c>
      <c r="O86" s="6" t="s">
        <v>813</v>
      </c>
      <c r="P86" s="6">
        <v>2013</v>
      </c>
      <c r="Q86" s="6">
        <v>1</v>
      </c>
      <c r="R86" s="6" t="s">
        <v>45</v>
      </c>
      <c r="S86" s="32" t="s">
        <v>2113</v>
      </c>
      <c r="T86" s="6">
        <v>1</v>
      </c>
      <c r="U86" s="26">
        <v>1500000</v>
      </c>
      <c r="V86" s="26">
        <v>1500000</v>
      </c>
      <c r="W86" s="26">
        <v>1500000</v>
      </c>
      <c r="X86" s="6" t="s">
        <v>2003</v>
      </c>
      <c r="Y86" s="6" t="s">
        <v>80</v>
      </c>
      <c r="Z86" s="6">
        <v>223574</v>
      </c>
    </row>
    <row r="87" spans="1:26" x14ac:dyDescent="0.3">
      <c r="A87" s="28" t="s">
        <v>42</v>
      </c>
      <c r="B87" s="6" t="s">
        <v>1326</v>
      </c>
      <c r="C87" s="6" t="s">
        <v>1972</v>
      </c>
      <c r="D87" s="6" t="s">
        <v>2292</v>
      </c>
      <c r="E87" s="6">
        <v>1</v>
      </c>
      <c r="F87" s="6" t="s">
        <v>2004</v>
      </c>
      <c r="G87" s="32" t="s">
        <v>2299</v>
      </c>
      <c r="H87" s="32" t="s">
        <v>2300</v>
      </c>
      <c r="I87" s="6" t="str">
        <f t="shared" si="5"/>
        <v>Stone Grapple</v>
      </c>
      <c r="J87" s="6" t="s">
        <v>120</v>
      </c>
      <c r="K87" s="6">
        <v>1</v>
      </c>
      <c r="L87" s="6">
        <f t="shared" si="6"/>
        <v>8230000</v>
      </c>
      <c r="M87" s="6">
        <v>7000000</v>
      </c>
      <c r="N87" s="6" t="s">
        <v>2003</v>
      </c>
      <c r="O87" s="6" t="s">
        <v>822</v>
      </c>
      <c r="P87" s="6">
        <v>2016</v>
      </c>
      <c r="Q87" s="6">
        <v>7</v>
      </c>
      <c r="R87" s="6" t="s">
        <v>45</v>
      </c>
      <c r="S87" s="32" t="s">
        <v>2123</v>
      </c>
      <c r="T87" s="6">
        <v>1</v>
      </c>
      <c r="U87" s="26">
        <v>6500000</v>
      </c>
      <c r="V87" s="26">
        <v>6500000</v>
      </c>
      <c r="W87" s="26">
        <v>6500000</v>
      </c>
      <c r="X87" s="6" t="s">
        <v>2003</v>
      </c>
      <c r="Y87" s="6" t="s">
        <v>92</v>
      </c>
      <c r="Z87" s="6">
        <v>223576</v>
      </c>
    </row>
    <row r="88" spans="1:26" x14ac:dyDescent="0.3">
      <c r="A88" s="28" t="s">
        <v>42</v>
      </c>
      <c r="B88" s="6" t="s">
        <v>2167</v>
      </c>
      <c r="C88" s="6" t="s">
        <v>1975</v>
      </c>
      <c r="D88" s="6" t="s">
        <v>2291</v>
      </c>
      <c r="E88" s="6">
        <v>1</v>
      </c>
      <c r="F88" s="6" t="s">
        <v>2004</v>
      </c>
      <c r="G88" s="32" t="s">
        <v>2299</v>
      </c>
      <c r="H88" s="32" t="s">
        <v>2300</v>
      </c>
      <c r="I88" s="6" t="str">
        <f t="shared" si="5"/>
        <v>Side Breaker</v>
      </c>
      <c r="J88" s="6" t="s">
        <v>204</v>
      </c>
      <c r="K88" s="6">
        <v>1</v>
      </c>
      <c r="L88" s="6">
        <f t="shared" si="6"/>
        <v>1580000</v>
      </c>
      <c r="M88" s="6">
        <v>1350000</v>
      </c>
      <c r="N88" s="6" t="s">
        <v>2003</v>
      </c>
      <c r="O88" s="6" t="s">
        <v>51</v>
      </c>
      <c r="P88" s="6">
        <v>2013</v>
      </c>
      <c r="Q88" s="6">
        <v>1</v>
      </c>
      <c r="R88" s="6" t="s">
        <v>45</v>
      </c>
      <c r="S88" s="32" t="s">
        <v>2113</v>
      </c>
      <c r="T88" s="6">
        <v>1</v>
      </c>
      <c r="U88" s="26">
        <v>1250000</v>
      </c>
      <c r="V88" s="26">
        <v>1250000</v>
      </c>
      <c r="W88" s="26">
        <v>1250000</v>
      </c>
      <c r="X88" s="6" t="s">
        <v>2003</v>
      </c>
      <c r="Y88" s="6" t="s">
        <v>49</v>
      </c>
      <c r="Z88" s="6">
        <v>223586</v>
      </c>
    </row>
    <row r="89" spans="1:26" x14ac:dyDescent="0.3">
      <c r="A89" s="28" t="s">
        <v>42</v>
      </c>
      <c r="B89" s="6" t="s">
        <v>2175</v>
      </c>
      <c r="C89" s="19" t="s">
        <v>2321</v>
      </c>
      <c r="D89" s="6" t="s">
        <v>2290</v>
      </c>
      <c r="E89" s="6">
        <v>1</v>
      </c>
      <c r="F89" s="6" t="s">
        <v>2004</v>
      </c>
      <c r="G89" s="32" t="s">
        <v>2299</v>
      </c>
      <c r="H89" s="32" t="s">
        <v>2300</v>
      </c>
      <c r="I89" s="6" t="str">
        <f t="shared" si="5"/>
        <v>Etc Crusher</v>
      </c>
      <c r="J89" s="6" t="s">
        <v>184</v>
      </c>
      <c r="K89" s="6">
        <v>1</v>
      </c>
      <c r="L89" s="6">
        <f t="shared" si="6"/>
        <v>7640000</v>
      </c>
      <c r="M89" s="6">
        <v>6500000</v>
      </c>
      <c r="N89" s="6" t="s">
        <v>2003</v>
      </c>
      <c r="O89" s="6" t="s">
        <v>66</v>
      </c>
      <c r="P89" s="6">
        <v>2012</v>
      </c>
      <c r="Q89" s="6">
        <v>1</v>
      </c>
      <c r="R89" s="6" t="s">
        <v>45</v>
      </c>
      <c r="S89" s="32" t="s">
        <v>2110</v>
      </c>
      <c r="T89" s="6">
        <v>1</v>
      </c>
      <c r="U89" s="26">
        <v>6000000</v>
      </c>
      <c r="V89" s="26">
        <v>6000000</v>
      </c>
      <c r="W89" s="26">
        <v>6000000</v>
      </c>
      <c r="X89" s="6" t="s">
        <v>2003</v>
      </c>
      <c r="Y89" s="6" t="s">
        <v>1150</v>
      </c>
      <c r="Z89" s="6">
        <v>223587</v>
      </c>
    </row>
    <row r="90" spans="1:26" x14ac:dyDescent="0.3">
      <c r="A90" s="28" t="s">
        <v>42</v>
      </c>
      <c r="B90" s="6" t="s">
        <v>1327</v>
      </c>
      <c r="C90" s="6" t="s">
        <v>1980</v>
      </c>
      <c r="D90" s="6" t="s">
        <v>2290</v>
      </c>
      <c r="E90" s="6">
        <v>1</v>
      </c>
      <c r="F90" s="6" t="s">
        <v>2004</v>
      </c>
      <c r="G90" s="32" t="s">
        <v>2299</v>
      </c>
      <c r="H90" s="32" t="s">
        <v>2300</v>
      </c>
      <c r="I90" s="6" t="str">
        <f t="shared" si="5"/>
        <v>Small Bucket</v>
      </c>
      <c r="J90" s="6" t="s">
        <v>139</v>
      </c>
      <c r="K90" s="6">
        <v>1</v>
      </c>
      <c r="L90" s="6">
        <f t="shared" si="6"/>
        <v>1170000</v>
      </c>
      <c r="M90" s="6">
        <v>1000000</v>
      </c>
      <c r="N90" s="6" t="s">
        <v>2003</v>
      </c>
      <c r="O90" s="6" t="s">
        <v>2016</v>
      </c>
      <c r="P90" s="6">
        <v>2015</v>
      </c>
      <c r="Q90" s="6">
        <v>1</v>
      </c>
      <c r="R90" s="6" t="s">
        <v>45</v>
      </c>
      <c r="S90" s="32" t="s">
        <v>2116</v>
      </c>
      <c r="T90" s="6">
        <v>1</v>
      </c>
      <c r="U90" s="26">
        <v>900000</v>
      </c>
      <c r="V90" s="26">
        <v>900000</v>
      </c>
      <c r="W90" s="26">
        <v>900000</v>
      </c>
      <c r="X90" s="6" t="s">
        <v>2003</v>
      </c>
      <c r="Y90" s="6" t="s">
        <v>90</v>
      </c>
      <c r="Z90" s="6">
        <v>223592</v>
      </c>
    </row>
    <row r="91" spans="1:26" x14ac:dyDescent="0.3">
      <c r="A91" s="28" t="s">
        <v>42</v>
      </c>
      <c r="B91" s="6" t="s">
        <v>2190</v>
      </c>
      <c r="C91" s="6"/>
      <c r="D91" s="6" t="s">
        <v>2001</v>
      </c>
      <c r="E91" s="6">
        <v>1</v>
      </c>
      <c r="F91" s="6" t="s">
        <v>2004</v>
      </c>
      <c r="G91" s="32" t="s">
        <v>2299</v>
      </c>
      <c r="H91" s="32" t="s">
        <v>2300</v>
      </c>
      <c r="I91" s="6" t="str">
        <f t="shared" si="5"/>
        <v>Lift Fork</v>
      </c>
      <c r="J91" s="6" t="s">
        <v>277</v>
      </c>
      <c r="K91" s="6">
        <v>1</v>
      </c>
      <c r="L91" s="6">
        <f t="shared" si="6"/>
        <v>700000</v>
      </c>
      <c r="M91" s="6">
        <v>600000</v>
      </c>
      <c r="N91" s="6" t="s">
        <v>2003</v>
      </c>
      <c r="O91" s="6" t="s">
        <v>873</v>
      </c>
      <c r="P91" s="6">
        <v>2010</v>
      </c>
      <c r="Q91" s="6">
        <v>1</v>
      </c>
      <c r="R91" s="6" t="s">
        <v>45</v>
      </c>
      <c r="S91" s="32" t="s">
        <v>2113</v>
      </c>
      <c r="T91" s="6">
        <v>1</v>
      </c>
      <c r="U91" s="26">
        <v>500000</v>
      </c>
      <c r="V91" s="26">
        <v>500000</v>
      </c>
      <c r="W91" s="26">
        <v>500000</v>
      </c>
      <c r="X91" s="6" t="s">
        <v>2003</v>
      </c>
      <c r="Y91" s="6" t="s">
        <v>1257</v>
      </c>
      <c r="Z91" s="6">
        <v>223596</v>
      </c>
    </row>
    <row r="92" spans="1:26" x14ac:dyDescent="0.3">
      <c r="A92" s="28" t="s">
        <v>42</v>
      </c>
      <c r="B92" s="6" t="s">
        <v>2167</v>
      </c>
      <c r="C92" s="6" t="s">
        <v>1975</v>
      </c>
      <c r="D92" s="6" t="s">
        <v>2292</v>
      </c>
      <c r="E92" s="6">
        <v>1</v>
      </c>
      <c r="F92" s="6" t="s">
        <v>2004</v>
      </c>
      <c r="G92" s="32" t="s">
        <v>2299</v>
      </c>
      <c r="H92" s="32" t="s">
        <v>2300</v>
      </c>
      <c r="I92" s="6" t="str">
        <f t="shared" si="5"/>
        <v>Side Breaker</v>
      </c>
      <c r="J92" s="6" t="s">
        <v>119</v>
      </c>
      <c r="K92" s="6">
        <v>1</v>
      </c>
      <c r="L92" s="6">
        <f t="shared" si="6"/>
        <v>4580000</v>
      </c>
      <c r="M92" s="6">
        <v>3900000</v>
      </c>
      <c r="N92" s="6" t="s">
        <v>2003</v>
      </c>
      <c r="O92" s="6" t="s">
        <v>1839</v>
      </c>
      <c r="P92" s="6">
        <v>2014</v>
      </c>
      <c r="Q92" s="6">
        <v>1</v>
      </c>
      <c r="R92" s="6" t="s">
        <v>45</v>
      </c>
      <c r="S92" s="32" t="s">
        <v>2110</v>
      </c>
      <c r="T92" s="6">
        <v>1</v>
      </c>
      <c r="U92" s="26">
        <v>3700000</v>
      </c>
      <c r="V92" s="26">
        <v>3700000</v>
      </c>
      <c r="W92" s="26">
        <v>3700000</v>
      </c>
      <c r="X92" s="6" t="s">
        <v>2003</v>
      </c>
      <c r="Y92" s="6" t="s">
        <v>1150</v>
      </c>
      <c r="Z92" s="6">
        <v>223597</v>
      </c>
    </row>
    <row r="93" spans="1:26" x14ac:dyDescent="0.3">
      <c r="A93" s="28" t="s">
        <v>42</v>
      </c>
      <c r="B93" s="6" t="s">
        <v>2172</v>
      </c>
      <c r="C93" s="6" t="s">
        <v>1982</v>
      </c>
      <c r="D93" s="6" t="s">
        <v>2292</v>
      </c>
      <c r="E93" s="6">
        <v>1</v>
      </c>
      <c r="F93" s="6" t="s">
        <v>2004</v>
      </c>
      <c r="G93" s="32" t="s">
        <v>2299</v>
      </c>
      <c r="H93" s="32" t="s">
        <v>2300</v>
      </c>
      <c r="I93" s="6" t="str">
        <f t="shared" si="5"/>
        <v>Standard Bucket</v>
      </c>
      <c r="J93" s="6" t="s">
        <v>343</v>
      </c>
      <c r="K93" s="6">
        <v>1</v>
      </c>
      <c r="L93" s="6">
        <f t="shared" si="6"/>
        <v>3520000</v>
      </c>
      <c r="M93" s="6">
        <v>3000000</v>
      </c>
      <c r="N93" s="6" t="s">
        <v>2003</v>
      </c>
      <c r="O93" s="6" t="s">
        <v>796</v>
      </c>
      <c r="P93" s="6">
        <v>2016</v>
      </c>
      <c r="Q93" s="6">
        <v>1</v>
      </c>
      <c r="R93" s="6" t="s">
        <v>45</v>
      </c>
      <c r="S93" s="32" t="s">
        <v>2116</v>
      </c>
      <c r="T93" s="6">
        <v>1</v>
      </c>
      <c r="U93" s="26">
        <v>2800000</v>
      </c>
      <c r="V93" s="26">
        <v>2800000</v>
      </c>
      <c r="W93" s="26">
        <v>2800000</v>
      </c>
      <c r="X93" s="6" t="s">
        <v>2003</v>
      </c>
      <c r="Y93" s="6" t="s">
        <v>1159</v>
      </c>
      <c r="Z93" s="6">
        <v>223599</v>
      </c>
    </row>
    <row r="94" spans="1:26" x14ac:dyDescent="0.3">
      <c r="A94" s="28" t="s">
        <v>42</v>
      </c>
      <c r="B94" s="6" t="s">
        <v>2167</v>
      </c>
      <c r="C94" s="6" t="s">
        <v>1975</v>
      </c>
      <c r="D94" s="6" t="s">
        <v>2294</v>
      </c>
      <c r="E94" s="6">
        <v>1</v>
      </c>
      <c r="F94" s="6" t="s">
        <v>2004</v>
      </c>
      <c r="G94" s="32" t="s">
        <v>2299</v>
      </c>
      <c r="H94" s="32" t="s">
        <v>2300</v>
      </c>
      <c r="I94" s="6" t="str">
        <f t="shared" si="5"/>
        <v>Side Breaker</v>
      </c>
      <c r="J94" s="6" t="s">
        <v>122</v>
      </c>
      <c r="K94" s="6">
        <v>1</v>
      </c>
      <c r="L94" s="6">
        <f t="shared" si="6"/>
        <v>2110000</v>
      </c>
      <c r="M94" s="6">
        <v>1800000</v>
      </c>
      <c r="N94" s="6" t="s">
        <v>2003</v>
      </c>
      <c r="O94" s="6" t="s">
        <v>2007</v>
      </c>
      <c r="P94" s="6">
        <v>2012</v>
      </c>
      <c r="Q94" s="6">
        <v>1</v>
      </c>
      <c r="R94" s="6" t="s">
        <v>45</v>
      </c>
      <c r="S94" s="32" t="s">
        <v>2113</v>
      </c>
      <c r="T94" s="6">
        <v>1</v>
      </c>
      <c r="U94" s="26">
        <v>1700000</v>
      </c>
      <c r="V94" s="26">
        <v>1700000</v>
      </c>
      <c r="W94" s="26">
        <v>1700000</v>
      </c>
      <c r="X94" s="6" t="s">
        <v>2003</v>
      </c>
      <c r="Y94" s="6" t="s">
        <v>49</v>
      </c>
      <c r="Z94" s="6">
        <v>223600</v>
      </c>
    </row>
    <row r="95" spans="1:26" x14ac:dyDescent="0.3">
      <c r="A95" s="28" t="s">
        <v>42</v>
      </c>
      <c r="B95" s="6" t="s">
        <v>2159</v>
      </c>
      <c r="C95" s="19"/>
      <c r="D95" s="6" t="s">
        <v>2289</v>
      </c>
      <c r="E95" s="6">
        <v>1</v>
      </c>
      <c r="F95" s="6" t="s">
        <v>2004</v>
      </c>
      <c r="G95" s="32" t="s">
        <v>2299</v>
      </c>
      <c r="H95" s="32" t="s">
        <v>2300</v>
      </c>
      <c r="I95" s="6" t="str">
        <f t="shared" si="5"/>
        <v>ETC</v>
      </c>
      <c r="J95" s="6" t="s">
        <v>126</v>
      </c>
      <c r="K95" s="6">
        <v>1</v>
      </c>
      <c r="L95" s="6">
        <f t="shared" si="6"/>
        <v>10580000</v>
      </c>
      <c r="M95" s="6">
        <v>9000000</v>
      </c>
      <c r="N95" s="6" t="s">
        <v>2003</v>
      </c>
      <c r="O95" s="6" t="s">
        <v>874</v>
      </c>
      <c r="P95" s="6">
        <v>2011</v>
      </c>
      <c r="Q95" s="6">
        <v>1</v>
      </c>
      <c r="R95" s="6" t="s">
        <v>45</v>
      </c>
      <c r="S95" s="32" t="s">
        <v>2118</v>
      </c>
      <c r="T95" s="6">
        <v>1</v>
      </c>
      <c r="U95" s="26">
        <v>8500000</v>
      </c>
      <c r="V95" s="26">
        <v>8500000</v>
      </c>
      <c r="W95" s="26">
        <v>8500000</v>
      </c>
      <c r="X95" s="6" t="s">
        <v>2003</v>
      </c>
      <c r="Y95" s="6" t="s">
        <v>63</v>
      </c>
      <c r="Z95" s="6">
        <v>223608</v>
      </c>
    </row>
    <row r="96" spans="1:26" x14ac:dyDescent="0.3">
      <c r="A96" s="28" t="s">
        <v>42</v>
      </c>
      <c r="B96" s="6" t="s">
        <v>1326</v>
      </c>
      <c r="C96" s="6" t="s">
        <v>1972</v>
      </c>
      <c r="D96" s="6" t="s">
        <v>2291</v>
      </c>
      <c r="E96" s="6">
        <v>1</v>
      </c>
      <c r="F96" s="6" t="s">
        <v>2004</v>
      </c>
      <c r="G96" s="32" t="s">
        <v>2299</v>
      </c>
      <c r="H96" s="32" t="s">
        <v>2300</v>
      </c>
      <c r="I96" s="6" t="str">
        <f t="shared" si="5"/>
        <v>Stone Grapple</v>
      </c>
      <c r="J96" s="6" t="s">
        <v>149</v>
      </c>
      <c r="K96" s="6">
        <v>1</v>
      </c>
      <c r="L96" s="6">
        <f t="shared" si="6"/>
        <v>2000000</v>
      </c>
      <c r="M96" s="6">
        <v>1700000</v>
      </c>
      <c r="N96" s="6" t="s">
        <v>2003</v>
      </c>
      <c r="O96" s="6" t="s">
        <v>51</v>
      </c>
      <c r="P96" s="6">
        <v>2016</v>
      </c>
      <c r="Q96" s="6">
        <v>1</v>
      </c>
      <c r="R96" s="6" t="s">
        <v>45</v>
      </c>
      <c r="S96" s="32" t="s">
        <v>2113</v>
      </c>
      <c r="T96" s="6">
        <v>1</v>
      </c>
      <c r="U96" s="26">
        <v>1600000</v>
      </c>
      <c r="V96" s="26">
        <v>1600000</v>
      </c>
      <c r="W96" s="26">
        <v>1600000</v>
      </c>
      <c r="X96" s="6" t="s">
        <v>2003</v>
      </c>
      <c r="Y96" s="6" t="s">
        <v>49</v>
      </c>
      <c r="Z96" s="6">
        <v>223615</v>
      </c>
    </row>
    <row r="97" spans="1:26" x14ac:dyDescent="0.3">
      <c r="A97" s="28" t="s">
        <v>42</v>
      </c>
      <c r="B97" s="6" t="s">
        <v>2167</v>
      </c>
      <c r="C97" s="6" t="s">
        <v>1975</v>
      </c>
      <c r="D97" s="6" t="s">
        <v>2291</v>
      </c>
      <c r="E97" s="6">
        <v>1</v>
      </c>
      <c r="F97" s="6" t="s">
        <v>2004</v>
      </c>
      <c r="G97" s="32" t="s">
        <v>2299</v>
      </c>
      <c r="H97" s="32" t="s">
        <v>2300</v>
      </c>
      <c r="I97" s="6" t="str">
        <f t="shared" si="5"/>
        <v>Side Breaker</v>
      </c>
      <c r="J97" s="6" t="s">
        <v>160</v>
      </c>
      <c r="K97" s="6">
        <v>1</v>
      </c>
      <c r="L97" s="6">
        <f t="shared" si="6"/>
        <v>1520000</v>
      </c>
      <c r="M97" s="6">
        <v>1300000</v>
      </c>
      <c r="N97" s="6" t="s">
        <v>2003</v>
      </c>
      <c r="O97" s="6" t="s">
        <v>876</v>
      </c>
      <c r="P97" s="6">
        <v>2007</v>
      </c>
      <c r="Q97" s="6">
        <v>1</v>
      </c>
      <c r="R97" s="6" t="s">
        <v>45</v>
      </c>
      <c r="S97" s="32" t="s">
        <v>2120</v>
      </c>
      <c r="T97" s="6">
        <v>1</v>
      </c>
      <c r="U97" s="26">
        <v>1200000</v>
      </c>
      <c r="V97" s="26">
        <v>1200000</v>
      </c>
      <c r="W97" s="26">
        <v>1200000</v>
      </c>
      <c r="X97" s="6" t="s">
        <v>2003</v>
      </c>
      <c r="Y97" s="6" t="s">
        <v>1249</v>
      </c>
      <c r="Z97" s="6">
        <v>223617</v>
      </c>
    </row>
    <row r="98" spans="1:26" x14ac:dyDescent="0.3">
      <c r="A98" s="28" t="s">
        <v>42</v>
      </c>
      <c r="B98" s="6" t="s">
        <v>1326</v>
      </c>
      <c r="C98" s="6" t="s">
        <v>1972</v>
      </c>
      <c r="D98" s="6" t="s">
        <v>2290</v>
      </c>
      <c r="E98" s="6">
        <v>1</v>
      </c>
      <c r="F98" s="6" t="s">
        <v>2004</v>
      </c>
      <c r="G98" s="32" t="s">
        <v>2299</v>
      </c>
      <c r="H98" s="32" t="s">
        <v>2300</v>
      </c>
      <c r="I98" s="6" t="str">
        <f t="shared" si="5"/>
        <v>Stone Grapple</v>
      </c>
      <c r="J98" s="6" t="s">
        <v>217</v>
      </c>
      <c r="K98" s="6">
        <v>1</v>
      </c>
      <c r="L98" s="6">
        <f t="shared" si="6"/>
        <v>8820000</v>
      </c>
      <c r="M98" s="6">
        <v>7500000</v>
      </c>
      <c r="N98" s="6" t="s">
        <v>2003</v>
      </c>
      <c r="O98" s="6" t="s">
        <v>813</v>
      </c>
      <c r="P98" s="6">
        <v>2014</v>
      </c>
      <c r="Q98" s="6">
        <v>1</v>
      </c>
      <c r="R98" s="6" t="s">
        <v>45</v>
      </c>
      <c r="S98" s="32" t="s">
        <v>2113</v>
      </c>
      <c r="T98" s="6">
        <v>1</v>
      </c>
      <c r="U98" s="26">
        <v>7000000</v>
      </c>
      <c r="V98" s="26">
        <v>7000000</v>
      </c>
      <c r="W98" s="26">
        <v>7000000</v>
      </c>
      <c r="X98" s="6" t="s">
        <v>2003</v>
      </c>
      <c r="Y98" s="6" t="s">
        <v>79</v>
      </c>
      <c r="Z98" s="6">
        <v>223620</v>
      </c>
    </row>
    <row r="99" spans="1:26" x14ac:dyDescent="0.3">
      <c r="A99" s="28" t="s">
        <v>42</v>
      </c>
      <c r="B99" s="6" t="s">
        <v>1326</v>
      </c>
      <c r="C99" s="6" t="s">
        <v>1972</v>
      </c>
      <c r="D99" s="6" t="s">
        <v>2290</v>
      </c>
      <c r="E99" s="6">
        <v>1</v>
      </c>
      <c r="F99" s="6" t="s">
        <v>2004</v>
      </c>
      <c r="G99" s="32" t="s">
        <v>2299</v>
      </c>
      <c r="H99" s="32" t="s">
        <v>2300</v>
      </c>
      <c r="I99" s="6" t="str">
        <f t="shared" si="5"/>
        <v>Stone Grapple</v>
      </c>
      <c r="J99" s="6" t="s">
        <v>403</v>
      </c>
      <c r="K99" s="6">
        <v>1</v>
      </c>
      <c r="L99" s="6">
        <f t="shared" si="6"/>
        <v>7640000</v>
      </c>
      <c r="M99" s="6">
        <v>6500000</v>
      </c>
      <c r="N99" s="6" t="s">
        <v>2003</v>
      </c>
      <c r="O99" s="6" t="s">
        <v>813</v>
      </c>
      <c r="P99" s="6">
        <v>2014</v>
      </c>
      <c r="Q99" s="6">
        <v>1</v>
      </c>
      <c r="R99" s="6" t="s">
        <v>45</v>
      </c>
      <c r="S99" s="32" t="s">
        <v>2113</v>
      </c>
      <c r="T99" s="6">
        <v>1</v>
      </c>
      <c r="U99" s="26">
        <v>6000000</v>
      </c>
      <c r="V99" s="26">
        <v>6000000</v>
      </c>
      <c r="W99" s="26">
        <v>6000000</v>
      </c>
      <c r="X99" s="6" t="s">
        <v>2003</v>
      </c>
      <c r="Y99" s="6" t="s">
        <v>80</v>
      </c>
      <c r="Z99" s="6">
        <v>223621</v>
      </c>
    </row>
    <row r="100" spans="1:26" x14ac:dyDescent="0.3">
      <c r="A100" s="28" t="s">
        <v>42</v>
      </c>
      <c r="B100" s="6" t="s">
        <v>1327</v>
      </c>
      <c r="C100" s="19" t="s">
        <v>1982</v>
      </c>
      <c r="D100" s="6" t="s">
        <v>2291</v>
      </c>
      <c r="E100" s="6">
        <v>1</v>
      </c>
      <c r="F100" s="6" t="s">
        <v>2004</v>
      </c>
      <c r="G100" s="32" t="s">
        <v>2299</v>
      </c>
      <c r="H100" s="32" t="s">
        <v>2300</v>
      </c>
      <c r="I100" s="6" t="str">
        <f t="shared" si="5"/>
        <v>Standard Bucket</v>
      </c>
      <c r="J100" s="6" t="s">
        <v>457</v>
      </c>
      <c r="K100" s="6">
        <v>1</v>
      </c>
      <c r="L100" s="6">
        <f t="shared" si="6"/>
        <v>440000</v>
      </c>
      <c r="M100" s="6">
        <v>380000</v>
      </c>
      <c r="N100" s="6" t="s">
        <v>2003</v>
      </c>
      <c r="O100" s="6" t="s">
        <v>877</v>
      </c>
      <c r="P100" s="6">
        <v>2017</v>
      </c>
      <c r="Q100" s="6">
        <v>1</v>
      </c>
      <c r="R100" s="6" t="s">
        <v>45</v>
      </c>
      <c r="S100" s="32" t="s">
        <v>2113</v>
      </c>
      <c r="T100" s="6">
        <v>1</v>
      </c>
      <c r="U100" s="26">
        <v>330000</v>
      </c>
      <c r="V100" s="26">
        <v>330000</v>
      </c>
      <c r="W100" s="26">
        <v>330000</v>
      </c>
      <c r="X100" s="6" t="s">
        <v>2003</v>
      </c>
      <c r="Y100" s="6" t="s">
        <v>49</v>
      </c>
      <c r="Z100" s="6">
        <v>223626</v>
      </c>
    </row>
    <row r="101" spans="1:26" x14ac:dyDescent="0.3">
      <c r="A101" s="28" t="s">
        <v>42</v>
      </c>
      <c r="B101" s="6" t="s">
        <v>2159</v>
      </c>
      <c r="C101" s="19"/>
      <c r="D101" s="6" t="s">
        <v>2289</v>
      </c>
      <c r="E101" s="6">
        <v>1</v>
      </c>
      <c r="F101" s="6" t="s">
        <v>2004</v>
      </c>
      <c r="G101" s="32" t="s">
        <v>2299</v>
      </c>
      <c r="H101" s="32" t="s">
        <v>2300</v>
      </c>
      <c r="I101" s="6" t="str">
        <f t="shared" si="5"/>
        <v>ETC</v>
      </c>
      <c r="J101" s="6" t="s">
        <v>357</v>
      </c>
      <c r="K101" s="6">
        <v>1</v>
      </c>
      <c r="L101" s="6">
        <f t="shared" si="6"/>
        <v>8820000</v>
      </c>
      <c r="M101" s="6">
        <v>7500000</v>
      </c>
      <c r="N101" s="6" t="s">
        <v>2003</v>
      </c>
      <c r="O101" s="6" t="s">
        <v>878</v>
      </c>
      <c r="P101" s="6">
        <v>2011</v>
      </c>
      <c r="Q101" s="6">
        <v>1</v>
      </c>
      <c r="R101" s="6" t="s">
        <v>45</v>
      </c>
      <c r="S101" s="32" t="s">
        <v>2118</v>
      </c>
      <c r="T101" s="6">
        <v>1</v>
      </c>
      <c r="U101" s="26">
        <v>7000000</v>
      </c>
      <c r="V101" s="26">
        <v>7000000</v>
      </c>
      <c r="W101" s="26">
        <v>7000000</v>
      </c>
      <c r="X101" s="6" t="s">
        <v>2003</v>
      </c>
      <c r="Y101" s="6" t="s">
        <v>63</v>
      </c>
      <c r="Z101" s="6">
        <v>223627</v>
      </c>
    </row>
    <row r="102" spans="1:26" x14ac:dyDescent="0.3">
      <c r="A102" s="28" t="s">
        <v>42</v>
      </c>
      <c r="B102" s="6" t="s">
        <v>1326</v>
      </c>
      <c r="C102" s="6" t="s">
        <v>1972</v>
      </c>
      <c r="D102" s="6" t="s">
        <v>2001</v>
      </c>
      <c r="E102" s="6">
        <v>1</v>
      </c>
      <c r="F102" s="6" t="s">
        <v>2004</v>
      </c>
      <c r="G102" s="32" t="s">
        <v>2299</v>
      </c>
      <c r="H102" s="32" t="s">
        <v>2300</v>
      </c>
      <c r="I102" s="6" t="str">
        <f t="shared" si="5"/>
        <v>Stone Grapple</v>
      </c>
      <c r="J102" s="6" t="s">
        <v>191</v>
      </c>
      <c r="K102" s="6">
        <v>1</v>
      </c>
      <c r="L102" s="6">
        <f t="shared" si="6"/>
        <v>8470000</v>
      </c>
      <c r="M102" s="6">
        <v>7200000</v>
      </c>
      <c r="N102" s="6" t="s">
        <v>2003</v>
      </c>
      <c r="O102" s="6" t="s">
        <v>2017</v>
      </c>
      <c r="P102" s="6">
        <v>2017</v>
      </c>
      <c r="Q102" s="6">
        <v>1</v>
      </c>
      <c r="R102" s="6" t="s">
        <v>45</v>
      </c>
      <c r="S102" s="32" t="s">
        <v>2110</v>
      </c>
      <c r="T102" s="6">
        <v>1</v>
      </c>
      <c r="U102" s="26">
        <v>6700000</v>
      </c>
      <c r="V102" s="26">
        <v>6700000</v>
      </c>
      <c r="W102" s="26">
        <v>6700000</v>
      </c>
      <c r="X102" s="6" t="s">
        <v>2003</v>
      </c>
      <c r="Y102" s="6" t="s">
        <v>1155</v>
      </c>
      <c r="Z102" s="6">
        <v>223630</v>
      </c>
    </row>
    <row r="103" spans="1:26" x14ac:dyDescent="0.3">
      <c r="A103" s="28" t="s">
        <v>42</v>
      </c>
      <c r="B103" s="6" t="s">
        <v>1327</v>
      </c>
      <c r="C103" s="6" t="s">
        <v>1980</v>
      </c>
      <c r="D103" s="6" t="s">
        <v>2292</v>
      </c>
      <c r="E103" s="6">
        <v>1</v>
      </c>
      <c r="F103" s="6" t="s">
        <v>2004</v>
      </c>
      <c r="G103" s="32" t="s">
        <v>2299</v>
      </c>
      <c r="H103" s="32" t="s">
        <v>2300</v>
      </c>
      <c r="I103" s="6" t="str">
        <f t="shared" si="5"/>
        <v>Small Bucket</v>
      </c>
      <c r="J103" s="6" t="s">
        <v>97</v>
      </c>
      <c r="K103" s="6">
        <v>1</v>
      </c>
      <c r="L103" s="6">
        <f t="shared" si="6"/>
        <v>700000</v>
      </c>
      <c r="M103" s="6">
        <v>600000</v>
      </c>
      <c r="N103" s="6" t="s">
        <v>2003</v>
      </c>
      <c r="O103" s="6" t="s">
        <v>2018</v>
      </c>
      <c r="P103" s="6">
        <v>2015</v>
      </c>
      <c r="Q103" s="6">
        <v>1</v>
      </c>
      <c r="R103" s="6" t="s">
        <v>45</v>
      </c>
      <c r="S103" s="32" t="s">
        <v>2116</v>
      </c>
      <c r="T103" s="6">
        <v>1</v>
      </c>
      <c r="U103" s="26">
        <v>500000</v>
      </c>
      <c r="V103" s="26">
        <v>500000</v>
      </c>
      <c r="W103" s="26">
        <v>500000</v>
      </c>
      <c r="X103" s="6" t="s">
        <v>2003</v>
      </c>
      <c r="Y103" s="6" t="s">
        <v>90</v>
      </c>
      <c r="Z103" s="6">
        <v>223631</v>
      </c>
    </row>
    <row r="104" spans="1:26" x14ac:dyDescent="0.3">
      <c r="A104" s="28" t="s">
        <v>42</v>
      </c>
      <c r="B104" s="6" t="s">
        <v>2167</v>
      </c>
      <c r="C104" s="6" t="s">
        <v>1975</v>
      </c>
      <c r="D104" s="6" t="s">
        <v>2293</v>
      </c>
      <c r="E104" s="6">
        <v>1</v>
      </c>
      <c r="F104" s="6" t="s">
        <v>2004</v>
      </c>
      <c r="G104" s="32" t="s">
        <v>2299</v>
      </c>
      <c r="H104" s="32" t="s">
        <v>2300</v>
      </c>
      <c r="I104" s="6" t="str">
        <f t="shared" si="5"/>
        <v>Side Breaker</v>
      </c>
      <c r="J104" s="6" t="s">
        <v>458</v>
      </c>
      <c r="K104" s="6">
        <v>1</v>
      </c>
      <c r="L104" s="6">
        <f t="shared" si="6"/>
        <v>1880000</v>
      </c>
      <c r="M104" s="6">
        <v>1600000</v>
      </c>
      <c r="N104" s="6" t="s">
        <v>2003</v>
      </c>
      <c r="O104" s="6" t="s">
        <v>879</v>
      </c>
      <c r="P104" s="6">
        <v>2016</v>
      </c>
      <c r="Q104" s="6">
        <v>1</v>
      </c>
      <c r="R104" s="6" t="s">
        <v>45</v>
      </c>
      <c r="S104" s="32" t="s">
        <v>2123</v>
      </c>
      <c r="T104" s="6">
        <v>1</v>
      </c>
      <c r="U104" s="26">
        <v>1500000</v>
      </c>
      <c r="V104" s="26">
        <v>1500000</v>
      </c>
      <c r="W104" s="26">
        <v>1500000</v>
      </c>
      <c r="X104" s="6" t="s">
        <v>2003</v>
      </c>
      <c r="Y104" s="6" t="s">
        <v>1247</v>
      </c>
      <c r="Z104" s="6">
        <v>223634</v>
      </c>
    </row>
    <row r="105" spans="1:26" x14ac:dyDescent="0.3">
      <c r="A105" s="28" t="s">
        <v>42</v>
      </c>
      <c r="B105" s="6" t="s">
        <v>1327</v>
      </c>
      <c r="C105" s="6" t="s">
        <v>1976</v>
      </c>
      <c r="D105" s="6" t="s">
        <v>2292</v>
      </c>
      <c r="E105" s="6">
        <v>1</v>
      </c>
      <c r="F105" s="6" t="s">
        <v>2004</v>
      </c>
      <c r="G105" s="32" t="s">
        <v>2299</v>
      </c>
      <c r="H105" s="32" t="s">
        <v>2300</v>
      </c>
      <c r="I105" s="6" t="str">
        <f t="shared" si="5"/>
        <v>Skeleton Bucket</v>
      </c>
      <c r="J105" s="6" t="s">
        <v>118</v>
      </c>
      <c r="K105" s="6">
        <v>1</v>
      </c>
      <c r="L105" s="6">
        <f t="shared" si="6"/>
        <v>1050000</v>
      </c>
      <c r="M105" s="6">
        <v>900000</v>
      </c>
      <c r="N105" s="6" t="s">
        <v>2003</v>
      </c>
      <c r="O105" s="6" t="s">
        <v>813</v>
      </c>
      <c r="P105" s="6">
        <v>2013</v>
      </c>
      <c r="Q105" s="6">
        <v>1</v>
      </c>
      <c r="R105" s="6" t="s">
        <v>45</v>
      </c>
      <c r="S105" s="32" t="s">
        <v>2113</v>
      </c>
      <c r="T105" s="6">
        <v>1</v>
      </c>
      <c r="U105" s="26">
        <v>800000</v>
      </c>
      <c r="V105" s="26">
        <v>800000</v>
      </c>
      <c r="W105" s="26">
        <v>800000</v>
      </c>
      <c r="X105" s="6" t="s">
        <v>2003</v>
      </c>
      <c r="Y105" s="6" t="s">
        <v>79</v>
      </c>
      <c r="Z105" s="6">
        <v>223638</v>
      </c>
    </row>
    <row r="106" spans="1:26" x14ac:dyDescent="0.3">
      <c r="A106" s="28" t="s">
        <v>42</v>
      </c>
      <c r="B106" s="6" t="s">
        <v>2190</v>
      </c>
      <c r="C106" s="6"/>
      <c r="D106" s="6" t="s">
        <v>2293</v>
      </c>
      <c r="E106" s="6">
        <v>1</v>
      </c>
      <c r="F106" s="6" t="s">
        <v>2004</v>
      </c>
      <c r="G106" s="32" t="s">
        <v>2299</v>
      </c>
      <c r="H106" s="32" t="s">
        <v>2300</v>
      </c>
      <c r="I106" s="6" t="str">
        <f t="shared" si="5"/>
        <v>Lift Fork</v>
      </c>
      <c r="J106" s="6" t="s">
        <v>370</v>
      </c>
      <c r="K106" s="6">
        <v>1</v>
      </c>
      <c r="L106" s="6">
        <f t="shared" si="6"/>
        <v>1150000</v>
      </c>
      <c r="M106" s="6">
        <v>980000</v>
      </c>
      <c r="N106" s="6" t="s">
        <v>2003</v>
      </c>
      <c r="O106" s="6" t="s">
        <v>2020</v>
      </c>
      <c r="P106" s="6">
        <v>2017</v>
      </c>
      <c r="Q106" s="6">
        <v>1</v>
      </c>
      <c r="R106" s="6" t="s">
        <v>45</v>
      </c>
      <c r="S106" s="32" t="s">
        <v>2110</v>
      </c>
      <c r="T106" s="6">
        <v>1</v>
      </c>
      <c r="U106" s="26">
        <v>880000</v>
      </c>
      <c r="V106" s="26">
        <v>880000</v>
      </c>
      <c r="W106" s="26">
        <v>880000</v>
      </c>
      <c r="X106" s="6" t="s">
        <v>2003</v>
      </c>
      <c r="Y106" s="6" t="s">
        <v>1155</v>
      </c>
      <c r="Z106" s="6">
        <v>223643</v>
      </c>
    </row>
    <row r="107" spans="1:26" x14ac:dyDescent="0.3">
      <c r="A107" s="28" t="s">
        <v>42</v>
      </c>
      <c r="B107" s="6" t="s">
        <v>2193</v>
      </c>
      <c r="C107" s="6"/>
      <c r="D107" s="6" t="s">
        <v>2290</v>
      </c>
      <c r="E107" s="6">
        <v>1</v>
      </c>
      <c r="F107" s="6" t="s">
        <v>2004</v>
      </c>
      <c r="G107" s="32" t="s">
        <v>2299</v>
      </c>
      <c r="H107" s="32" t="s">
        <v>2300</v>
      </c>
      <c r="I107" s="6" t="str">
        <f t="shared" si="5"/>
        <v>Ripper</v>
      </c>
      <c r="J107" s="6" t="s">
        <v>473</v>
      </c>
      <c r="K107" s="6">
        <v>1</v>
      </c>
      <c r="L107" s="6">
        <f t="shared" si="6"/>
        <v>1520000</v>
      </c>
      <c r="M107" s="6">
        <v>1300000</v>
      </c>
      <c r="N107" s="6" t="s">
        <v>2003</v>
      </c>
      <c r="O107" s="6" t="s">
        <v>2021</v>
      </c>
      <c r="P107" s="6">
        <v>2012</v>
      </c>
      <c r="Q107" s="6">
        <v>6</v>
      </c>
      <c r="R107" s="6" t="s">
        <v>45</v>
      </c>
      <c r="S107" s="32" t="s">
        <v>2123</v>
      </c>
      <c r="T107" s="6">
        <v>1</v>
      </c>
      <c r="U107" s="26">
        <v>1200000</v>
      </c>
      <c r="V107" s="26">
        <v>1200000</v>
      </c>
      <c r="W107" s="26">
        <v>1200000</v>
      </c>
      <c r="X107" s="6" t="s">
        <v>2003</v>
      </c>
      <c r="Y107" s="6" t="s">
        <v>1151</v>
      </c>
      <c r="Z107" s="6">
        <v>223647</v>
      </c>
    </row>
    <row r="108" spans="1:26" x14ac:dyDescent="0.3">
      <c r="A108" s="28" t="s">
        <v>42</v>
      </c>
      <c r="B108" s="6" t="s">
        <v>2190</v>
      </c>
      <c r="C108" s="6"/>
      <c r="D108" s="6" t="s">
        <v>2001</v>
      </c>
      <c r="E108" s="6">
        <v>1</v>
      </c>
      <c r="F108" s="6" t="s">
        <v>2004</v>
      </c>
      <c r="G108" s="32" t="s">
        <v>2299</v>
      </c>
      <c r="H108" s="32" t="s">
        <v>2300</v>
      </c>
      <c r="I108" s="6" t="str">
        <f t="shared" si="5"/>
        <v>Lift Fork</v>
      </c>
      <c r="J108" s="6" t="s">
        <v>277</v>
      </c>
      <c r="K108" s="6">
        <v>1</v>
      </c>
      <c r="L108" s="6">
        <f t="shared" si="6"/>
        <v>2820000</v>
      </c>
      <c r="M108" s="6">
        <v>2400000</v>
      </c>
      <c r="N108" s="6" t="s">
        <v>2003</v>
      </c>
      <c r="O108" s="6" t="s">
        <v>2022</v>
      </c>
      <c r="P108" s="6">
        <v>2017</v>
      </c>
      <c r="Q108" s="6">
        <v>1</v>
      </c>
      <c r="R108" s="6" t="s">
        <v>45</v>
      </c>
      <c r="S108" s="32" t="s">
        <v>2110</v>
      </c>
      <c r="T108" s="6">
        <v>1</v>
      </c>
      <c r="U108" s="26">
        <v>2200000</v>
      </c>
      <c r="V108" s="26">
        <v>2200000</v>
      </c>
      <c r="W108" s="26">
        <v>2200000</v>
      </c>
      <c r="X108" s="6" t="s">
        <v>2003</v>
      </c>
      <c r="Y108" s="6" t="s">
        <v>1155</v>
      </c>
      <c r="Z108" s="6">
        <v>223652</v>
      </c>
    </row>
    <row r="109" spans="1:26" x14ac:dyDescent="0.3">
      <c r="A109" s="28" t="s">
        <v>42</v>
      </c>
      <c r="B109" s="6" t="s">
        <v>2167</v>
      </c>
      <c r="C109" s="6" t="s">
        <v>1975</v>
      </c>
      <c r="D109" s="6" t="s">
        <v>2292</v>
      </c>
      <c r="E109" s="6">
        <v>1</v>
      </c>
      <c r="F109" s="6" t="s">
        <v>2004</v>
      </c>
      <c r="G109" s="32" t="s">
        <v>2299</v>
      </c>
      <c r="H109" s="32" t="s">
        <v>2300</v>
      </c>
      <c r="I109" s="6" t="str">
        <f t="shared" si="5"/>
        <v>Side Breaker</v>
      </c>
      <c r="J109" s="6" t="s">
        <v>321</v>
      </c>
      <c r="K109" s="6">
        <v>1</v>
      </c>
      <c r="L109" s="6">
        <f t="shared" si="6"/>
        <v>3760000</v>
      </c>
      <c r="M109" s="6">
        <v>3200000</v>
      </c>
      <c r="N109" s="6" t="s">
        <v>2003</v>
      </c>
      <c r="O109" s="6" t="s">
        <v>2009</v>
      </c>
      <c r="P109" s="6">
        <v>2009</v>
      </c>
      <c r="Q109" s="6">
        <v>1</v>
      </c>
      <c r="R109" s="6" t="s">
        <v>45</v>
      </c>
      <c r="S109" s="32" t="s">
        <v>2110</v>
      </c>
      <c r="T109" s="6">
        <v>1</v>
      </c>
      <c r="U109" s="26">
        <v>3000000</v>
      </c>
      <c r="V109" s="26">
        <v>3000000</v>
      </c>
      <c r="W109" s="26">
        <v>3000000</v>
      </c>
      <c r="X109" s="6" t="s">
        <v>2003</v>
      </c>
      <c r="Y109" s="6" t="s">
        <v>1152</v>
      </c>
      <c r="Z109" s="6">
        <v>223653</v>
      </c>
    </row>
    <row r="110" spans="1:26" x14ac:dyDescent="0.3">
      <c r="A110" s="28" t="s">
        <v>42</v>
      </c>
      <c r="B110" s="6" t="s">
        <v>2190</v>
      </c>
      <c r="C110" s="6"/>
      <c r="D110" s="6" t="s">
        <v>2290</v>
      </c>
      <c r="E110" s="6">
        <v>1</v>
      </c>
      <c r="F110" s="6" t="s">
        <v>2004</v>
      </c>
      <c r="G110" s="32" t="s">
        <v>2299</v>
      </c>
      <c r="H110" s="32" t="s">
        <v>2300</v>
      </c>
      <c r="I110" s="6" t="str">
        <f t="shared" si="5"/>
        <v>Lift Fork</v>
      </c>
      <c r="J110" s="6" t="s">
        <v>460</v>
      </c>
      <c r="K110" s="6">
        <v>1</v>
      </c>
      <c r="L110" s="6">
        <f t="shared" si="6"/>
        <v>2000000</v>
      </c>
      <c r="M110" s="6">
        <v>1700000</v>
      </c>
      <c r="N110" s="6" t="s">
        <v>2003</v>
      </c>
      <c r="O110" s="6" t="s">
        <v>2023</v>
      </c>
      <c r="P110" s="6">
        <v>2017</v>
      </c>
      <c r="Q110" s="6">
        <v>1</v>
      </c>
      <c r="R110" s="6" t="s">
        <v>45</v>
      </c>
      <c r="S110" s="32" t="s">
        <v>2110</v>
      </c>
      <c r="T110" s="6">
        <v>1</v>
      </c>
      <c r="U110" s="26">
        <v>1600000</v>
      </c>
      <c r="V110" s="26">
        <v>1600000</v>
      </c>
      <c r="W110" s="26">
        <v>1600000</v>
      </c>
      <c r="X110" s="6" t="s">
        <v>2003</v>
      </c>
      <c r="Y110" s="6" t="s">
        <v>1155</v>
      </c>
      <c r="Z110" s="6">
        <v>223655</v>
      </c>
    </row>
    <row r="111" spans="1:26" x14ac:dyDescent="0.3">
      <c r="A111" s="28" t="s">
        <v>42</v>
      </c>
      <c r="B111" s="6" t="s">
        <v>1326</v>
      </c>
      <c r="C111" s="6" t="s">
        <v>1972</v>
      </c>
      <c r="D111" s="6" t="s">
        <v>2292</v>
      </c>
      <c r="E111" s="6">
        <v>1</v>
      </c>
      <c r="F111" s="6" t="s">
        <v>2004</v>
      </c>
      <c r="G111" s="32" t="s">
        <v>2299</v>
      </c>
      <c r="H111" s="32" t="s">
        <v>2300</v>
      </c>
      <c r="I111" s="6" t="str">
        <f t="shared" si="5"/>
        <v>Stone Grapple</v>
      </c>
      <c r="J111" s="6" t="s">
        <v>261</v>
      </c>
      <c r="K111" s="6">
        <v>1</v>
      </c>
      <c r="L111" s="6">
        <f t="shared" si="6"/>
        <v>2230000</v>
      </c>
      <c r="M111" s="6">
        <v>1900000</v>
      </c>
      <c r="N111" s="6" t="s">
        <v>2003</v>
      </c>
      <c r="O111" s="6" t="s">
        <v>2007</v>
      </c>
      <c r="P111" s="6">
        <v>2013</v>
      </c>
      <c r="Q111" s="6">
        <v>1</v>
      </c>
      <c r="R111" s="6" t="s">
        <v>45</v>
      </c>
      <c r="S111" s="32" t="s">
        <v>2113</v>
      </c>
      <c r="T111" s="6">
        <v>1</v>
      </c>
      <c r="U111" s="26">
        <v>1800000</v>
      </c>
      <c r="V111" s="26">
        <v>1800000</v>
      </c>
      <c r="W111" s="26">
        <v>1800000</v>
      </c>
      <c r="X111" s="6" t="s">
        <v>2003</v>
      </c>
      <c r="Y111" s="6" t="s">
        <v>49</v>
      </c>
      <c r="Z111" s="6">
        <v>223662</v>
      </c>
    </row>
    <row r="112" spans="1:26" x14ac:dyDescent="0.3">
      <c r="A112" s="28" t="s">
        <v>42</v>
      </c>
      <c r="B112" s="6" t="s">
        <v>1327</v>
      </c>
      <c r="C112" s="6" t="s">
        <v>1982</v>
      </c>
      <c r="D112" s="6" t="s">
        <v>2292</v>
      </c>
      <c r="E112" s="6">
        <v>1</v>
      </c>
      <c r="F112" s="6" t="s">
        <v>2004</v>
      </c>
      <c r="G112" s="32" t="s">
        <v>2299</v>
      </c>
      <c r="H112" s="32" t="s">
        <v>2300</v>
      </c>
      <c r="I112" s="6" t="str">
        <f t="shared" si="5"/>
        <v>Standard Bucket</v>
      </c>
      <c r="J112" s="6" t="s">
        <v>480</v>
      </c>
      <c r="K112" s="6">
        <v>1</v>
      </c>
      <c r="L112" s="6">
        <f t="shared" si="6"/>
        <v>1820000</v>
      </c>
      <c r="M112" s="6">
        <v>1550000</v>
      </c>
      <c r="N112" s="6" t="s">
        <v>2003</v>
      </c>
      <c r="O112" s="6" t="s">
        <v>2024</v>
      </c>
      <c r="P112" s="6">
        <v>2016</v>
      </c>
      <c r="Q112" s="6">
        <v>11</v>
      </c>
      <c r="R112" s="6" t="s">
        <v>45</v>
      </c>
      <c r="S112" s="32" t="s">
        <v>2122</v>
      </c>
      <c r="T112" s="6">
        <v>1</v>
      </c>
      <c r="U112" s="26">
        <v>1450000</v>
      </c>
      <c r="V112" s="26">
        <v>1450000</v>
      </c>
      <c r="W112" s="26">
        <v>1450000</v>
      </c>
      <c r="X112" s="6" t="s">
        <v>2003</v>
      </c>
      <c r="Y112" s="6" t="s">
        <v>1919</v>
      </c>
      <c r="Z112" s="6">
        <v>223664</v>
      </c>
    </row>
    <row r="113" spans="1:26" x14ac:dyDescent="0.3">
      <c r="A113" s="28" t="s">
        <v>42</v>
      </c>
      <c r="B113" s="6" t="s">
        <v>2167</v>
      </c>
      <c r="C113" s="6" t="s">
        <v>1975</v>
      </c>
      <c r="D113" s="6" t="s">
        <v>2291</v>
      </c>
      <c r="E113" s="6">
        <v>1</v>
      </c>
      <c r="F113" s="6" t="s">
        <v>2004</v>
      </c>
      <c r="G113" s="32" t="s">
        <v>2299</v>
      </c>
      <c r="H113" s="32" t="s">
        <v>2300</v>
      </c>
      <c r="I113" s="6" t="str">
        <f t="shared" si="5"/>
        <v>Side Breaker</v>
      </c>
      <c r="J113" s="6" t="s">
        <v>461</v>
      </c>
      <c r="K113" s="6">
        <v>1</v>
      </c>
      <c r="L113" s="6">
        <f t="shared" si="6"/>
        <v>1520000</v>
      </c>
      <c r="M113" s="6">
        <v>1300000</v>
      </c>
      <c r="N113" s="6" t="s">
        <v>2003</v>
      </c>
      <c r="O113" s="6" t="s">
        <v>880</v>
      </c>
      <c r="P113" s="6">
        <v>2010</v>
      </c>
      <c r="Q113" s="6">
        <v>1</v>
      </c>
      <c r="R113" s="6" t="s">
        <v>45</v>
      </c>
      <c r="S113" s="32" t="s">
        <v>2119</v>
      </c>
      <c r="T113" s="6">
        <v>1</v>
      </c>
      <c r="U113" s="26">
        <v>1200000</v>
      </c>
      <c r="V113" s="26">
        <v>1200000</v>
      </c>
      <c r="W113" s="26">
        <v>1200000</v>
      </c>
      <c r="X113" s="6" t="s">
        <v>2003</v>
      </c>
      <c r="Y113" s="6" t="s">
        <v>1165</v>
      </c>
      <c r="Z113" s="6">
        <v>223670</v>
      </c>
    </row>
    <row r="114" spans="1:26" x14ac:dyDescent="0.3">
      <c r="A114" s="28" t="s">
        <v>42</v>
      </c>
      <c r="B114" s="6" t="s">
        <v>2167</v>
      </c>
      <c r="C114" s="6" t="s">
        <v>1975</v>
      </c>
      <c r="D114" s="6" t="s">
        <v>2293</v>
      </c>
      <c r="E114" s="6">
        <v>1</v>
      </c>
      <c r="F114" s="6" t="s">
        <v>2004</v>
      </c>
      <c r="G114" s="32" t="s">
        <v>2299</v>
      </c>
      <c r="H114" s="32" t="s">
        <v>2300</v>
      </c>
      <c r="I114" s="6" t="str">
        <f t="shared" si="5"/>
        <v>Side Breaker</v>
      </c>
      <c r="J114" s="6" t="s">
        <v>462</v>
      </c>
      <c r="K114" s="6">
        <v>1</v>
      </c>
      <c r="L114" s="6">
        <f t="shared" si="6"/>
        <v>1700000</v>
      </c>
      <c r="M114" s="6">
        <v>1450000</v>
      </c>
      <c r="N114" s="6" t="s">
        <v>2003</v>
      </c>
      <c r="O114" s="6" t="s">
        <v>881</v>
      </c>
      <c r="P114" s="6">
        <v>2014</v>
      </c>
      <c r="Q114" s="6">
        <v>8</v>
      </c>
      <c r="R114" s="6" t="s">
        <v>45</v>
      </c>
      <c r="S114" s="32" t="s">
        <v>2123</v>
      </c>
      <c r="T114" s="6">
        <v>1</v>
      </c>
      <c r="U114" s="26">
        <v>1350000</v>
      </c>
      <c r="V114" s="26">
        <v>1350000</v>
      </c>
      <c r="W114" s="26">
        <v>1350000</v>
      </c>
      <c r="X114" s="6" t="s">
        <v>2003</v>
      </c>
      <c r="Y114" s="6" t="s">
        <v>1165</v>
      </c>
      <c r="Z114" s="6">
        <v>223673</v>
      </c>
    </row>
    <row r="115" spans="1:26" x14ac:dyDescent="0.3">
      <c r="A115" s="28" t="s">
        <v>42</v>
      </c>
      <c r="B115" s="6" t="s">
        <v>2167</v>
      </c>
      <c r="C115" s="6" t="s">
        <v>1975</v>
      </c>
      <c r="D115" s="6" t="s">
        <v>2292</v>
      </c>
      <c r="E115" s="6">
        <v>1</v>
      </c>
      <c r="F115" s="6" t="s">
        <v>2004</v>
      </c>
      <c r="G115" s="32" t="s">
        <v>2299</v>
      </c>
      <c r="H115" s="32" t="s">
        <v>2300</v>
      </c>
      <c r="I115" s="6" t="str">
        <f t="shared" si="5"/>
        <v>Side Breaker</v>
      </c>
      <c r="J115" s="6" t="s">
        <v>119</v>
      </c>
      <c r="K115" s="6">
        <v>1</v>
      </c>
      <c r="L115" s="6">
        <f t="shared" si="6"/>
        <v>2580000</v>
      </c>
      <c r="M115" s="6">
        <v>2200000</v>
      </c>
      <c r="N115" s="6" t="s">
        <v>2003</v>
      </c>
      <c r="O115" s="6" t="s">
        <v>54</v>
      </c>
      <c r="P115" s="6">
        <v>2010</v>
      </c>
      <c r="Q115" s="6">
        <v>1</v>
      </c>
      <c r="R115" s="6" t="s">
        <v>45</v>
      </c>
      <c r="S115" s="32" t="s">
        <v>2114</v>
      </c>
      <c r="T115" s="6">
        <v>1</v>
      </c>
      <c r="U115" s="26">
        <v>2000000</v>
      </c>
      <c r="V115" s="26">
        <v>2000000</v>
      </c>
      <c r="W115" s="26">
        <v>2000000</v>
      </c>
      <c r="X115" s="6" t="s">
        <v>2003</v>
      </c>
      <c r="Y115" s="6" t="s">
        <v>54</v>
      </c>
      <c r="Z115" s="6">
        <v>223675</v>
      </c>
    </row>
    <row r="116" spans="1:26" x14ac:dyDescent="0.3">
      <c r="A116" s="28" t="s">
        <v>42</v>
      </c>
      <c r="B116" s="6" t="s">
        <v>2175</v>
      </c>
      <c r="C116" s="19" t="s">
        <v>2321</v>
      </c>
      <c r="D116" s="6" t="s">
        <v>2292</v>
      </c>
      <c r="E116" s="6">
        <v>1</v>
      </c>
      <c r="F116" s="6" t="s">
        <v>2004</v>
      </c>
      <c r="G116" s="32" t="s">
        <v>2299</v>
      </c>
      <c r="H116" s="32" t="s">
        <v>2300</v>
      </c>
      <c r="I116" s="6" t="str">
        <f t="shared" si="5"/>
        <v>Etc Crusher</v>
      </c>
      <c r="J116" s="6" t="s">
        <v>103</v>
      </c>
      <c r="K116" s="6">
        <v>1</v>
      </c>
      <c r="L116" s="6">
        <f t="shared" si="6"/>
        <v>13520000</v>
      </c>
      <c r="M116" s="6">
        <v>11500000</v>
      </c>
      <c r="N116" s="6" t="s">
        <v>2003</v>
      </c>
      <c r="O116" s="6" t="s">
        <v>813</v>
      </c>
      <c r="P116" s="6">
        <v>2015</v>
      </c>
      <c r="Q116" s="6">
        <v>1</v>
      </c>
      <c r="R116" s="6" t="s">
        <v>45</v>
      </c>
      <c r="S116" s="32" t="s">
        <v>2113</v>
      </c>
      <c r="T116" s="6">
        <v>1</v>
      </c>
      <c r="U116" s="26">
        <v>11000000</v>
      </c>
      <c r="V116" s="26">
        <v>11000000</v>
      </c>
      <c r="W116" s="26">
        <v>11000000</v>
      </c>
      <c r="X116" s="6" t="s">
        <v>2003</v>
      </c>
      <c r="Y116" s="6" t="s">
        <v>79</v>
      </c>
      <c r="Z116" s="6">
        <v>223677</v>
      </c>
    </row>
    <row r="117" spans="1:26" x14ac:dyDescent="0.3">
      <c r="A117" s="28" t="s">
        <v>42</v>
      </c>
      <c r="B117" s="6" t="s">
        <v>1326</v>
      </c>
      <c r="C117" s="6" t="s">
        <v>1973</v>
      </c>
      <c r="D117" s="6" t="s">
        <v>2292</v>
      </c>
      <c r="E117" s="6">
        <v>1</v>
      </c>
      <c r="F117" s="6" t="s">
        <v>2004</v>
      </c>
      <c r="G117" s="32" t="s">
        <v>2299</v>
      </c>
      <c r="H117" s="32" t="s">
        <v>2300</v>
      </c>
      <c r="I117" s="6" t="str">
        <f t="shared" si="5"/>
        <v>Wood Grapple</v>
      </c>
      <c r="J117" s="6" t="s">
        <v>101</v>
      </c>
      <c r="K117" s="6">
        <v>1</v>
      </c>
      <c r="L117" s="6">
        <f t="shared" si="6"/>
        <v>5640000</v>
      </c>
      <c r="M117" s="6">
        <v>4800000</v>
      </c>
      <c r="N117" s="6" t="s">
        <v>2003</v>
      </c>
      <c r="O117" s="6" t="s">
        <v>813</v>
      </c>
      <c r="P117" s="6">
        <v>2014</v>
      </c>
      <c r="Q117" s="6">
        <v>1</v>
      </c>
      <c r="R117" s="6" t="s">
        <v>45</v>
      </c>
      <c r="S117" s="32" t="s">
        <v>2113</v>
      </c>
      <c r="T117" s="6">
        <v>1</v>
      </c>
      <c r="U117" s="26">
        <v>4600000</v>
      </c>
      <c r="V117" s="26">
        <v>4600000</v>
      </c>
      <c r="W117" s="26">
        <v>4600000</v>
      </c>
      <c r="X117" s="6" t="s">
        <v>2003</v>
      </c>
      <c r="Y117" s="6" t="s">
        <v>80</v>
      </c>
      <c r="Z117" s="6">
        <v>223678</v>
      </c>
    </row>
    <row r="118" spans="1:26" x14ac:dyDescent="0.3">
      <c r="A118" s="28" t="s">
        <v>42</v>
      </c>
      <c r="B118" s="6" t="s">
        <v>1326</v>
      </c>
      <c r="C118" s="6" t="s">
        <v>1972</v>
      </c>
      <c r="D118" s="6" t="s">
        <v>2292</v>
      </c>
      <c r="E118" s="6">
        <v>1</v>
      </c>
      <c r="F118" s="6" t="s">
        <v>2004</v>
      </c>
      <c r="G118" s="32" t="s">
        <v>2299</v>
      </c>
      <c r="H118" s="32" t="s">
        <v>2300</v>
      </c>
      <c r="I118" s="6" t="str">
        <f t="shared" si="5"/>
        <v>Stone Grapple</v>
      </c>
      <c r="J118" s="6" t="s">
        <v>121</v>
      </c>
      <c r="K118" s="6">
        <v>1</v>
      </c>
      <c r="L118" s="6">
        <f t="shared" si="6"/>
        <v>3410000</v>
      </c>
      <c r="M118" s="6">
        <v>2900000</v>
      </c>
      <c r="N118" s="6" t="s">
        <v>2003</v>
      </c>
      <c r="O118" s="6" t="s">
        <v>1840</v>
      </c>
      <c r="P118" s="6">
        <v>2015</v>
      </c>
      <c r="Q118" s="6">
        <v>5</v>
      </c>
      <c r="R118" s="6" t="s">
        <v>45</v>
      </c>
      <c r="S118" s="32" t="s">
        <v>2112</v>
      </c>
      <c r="T118" s="6">
        <v>1</v>
      </c>
      <c r="U118" s="26">
        <v>2700000</v>
      </c>
      <c r="V118" s="26">
        <v>2700000</v>
      </c>
      <c r="W118" s="26">
        <v>2700000</v>
      </c>
      <c r="X118" s="6" t="s">
        <v>2003</v>
      </c>
      <c r="Y118" s="6" t="s">
        <v>1184</v>
      </c>
      <c r="Z118" s="6">
        <v>223680</v>
      </c>
    </row>
    <row r="119" spans="1:26" x14ac:dyDescent="0.3">
      <c r="A119" s="28" t="s">
        <v>42</v>
      </c>
      <c r="B119" s="6" t="s">
        <v>1327</v>
      </c>
      <c r="C119" s="6" t="s">
        <v>1976</v>
      </c>
      <c r="D119" s="6" t="s">
        <v>2291</v>
      </c>
      <c r="E119" s="6">
        <v>1</v>
      </c>
      <c r="F119" s="6" t="s">
        <v>2004</v>
      </c>
      <c r="G119" s="32" t="s">
        <v>2299</v>
      </c>
      <c r="H119" s="32" t="s">
        <v>2300</v>
      </c>
      <c r="I119" s="6" t="str">
        <f t="shared" si="5"/>
        <v>Skeleton Bucket</v>
      </c>
      <c r="J119" s="6" t="s">
        <v>234</v>
      </c>
      <c r="K119" s="6">
        <v>1</v>
      </c>
      <c r="L119" s="6">
        <f t="shared" si="6"/>
        <v>700000</v>
      </c>
      <c r="M119" s="6">
        <v>600000</v>
      </c>
      <c r="N119" s="6" t="s">
        <v>2003</v>
      </c>
      <c r="O119" s="6" t="s">
        <v>794</v>
      </c>
      <c r="P119" s="6">
        <v>2015</v>
      </c>
      <c r="Q119" s="6">
        <v>1</v>
      </c>
      <c r="R119" s="6" t="s">
        <v>45</v>
      </c>
      <c r="S119" s="32" t="s">
        <v>2122</v>
      </c>
      <c r="T119" s="6">
        <v>1</v>
      </c>
      <c r="U119" s="26">
        <v>500000</v>
      </c>
      <c r="V119" s="26">
        <v>500000</v>
      </c>
      <c r="W119" s="26">
        <v>500000</v>
      </c>
      <c r="X119" s="6" t="s">
        <v>2003</v>
      </c>
      <c r="Y119" s="6" t="s">
        <v>1154</v>
      </c>
      <c r="Z119" s="6">
        <v>223692</v>
      </c>
    </row>
    <row r="120" spans="1:26" x14ac:dyDescent="0.3">
      <c r="A120" s="28" t="s">
        <v>42</v>
      </c>
      <c r="B120" s="6" t="s">
        <v>1326</v>
      </c>
      <c r="C120" s="6" t="s">
        <v>1974</v>
      </c>
      <c r="D120" s="6" t="s">
        <v>2291</v>
      </c>
      <c r="E120" s="6">
        <v>1</v>
      </c>
      <c r="F120" s="6" t="s">
        <v>2004</v>
      </c>
      <c r="G120" s="32" t="s">
        <v>2299</v>
      </c>
      <c r="H120" s="32" t="s">
        <v>2300</v>
      </c>
      <c r="I120" s="6" t="str">
        <f t="shared" si="5"/>
        <v>Etc Grapple</v>
      </c>
      <c r="J120" s="6" t="s">
        <v>136</v>
      </c>
      <c r="K120" s="6">
        <v>1</v>
      </c>
      <c r="L120" s="6">
        <f t="shared" si="6"/>
        <v>2940000</v>
      </c>
      <c r="M120" s="6">
        <v>2500000</v>
      </c>
      <c r="N120" s="6" t="s">
        <v>2003</v>
      </c>
      <c r="O120" s="6" t="s">
        <v>794</v>
      </c>
      <c r="P120" s="6">
        <v>2015</v>
      </c>
      <c r="Q120" s="6">
        <v>1</v>
      </c>
      <c r="R120" s="6" t="s">
        <v>45</v>
      </c>
      <c r="S120" s="32" t="s">
        <v>2122</v>
      </c>
      <c r="T120" s="6">
        <v>1</v>
      </c>
      <c r="U120" s="26">
        <v>2300000</v>
      </c>
      <c r="V120" s="26">
        <v>2300000</v>
      </c>
      <c r="W120" s="26">
        <v>2300000</v>
      </c>
      <c r="X120" s="6" t="s">
        <v>2003</v>
      </c>
      <c r="Y120" s="6" t="s">
        <v>1183</v>
      </c>
      <c r="Z120" s="6">
        <v>223696</v>
      </c>
    </row>
    <row r="121" spans="1:26" x14ac:dyDescent="0.3">
      <c r="A121" s="28" t="s">
        <v>42</v>
      </c>
      <c r="B121" s="6" t="s">
        <v>1326</v>
      </c>
      <c r="C121" s="6" t="s">
        <v>1972</v>
      </c>
      <c r="D121" s="6" t="s">
        <v>2292</v>
      </c>
      <c r="E121" s="6">
        <v>1</v>
      </c>
      <c r="F121" s="6" t="s">
        <v>2004</v>
      </c>
      <c r="G121" s="32" t="s">
        <v>2299</v>
      </c>
      <c r="H121" s="32" t="s">
        <v>2300</v>
      </c>
      <c r="I121" s="6" t="str">
        <f t="shared" si="5"/>
        <v>Stone Grapple</v>
      </c>
      <c r="J121" s="6" t="s">
        <v>130</v>
      </c>
      <c r="K121" s="6">
        <v>1</v>
      </c>
      <c r="L121" s="6">
        <f t="shared" si="6"/>
        <v>3050000</v>
      </c>
      <c r="M121" s="6">
        <v>2600000</v>
      </c>
      <c r="N121" s="6" t="s">
        <v>2003</v>
      </c>
      <c r="O121" s="6" t="s">
        <v>2007</v>
      </c>
      <c r="P121" s="6">
        <v>2014</v>
      </c>
      <c r="Q121" s="6">
        <v>1</v>
      </c>
      <c r="R121" s="6" t="s">
        <v>45</v>
      </c>
      <c r="S121" s="32" t="s">
        <v>2113</v>
      </c>
      <c r="T121" s="6">
        <v>1</v>
      </c>
      <c r="U121" s="26">
        <v>2400000</v>
      </c>
      <c r="V121" s="26">
        <v>2400000</v>
      </c>
      <c r="W121" s="26">
        <v>2400000</v>
      </c>
      <c r="X121" s="6" t="s">
        <v>2003</v>
      </c>
      <c r="Y121" s="6" t="s">
        <v>49</v>
      </c>
      <c r="Z121" s="6">
        <v>223699</v>
      </c>
    </row>
    <row r="122" spans="1:26" x14ac:dyDescent="0.3">
      <c r="A122" s="28" t="s">
        <v>42</v>
      </c>
      <c r="B122" s="6" t="s">
        <v>1327</v>
      </c>
      <c r="C122" s="19" t="s">
        <v>1982</v>
      </c>
      <c r="D122" s="6" t="s">
        <v>2001</v>
      </c>
      <c r="E122" s="6">
        <v>1</v>
      </c>
      <c r="F122" s="6" t="s">
        <v>2004</v>
      </c>
      <c r="G122" s="32" t="s">
        <v>2299</v>
      </c>
      <c r="H122" s="32" t="s">
        <v>2300</v>
      </c>
      <c r="I122" s="6" t="str">
        <f t="shared" si="5"/>
        <v>Standard Bucket</v>
      </c>
      <c r="J122" s="6" t="s">
        <v>406</v>
      </c>
      <c r="K122" s="6">
        <v>1</v>
      </c>
      <c r="L122" s="6">
        <f t="shared" si="6"/>
        <v>4110000</v>
      </c>
      <c r="M122" s="6">
        <v>3500000</v>
      </c>
      <c r="N122" s="6" t="s">
        <v>2003</v>
      </c>
      <c r="O122" s="6" t="s">
        <v>2025</v>
      </c>
      <c r="P122" s="6">
        <v>2017</v>
      </c>
      <c r="Q122" s="6">
        <v>1</v>
      </c>
      <c r="R122" s="6" t="s">
        <v>45</v>
      </c>
      <c r="S122" s="32" t="s">
        <v>2110</v>
      </c>
      <c r="T122" s="6">
        <v>1</v>
      </c>
      <c r="U122" s="26">
        <v>3300000</v>
      </c>
      <c r="V122" s="26">
        <v>3300000</v>
      </c>
      <c r="W122" s="26">
        <v>3300000</v>
      </c>
      <c r="X122" s="6" t="s">
        <v>2003</v>
      </c>
      <c r="Y122" s="6" t="s">
        <v>1155</v>
      </c>
      <c r="Z122" s="6">
        <v>223705</v>
      </c>
    </row>
    <row r="123" spans="1:26" x14ac:dyDescent="0.3">
      <c r="A123" s="28" t="s">
        <v>42</v>
      </c>
      <c r="B123" s="6" t="s">
        <v>1327</v>
      </c>
      <c r="C123" s="6" t="s">
        <v>1976</v>
      </c>
      <c r="D123" s="6" t="s">
        <v>2291</v>
      </c>
      <c r="E123" s="6">
        <v>1</v>
      </c>
      <c r="F123" s="6" t="s">
        <v>2004</v>
      </c>
      <c r="G123" s="32" t="s">
        <v>2299</v>
      </c>
      <c r="H123" s="32" t="s">
        <v>2300</v>
      </c>
      <c r="I123" s="6" t="str">
        <f t="shared" si="5"/>
        <v>Skeleton Bucket</v>
      </c>
      <c r="J123" s="6" t="s">
        <v>269</v>
      </c>
      <c r="K123" s="6">
        <v>1</v>
      </c>
      <c r="L123" s="6">
        <f t="shared" si="6"/>
        <v>470000</v>
      </c>
      <c r="M123" s="6">
        <v>400000</v>
      </c>
      <c r="N123" s="6" t="s">
        <v>2003</v>
      </c>
      <c r="O123" s="6" t="s">
        <v>2026</v>
      </c>
      <c r="P123" s="6">
        <v>2015</v>
      </c>
      <c r="Q123" s="6">
        <v>1</v>
      </c>
      <c r="R123" s="6" t="s">
        <v>45</v>
      </c>
      <c r="S123" s="32" t="s">
        <v>2118</v>
      </c>
      <c r="T123" s="6">
        <v>1</v>
      </c>
      <c r="U123" s="26">
        <v>350000</v>
      </c>
      <c r="V123" s="26">
        <v>350000</v>
      </c>
      <c r="W123" s="26">
        <v>350000</v>
      </c>
      <c r="X123" s="6" t="s">
        <v>2003</v>
      </c>
      <c r="Y123" s="6" t="s">
        <v>1259</v>
      </c>
      <c r="Z123" s="6">
        <v>223709</v>
      </c>
    </row>
    <row r="124" spans="1:26" x14ac:dyDescent="0.3">
      <c r="A124" s="28" t="s">
        <v>42</v>
      </c>
      <c r="B124" s="6" t="s">
        <v>2167</v>
      </c>
      <c r="C124" s="6" t="s">
        <v>1975</v>
      </c>
      <c r="D124" s="6" t="s">
        <v>2001</v>
      </c>
      <c r="E124" s="6">
        <v>1</v>
      </c>
      <c r="F124" s="6" t="s">
        <v>2004</v>
      </c>
      <c r="G124" s="32" t="s">
        <v>2299</v>
      </c>
      <c r="H124" s="32" t="s">
        <v>2300</v>
      </c>
      <c r="I124" s="6" t="str">
        <f t="shared" si="5"/>
        <v>Side Breaker</v>
      </c>
      <c r="J124" s="6" t="s">
        <v>352</v>
      </c>
      <c r="K124" s="6">
        <v>1</v>
      </c>
      <c r="L124" s="6">
        <f t="shared" si="6"/>
        <v>10580000</v>
      </c>
      <c r="M124" s="6">
        <v>9000000</v>
      </c>
      <c r="N124" s="6" t="s">
        <v>2003</v>
      </c>
      <c r="O124" s="6" t="s">
        <v>834</v>
      </c>
      <c r="P124" s="6">
        <v>2010</v>
      </c>
      <c r="Q124" s="6">
        <v>1</v>
      </c>
      <c r="R124" s="6" t="s">
        <v>45</v>
      </c>
      <c r="S124" s="32" t="s">
        <v>2123</v>
      </c>
      <c r="T124" s="6">
        <v>1</v>
      </c>
      <c r="U124" s="26">
        <v>8500000</v>
      </c>
      <c r="V124" s="26">
        <v>8500000</v>
      </c>
      <c r="W124" s="26">
        <v>8500000</v>
      </c>
      <c r="X124" s="6" t="s">
        <v>2003</v>
      </c>
      <c r="Y124" s="6" t="s">
        <v>1167</v>
      </c>
      <c r="Z124" s="6">
        <v>223710</v>
      </c>
    </row>
    <row r="125" spans="1:26" x14ac:dyDescent="0.3">
      <c r="A125" s="28" t="s">
        <v>42</v>
      </c>
      <c r="B125" s="6" t="s">
        <v>1327</v>
      </c>
      <c r="C125" s="19" t="s">
        <v>2209</v>
      </c>
      <c r="D125" s="6" t="s">
        <v>2292</v>
      </c>
      <c r="E125" s="6">
        <v>1</v>
      </c>
      <c r="F125" s="6" t="s">
        <v>2004</v>
      </c>
      <c r="G125" s="32" t="s">
        <v>2299</v>
      </c>
      <c r="H125" s="32" t="s">
        <v>2300</v>
      </c>
      <c r="I125" s="6" t="str">
        <f t="shared" si="5"/>
        <v>Etc Bucket</v>
      </c>
      <c r="J125" s="6" t="s">
        <v>362</v>
      </c>
      <c r="K125" s="6">
        <v>1</v>
      </c>
      <c r="L125" s="6">
        <f t="shared" si="6"/>
        <v>1580000</v>
      </c>
      <c r="M125" s="6">
        <v>1350000</v>
      </c>
      <c r="N125" s="6" t="s">
        <v>2003</v>
      </c>
      <c r="O125" s="6" t="s">
        <v>1841</v>
      </c>
      <c r="P125" s="6">
        <v>2016</v>
      </c>
      <c r="Q125" s="6">
        <v>1</v>
      </c>
      <c r="R125" s="6" t="s">
        <v>45</v>
      </c>
      <c r="S125" s="32" t="s">
        <v>2122</v>
      </c>
      <c r="T125" s="6">
        <v>1</v>
      </c>
      <c r="U125" s="26">
        <v>1250000</v>
      </c>
      <c r="V125" s="26">
        <v>1250000</v>
      </c>
      <c r="W125" s="26">
        <v>1250000</v>
      </c>
      <c r="X125" s="6" t="s">
        <v>2003</v>
      </c>
      <c r="Y125" s="6" t="s">
        <v>1232</v>
      </c>
      <c r="Z125" s="6">
        <v>223719</v>
      </c>
    </row>
    <row r="126" spans="1:26" x14ac:dyDescent="0.3">
      <c r="A126" s="28" t="s">
        <v>42</v>
      </c>
      <c r="B126" s="6" t="s">
        <v>2167</v>
      </c>
      <c r="C126" s="6" t="s">
        <v>1975</v>
      </c>
      <c r="D126" s="6" t="s">
        <v>2292</v>
      </c>
      <c r="E126" s="6">
        <v>1</v>
      </c>
      <c r="F126" s="6" t="s">
        <v>2004</v>
      </c>
      <c r="G126" s="32" t="s">
        <v>2299</v>
      </c>
      <c r="H126" s="32" t="s">
        <v>2300</v>
      </c>
      <c r="I126" s="6" t="str">
        <f t="shared" si="5"/>
        <v>Side Breaker</v>
      </c>
      <c r="J126" s="6" t="s">
        <v>464</v>
      </c>
      <c r="K126" s="6">
        <v>1</v>
      </c>
      <c r="L126" s="6">
        <f t="shared" si="6"/>
        <v>3170000</v>
      </c>
      <c r="M126" s="6">
        <v>2700000</v>
      </c>
      <c r="N126" s="6" t="s">
        <v>2003</v>
      </c>
      <c r="O126" s="6" t="s">
        <v>883</v>
      </c>
      <c r="P126" s="6">
        <v>2011</v>
      </c>
      <c r="Q126" s="6">
        <v>1</v>
      </c>
      <c r="R126" s="6" t="s">
        <v>45</v>
      </c>
      <c r="S126" s="32" t="s">
        <v>2117</v>
      </c>
      <c r="T126" s="6">
        <v>1</v>
      </c>
      <c r="U126" s="26">
        <v>2500000</v>
      </c>
      <c r="V126" s="26">
        <v>2500000</v>
      </c>
      <c r="W126" s="26">
        <v>2500000</v>
      </c>
      <c r="X126" s="6" t="s">
        <v>2003</v>
      </c>
      <c r="Y126" s="6" t="s">
        <v>1180</v>
      </c>
      <c r="Z126" s="6">
        <v>223728</v>
      </c>
    </row>
    <row r="127" spans="1:26" x14ac:dyDescent="0.3">
      <c r="A127" s="28" t="s">
        <v>42</v>
      </c>
      <c r="B127" s="6" t="s">
        <v>1326</v>
      </c>
      <c r="C127" s="6" t="s">
        <v>1972</v>
      </c>
      <c r="D127" s="6" t="s">
        <v>2292</v>
      </c>
      <c r="E127" s="6">
        <v>1</v>
      </c>
      <c r="F127" s="6" t="s">
        <v>2004</v>
      </c>
      <c r="G127" s="32" t="s">
        <v>2299</v>
      </c>
      <c r="H127" s="32" t="s">
        <v>2300</v>
      </c>
      <c r="I127" s="6" t="str">
        <f t="shared" si="5"/>
        <v>Stone Grapple</v>
      </c>
      <c r="J127" s="6" t="s">
        <v>161</v>
      </c>
      <c r="K127" s="6">
        <v>1</v>
      </c>
      <c r="L127" s="6">
        <f t="shared" si="6"/>
        <v>3290000</v>
      </c>
      <c r="M127" s="6">
        <v>2800000</v>
      </c>
      <c r="N127" s="6" t="s">
        <v>2003</v>
      </c>
      <c r="O127" s="6" t="s">
        <v>823</v>
      </c>
      <c r="P127" s="6">
        <v>2014</v>
      </c>
      <c r="Q127" s="6">
        <v>1</v>
      </c>
      <c r="R127" s="6" t="s">
        <v>45</v>
      </c>
      <c r="S127" s="32" t="s">
        <v>2113</v>
      </c>
      <c r="T127" s="6">
        <v>1</v>
      </c>
      <c r="U127" s="26">
        <v>2600000</v>
      </c>
      <c r="V127" s="26">
        <v>2600000</v>
      </c>
      <c r="W127" s="26">
        <v>2600000</v>
      </c>
      <c r="X127" s="6" t="s">
        <v>2003</v>
      </c>
      <c r="Y127" s="6" t="s">
        <v>49</v>
      </c>
      <c r="Z127" s="6">
        <v>223730</v>
      </c>
    </row>
    <row r="128" spans="1:26" x14ac:dyDescent="0.3">
      <c r="A128" s="28" t="s">
        <v>42</v>
      </c>
      <c r="B128" s="6" t="s">
        <v>1326</v>
      </c>
      <c r="C128" s="6" t="s">
        <v>1972</v>
      </c>
      <c r="D128" s="6" t="s">
        <v>2292</v>
      </c>
      <c r="E128" s="6">
        <v>1</v>
      </c>
      <c r="F128" s="6" t="s">
        <v>2004</v>
      </c>
      <c r="G128" s="32" t="s">
        <v>2299</v>
      </c>
      <c r="H128" s="32" t="s">
        <v>2300</v>
      </c>
      <c r="I128" s="6" t="str">
        <f t="shared" si="5"/>
        <v>Stone Grapple</v>
      </c>
      <c r="J128" s="6" t="s">
        <v>44</v>
      </c>
      <c r="K128" s="6">
        <v>1</v>
      </c>
      <c r="L128" s="6">
        <f t="shared" si="6"/>
        <v>3290000</v>
      </c>
      <c r="M128" s="6">
        <v>2800000</v>
      </c>
      <c r="N128" s="6" t="s">
        <v>2003</v>
      </c>
      <c r="O128" s="6" t="s">
        <v>2007</v>
      </c>
      <c r="P128" s="6">
        <v>2014</v>
      </c>
      <c r="Q128" s="6">
        <v>1</v>
      </c>
      <c r="R128" s="6" t="s">
        <v>45</v>
      </c>
      <c r="S128" s="32" t="s">
        <v>2113</v>
      </c>
      <c r="T128" s="6">
        <v>1</v>
      </c>
      <c r="U128" s="26">
        <v>2600000</v>
      </c>
      <c r="V128" s="26">
        <v>2600000</v>
      </c>
      <c r="W128" s="26">
        <v>2600000</v>
      </c>
      <c r="X128" s="6" t="s">
        <v>2003</v>
      </c>
      <c r="Y128" s="6" t="s">
        <v>49</v>
      </c>
      <c r="Z128" s="6">
        <v>223731</v>
      </c>
    </row>
    <row r="129" spans="1:26" x14ac:dyDescent="0.3">
      <c r="A129" s="28" t="s">
        <v>42</v>
      </c>
      <c r="B129" s="6" t="s">
        <v>1326</v>
      </c>
      <c r="C129" s="19" t="s">
        <v>1974</v>
      </c>
      <c r="D129" s="6" t="s">
        <v>2002</v>
      </c>
      <c r="E129" s="6">
        <v>1</v>
      </c>
      <c r="F129" s="6" t="s">
        <v>2004</v>
      </c>
      <c r="G129" s="32" t="s">
        <v>2299</v>
      </c>
      <c r="H129" s="32" t="s">
        <v>2300</v>
      </c>
      <c r="I129" s="6" t="str">
        <f t="shared" si="5"/>
        <v>Etc Grapple</v>
      </c>
      <c r="J129" s="6" t="s">
        <v>305</v>
      </c>
      <c r="K129" s="6">
        <v>1</v>
      </c>
      <c r="L129" s="6">
        <f t="shared" si="6"/>
        <v>2640000</v>
      </c>
      <c r="M129" s="6">
        <v>2250000</v>
      </c>
      <c r="N129" s="6" t="s">
        <v>2003</v>
      </c>
      <c r="O129" s="6" t="s">
        <v>2007</v>
      </c>
      <c r="P129" s="6">
        <v>2016</v>
      </c>
      <c r="Q129" s="6">
        <v>1</v>
      </c>
      <c r="R129" s="6" t="s">
        <v>45</v>
      </c>
      <c r="S129" s="32" t="s">
        <v>2113</v>
      </c>
      <c r="T129" s="6">
        <v>1</v>
      </c>
      <c r="U129" s="26">
        <v>2050000</v>
      </c>
      <c r="V129" s="26">
        <v>2050000</v>
      </c>
      <c r="W129" s="26">
        <v>2050000</v>
      </c>
      <c r="X129" s="6" t="s">
        <v>2003</v>
      </c>
      <c r="Y129" s="6" t="s">
        <v>49</v>
      </c>
      <c r="Z129" s="6">
        <v>223733</v>
      </c>
    </row>
    <row r="130" spans="1:26" x14ac:dyDescent="0.3">
      <c r="A130" s="28" t="s">
        <v>42</v>
      </c>
      <c r="B130" s="6" t="s">
        <v>1327</v>
      </c>
      <c r="C130" s="19" t="s">
        <v>1982</v>
      </c>
      <c r="D130" s="6" t="s">
        <v>2292</v>
      </c>
      <c r="E130" s="6">
        <v>1</v>
      </c>
      <c r="F130" s="6" t="s">
        <v>2004</v>
      </c>
      <c r="G130" s="32" t="s">
        <v>2299</v>
      </c>
      <c r="H130" s="32" t="s">
        <v>2300</v>
      </c>
      <c r="I130" s="6" t="str">
        <f t="shared" si="5"/>
        <v>Standard Bucket</v>
      </c>
      <c r="J130" s="6" t="s">
        <v>387</v>
      </c>
      <c r="K130" s="6">
        <v>1</v>
      </c>
      <c r="L130" s="6">
        <f t="shared" si="6"/>
        <v>1290000</v>
      </c>
      <c r="M130" s="6">
        <v>1100000</v>
      </c>
      <c r="N130" s="6" t="s">
        <v>2003</v>
      </c>
      <c r="O130" s="6" t="s">
        <v>843</v>
      </c>
      <c r="P130" s="6">
        <v>2013</v>
      </c>
      <c r="Q130" s="6">
        <v>1</v>
      </c>
      <c r="R130" s="6" t="s">
        <v>45</v>
      </c>
      <c r="S130" s="32" t="s">
        <v>2118</v>
      </c>
      <c r="T130" s="6">
        <v>1</v>
      </c>
      <c r="U130" s="26">
        <v>1000000</v>
      </c>
      <c r="V130" s="26">
        <v>1000000</v>
      </c>
      <c r="W130" s="26">
        <v>1000000</v>
      </c>
      <c r="X130" s="6" t="s">
        <v>2003</v>
      </c>
      <c r="Y130" s="6" t="s">
        <v>1149</v>
      </c>
      <c r="Z130" s="6">
        <v>223742</v>
      </c>
    </row>
    <row r="131" spans="1:26" x14ac:dyDescent="0.3">
      <c r="A131" s="28" t="s">
        <v>42</v>
      </c>
      <c r="B131" s="6" t="s">
        <v>1326</v>
      </c>
      <c r="C131" s="6" t="s">
        <v>1973</v>
      </c>
      <c r="D131" s="6" t="s">
        <v>2002</v>
      </c>
      <c r="E131" s="6">
        <v>1</v>
      </c>
      <c r="F131" s="6" t="s">
        <v>2004</v>
      </c>
      <c r="G131" s="32" t="s">
        <v>2299</v>
      </c>
      <c r="H131" s="32" t="s">
        <v>2300</v>
      </c>
      <c r="I131" s="6" t="str">
        <f t="shared" si="5"/>
        <v>Wood Grapple</v>
      </c>
      <c r="J131" s="6" t="s">
        <v>466</v>
      </c>
      <c r="K131" s="6">
        <v>1</v>
      </c>
      <c r="L131" s="6">
        <f t="shared" si="6"/>
        <v>2290000</v>
      </c>
      <c r="M131" s="6">
        <v>1950000</v>
      </c>
      <c r="N131" s="6" t="s">
        <v>2003</v>
      </c>
      <c r="O131" s="6" t="s">
        <v>2007</v>
      </c>
      <c r="P131" s="6">
        <v>2014</v>
      </c>
      <c r="Q131" s="6">
        <v>1</v>
      </c>
      <c r="R131" s="6" t="s">
        <v>45</v>
      </c>
      <c r="S131" s="32" t="s">
        <v>2113</v>
      </c>
      <c r="T131" s="6">
        <v>1</v>
      </c>
      <c r="U131" s="26">
        <v>1850000</v>
      </c>
      <c r="V131" s="26">
        <v>1850000</v>
      </c>
      <c r="W131" s="26">
        <v>1850000</v>
      </c>
      <c r="X131" s="6" t="s">
        <v>2003</v>
      </c>
      <c r="Y131" s="6" t="s">
        <v>49</v>
      </c>
      <c r="Z131" s="6">
        <v>223744</v>
      </c>
    </row>
    <row r="132" spans="1:26" x14ac:dyDescent="0.3">
      <c r="A132" s="28" t="s">
        <v>42</v>
      </c>
      <c r="B132" s="6" t="s">
        <v>1327</v>
      </c>
      <c r="C132" s="6" t="s">
        <v>1976</v>
      </c>
      <c r="D132" s="6" t="s">
        <v>2291</v>
      </c>
      <c r="E132" s="6">
        <v>1</v>
      </c>
      <c r="F132" s="6" t="s">
        <v>2004</v>
      </c>
      <c r="G132" s="32" t="s">
        <v>2299</v>
      </c>
      <c r="H132" s="32" t="s">
        <v>2300</v>
      </c>
      <c r="I132" s="6" t="str">
        <f t="shared" si="5"/>
        <v>Skeleton Bucket</v>
      </c>
      <c r="J132" s="6" t="s">
        <v>269</v>
      </c>
      <c r="K132" s="6">
        <v>1</v>
      </c>
      <c r="L132" s="6">
        <f t="shared" si="6"/>
        <v>820000</v>
      </c>
      <c r="M132" s="6">
        <v>700000</v>
      </c>
      <c r="N132" s="6" t="s">
        <v>2003</v>
      </c>
      <c r="O132" s="6" t="s">
        <v>2027</v>
      </c>
      <c r="P132" s="6">
        <v>2017</v>
      </c>
      <c r="Q132" s="6">
        <v>1</v>
      </c>
      <c r="R132" s="6" t="s">
        <v>45</v>
      </c>
      <c r="S132" s="32" t="s">
        <v>2124</v>
      </c>
      <c r="T132" s="6">
        <v>1</v>
      </c>
      <c r="U132" s="26">
        <v>600000</v>
      </c>
      <c r="V132" s="26">
        <v>600000</v>
      </c>
      <c r="W132" s="26">
        <v>600000</v>
      </c>
      <c r="X132" s="6" t="s">
        <v>2003</v>
      </c>
      <c r="Y132" s="6" t="s">
        <v>1144</v>
      </c>
      <c r="Z132" s="6">
        <v>223746</v>
      </c>
    </row>
    <row r="133" spans="1:26" x14ac:dyDescent="0.3">
      <c r="A133" s="28" t="s">
        <v>42</v>
      </c>
      <c r="B133" s="6" t="s">
        <v>2167</v>
      </c>
      <c r="C133" s="6" t="s">
        <v>1975</v>
      </c>
      <c r="D133" s="6" t="s">
        <v>2293</v>
      </c>
      <c r="E133" s="6">
        <v>1</v>
      </c>
      <c r="F133" s="6" t="s">
        <v>2004</v>
      </c>
      <c r="G133" s="32" t="s">
        <v>2299</v>
      </c>
      <c r="H133" s="32" t="s">
        <v>2300</v>
      </c>
      <c r="I133" s="6" t="str">
        <f t="shared" si="5"/>
        <v>Side Breaker</v>
      </c>
      <c r="J133" s="6" t="s">
        <v>242</v>
      </c>
      <c r="K133" s="6">
        <v>1</v>
      </c>
      <c r="L133" s="6">
        <f t="shared" si="6"/>
        <v>1700000</v>
      </c>
      <c r="M133" s="6">
        <v>1450000</v>
      </c>
      <c r="N133" s="6" t="s">
        <v>2003</v>
      </c>
      <c r="O133" s="6" t="s">
        <v>2007</v>
      </c>
      <c r="P133" s="6">
        <v>2014</v>
      </c>
      <c r="Q133" s="6">
        <v>1</v>
      </c>
      <c r="R133" s="6" t="s">
        <v>45</v>
      </c>
      <c r="S133" s="32" t="s">
        <v>2113</v>
      </c>
      <c r="T133" s="6">
        <v>1</v>
      </c>
      <c r="U133" s="26">
        <v>1350000</v>
      </c>
      <c r="V133" s="26">
        <v>1350000</v>
      </c>
      <c r="W133" s="26">
        <v>1350000</v>
      </c>
      <c r="X133" s="6" t="s">
        <v>2003</v>
      </c>
      <c r="Y133" s="6" t="s">
        <v>49</v>
      </c>
      <c r="Z133" s="6">
        <v>223751</v>
      </c>
    </row>
    <row r="134" spans="1:26" x14ac:dyDescent="0.3">
      <c r="A134" s="28" t="s">
        <v>42</v>
      </c>
      <c r="B134" s="6" t="s">
        <v>1326</v>
      </c>
      <c r="C134" s="6" t="s">
        <v>1972</v>
      </c>
      <c r="D134" s="6" t="s">
        <v>2289</v>
      </c>
      <c r="E134" s="6">
        <v>1</v>
      </c>
      <c r="F134" s="6" t="s">
        <v>2004</v>
      </c>
      <c r="G134" s="32" t="s">
        <v>2299</v>
      </c>
      <c r="H134" s="32" t="s">
        <v>2300</v>
      </c>
      <c r="I134" s="6" t="str">
        <f t="shared" si="5"/>
        <v>Stone Grapple</v>
      </c>
      <c r="J134" s="6" t="s">
        <v>180</v>
      </c>
      <c r="K134" s="6">
        <v>1</v>
      </c>
      <c r="L134" s="6">
        <f t="shared" si="6"/>
        <v>12110000</v>
      </c>
      <c r="M134" s="6">
        <v>10300000</v>
      </c>
      <c r="N134" s="6" t="s">
        <v>2003</v>
      </c>
      <c r="O134" s="6" t="s">
        <v>813</v>
      </c>
      <c r="P134" s="6">
        <v>2014</v>
      </c>
      <c r="Q134" s="6">
        <v>1</v>
      </c>
      <c r="R134" s="6" t="s">
        <v>45</v>
      </c>
      <c r="S134" s="32" t="s">
        <v>2113</v>
      </c>
      <c r="T134" s="6">
        <v>1</v>
      </c>
      <c r="U134" s="26">
        <v>9800000</v>
      </c>
      <c r="V134" s="26">
        <v>9800000</v>
      </c>
      <c r="W134" s="26">
        <v>9800000</v>
      </c>
      <c r="X134" s="6" t="s">
        <v>2003</v>
      </c>
      <c r="Y134" s="6" t="s">
        <v>80</v>
      </c>
      <c r="Z134" s="6">
        <v>223753</v>
      </c>
    </row>
    <row r="135" spans="1:26" x14ac:dyDescent="0.3">
      <c r="A135" s="28" t="s">
        <v>42</v>
      </c>
      <c r="B135" s="6" t="s">
        <v>1326</v>
      </c>
      <c r="C135" s="6" t="s">
        <v>1972</v>
      </c>
      <c r="D135" s="6" t="s">
        <v>2291</v>
      </c>
      <c r="E135" s="6">
        <v>1</v>
      </c>
      <c r="F135" s="6" t="s">
        <v>2004</v>
      </c>
      <c r="G135" s="32" t="s">
        <v>2299</v>
      </c>
      <c r="H135" s="32" t="s">
        <v>2300</v>
      </c>
      <c r="I135" s="6" t="str">
        <f t="shared" si="5"/>
        <v>Stone Grapple</v>
      </c>
      <c r="J135" s="6" t="s">
        <v>149</v>
      </c>
      <c r="K135" s="6">
        <v>1</v>
      </c>
      <c r="L135" s="6">
        <f t="shared" si="6"/>
        <v>1940000</v>
      </c>
      <c r="M135" s="6">
        <v>1650000</v>
      </c>
      <c r="N135" s="6" t="s">
        <v>2003</v>
      </c>
      <c r="O135" s="6" t="s">
        <v>51</v>
      </c>
      <c r="P135" s="6">
        <v>2016</v>
      </c>
      <c r="Q135" s="6">
        <v>1</v>
      </c>
      <c r="R135" s="6" t="s">
        <v>45</v>
      </c>
      <c r="S135" s="32" t="s">
        <v>2113</v>
      </c>
      <c r="T135" s="6">
        <v>1</v>
      </c>
      <c r="U135" s="26">
        <v>1550000</v>
      </c>
      <c r="V135" s="26">
        <v>1550000</v>
      </c>
      <c r="W135" s="26">
        <v>1550000</v>
      </c>
      <c r="X135" s="6" t="s">
        <v>2003</v>
      </c>
      <c r="Y135" s="6" t="s">
        <v>49</v>
      </c>
      <c r="Z135" s="6">
        <v>223756</v>
      </c>
    </row>
    <row r="136" spans="1:26" x14ac:dyDescent="0.3">
      <c r="A136" s="28" t="s">
        <v>42</v>
      </c>
      <c r="B136" s="6" t="s">
        <v>1326</v>
      </c>
      <c r="C136" s="19" t="s">
        <v>1974</v>
      </c>
      <c r="D136" s="6" t="s">
        <v>2293</v>
      </c>
      <c r="E136" s="6">
        <v>1</v>
      </c>
      <c r="F136" s="6" t="s">
        <v>2004</v>
      </c>
      <c r="G136" s="32" t="s">
        <v>2299</v>
      </c>
      <c r="H136" s="32" t="s">
        <v>2300</v>
      </c>
      <c r="I136" s="6" t="str">
        <f t="shared" si="5"/>
        <v>Etc Grapple</v>
      </c>
      <c r="J136" s="6" t="s">
        <v>267</v>
      </c>
      <c r="K136" s="6">
        <v>1</v>
      </c>
      <c r="L136" s="6">
        <f t="shared" si="6"/>
        <v>2640000</v>
      </c>
      <c r="M136" s="6">
        <v>2250000</v>
      </c>
      <c r="N136" s="6" t="s">
        <v>2003</v>
      </c>
      <c r="O136" s="6" t="s">
        <v>2007</v>
      </c>
      <c r="P136" s="6">
        <v>2016</v>
      </c>
      <c r="Q136" s="6">
        <v>1</v>
      </c>
      <c r="R136" s="6" t="s">
        <v>45</v>
      </c>
      <c r="S136" s="32" t="s">
        <v>2113</v>
      </c>
      <c r="T136" s="6">
        <v>1</v>
      </c>
      <c r="U136" s="26">
        <v>2050000</v>
      </c>
      <c r="V136" s="26">
        <v>2050000</v>
      </c>
      <c r="W136" s="26">
        <v>2050000</v>
      </c>
      <c r="X136" s="6" t="s">
        <v>2003</v>
      </c>
      <c r="Y136" s="6" t="s">
        <v>49</v>
      </c>
      <c r="Z136" s="6">
        <v>223759</v>
      </c>
    </row>
    <row r="137" spans="1:26" x14ac:dyDescent="0.3">
      <c r="A137" s="28" t="s">
        <v>42</v>
      </c>
      <c r="B137" s="6" t="s">
        <v>1326</v>
      </c>
      <c r="C137" s="6" t="s">
        <v>1974</v>
      </c>
      <c r="D137" s="6" t="s">
        <v>2292</v>
      </c>
      <c r="E137" s="6">
        <v>1</v>
      </c>
      <c r="F137" s="6" t="s">
        <v>2004</v>
      </c>
      <c r="G137" s="32" t="s">
        <v>2299</v>
      </c>
      <c r="H137" s="32" t="s">
        <v>2300</v>
      </c>
      <c r="I137" s="6" t="str">
        <f t="shared" si="5"/>
        <v>Etc Grapple</v>
      </c>
      <c r="J137" s="6" t="s">
        <v>125</v>
      </c>
      <c r="K137" s="6">
        <v>1</v>
      </c>
      <c r="L137" s="6">
        <f t="shared" si="6"/>
        <v>6470000</v>
      </c>
      <c r="M137" s="6">
        <v>5500000</v>
      </c>
      <c r="N137" s="6" t="s">
        <v>2003</v>
      </c>
      <c r="O137" s="6" t="s">
        <v>1842</v>
      </c>
      <c r="P137" s="6">
        <v>2016</v>
      </c>
      <c r="Q137" s="6">
        <v>10</v>
      </c>
      <c r="R137" s="6" t="s">
        <v>45</v>
      </c>
      <c r="S137" s="32" t="s">
        <v>2110</v>
      </c>
      <c r="T137" s="6">
        <v>1</v>
      </c>
      <c r="U137" s="26">
        <v>5000000</v>
      </c>
      <c r="V137" s="26">
        <v>5000000</v>
      </c>
      <c r="W137" s="26">
        <v>5000000</v>
      </c>
      <c r="X137" s="6" t="s">
        <v>2003</v>
      </c>
      <c r="Y137" s="6" t="s">
        <v>1225</v>
      </c>
      <c r="Z137" s="6">
        <v>223766</v>
      </c>
    </row>
    <row r="138" spans="1:26" x14ac:dyDescent="0.3">
      <c r="A138" s="28" t="s">
        <v>42</v>
      </c>
      <c r="B138" s="6" t="s">
        <v>1327</v>
      </c>
      <c r="C138" s="6" t="s">
        <v>1976</v>
      </c>
      <c r="D138" s="6" t="s">
        <v>2291</v>
      </c>
      <c r="E138" s="6">
        <v>1</v>
      </c>
      <c r="F138" s="6" t="s">
        <v>2004</v>
      </c>
      <c r="G138" s="32" t="s">
        <v>2299</v>
      </c>
      <c r="H138" s="32" t="s">
        <v>2300</v>
      </c>
      <c r="I138" s="6" t="str">
        <f t="shared" si="5"/>
        <v>Skeleton Bucket</v>
      </c>
      <c r="J138" s="6" t="s">
        <v>245</v>
      </c>
      <c r="K138" s="6">
        <v>1</v>
      </c>
      <c r="L138" s="6">
        <f t="shared" si="6"/>
        <v>820000</v>
      </c>
      <c r="M138" s="6">
        <v>700000</v>
      </c>
      <c r="N138" s="6" t="s">
        <v>2003</v>
      </c>
      <c r="O138" s="6" t="s">
        <v>2027</v>
      </c>
      <c r="P138" s="6">
        <v>2017</v>
      </c>
      <c r="Q138" s="6">
        <v>1</v>
      </c>
      <c r="R138" s="6" t="s">
        <v>45</v>
      </c>
      <c r="S138" s="32" t="s">
        <v>2124</v>
      </c>
      <c r="T138" s="6">
        <v>1</v>
      </c>
      <c r="U138" s="26">
        <v>600000</v>
      </c>
      <c r="V138" s="26">
        <v>600000</v>
      </c>
      <c r="W138" s="26">
        <v>600000</v>
      </c>
      <c r="X138" s="6" t="s">
        <v>2003</v>
      </c>
      <c r="Y138" s="6" t="s">
        <v>1144</v>
      </c>
      <c r="Z138" s="6">
        <v>223767</v>
      </c>
    </row>
    <row r="139" spans="1:26" x14ac:dyDescent="0.3">
      <c r="A139" s="28" t="s">
        <v>42</v>
      </c>
      <c r="B139" s="6" t="s">
        <v>2167</v>
      </c>
      <c r="C139" s="6" t="s">
        <v>1975</v>
      </c>
      <c r="D139" s="6" t="s">
        <v>2291</v>
      </c>
      <c r="E139" s="6">
        <v>1</v>
      </c>
      <c r="F139" s="6" t="s">
        <v>2004</v>
      </c>
      <c r="G139" s="32" t="s">
        <v>2299</v>
      </c>
      <c r="H139" s="32" t="s">
        <v>2300</v>
      </c>
      <c r="I139" s="6" t="str">
        <f t="shared" ref="I139:I202" si="7">IF(ISBLANK(C139),B139,C139)</f>
        <v>Side Breaker</v>
      </c>
      <c r="J139" s="6" t="s">
        <v>468</v>
      </c>
      <c r="K139" s="6">
        <v>1</v>
      </c>
      <c r="L139" s="6">
        <f t="shared" ref="L139:L202" si="8">FLOOR(((M139*100)/85)/10000, 1)*10000</f>
        <v>1580000</v>
      </c>
      <c r="M139" s="6">
        <v>1350000</v>
      </c>
      <c r="N139" s="6" t="s">
        <v>2003</v>
      </c>
      <c r="O139" s="6" t="s">
        <v>2007</v>
      </c>
      <c r="P139" s="6">
        <v>2014</v>
      </c>
      <c r="Q139" s="6">
        <v>1</v>
      </c>
      <c r="R139" s="6" t="s">
        <v>45</v>
      </c>
      <c r="S139" s="32" t="s">
        <v>2113</v>
      </c>
      <c r="T139" s="6">
        <v>1</v>
      </c>
      <c r="U139" s="26">
        <v>1250000</v>
      </c>
      <c r="V139" s="26">
        <v>1250000</v>
      </c>
      <c r="W139" s="26">
        <v>1250000</v>
      </c>
      <c r="X139" s="6" t="s">
        <v>2003</v>
      </c>
      <c r="Y139" s="6" t="s">
        <v>49</v>
      </c>
      <c r="Z139" s="6">
        <v>223769</v>
      </c>
    </row>
    <row r="140" spans="1:26" x14ac:dyDescent="0.3">
      <c r="A140" s="28" t="s">
        <v>42</v>
      </c>
      <c r="B140" s="6" t="s">
        <v>1327</v>
      </c>
      <c r="C140" s="19" t="s">
        <v>2209</v>
      </c>
      <c r="D140" s="6" t="s">
        <v>2289</v>
      </c>
      <c r="E140" s="6">
        <v>1</v>
      </c>
      <c r="F140" s="6" t="s">
        <v>2004</v>
      </c>
      <c r="G140" s="32" t="s">
        <v>2299</v>
      </c>
      <c r="H140" s="32" t="s">
        <v>2300</v>
      </c>
      <c r="I140" s="6" t="str">
        <f t="shared" si="7"/>
        <v>Etc Bucket</v>
      </c>
      <c r="J140" s="6" t="s">
        <v>469</v>
      </c>
      <c r="K140" s="6">
        <v>1</v>
      </c>
      <c r="L140" s="6">
        <f t="shared" si="8"/>
        <v>3760000</v>
      </c>
      <c r="M140" s="6">
        <v>3200000</v>
      </c>
      <c r="N140" s="6" t="s">
        <v>2003</v>
      </c>
      <c r="O140" s="6" t="s">
        <v>884</v>
      </c>
      <c r="P140" s="6">
        <v>2016</v>
      </c>
      <c r="Q140" s="6">
        <v>1</v>
      </c>
      <c r="R140" s="6" t="s">
        <v>45</v>
      </c>
      <c r="S140" s="32" t="s">
        <v>2122</v>
      </c>
      <c r="T140" s="6">
        <v>1</v>
      </c>
      <c r="U140" s="26">
        <v>3000000</v>
      </c>
      <c r="V140" s="26">
        <v>3000000</v>
      </c>
      <c r="W140" s="26">
        <v>3000000</v>
      </c>
      <c r="X140" s="6" t="s">
        <v>2003</v>
      </c>
      <c r="Y140" s="6" t="s">
        <v>1260</v>
      </c>
      <c r="Z140" s="6">
        <v>223777</v>
      </c>
    </row>
    <row r="141" spans="1:26" x14ac:dyDescent="0.3">
      <c r="A141" s="28" t="s">
        <v>42</v>
      </c>
      <c r="B141" s="6" t="s">
        <v>2159</v>
      </c>
      <c r="C141" s="19"/>
      <c r="D141" s="6" t="s">
        <v>2289</v>
      </c>
      <c r="E141" s="6">
        <v>1</v>
      </c>
      <c r="F141" s="6" t="s">
        <v>2004</v>
      </c>
      <c r="G141" s="32" t="s">
        <v>2299</v>
      </c>
      <c r="H141" s="32" t="s">
        <v>2300</v>
      </c>
      <c r="I141" s="6" t="str">
        <f t="shared" si="7"/>
        <v>ETC</v>
      </c>
      <c r="J141" s="6" t="s">
        <v>151</v>
      </c>
      <c r="K141" s="6">
        <v>1</v>
      </c>
      <c r="L141" s="6">
        <f t="shared" si="8"/>
        <v>7640000</v>
      </c>
      <c r="M141" s="6">
        <v>6500000</v>
      </c>
      <c r="N141" s="6" t="s">
        <v>2003</v>
      </c>
      <c r="O141" s="6">
        <v>1</v>
      </c>
      <c r="P141" s="6">
        <v>2014</v>
      </c>
      <c r="Q141" s="6">
        <v>1</v>
      </c>
      <c r="R141" s="6" t="s">
        <v>45</v>
      </c>
      <c r="S141" s="32" t="s">
        <v>2116</v>
      </c>
      <c r="T141" s="6">
        <v>1</v>
      </c>
      <c r="U141" s="26">
        <v>6000000</v>
      </c>
      <c r="V141" s="26">
        <v>6000000</v>
      </c>
      <c r="W141" s="26">
        <v>6000000</v>
      </c>
      <c r="X141" s="6" t="s">
        <v>2003</v>
      </c>
      <c r="Y141" s="6" t="s">
        <v>1185</v>
      </c>
      <c r="Z141" s="6">
        <v>223778</v>
      </c>
    </row>
    <row r="142" spans="1:26" x14ac:dyDescent="0.3">
      <c r="A142" s="28" t="s">
        <v>42</v>
      </c>
      <c r="B142" s="6" t="s">
        <v>1326</v>
      </c>
      <c r="C142" s="6" t="s">
        <v>1973</v>
      </c>
      <c r="D142" s="6" t="s">
        <v>2291</v>
      </c>
      <c r="E142" s="6">
        <v>1</v>
      </c>
      <c r="F142" s="6" t="s">
        <v>2004</v>
      </c>
      <c r="G142" s="32" t="s">
        <v>2299</v>
      </c>
      <c r="H142" s="32" t="s">
        <v>2300</v>
      </c>
      <c r="I142" s="6" t="str">
        <f t="shared" si="7"/>
        <v>Wood Grapple</v>
      </c>
      <c r="J142" s="6" t="s">
        <v>127</v>
      </c>
      <c r="K142" s="6">
        <v>1</v>
      </c>
      <c r="L142" s="6">
        <f t="shared" si="8"/>
        <v>2580000</v>
      </c>
      <c r="M142" s="6">
        <v>2200000</v>
      </c>
      <c r="N142" s="6" t="s">
        <v>2003</v>
      </c>
      <c r="O142" s="6" t="s">
        <v>830</v>
      </c>
      <c r="P142" s="6">
        <v>2010</v>
      </c>
      <c r="Q142" s="6">
        <v>1</v>
      </c>
      <c r="R142" s="6" t="s">
        <v>45</v>
      </c>
      <c r="S142" s="32" t="s">
        <v>2114</v>
      </c>
      <c r="T142" s="6">
        <v>1</v>
      </c>
      <c r="U142" s="26">
        <v>2000000</v>
      </c>
      <c r="V142" s="26">
        <v>2000000</v>
      </c>
      <c r="W142" s="26">
        <v>2000000</v>
      </c>
      <c r="X142" s="6" t="s">
        <v>2003</v>
      </c>
      <c r="Y142" s="6" t="s">
        <v>830</v>
      </c>
      <c r="Z142" s="6">
        <v>223779</v>
      </c>
    </row>
    <row r="143" spans="1:26" x14ac:dyDescent="0.3">
      <c r="A143" s="29" t="s">
        <v>42</v>
      </c>
      <c r="B143" s="23" t="s">
        <v>2159</v>
      </c>
      <c r="C143" s="23"/>
      <c r="D143" s="23" t="s">
        <v>2289</v>
      </c>
      <c r="E143" s="23">
        <v>1</v>
      </c>
      <c r="F143" s="23" t="s">
        <v>2004</v>
      </c>
      <c r="G143" s="32" t="s">
        <v>2299</v>
      </c>
      <c r="H143" s="32" t="s">
        <v>2300</v>
      </c>
      <c r="I143" s="6" t="str">
        <f t="shared" si="7"/>
        <v>ETC</v>
      </c>
      <c r="J143" s="23" t="s">
        <v>88</v>
      </c>
      <c r="K143" s="6">
        <v>1</v>
      </c>
      <c r="L143" s="6">
        <f t="shared" si="8"/>
        <v>7640000</v>
      </c>
      <c r="M143" s="6">
        <v>6500000</v>
      </c>
      <c r="N143" s="6" t="s">
        <v>2003</v>
      </c>
      <c r="O143" s="6">
        <v>1</v>
      </c>
      <c r="P143" s="6">
        <v>2014</v>
      </c>
      <c r="Q143" s="6">
        <v>1</v>
      </c>
      <c r="R143" s="6" t="s">
        <v>45</v>
      </c>
      <c r="S143" s="32" t="s">
        <v>2116</v>
      </c>
      <c r="T143" s="6">
        <v>1</v>
      </c>
      <c r="U143" s="26">
        <v>6000000</v>
      </c>
      <c r="V143" s="26">
        <v>6000000</v>
      </c>
      <c r="W143" s="26">
        <v>6000000</v>
      </c>
      <c r="X143" s="6" t="s">
        <v>2003</v>
      </c>
      <c r="Y143" s="6" t="s">
        <v>1185</v>
      </c>
      <c r="Z143" s="6">
        <v>223782</v>
      </c>
    </row>
    <row r="144" spans="1:26" x14ac:dyDescent="0.3">
      <c r="A144" s="28" t="s">
        <v>42</v>
      </c>
      <c r="B144" s="6" t="s">
        <v>2167</v>
      </c>
      <c r="C144" s="6" t="s">
        <v>1975</v>
      </c>
      <c r="D144" s="6" t="s">
        <v>2292</v>
      </c>
      <c r="E144" s="6">
        <v>1</v>
      </c>
      <c r="F144" s="6" t="s">
        <v>2004</v>
      </c>
      <c r="G144" s="32" t="s">
        <v>2299</v>
      </c>
      <c r="H144" s="32" t="s">
        <v>2300</v>
      </c>
      <c r="I144" s="6" t="str">
        <f t="shared" si="7"/>
        <v>Side Breaker</v>
      </c>
      <c r="J144" s="6" t="s">
        <v>325</v>
      </c>
      <c r="K144" s="6">
        <v>1</v>
      </c>
      <c r="L144" s="6">
        <f t="shared" si="8"/>
        <v>3760000</v>
      </c>
      <c r="M144" s="6">
        <v>3200000</v>
      </c>
      <c r="N144" s="6" t="s">
        <v>2003</v>
      </c>
      <c r="O144" s="6" t="s">
        <v>2009</v>
      </c>
      <c r="P144" s="6">
        <v>2009</v>
      </c>
      <c r="Q144" s="6">
        <v>1</v>
      </c>
      <c r="R144" s="6" t="s">
        <v>45</v>
      </c>
      <c r="S144" s="32" t="s">
        <v>2110</v>
      </c>
      <c r="T144" s="6">
        <v>1</v>
      </c>
      <c r="U144" s="26">
        <v>3000000</v>
      </c>
      <c r="V144" s="26">
        <v>3000000</v>
      </c>
      <c r="W144" s="26">
        <v>3000000</v>
      </c>
      <c r="X144" s="6" t="s">
        <v>2003</v>
      </c>
      <c r="Y144" s="6" t="s">
        <v>1152</v>
      </c>
      <c r="Z144" s="6">
        <v>223783</v>
      </c>
    </row>
    <row r="145" spans="1:26" x14ac:dyDescent="0.3">
      <c r="A145" s="28" t="s">
        <v>42</v>
      </c>
      <c r="B145" s="6" t="s">
        <v>1326</v>
      </c>
      <c r="C145" s="6" t="s">
        <v>1974</v>
      </c>
      <c r="D145" s="6" t="s">
        <v>2291</v>
      </c>
      <c r="E145" s="6">
        <v>1</v>
      </c>
      <c r="F145" s="6" t="s">
        <v>2004</v>
      </c>
      <c r="G145" s="32" t="s">
        <v>2299</v>
      </c>
      <c r="H145" s="32" t="s">
        <v>2300</v>
      </c>
      <c r="I145" s="6" t="str">
        <f t="shared" si="7"/>
        <v>Etc Grapple</v>
      </c>
      <c r="J145" s="6" t="s">
        <v>136</v>
      </c>
      <c r="K145" s="6">
        <v>1</v>
      </c>
      <c r="L145" s="6">
        <f t="shared" si="8"/>
        <v>2580000</v>
      </c>
      <c r="M145" s="6">
        <v>2200000</v>
      </c>
      <c r="N145" s="6" t="s">
        <v>2003</v>
      </c>
      <c r="O145" s="6" t="s">
        <v>2029</v>
      </c>
      <c r="P145" s="6">
        <v>2007</v>
      </c>
      <c r="Q145" s="6">
        <v>1</v>
      </c>
      <c r="R145" s="6" t="s">
        <v>45</v>
      </c>
      <c r="S145" s="32" t="s">
        <v>2123</v>
      </c>
      <c r="T145" s="6">
        <v>1</v>
      </c>
      <c r="U145" s="26">
        <v>2000000</v>
      </c>
      <c r="V145" s="26">
        <v>2000000</v>
      </c>
      <c r="W145" s="26">
        <v>2000000</v>
      </c>
      <c r="X145" s="6" t="s">
        <v>2003</v>
      </c>
      <c r="Y145" s="6" t="s">
        <v>1143</v>
      </c>
      <c r="Z145" s="6">
        <v>223784</v>
      </c>
    </row>
    <row r="146" spans="1:26" x14ac:dyDescent="0.3">
      <c r="A146" s="28" t="s">
        <v>42</v>
      </c>
      <c r="B146" s="6" t="s">
        <v>2167</v>
      </c>
      <c r="C146" s="6" t="s">
        <v>1975</v>
      </c>
      <c r="D146" s="6" t="s">
        <v>2001</v>
      </c>
      <c r="E146" s="6">
        <v>1</v>
      </c>
      <c r="F146" s="6" t="s">
        <v>2004</v>
      </c>
      <c r="G146" s="32" t="s">
        <v>2299</v>
      </c>
      <c r="H146" s="32" t="s">
        <v>2300</v>
      </c>
      <c r="I146" s="6" t="str">
        <f t="shared" si="7"/>
        <v>Side Breaker</v>
      </c>
      <c r="J146" s="6" t="s">
        <v>150</v>
      </c>
      <c r="K146" s="6">
        <v>1</v>
      </c>
      <c r="L146" s="6">
        <f t="shared" si="8"/>
        <v>10000000</v>
      </c>
      <c r="M146" s="6">
        <v>8500000</v>
      </c>
      <c r="N146" s="6" t="s">
        <v>2003</v>
      </c>
      <c r="O146" s="6" t="s">
        <v>1843</v>
      </c>
      <c r="P146" s="6">
        <v>2013</v>
      </c>
      <c r="Q146" s="6">
        <v>1</v>
      </c>
      <c r="R146" s="6" t="s">
        <v>45</v>
      </c>
      <c r="S146" s="32" t="s">
        <v>2116</v>
      </c>
      <c r="T146" s="6">
        <v>1</v>
      </c>
      <c r="U146" s="26">
        <v>8000000</v>
      </c>
      <c r="V146" s="26">
        <v>8000000</v>
      </c>
      <c r="W146" s="26">
        <v>8000000</v>
      </c>
      <c r="X146" s="6" t="s">
        <v>2003</v>
      </c>
      <c r="Y146" s="6" t="s">
        <v>60</v>
      </c>
      <c r="Z146" s="6">
        <v>223792</v>
      </c>
    </row>
    <row r="147" spans="1:26" x14ac:dyDescent="0.3">
      <c r="A147" s="28" t="s">
        <v>42</v>
      </c>
      <c r="B147" s="6" t="s">
        <v>2159</v>
      </c>
      <c r="C147" s="19"/>
      <c r="D147" s="6" t="s">
        <v>2289</v>
      </c>
      <c r="E147" s="6">
        <v>1</v>
      </c>
      <c r="F147" s="6" t="s">
        <v>2004</v>
      </c>
      <c r="G147" s="32" t="s">
        <v>2299</v>
      </c>
      <c r="H147" s="32" t="s">
        <v>2300</v>
      </c>
      <c r="I147" s="6" t="str">
        <f t="shared" si="7"/>
        <v>ETC</v>
      </c>
      <c r="J147" s="6" t="s">
        <v>151</v>
      </c>
      <c r="K147" s="6">
        <v>1</v>
      </c>
      <c r="L147" s="6">
        <f t="shared" si="8"/>
        <v>8230000</v>
      </c>
      <c r="M147" s="6">
        <v>7000000</v>
      </c>
      <c r="N147" s="6" t="s">
        <v>2003</v>
      </c>
      <c r="O147" s="6" t="s">
        <v>1844</v>
      </c>
      <c r="P147" s="6">
        <v>2010</v>
      </c>
      <c r="Q147" s="6">
        <v>1</v>
      </c>
      <c r="R147" s="6" t="s">
        <v>45</v>
      </c>
      <c r="S147" s="32" t="s">
        <v>2118</v>
      </c>
      <c r="T147" s="6">
        <v>1</v>
      </c>
      <c r="U147" s="26">
        <v>6500000</v>
      </c>
      <c r="V147" s="26">
        <v>6500000</v>
      </c>
      <c r="W147" s="26">
        <v>6500000</v>
      </c>
      <c r="X147" s="6" t="s">
        <v>2003</v>
      </c>
      <c r="Y147" s="6" t="s">
        <v>63</v>
      </c>
      <c r="Z147" s="6">
        <v>223793</v>
      </c>
    </row>
    <row r="148" spans="1:26" x14ac:dyDescent="0.3">
      <c r="A148" s="28" t="s">
        <v>42</v>
      </c>
      <c r="B148" s="6" t="s">
        <v>2167</v>
      </c>
      <c r="C148" s="6" t="s">
        <v>1975</v>
      </c>
      <c r="D148" s="6" t="s">
        <v>2291</v>
      </c>
      <c r="E148" s="6">
        <v>1</v>
      </c>
      <c r="F148" s="6" t="s">
        <v>2004</v>
      </c>
      <c r="G148" s="32" t="s">
        <v>2299</v>
      </c>
      <c r="H148" s="32" t="s">
        <v>2300</v>
      </c>
      <c r="I148" s="6" t="str">
        <f t="shared" si="7"/>
        <v>Side Breaker</v>
      </c>
      <c r="J148" s="6" t="s">
        <v>389</v>
      </c>
      <c r="K148" s="6">
        <v>1</v>
      </c>
      <c r="L148" s="6">
        <f t="shared" si="8"/>
        <v>1760000</v>
      </c>
      <c r="M148" s="6">
        <v>1500000</v>
      </c>
      <c r="N148" s="6" t="s">
        <v>2003</v>
      </c>
      <c r="O148" s="6" t="s">
        <v>822</v>
      </c>
      <c r="P148" s="6">
        <v>2015</v>
      </c>
      <c r="Q148" s="6">
        <v>5</v>
      </c>
      <c r="R148" s="6" t="s">
        <v>45</v>
      </c>
      <c r="S148" s="32" t="s">
        <v>2123</v>
      </c>
      <c r="T148" s="6">
        <v>1</v>
      </c>
      <c r="U148" s="26">
        <v>1400000</v>
      </c>
      <c r="V148" s="26">
        <v>1400000</v>
      </c>
      <c r="W148" s="26">
        <v>1400000</v>
      </c>
      <c r="X148" s="6" t="s">
        <v>2003</v>
      </c>
      <c r="Y148" s="6" t="s">
        <v>92</v>
      </c>
      <c r="Z148" s="6">
        <v>223794</v>
      </c>
    </row>
    <row r="149" spans="1:26" x14ac:dyDescent="0.3">
      <c r="A149" s="28" t="s">
        <v>42</v>
      </c>
      <c r="B149" s="6" t="s">
        <v>2159</v>
      </c>
      <c r="C149" s="6"/>
      <c r="D149" s="6" t="s">
        <v>2290</v>
      </c>
      <c r="E149" s="6">
        <v>1</v>
      </c>
      <c r="F149" s="6" t="s">
        <v>2004</v>
      </c>
      <c r="G149" s="32" t="s">
        <v>2299</v>
      </c>
      <c r="H149" s="32" t="s">
        <v>2300</v>
      </c>
      <c r="I149" s="6" t="str">
        <f t="shared" si="7"/>
        <v>ETC</v>
      </c>
      <c r="J149" s="6" t="s">
        <v>401</v>
      </c>
      <c r="K149" s="6">
        <v>1</v>
      </c>
      <c r="L149" s="6">
        <f t="shared" si="8"/>
        <v>1170000</v>
      </c>
      <c r="M149" s="6">
        <v>1000000</v>
      </c>
      <c r="N149" s="6" t="s">
        <v>2003</v>
      </c>
      <c r="O149" s="6" t="s">
        <v>813</v>
      </c>
      <c r="P149" s="6">
        <v>2013</v>
      </c>
      <c r="Q149" s="6">
        <v>1</v>
      </c>
      <c r="R149" s="6" t="s">
        <v>45</v>
      </c>
      <c r="S149" s="32" t="s">
        <v>2113</v>
      </c>
      <c r="T149" s="6">
        <v>1</v>
      </c>
      <c r="U149" s="26">
        <v>900000</v>
      </c>
      <c r="V149" s="26">
        <v>900000</v>
      </c>
      <c r="W149" s="26">
        <v>900000</v>
      </c>
      <c r="X149" s="6" t="s">
        <v>2003</v>
      </c>
      <c r="Y149" s="6" t="s">
        <v>80</v>
      </c>
      <c r="Z149" s="6">
        <v>223795</v>
      </c>
    </row>
    <row r="150" spans="1:26" x14ac:dyDescent="0.3">
      <c r="A150" s="28" t="s">
        <v>42</v>
      </c>
      <c r="B150" s="6" t="s">
        <v>2172</v>
      </c>
      <c r="C150" s="6"/>
      <c r="D150" s="6" t="s">
        <v>2001</v>
      </c>
      <c r="E150" s="6">
        <v>1</v>
      </c>
      <c r="F150" s="6" t="s">
        <v>2004</v>
      </c>
      <c r="G150" s="32" t="s">
        <v>2299</v>
      </c>
      <c r="H150" s="32" t="s">
        <v>2300</v>
      </c>
      <c r="I150" s="6" t="str">
        <f t="shared" si="7"/>
        <v>Quick Coupler</v>
      </c>
      <c r="J150" s="6" t="s">
        <v>231</v>
      </c>
      <c r="K150" s="6">
        <v>1</v>
      </c>
      <c r="L150" s="6">
        <f t="shared" si="8"/>
        <v>1760000</v>
      </c>
      <c r="M150" s="6">
        <v>1500000</v>
      </c>
      <c r="N150" s="6" t="s">
        <v>2003</v>
      </c>
      <c r="O150" s="6" t="s">
        <v>885</v>
      </c>
      <c r="P150" s="6">
        <v>2014</v>
      </c>
      <c r="Q150" s="6">
        <v>1</v>
      </c>
      <c r="R150" s="6" t="s">
        <v>45</v>
      </c>
      <c r="S150" s="32" t="s">
        <v>2119</v>
      </c>
      <c r="T150" s="6">
        <v>1</v>
      </c>
      <c r="U150" s="26">
        <v>1400000</v>
      </c>
      <c r="V150" s="26">
        <v>1400000</v>
      </c>
      <c r="W150" s="26">
        <v>1400000</v>
      </c>
      <c r="X150" s="6" t="s">
        <v>2003</v>
      </c>
      <c r="Y150" s="6" t="s">
        <v>60</v>
      </c>
      <c r="Z150" s="6">
        <v>223805</v>
      </c>
    </row>
    <row r="151" spans="1:26" x14ac:dyDescent="0.3">
      <c r="A151" s="28" t="s">
        <v>42</v>
      </c>
      <c r="B151" s="6" t="s">
        <v>2190</v>
      </c>
      <c r="C151" s="6"/>
      <c r="D151" s="6" t="s">
        <v>2292</v>
      </c>
      <c r="E151" s="6">
        <v>1</v>
      </c>
      <c r="F151" s="6" t="s">
        <v>2004</v>
      </c>
      <c r="G151" s="32" t="s">
        <v>2299</v>
      </c>
      <c r="H151" s="32" t="s">
        <v>2300</v>
      </c>
      <c r="I151" s="6" t="str">
        <f t="shared" si="7"/>
        <v>Lift Fork</v>
      </c>
      <c r="J151" s="6" t="s">
        <v>529</v>
      </c>
      <c r="K151" s="6">
        <v>1</v>
      </c>
      <c r="L151" s="6">
        <f t="shared" si="8"/>
        <v>1470000</v>
      </c>
      <c r="M151" s="6">
        <v>1250000</v>
      </c>
      <c r="N151" s="6" t="s">
        <v>2003</v>
      </c>
      <c r="O151" s="6" t="s">
        <v>2030</v>
      </c>
      <c r="P151" s="6">
        <v>2017</v>
      </c>
      <c r="Q151" s="6">
        <v>1</v>
      </c>
      <c r="R151" s="6" t="s">
        <v>45</v>
      </c>
      <c r="S151" s="32" t="s">
        <v>2110</v>
      </c>
      <c r="T151" s="6">
        <v>1</v>
      </c>
      <c r="U151" s="26">
        <v>1150000</v>
      </c>
      <c r="V151" s="26">
        <v>1150000</v>
      </c>
      <c r="W151" s="26">
        <v>1150000</v>
      </c>
      <c r="X151" s="6" t="s">
        <v>2003</v>
      </c>
      <c r="Y151" s="6" t="s">
        <v>1155</v>
      </c>
      <c r="Z151" s="6">
        <v>223810</v>
      </c>
    </row>
    <row r="152" spans="1:26" x14ac:dyDescent="0.3">
      <c r="A152" s="28" t="s">
        <v>42</v>
      </c>
      <c r="B152" s="6" t="s">
        <v>1326</v>
      </c>
      <c r="C152" s="6" t="s">
        <v>1972</v>
      </c>
      <c r="D152" s="6" t="s">
        <v>2290</v>
      </c>
      <c r="E152" s="6">
        <v>1</v>
      </c>
      <c r="F152" s="6" t="s">
        <v>2004</v>
      </c>
      <c r="G152" s="32" t="s">
        <v>2299</v>
      </c>
      <c r="H152" s="32" t="s">
        <v>2300</v>
      </c>
      <c r="I152" s="6" t="str">
        <f t="shared" si="7"/>
        <v>Stone Grapple</v>
      </c>
      <c r="J152" s="6" t="s">
        <v>217</v>
      </c>
      <c r="K152" s="6">
        <v>1</v>
      </c>
      <c r="L152" s="6">
        <f t="shared" si="8"/>
        <v>7640000</v>
      </c>
      <c r="M152" s="6">
        <v>6500000</v>
      </c>
      <c r="N152" s="6" t="s">
        <v>2003</v>
      </c>
      <c r="O152" s="6" t="s">
        <v>813</v>
      </c>
      <c r="P152" s="6">
        <v>2013</v>
      </c>
      <c r="Q152" s="6">
        <v>1</v>
      </c>
      <c r="R152" s="6" t="s">
        <v>45</v>
      </c>
      <c r="S152" s="32" t="s">
        <v>2113</v>
      </c>
      <c r="T152" s="6">
        <v>1</v>
      </c>
      <c r="U152" s="26">
        <v>6000000</v>
      </c>
      <c r="V152" s="26">
        <v>6000000</v>
      </c>
      <c r="W152" s="26">
        <v>6000000</v>
      </c>
      <c r="X152" s="6" t="s">
        <v>2003</v>
      </c>
      <c r="Y152" s="6" t="s">
        <v>79</v>
      </c>
      <c r="Z152" s="6">
        <v>223814</v>
      </c>
    </row>
    <row r="153" spans="1:26" x14ac:dyDescent="0.3">
      <c r="A153" s="28" t="s">
        <v>42</v>
      </c>
      <c r="B153" s="6" t="s">
        <v>1326</v>
      </c>
      <c r="C153" s="6" t="s">
        <v>1972</v>
      </c>
      <c r="D153" s="6" t="s">
        <v>2292</v>
      </c>
      <c r="E153" s="6">
        <v>1</v>
      </c>
      <c r="F153" s="6" t="s">
        <v>2004</v>
      </c>
      <c r="G153" s="32" t="s">
        <v>2299</v>
      </c>
      <c r="H153" s="32" t="s">
        <v>2300</v>
      </c>
      <c r="I153" s="6" t="str">
        <f t="shared" si="7"/>
        <v>Stone Grapple</v>
      </c>
      <c r="J153" s="6" t="s">
        <v>44</v>
      </c>
      <c r="K153" s="6">
        <v>1</v>
      </c>
      <c r="L153" s="6">
        <f t="shared" si="8"/>
        <v>2700000</v>
      </c>
      <c r="M153" s="6">
        <v>2300000</v>
      </c>
      <c r="N153" s="6" t="s">
        <v>2003</v>
      </c>
      <c r="O153" s="6" t="s">
        <v>813</v>
      </c>
      <c r="P153" s="6">
        <v>2013</v>
      </c>
      <c r="Q153" s="6">
        <v>1</v>
      </c>
      <c r="R153" s="6" t="s">
        <v>45</v>
      </c>
      <c r="S153" s="32" t="s">
        <v>2113</v>
      </c>
      <c r="T153" s="6">
        <v>1</v>
      </c>
      <c r="U153" s="26">
        <v>2100000</v>
      </c>
      <c r="V153" s="26">
        <v>2100000</v>
      </c>
      <c r="W153" s="26">
        <v>2100000</v>
      </c>
      <c r="X153" s="6" t="s">
        <v>2003</v>
      </c>
      <c r="Y153" s="6" t="s">
        <v>80</v>
      </c>
      <c r="Z153" s="6">
        <v>223815</v>
      </c>
    </row>
    <row r="154" spans="1:26" x14ac:dyDescent="0.3">
      <c r="A154" s="28" t="s">
        <v>42</v>
      </c>
      <c r="B154" s="6" t="s">
        <v>1326</v>
      </c>
      <c r="C154" s="6" t="s">
        <v>1984</v>
      </c>
      <c r="D154" s="6" t="s">
        <v>2290</v>
      </c>
      <c r="E154" s="6">
        <v>1</v>
      </c>
      <c r="F154" s="6" t="s">
        <v>2004</v>
      </c>
      <c r="G154" s="32" t="s">
        <v>2299</v>
      </c>
      <c r="H154" s="32" t="s">
        <v>2300</v>
      </c>
      <c r="I154" s="6" t="str">
        <f t="shared" si="7"/>
        <v>Scrap Grapple</v>
      </c>
      <c r="J154" s="6" t="s">
        <v>323</v>
      </c>
      <c r="K154" s="6">
        <v>1</v>
      </c>
      <c r="L154" s="6">
        <f t="shared" si="8"/>
        <v>6470000</v>
      </c>
      <c r="M154" s="6">
        <v>5500000</v>
      </c>
      <c r="N154" s="6" t="s">
        <v>2003</v>
      </c>
      <c r="O154" s="6" t="s">
        <v>886</v>
      </c>
      <c r="P154" s="6">
        <v>2012</v>
      </c>
      <c r="Q154" s="6">
        <v>1</v>
      </c>
      <c r="R154" s="6" t="s">
        <v>45</v>
      </c>
      <c r="S154" s="32" t="s">
        <v>2116</v>
      </c>
      <c r="T154" s="6">
        <v>1</v>
      </c>
      <c r="U154" s="26">
        <v>5000000</v>
      </c>
      <c r="V154" s="26">
        <v>5000000</v>
      </c>
      <c r="W154" s="26">
        <v>5000000</v>
      </c>
      <c r="X154" s="6" t="s">
        <v>2003</v>
      </c>
      <c r="Y154" s="6" t="s">
        <v>1250</v>
      </c>
      <c r="Z154" s="6">
        <v>223816</v>
      </c>
    </row>
    <row r="155" spans="1:26" x14ac:dyDescent="0.3">
      <c r="A155" s="28" t="s">
        <v>42</v>
      </c>
      <c r="B155" s="6" t="s">
        <v>1326</v>
      </c>
      <c r="C155" s="6" t="s">
        <v>1972</v>
      </c>
      <c r="D155" s="6" t="s">
        <v>2291</v>
      </c>
      <c r="E155" s="6">
        <v>1</v>
      </c>
      <c r="F155" s="6" t="s">
        <v>2004</v>
      </c>
      <c r="G155" s="32" t="s">
        <v>2299</v>
      </c>
      <c r="H155" s="32" t="s">
        <v>2300</v>
      </c>
      <c r="I155" s="6" t="str">
        <f t="shared" si="7"/>
        <v>Stone Grapple</v>
      </c>
      <c r="J155" s="6" t="s">
        <v>168</v>
      </c>
      <c r="K155" s="6">
        <v>1</v>
      </c>
      <c r="L155" s="6">
        <f t="shared" si="8"/>
        <v>1760000</v>
      </c>
      <c r="M155" s="6">
        <v>1500000</v>
      </c>
      <c r="N155" s="6" t="s">
        <v>2003</v>
      </c>
      <c r="O155" s="6" t="s">
        <v>1845</v>
      </c>
      <c r="P155" s="6">
        <v>2012</v>
      </c>
      <c r="Q155" s="6">
        <v>1</v>
      </c>
      <c r="R155" s="6" t="s">
        <v>45</v>
      </c>
      <c r="S155" s="32" t="s">
        <v>2110</v>
      </c>
      <c r="T155" s="6">
        <v>1</v>
      </c>
      <c r="U155" s="26">
        <v>1400000</v>
      </c>
      <c r="V155" s="26">
        <v>1400000</v>
      </c>
      <c r="W155" s="26">
        <v>1400000</v>
      </c>
      <c r="X155" s="6" t="s">
        <v>2003</v>
      </c>
      <c r="Y155" s="6" t="s">
        <v>1150</v>
      </c>
      <c r="Z155" s="6">
        <v>223819</v>
      </c>
    </row>
    <row r="156" spans="1:26" x14ac:dyDescent="0.3">
      <c r="A156" s="28" t="s">
        <v>42</v>
      </c>
      <c r="B156" s="6" t="s">
        <v>1327</v>
      </c>
      <c r="C156" s="19" t="s">
        <v>1982</v>
      </c>
      <c r="D156" s="6" t="s">
        <v>2001</v>
      </c>
      <c r="E156" s="6">
        <v>1</v>
      </c>
      <c r="F156" s="6" t="s">
        <v>2004</v>
      </c>
      <c r="G156" s="32" t="s">
        <v>2299</v>
      </c>
      <c r="H156" s="32" t="s">
        <v>2300</v>
      </c>
      <c r="I156" s="6" t="str">
        <f t="shared" si="7"/>
        <v>Standard Bucket</v>
      </c>
      <c r="J156" s="6" t="s">
        <v>260</v>
      </c>
      <c r="K156" s="6">
        <v>1</v>
      </c>
      <c r="L156" s="6">
        <f t="shared" si="8"/>
        <v>2350000</v>
      </c>
      <c r="M156" s="6">
        <v>2000000</v>
      </c>
      <c r="N156" s="6" t="s">
        <v>2003</v>
      </c>
      <c r="O156" s="6" t="s">
        <v>887</v>
      </c>
      <c r="P156" s="6">
        <v>2015</v>
      </c>
      <c r="Q156" s="6">
        <v>1</v>
      </c>
      <c r="R156" s="6" t="s">
        <v>45</v>
      </c>
      <c r="S156" s="32" t="s">
        <v>2116</v>
      </c>
      <c r="T156" s="6">
        <v>1</v>
      </c>
      <c r="U156" s="26">
        <v>1900000</v>
      </c>
      <c r="V156" s="26">
        <v>1900000</v>
      </c>
      <c r="W156" s="26">
        <v>1900000</v>
      </c>
      <c r="X156" s="6" t="s">
        <v>2003</v>
      </c>
      <c r="Y156" s="6" t="s">
        <v>1185</v>
      </c>
      <c r="Z156" s="6">
        <v>223821</v>
      </c>
    </row>
    <row r="157" spans="1:26" x14ac:dyDescent="0.3">
      <c r="A157" s="28" t="s">
        <v>42</v>
      </c>
      <c r="B157" s="6" t="s">
        <v>2167</v>
      </c>
      <c r="C157" s="6" t="s">
        <v>1975</v>
      </c>
      <c r="D157" s="6" t="s">
        <v>2291</v>
      </c>
      <c r="E157" s="6">
        <v>1</v>
      </c>
      <c r="F157" s="6" t="s">
        <v>2004</v>
      </c>
      <c r="G157" s="32" t="s">
        <v>2299</v>
      </c>
      <c r="H157" s="32" t="s">
        <v>2300</v>
      </c>
      <c r="I157" s="6" t="str">
        <f t="shared" si="7"/>
        <v>Side Breaker</v>
      </c>
      <c r="J157" s="6" t="s">
        <v>312</v>
      </c>
      <c r="K157" s="6">
        <v>1</v>
      </c>
      <c r="L157" s="6">
        <f t="shared" si="8"/>
        <v>3170000</v>
      </c>
      <c r="M157" s="6">
        <v>2700000</v>
      </c>
      <c r="N157" s="6" t="s">
        <v>2003</v>
      </c>
      <c r="O157" s="6" t="s">
        <v>2031</v>
      </c>
      <c r="P157" s="6">
        <v>2015</v>
      </c>
      <c r="Q157" s="6">
        <v>7</v>
      </c>
      <c r="R157" s="6" t="s">
        <v>45</v>
      </c>
      <c r="S157" s="32" t="s">
        <v>2123</v>
      </c>
      <c r="T157" s="6">
        <v>1</v>
      </c>
      <c r="U157" s="26">
        <v>2500000</v>
      </c>
      <c r="V157" s="26">
        <v>2500000</v>
      </c>
      <c r="W157" s="26">
        <v>2500000</v>
      </c>
      <c r="X157" s="6" t="s">
        <v>2003</v>
      </c>
      <c r="Y157" s="6" t="s">
        <v>1151</v>
      </c>
      <c r="Z157" s="6">
        <v>223823</v>
      </c>
    </row>
    <row r="158" spans="1:26" x14ac:dyDescent="0.3">
      <c r="A158" s="28" t="s">
        <v>42</v>
      </c>
      <c r="B158" s="6" t="s">
        <v>1326</v>
      </c>
      <c r="C158" s="6" t="s">
        <v>1972</v>
      </c>
      <c r="D158" s="6" t="s">
        <v>2001</v>
      </c>
      <c r="E158" s="6">
        <v>1</v>
      </c>
      <c r="F158" s="6" t="s">
        <v>2004</v>
      </c>
      <c r="G158" s="32" t="s">
        <v>2299</v>
      </c>
      <c r="H158" s="32" t="s">
        <v>2300</v>
      </c>
      <c r="I158" s="6" t="str">
        <f t="shared" si="7"/>
        <v>Stone Grapple</v>
      </c>
      <c r="J158" s="6" t="s">
        <v>472</v>
      </c>
      <c r="K158" s="6">
        <v>1</v>
      </c>
      <c r="L158" s="6">
        <f t="shared" si="8"/>
        <v>11170000</v>
      </c>
      <c r="M158" s="6">
        <v>9500000</v>
      </c>
      <c r="N158" s="6" t="s">
        <v>2003</v>
      </c>
      <c r="O158" s="6" t="s">
        <v>888</v>
      </c>
      <c r="P158" s="6">
        <v>2014</v>
      </c>
      <c r="Q158" s="6">
        <v>7</v>
      </c>
      <c r="R158" s="6" t="s">
        <v>45</v>
      </c>
      <c r="S158" s="32" t="s">
        <v>2118</v>
      </c>
      <c r="T158" s="6">
        <v>1</v>
      </c>
      <c r="U158" s="26">
        <v>9000000</v>
      </c>
      <c r="V158" s="26">
        <v>9000000</v>
      </c>
      <c r="W158" s="26">
        <v>9000000</v>
      </c>
      <c r="X158" s="6" t="s">
        <v>2003</v>
      </c>
      <c r="Y158" s="6" t="s">
        <v>67</v>
      </c>
      <c r="Z158" s="6">
        <v>223831</v>
      </c>
    </row>
    <row r="159" spans="1:26" x14ac:dyDescent="0.3">
      <c r="A159" s="28" t="s">
        <v>42</v>
      </c>
      <c r="B159" s="6" t="s">
        <v>1327</v>
      </c>
      <c r="C159" s="6" t="s">
        <v>1980</v>
      </c>
      <c r="D159" s="6" t="s">
        <v>2292</v>
      </c>
      <c r="E159" s="6">
        <v>1</v>
      </c>
      <c r="F159" s="6" t="s">
        <v>2004</v>
      </c>
      <c r="G159" s="32" t="s">
        <v>2299</v>
      </c>
      <c r="H159" s="32" t="s">
        <v>2300</v>
      </c>
      <c r="I159" s="6" t="str">
        <f t="shared" si="7"/>
        <v>Small Bucket</v>
      </c>
      <c r="J159" s="6" t="s">
        <v>97</v>
      </c>
      <c r="K159" s="6">
        <v>1</v>
      </c>
      <c r="L159" s="6">
        <f t="shared" si="8"/>
        <v>700000</v>
      </c>
      <c r="M159" s="6">
        <v>600000</v>
      </c>
      <c r="N159" s="6" t="s">
        <v>2003</v>
      </c>
      <c r="O159" s="6" t="s">
        <v>813</v>
      </c>
      <c r="P159" s="6">
        <v>2013</v>
      </c>
      <c r="Q159" s="6">
        <v>1</v>
      </c>
      <c r="R159" s="6" t="s">
        <v>45</v>
      </c>
      <c r="S159" s="32" t="s">
        <v>2113</v>
      </c>
      <c r="T159" s="6">
        <v>1</v>
      </c>
      <c r="U159" s="26">
        <v>500000</v>
      </c>
      <c r="V159" s="26">
        <v>500000</v>
      </c>
      <c r="W159" s="26">
        <v>500000</v>
      </c>
      <c r="X159" s="6" t="s">
        <v>2003</v>
      </c>
      <c r="Y159" s="6" t="s">
        <v>80</v>
      </c>
      <c r="Z159" s="6">
        <v>223837</v>
      </c>
    </row>
    <row r="160" spans="1:26" x14ac:dyDescent="0.3">
      <c r="A160" s="28" t="s">
        <v>42</v>
      </c>
      <c r="B160" s="6" t="s">
        <v>2167</v>
      </c>
      <c r="C160" s="6" t="s">
        <v>1975</v>
      </c>
      <c r="D160" s="6" t="s">
        <v>2001</v>
      </c>
      <c r="E160" s="6">
        <v>1</v>
      </c>
      <c r="F160" s="6" t="s">
        <v>2004</v>
      </c>
      <c r="G160" s="32" t="s">
        <v>2299</v>
      </c>
      <c r="H160" s="32" t="s">
        <v>2300</v>
      </c>
      <c r="I160" s="6" t="str">
        <f t="shared" si="7"/>
        <v>Side Breaker</v>
      </c>
      <c r="J160" s="6" t="s">
        <v>475</v>
      </c>
      <c r="K160" s="6">
        <v>1</v>
      </c>
      <c r="L160" s="6">
        <f t="shared" si="8"/>
        <v>11170000</v>
      </c>
      <c r="M160" s="6">
        <v>9500000</v>
      </c>
      <c r="N160" s="6" t="s">
        <v>2003</v>
      </c>
      <c r="O160" s="6" t="s">
        <v>890</v>
      </c>
      <c r="P160" s="6">
        <v>2014</v>
      </c>
      <c r="Q160" s="6">
        <v>1</v>
      </c>
      <c r="R160" s="6" t="s">
        <v>45</v>
      </c>
      <c r="S160" s="32" t="s">
        <v>2116</v>
      </c>
      <c r="T160" s="6">
        <v>1</v>
      </c>
      <c r="U160" s="26">
        <v>9000000</v>
      </c>
      <c r="V160" s="26">
        <v>9000000</v>
      </c>
      <c r="W160" s="26">
        <v>9000000</v>
      </c>
      <c r="X160" s="6" t="s">
        <v>2003</v>
      </c>
      <c r="Y160" s="6" t="s">
        <v>1262</v>
      </c>
      <c r="Z160" s="6">
        <v>223842</v>
      </c>
    </row>
    <row r="161" spans="1:26" x14ac:dyDescent="0.3">
      <c r="A161" s="28" t="s">
        <v>42</v>
      </c>
      <c r="B161" s="6" t="s">
        <v>2159</v>
      </c>
      <c r="C161" s="19"/>
      <c r="D161" s="6" t="s">
        <v>2001</v>
      </c>
      <c r="E161" s="6">
        <v>1</v>
      </c>
      <c r="F161" s="6" t="s">
        <v>2004</v>
      </c>
      <c r="G161" s="32" t="s">
        <v>2299</v>
      </c>
      <c r="H161" s="32" t="s">
        <v>2300</v>
      </c>
      <c r="I161" s="6" t="str">
        <f t="shared" si="7"/>
        <v>ETC</v>
      </c>
      <c r="J161" s="6" t="s">
        <v>477</v>
      </c>
      <c r="K161" s="6">
        <v>1</v>
      </c>
      <c r="L161" s="6">
        <f t="shared" si="8"/>
        <v>14700000</v>
      </c>
      <c r="M161" s="6">
        <v>12500000</v>
      </c>
      <c r="N161" s="6" t="s">
        <v>2003</v>
      </c>
      <c r="O161" s="6" t="s">
        <v>891</v>
      </c>
      <c r="P161" s="6">
        <v>2014</v>
      </c>
      <c r="Q161" s="6">
        <v>1</v>
      </c>
      <c r="R161" s="6" t="s">
        <v>45</v>
      </c>
      <c r="S161" s="32" t="s">
        <v>2121</v>
      </c>
      <c r="T161" s="6">
        <v>1</v>
      </c>
      <c r="U161" s="26">
        <v>12000000</v>
      </c>
      <c r="V161" s="26">
        <v>12000000</v>
      </c>
      <c r="W161" s="26">
        <v>12000000</v>
      </c>
      <c r="X161" s="6" t="s">
        <v>2003</v>
      </c>
      <c r="Y161" s="6" t="s">
        <v>1262</v>
      </c>
      <c r="Z161" s="6">
        <v>223845</v>
      </c>
    </row>
    <row r="162" spans="1:26" x14ac:dyDescent="0.3">
      <c r="A162" s="28" t="s">
        <v>42</v>
      </c>
      <c r="B162" s="6" t="s">
        <v>1326</v>
      </c>
      <c r="C162" s="19" t="s">
        <v>1974</v>
      </c>
      <c r="D162" s="6" t="s">
        <v>2001</v>
      </c>
      <c r="E162" s="6">
        <v>1</v>
      </c>
      <c r="F162" s="6" t="s">
        <v>2004</v>
      </c>
      <c r="G162" s="32" t="s">
        <v>2299</v>
      </c>
      <c r="H162" s="32" t="s">
        <v>2300</v>
      </c>
      <c r="I162" s="6" t="str">
        <f t="shared" si="7"/>
        <v>Etc Grapple</v>
      </c>
      <c r="J162" s="6" t="s">
        <v>157</v>
      </c>
      <c r="K162" s="6">
        <v>1</v>
      </c>
      <c r="L162" s="6">
        <f t="shared" si="8"/>
        <v>7640000</v>
      </c>
      <c r="M162" s="6">
        <v>6500000</v>
      </c>
      <c r="N162" s="6" t="s">
        <v>2003</v>
      </c>
      <c r="O162" s="6" t="s">
        <v>892</v>
      </c>
      <c r="P162" s="6">
        <v>2014</v>
      </c>
      <c r="Q162" s="6">
        <v>1</v>
      </c>
      <c r="R162" s="6" t="s">
        <v>45</v>
      </c>
      <c r="S162" s="32" t="s">
        <v>2121</v>
      </c>
      <c r="T162" s="6">
        <v>1</v>
      </c>
      <c r="U162" s="26">
        <v>6000000</v>
      </c>
      <c r="V162" s="26">
        <v>6000000</v>
      </c>
      <c r="W162" s="26">
        <v>6000000</v>
      </c>
      <c r="X162" s="6" t="s">
        <v>2003</v>
      </c>
      <c r="Y162" s="6" t="s">
        <v>1262</v>
      </c>
      <c r="Z162" s="6">
        <v>223851</v>
      </c>
    </row>
    <row r="163" spans="1:26" x14ac:dyDescent="0.3">
      <c r="A163" s="28" t="s">
        <v>42</v>
      </c>
      <c r="B163" s="6" t="s">
        <v>2193</v>
      </c>
      <c r="C163" s="6"/>
      <c r="D163" s="6" t="s">
        <v>2001</v>
      </c>
      <c r="E163" s="6">
        <v>1</v>
      </c>
      <c r="F163" s="6" t="s">
        <v>2004</v>
      </c>
      <c r="G163" s="32" t="s">
        <v>2299</v>
      </c>
      <c r="H163" s="32" t="s">
        <v>2300</v>
      </c>
      <c r="I163" s="6" t="str">
        <f t="shared" si="7"/>
        <v>Ripper</v>
      </c>
      <c r="J163" s="6" t="s">
        <v>478</v>
      </c>
      <c r="K163" s="6">
        <v>1</v>
      </c>
      <c r="L163" s="6">
        <f t="shared" si="8"/>
        <v>1520000</v>
      </c>
      <c r="M163" s="6">
        <v>1300000</v>
      </c>
      <c r="N163" s="6" t="s">
        <v>2003</v>
      </c>
      <c r="O163" s="6" t="s">
        <v>893</v>
      </c>
      <c r="P163" s="6">
        <v>2016</v>
      </c>
      <c r="Q163" s="6">
        <v>1</v>
      </c>
      <c r="R163" s="6" t="s">
        <v>45</v>
      </c>
      <c r="S163" s="32" t="s">
        <v>2121</v>
      </c>
      <c r="T163" s="6">
        <v>1</v>
      </c>
      <c r="U163" s="26">
        <v>1200000</v>
      </c>
      <c r="V163" s="26">
        <v>1200000</v>
      </c>
      <c r="W163" s="26">
        <v>1200000</v>
      </c>
      <c r="X163" s="6" t="s">
        <v>2003</v>
      </c>
      <c r="Y163" s="6" t="s">
        <v>1262</v>
      </c>
      <c r="Z163" s="6">
        <v>223854</v>
      </c>
    </row>
    <row r="164" spans="1:26" x14ac:dyDescent="0.3">
      <c r="A164" s="28" t="s">
        <v>42</v>
      </c>
      <c r="B164" s="6" t="s">
        <v>2322</v>
      </c>
      <c r="C164" s="6" t="s">
        <v>1972</v>
      </c>
      <c r="D164" s="6" t="s">
        <v>2292</v>
      </c>
      <c r="E164" s="6">
        <v>1</v>
      </c>
      <c r="F164" s="6" t="s">
        <v>2004</v>
      </c>
      <c r="G164" s="32" t="s">
        <v>2299</v>
      </c>
      <c r="H164" s="32" t="s">
        <v>2300</v>
      </c>
      <c r="I164" s="6" t="str">
        <f t="shared" si="7"/>
        <v>Stone Grapple</v>
      </c>
      <c r="J164" s="6" t="s">
        <v>120</v>
      </c>
      <c r="K164" s="6">
        <v>1</v>
      </c>
      <c r="L164" s="6">
        <f t="shared" si="8"/>
        <v>5880000</v>
      </c>
      <c r="M164" s="6">
        <v>5000000</v>
      </c>
      <c r="N164" s="6" t="s">
        <v>2003</v>
      </c>
      <c r="O164" s="6" t="s">
        <v>813</v>
      </c>
      <c r="P164" s="6">
        <v>2013</v>
      </c>
      <c r="Q164" s="6">
        <v>1</v>
      </c>
      <c r="R164" s="6" t="s">
        <v>45</v>
      </c>
      <c r="S164" s="32" t="s">
        <v>2113</v>
      </c>
      <c r="T164" s="6">
        <v>1</v>
      </c>
      <c r="U164" s="26">
        <v>4800000</v>
      </c>
      <c r="V164" s="26">
        <v>4800000</v>
      </c>
      <c r="W164" s="26">
        <v>4800000</v>
      </c>
      <c r="X164" s="6" t="s">
        <v>2003</v>
      </c>
      <c r="Y164" s="6" t="s">
        <v>79</v>
      </c>
      <c r="Z164" s="6">
        <v>223856</v>
      </c>
    </row>
    <row r="165" spans="1:26" x14ac:dyDescent="0.3">
      <c r="A165" s="28" t="s">
        <v>42</v>
      </c>
      <c r="B165" s="6" t="s">
        <v>2323</v>
      </c>
      <c r="C165" s="6"/>
      <c r="D165" s="6" t="s">
        <v>2291</v>
      </c>
      <c r="E165" s="6">
        <v>1</v>
      </c>
      <c r="F165" s="6" t="s">
        <v>2004</v>
      </c>
      <c r="G165" s="32" t="s">
        <v>2299</v>
      </c>
      <c r="H165" s="32" t="s">
        <v>2300</v>
      </c>
      <c r="I165" s="6" t="str">
        <f t="shared" si="7"/>
        <v>Ripper</v>
      </c>
      <c r="J165" s="6" t="s">
        <v>513</v>
      </c>
      <c r="K165" s="6">
        <v>1</v>
      </c>
      <c r="L165" s="6">
        <f t="shared" si="8"/>
        <v>500000</v>
      </c>
      <c r="M165" s="6">
        <v>430000</v>
      </c>
      <c r="N165" s="6" t="s">
        <v>2003</v>
      </c>
      <c r="O165" s="6" t="s">
        <v>2032</v>
      </c>
      <c r="P165" s="6">
        <v>2017</v>
      </c>
      <c r="Q165" s="6">
        <v>1</v>
      </c>
      <c r="R165" s="6" t="s">
        <v>45</v>
      </c>
      <c r="S165" s="32" t="s">
        <v>2110</v>
      </c>
      <c r="T165" s="6">
        <v>1</v>
      </c>
      <c r="U165" s="26">
        <v>380000</v>
      </c>
      <c r="V165" s="26">
        <v>380000</v>
      </c>
      <c r="W165" s="26">
        <v>380000</v>
      </c>
      <c r="X165" s="6" t="s">
        <v>2003</v>
      </c>
      <c r="Y165" s="6" t="s">
        <v>1155</v>
      </c>
      <c r="Z165" s="6">
        <v>223867</v>
      </c>
    </row>
    <row r="166" spans="1:26" x14ac:dyDescent="0.3">
      <c r="A166" s="28" t="s">
        <v>42</v>
      </c>
      <c r="B166" s="6" t="s">
        <v>2308</v>
      </c>
      <c r="C166" s="6" t="s">
        <v>1975</v>
      </c>
      <c r="D166" s="6" t="s">
        <v>2001</v>
      </c>
      <c r="E166" s="6">
        <v>1</v>
      </c>
      <c r="F166" s="6" t="s">
        <v>2004</v>
      </c>
      <c r="G166" s="32" t="s">
        <v>2299</v>
      </c>
      <c r="H166" s="32" t="s">
        <v>2300</v>
      </c>
      <c r="I166" s="6" t="str">
        <f t="shared" si="7"/>
        <v>Side Breaker</v>
      </c>
      <c r="J166" s="6" t="s">
        <v>481</v>
      </c>
      <c r="K166" s="6">
        <v>1</v>
      </c>
      <c r="L166" s="6">
        <f t="shared" si="8"/>
        <v>4940000</v>
      </c>
      <c r="M166" s="6">
        <v>4200000</v>
      </c>
      <c r="N166" s="6" t="s">
        <v>2003</v>
      </c>
      <c r="O166" s="6" t="s">
        <v>2009</v>
      </c>
      <c r="P166" s="6">
        <v>2009</v>
      </c>
      <c r="Q166" s="6">
        <v>1</v>
      </c>
      <c r="R166" s="6" t="s">
        <v>45</v>
      </c>
      <c r="S166" s="32" t="s">
        <v>2117</v>
      </c>
      <c r="T166" s="6">
        <v>1</v>
      </c>
      <c r="U166" s="26">
        <v>4000000</v>
      </c>
      <c r="V166" s="26">
        <v>4000000</v>
      </c>
      <c r="W166" s="26">
        <v>4000000</v>
      </c>
      <c r="X166" s="6" t="s">
        <v>2003</v>
      </c>
      <c r="Y166" s="6" t="s">
        <v>1152</v>
      </c>
      <c r="Z166" s="6">
        <v>223871</v>
      </c>
    </row>
    <row r="167" spans="1:26" x14ac:dyDescent="0.3">
      <c r="A167" s="28" t="s">
        <v>42</v>
      </c>
      <c r="B167" s="6" t="s">
        <v>2309</v>
      </c>
      <c r="C167" s="6" t="s">
        <v>1974</v>
      </c>
      <c r="D167" s="6" t="s">
        <v>2291</v>
      </c>
      <c r="E167" s="6">
        <v>1</v>
      </c>
      <c r="F167" s="6" t="s">
        <v>2004</v>
      </c>
      <c r="G167" s="32" t="s">
        <v>2299</v>
      </c>
      <c r="H167" s="32" t="s">
        <v>2300</v>
      </c>
      <c r="I167" s="6" t="str">
        <f t="shared" si="7"/>
        <v>Etc Grapple</v>
      </c>
      <c r="J167" s="6" t="s">
        <v>136</v>
      </c>
      <c r="K167" s="6">
        <v>1</v>
      </c>
      <c r="L167" s="6">
        <f t="shared" si="8"/>
        <v>2940000</v>
      </c>
      <c r="M167" s="6">
        <v>2500000</v>
      </c>
      <c r="N167" s="6" t="s">
        <v>2003</v>
      </c>
      <c r="O167" s="6" t="s">
        <v>895</v>
      </c>
      <c r="P167" s="6">
        <v>2015</v>
      </c>
      <c r="Q167" s="6">
        <v>1</v>
      </c>
      <c r="R167" s="6" t="s">
        <v>45</v>
      </c>
      <c r="S167" s="32" t="s">
        <v>2122</v>
      </c>
      <c r="T167" s="6">
        <v>1</v>
      </c>
      <c r="U167" s="26">
        <v>2300000</v>
      </c>
      <c r="V167" s="26">
        <v>2300000</v>
      </c>
      <c r="W167" s="26">
        <v>2300000</v>
      </c>
      <c r="X167" s="6" t="s">
        <v>2003</v>
      </c>
      <c r="Y167" s="6" t="s">
        <v>1188</v>
      </c>
      <c r="Z167" s="6">
        <v>223873</v>
      </c>
    </row>
    <row r="168" spans="1:26" x14ac:dyDescent="0.3">
      <c r="A168" s="28" t="s">
        <v>42</v>
      </c>
      <c r="B168" s="6" t="s">
        <v>2308</v>
      </c>
      <c r="C168" s="6" t="s">
        <v>1975</v>
      </c>
      <c r="D168" s="6" t="s">
        <v>2293</v>
      </c>
      <c r="E168" s="6">
        <v>1</v>
      </c>
      <c r="F168" s="6" t="s">
        <v>2004</v>
      </c>
      <c r="G168" s="32" t="s">
        <v>2299</v>
      </c>
      <c r="H168" s="32" t="s">
        <v>2300</v>
      </c>
      <c r="I168" s="6" t="str">
        <f t="shared" si="7"/>
        <v>Side Breaker</v>
      </c>
      <c r="J168" s="6" t="s">
        <v>172</v>
      </c>
      <c r="K168" s="6">
        <v>1</v>
      </c>
      <c r="L168" s="6">
        <f t="shared" si="8"/>
        <v>1520000</v>
      </c>
      <c r="M168" s="6">
        <v>1300000</v>
      </c>
      <c r="N168" s="6" t="s">
        <v>2003</v>
      </c>
      <c r="O168" s="6" t="s">
        <v>790</v>
      </c>
      <c r="P168" s="6">
        <v>2015</v>
      </c>
      <c r="Q168" s="6">
        <v>1</v>
      </c>
      <c r="R168" s="6" t="s">
        <v>45</v>
      </c>
      <c r="S168" s="32" t="s">
        <v>2112</v>
      </c>
      <c r="T168" s="6">
        <v>1</v>
      </c>
      <c r="U168" s="26">
        <v>1200000</v>
      </c>
      <c r="V168" s="26">
        <v>1200000</v>
      </c>
      <c r="W168" s="26">
        <v>1200000</v>
      </c>
      <c r="X168" s="6" t="s">
        <v>2003</v>
      </c>
      <c r="Y168" s="6" t="s">
        <v>1142</v>
      </c>
      <c r="Z168" s="6">
        <v>223879</v>
      </c>
    </row>
    <row r="169" spans="1:26" x14ac:dyDescent="0.3">
      <c r="A169" s="28" t="s">
        <v>42</v>
      </c>
      <c r="B169" s="6" t="s">
        <v>2308</v>
      </c>
      <c r="C169" s="6" t="s">
        <v>1975</v>
      </c>
      <c r="D169" s="6" t="s">
        <v>2292</v>
      </c>
      <c r="E169" s="6">
        <v>1</v>
      </c>
      <c r="F169" s="6" t="s">
        <v>2004</v>
      </c>
      <c r="G169" s="32" t="s">
        <v>2299</v>
      </c>
      <c r="H169" s="32" t="s">
        <v>2300</v>
      </c>
      <c r="I169" s="6" t="str">
        <f t="shared" si="7"/>
        <v>Side Breaker</v>
      </c>
      <c r="J169" s="6" t="s">
        <v>119</v>
      </c>
      <c r="K169" s="6">
        <v>1</v>
      </c>
      <c r="L169" s="6">
        <f t="shared" si="8"/>
        <v>3520000</v>
      </c>
      <c r="M169" s="6">
        <v>3000000</v>
      </c>
      <c r="N169" s="6" t="s">
        <v>2003</v>
      </c>
      <c r="O169" s="6" t="s">
        <v>789</v>
      </c>
      <c r="P169" s="6">
        <v>2007</v>
      </c>
      <c r="Q169" s="6">
        <v>1</v>
      </c>
      <c r="R169" s="6" t="s">
        <v>45</v>
      </c>
      <c r="S169" s="32" t="s">
        <v>2122</v>
      </c>
      <c r="T169" s="6">
        <v>1</v>
      </c>
      <c r="U169" s="26">
        <v>2800000</v>
      </c>
      <c r="V169" s="26">
        <v>2800000</v>
      </c>
      <c r="W169" s="26">
        <v>2800000</v>
      </c>
      <c r="X169" s="6" t="s">
        <v>2003</v>
      </c>
      <c r="Y169" s="6" t="s">
        <v>65</v>
      </c>
      <c r="Z169" s="6">
        <v>223889</v>
      </c>
    </row>
    <row r="170" spans="1:26" x14ac:dyDescent="0.3">
      <c r="A170" s="28" t="s">
        <v>42</v>
      </c>
      <c r="B170" s="6" t="s">
        <v>2317</v>
      </c>
      <c r="C170" s="6"/>
      <c r="D170" s="6" t="s">
        <v>2292</v>
      </c>
      <c r="E170" s="6">
        <v>1</v>
      </c>
      <c r="F170" s="6" t="s">
        <v>2004</v>
      </c>
      <c r="G170" s="32" t="s">
        <v>2299</v>
      </c>
      <c r="H170" s="32" t="s">
        <v>2300</v>
      </c>
      <c r="I170" s="6" t="str">
        <f t="shared" si="7"/>
        <v>Shear&amp;Cutter</v>
      </c>
      <c r="J170" s="6" t="s">
        <v>646</v>
      </c>
      <c r="K170" s="6">
        <v>1</v>
      </c>
      <c r="L170" s="6">
        <f t="shared" si="8"/>
        <v>18230000</v>
      </c>
      <c r="M170" s="6">
        <v>15500000</v>
      </c>
      <c r="N170" s="6" t="s">
        <v>2003</v>
      </c>
      <c r="O170" s="6" t="s">
        <v>789</v>
      </c>
      <c r="P170" s="6">
        <v>2014</v>
      </c>
      <c r="Q170" s="6">
        <v>1</v>
      </c>
      <c r="R170" s="6" t="s">
        <v>45</v>
      </c>
      <c r="S170" s="32" t="s">
        <v>2122</v>
      </c>
      <c r="T170" s="6">
        <v>1</v>
      </c>
      <c r="U170" s="26">
        <v>15000000</v>
      </c>
      <c r="V170" s="26">
        <v>15000000</v>
      </c>
      <c r="W170" s="26">
        <v>15000000</v>
      </c>
      <c r="X170" s="6" t="s">
        <v>2003</v>
      </c>
      <c r="Y170" s="6" t="s">
        <v>65</v>
      </c>
      <c r="Z170" s="6">
        <v>223891</v>
      </c>
    </row>
    <row r="171" spans="1:26" x14ac:dyDescent="0.3">
      <c r="A171" s="28" t="s">
        <v>42</v>
      </c>
      <c r="B171" s="6" t="s">
        <v>2309</v>
      </c>
      <c r="C171" s="6" t="s">
        <v>1974</v>
      </c>
      <c r="D171" s="6" t="s">
        <v>2292</v>
      </c>
      <c r="E171" s="6">
        <v>1</v>
      </c>
      <c r="F171" s="6" t="s">
        <v>2004</v>
      </c>
      <c r="G171" s="32" t="s">
        <v>2299</v>
      </c>
      <c r="H171" s="32" t="s">
        <v>2300</v>
      </c>
      <c r="I171" s="6" t="str">
        <f t="shared" si="7"/>
        <v>Etc Grapple</v>
      </c>
      <c r="J171" s="6" t="s">
        <v>125</v>
      </c>
      <c r="K171" s="6">
        <v>1</v>
      </c>
      <c r="L171" s="6">
        <f t="shared" si="8"/>
        <v>3760000</v>
      </c>
      <c r="M171" s="6">
        <v>3200000</v>
      </c>
      <c r="N171" s="6" t="s">
        <v>2003</v>
      </c>
      <c r="O171" s="6" t="s">
        <v>897</v>
      </c>
      <c r="P171" s="6">
        <v>2012</v>
      </c>
      <c r="Q171" s="6">
        <v>1</v>
      </c>
      <c r="R171" s="6" t="s">
        <v>45</v>
      </c>
      <c r="S171" s="32" t="s">
        <v>2125</v>
      </c>
      <c r="T171" s="6">
        <v>1</v>
      </c>
      <c r="U171" s="26">
        <v>3000000</v>
      </c>
      <c r="V171" s="26">
        <v>3000000</v>
      </c>
      <c r="W171" s="26">
        <v>3000000</v>
      </c>
      <c r="X171" s="6" t="s">
        <v>2003</v>
      </c>
      <c r="Y171" s="6" t="s">
        <v>1261</v>
      </c>
      <c r="Z171" s="6">
        <v>223892</v>
      </c>
    </row>
    <row r="172" spans="1:26" x14ac:dyDescent="0.3">
      <c r="A172" s="28" t="s">
        <v>42</v>
      </c>
      <c r="B172" s="6" t="s">
        <v>2309</v>
      </c>
      <c r="C172" s="6" t="s">
        <v>1972</v>
      </c>
      <c r="D172" s="6" t="s">
        <v>2292</v>
      </c>
      <c r="E172" s="6">
        <v>1</v>
      </c>
      <c r="F172" s="6" t="s">
        <v>2004</v>
      </c>
      <c r="G172" s="32" t="s">
        <v>2299</v>
      </c>
      <c r="H172" s="32" t="s">
        <v>2300</v>
      </c>
      <c r="I172" s="6" t="str">
        <f t="shared" si="7"/>
        <v>Stone Grapple</v>
      </c>
      <c r="J172" s="6" t="s">
        <v>166</v>
      </c>
      <c r="K172" s="6">
        <v>1</v>
      </c>
      <c r="L172" s="6">
        <f t="shared" si="8"/>
        <v>2580000</v>
      </c>
      <c r="M172" s="6">
        <v>2200000</v>
      </c>
      <c r="N172" s="6" t="s">
        <v>2003</v>
      </c>
      <c r="O172" s="6" t="s">
        <v>816</v>
      </c>
      <c r="P172" s="6">
        <v>2010</v>
      </c>
      <c r="Q172" s="6">
        <v>1</v>
      </c>
      <c r="R172" s="6" t="s">
        <v>45</v>
      </c>
      <c r="S172" s="32" t="s">
        <v>2112</v>
      </c>
      <c r="T172" s="6">
        <v>1</v>
      </c>
      <c r="U172" s="26">
        <v>2000000</v>
      </c>
      <c r="V172" s="26">
        <v>2000000</v>
      </c>
      <c r="W172" s="26">
        <v>2000000</v>
      </c>
      <c r="X172" s="6" t="s">
        <v>2003</v>
      </c>
      <c r="Y172" s="6" t="s">
        <v>1243</v>
      </c>
      <c r="Z172" s="6">
        <v>223895</v>
      </c>
    </row>
    <row r="173" spans="1:26" x14ac:dyDescent="0.3">
      <c r="A173" s="28" t="s">
        <v>42</v>
      </c>
      <c r="B173" s="6" t="s">
        <v>2313</v>
      </c>
      <c r="C173" s="19" t="s">
        <v>1982</v>
      </c>
      <c r="D173" s="6" t="s">
        <v>2291</v>
      </c>
      <c r="E173" s="6">
        <v>1</v>
      </c>
      <c r="F173" s="6" t="s">
        <v>2004</v>
      </c>
      <c r="G173" s="32" t="s">
        <v>2299</v>
      </c>
      <c r="H173" s="32" t="s">
        <v>2300</v>
      </c>
      <c r="I173" s="6" t="str">
        <f t="shared" si="7"/>
        <v>Standard Bucket</v>
      </c>
      <c r="J173" s="6" t="s">
        <v>430</v>
      </c>
      <c r="K173" s="6">
        <v>1</v>
      </c>
      <c r="L173" s="6">
        <f t="shared" si="8"/>
        <v>290000</v>
      </c>
      <c r="M173" s="6">
        <v>250000</v>
      </c>
      <c r="N173" s="6" t="s">
        <v>2003</v>
      </c>
      <c r="O173" s="6" t="s">
        <v>898</v>
      </c>
      <c r="P173" s="6">
        <v>2015</v>
      </c>
      <c r="Q173" s="6">
        <v>1</v>
      </c>
      <c r="R173" s="6" t="s">
        <v>45</v>
      </c>
      <c r="S173" s="32" t="s">
        <v>2116</v>
      </c>
      <c r="T173" s="6">
        <v>1</v>
      </c>
      <c r="U173" s="26">
        <v>200000</v>
      </c>
      <c r="V173" s="26">
        <v>200000</v>
      </c>
      <c r="W173" s="26">
        <v>200000</v>
      </c>
      <c r="X173" s="6" t="s">
        <v>2003</v>
      </c>
      <c r="Y173" s="6" t="s">
        <v>90</v>
      </c>
      <c r="Z173" s="6">
        <v>223899</v>
      </c>
    </row>
    <row r="174" spans="1:26" x14ac:dyDescent="0.3">
      <c r="A174" s="28" t="s">
        <v>42</v>
      </c>
      <c r="B174" s="6" t="s">
        <v>2309</v>
      </c>
      <c r="C174" s="6" t="s">
        <v>1974</v>
      </c>
      <c r="D174" s="6" t="s">
        <v>2292</v>
      </c>
      <c r="E174" s="6">
        <v>1</v>
      </c>
      <c r="F174" s="6" t="s">
        <v>2004</v>
      </c>
      <c r="G174" s="32" t="s">
        <v>2299</v>
      </c>
      <c r="H174" s="32" t="s">
        <v>2300</v>
      </c>
      <c r="I174" s="6" t="str">
        <f t="shared" si="7"/>
        <v>Etc Grapple</v>
      </c>
      <c r="J174" s="6" t="s">
        <v>125</v>
      </c>
      <c r="K174" s="6">
        <v>1</v>
      </c>
      <c r="L174" s="6">
        <f t="shared" si="8"/>
        <v>4940000</v>
      </c>
      <c r="M174" s="6">
        <v>4200000</v>
      </c>
      <c r="N174" s="6" t="s">
        <v>2003</v>
      </c>
      <c r="O174" s="6" t="s">
        <v>899</v>
      </c>
      <c r="P174" s="6">
        <v>2011</v>
      </c>
      <c r="Q174" s="6">
        <v>7</v>
      </c>
      <c r="R174" s="6" t="s">
        <v>45</v>
      </c>
      <c r="S174" s="32" t="s">
        <v>2117</v>
      </c>
      <c r="T174" s="6">
        <v>1</v>
      </c>
      <c r="U174" s="26">
        <v>4000000</v>
      </c>
      <c r="V174" s="26">
        <v>4000000</v>
      </c>
      <c r="W174" s="26">
        <v>4000000</v>
      </c>
      <c r="X174" s="6" t="s">
        <v>2003</v>
      </c>
      <c r="Y174" s="6" t="s">
        <v>899</v>
      </c>
      <c r="Z174" s="6">
        <v>223905</v>
      </c>
    </row>
    <row r="175" spans="1:26" x14ac:dyDescent="0.3">
      <c r="A175" s="28" t="s">
        <v>42</v>
      </c>
      <c r="B175" s="6" t="s">
        <v>2313</v>
      </c>
      <c r="C175" s="6" t="s">
        <v>1980</v>
      </c>
      <c r="D175" s="6" t="s">
        <v>2292</v>
      </c>
      <c r="E175" s="6">
        <v>1</v>
      </c>
      <c r="F175" s="6" t="s">
        <v>2004</v>
      </c>
      <c r="G175" s="32" t="s">
        <v>2299</v>
      </c>
      <c r="H175" s="32" t="s">
        <v>2300</v>
      </c>
      <c r="I175" s="6" t="str">
        <f t="shared" si="7"/>
        <v>Small Bucket</v>
      </c>
      <c r="J175" s="6" t="s">
        <v>465</v>
      </c>
      <c r="K175" s="6">
        <v>1</v>
      </c>
      <c r="L175" s="6">
        <f t="shared" si="8"/>
        <v>1290000</v>
      </c>
      <c r="M175" s="6">
        <v>1100000</v>
      </c>
      <c r="N175" s="6" t="s">
        <v>2003</v>
      </c>
      <c r="O175" s="6" t="s">
        <v>793</v>
      </c>
      <c r="P175" s="6">
        <v>2011</v>
      </c>
      <c r="Q175" s="6">
        <v>1</v>
      </c>
      <c r="R175" s="6" t="s">
        <v>45</v>
      </c>
      <c r="S175" s="32" t="s">
        <v>2116</v>
      </c>
      <c r="T175" s="6">
        <v>1</v>
      </c>
      <c r="U175" s="26">
        <v>1000000</v>
      </c>
      <c r="V175" s="26">
        <v>1000000</v>
      </c>
      <c r="W175" s="26">
        <v>1000000</v>
      </c>
      <c r="X175" s="6" t="s">
        <v>2003</v>
      </c>
      <c r="Y175" s="6" t="s">
        <v>1146</v>
      </c>
      <c r="Z175" s="6">
        <v>223906</v>
      </c>
    </row>
    <row r="176" spans="1:26" x14ac:dyDescent="0.3">
      <c r="A176" s="28" t="s">
        <v>42</v>
      </c>
      <c r="B176" s="6" t="s">
        <v>2315</v>
      </c>
      <c r="C176" s="6"/>
      <c r="D176" s="6" t="s">
        <v>2291</v>
      </c>
      <c r="E176" s="6">
        <v>1</v>
      </c>
      <c r="F176" s="6" t="s">
        <v>2004</v>
      </c>
      <c r="G176" s="32" t="s">
        <v>2299</v>
      </c>
      <c r="H176" s="32" t="s">
        <v>2300</v>
      </c>
      <c r="I176" s="6" t="str">
        <f t="shared" si="7"/>
        <v>ETC</v>
      </c>
      <c r="J176" s="6" t="s">
        <v>138</v>
      </c>
      <c r="K176" s="6">
        <v>1</v>
      </c>
      <c r="L176" s="6">
        <f t="shared" si="8"/>
        <v>4350000</v>
      </c>
      <c r="M176" s="6">
        <v>3700000</v>
      </c>
      <c r="N176" s="6" t="s">
        <v>2003</v>
      </c>
      <c r="O176" s="6" t="s">
        <v>2015</v>
      </c>
      <c r="P176" s="6">
        <v>2012</v>
      </c>
      <c r="Q176" s="6">
        <v>6</v>
      </c>
      <c r="R176" s="6" t="s">
        <v>45</v>
      </c>
      <c r="S176" s="32" t="s">
        <v>2113</v>
      </c>
      <c r="T176" s="6">
        <v>1</v>
      </c>
      <c r="U176" s="26">
        <v>3500000</v>
      </c>
      <c r="V176" s="26">
        <v>3500000</v>
      </c>
      <c r="W176" s="26">
        <v>3500000</v>
      </c>
      <c r="X176" s="6" t="s">
        <v>2003</v>
      </c>
      <c r="Y176" s="6" t="s">
        <v>47</v>
      </c>
      <c r="Z176" s="6">
        <v>223915</v>
      </c>
    </row>
    <row r="177" spans="1:26" x14ac:dyDescent="0.3">
      <c r="A177" s="28" t="s">
        <v>42</v>
      </c>
      <c r="B177" s="6" t="s">
        <v>2309</v>
      </c>
      <c r="C177" s="6" t="s">
        <v>1972</v>
      </c>
      <c r="D177" s="6" t="s">
        <v>2292</v>
      </c>
      <c r="E177" s="6">
        <v>1</v>
      </c>
      <c r="F177" s="6" t="s">
        <v>2004</v>
      </c>
      <c r="G177" s="32" t="s">
        <v>2299</v>
      </c>
      <c r="H177" s="32" t="s">
        <v>2300</v>
      </c>
      <c r="I177" s="6" t="str">
        <f t="shared" si="7"/>
        <v>Stone Grapple</v>
      </c>
      <c r="J177" s="6" t="s">
        <v>207</v>
      </c>
      <c r="K177" s="6">
        <v>1</v>
      </c>
      <c r="L177" s="6">
        <f t="shared" si="8"/>
        <v>2700000</v>
      </c>
      <c r="M177" s="6">
        <v>2300000</v>
      </c>
      <c r="N177" s="6" t="s">
        <v>2003</v>
      </c>
      <c r="O177" s="6" t="s">
        <v>823</v>
      </c>
      <c r="P177" s="6">
        <v>2014</v>
      </c>
      <c r="Q177" s="6">
        <v>1</v>
      </c>
      <c r="R177" s="6" t="s">
        <v>45</v>
      </c>
      <c r="S177" s="32" t="s">
        <v>2113</v>
      </c>
      <c r="T177" s="6">
        <v>1</v>
      </c>
      <c r="U177" s="26">
        <v>2100000</v>
      </c>
      <c r="V177" s="26">
        <v>2100000</v>
      </c>
      <c r="W177" s="26">
        <v>2100000</v>
      </c>
      <c r="X177" s="6" t="s">
        <v>2003</v>
      </c>
      <c r="Y177" s="6" t="s">
        <v>49</v>
      </c>
      <c r="Z177" s="6">
        <v>223917</v>
      </c>
    </row>
    <row r="178" spans="1:26" x14ac:dyDescent="0.3">
      <c r="A178" s="28" t="s">
        <v>42</v>
      </c>
      <c r="B178" s="6" t="s">
        <v>2309</v>
      </c>
      <c r="C178" s="19" t="s">
        <v>1974</v>
      </c>
      <c r="D178" s="6" t="s">
        <v>2293</v>
      </c>
      <c r="E178" s="6">
        <v>1</v>
      </c>
      <c r="F178" s="6" t="s">
        <v>2004</v>
      </c>
      <c r="G178" s="32" t="s">
        <v>2299</v>
      </c>
      <c r="H178" s="32" t="s">
        <v>2300</v>
      </c>
      <c r="I178" s="6" t="str">
        <f t="shared" si="7"/>
        <v>Etc Grapple</v>
      </c>
      <c r="J178" s="6" t="s">
        <v>717</v>
      </c>
      <c r="K178" s="6">
        <v>1</v>
      </c>
      <c r="L178" s="6">
        <f t="shared" si="8"/>
        <v>2640000</v>
      </c>
      <c r="M178" s="6">
        <v>2250000</v>
      </c>
      <c r="N178" s="6" t="s">
        <v>2003</v>
      </c>
      <c r="O178" s="6" t="s">
        <v>2007</v>
      </c>
      <c r="P178" s="6">
        <v>2016</v>
      </c>
      <c r="Q178" s="6">
        <v>1</v>
      </c>
      <c r="R178" s="6" t="s">
        <v>45</v>
      </c>
      <c r="S178" s="32" t="s">
        <v>2113</v>
      </c>
      <c r="T178" s="6">
        <v>1</v>
      </c>
      <c r="U178" s="26">
        <v>2050000</v>
      </c>
      <c r="V178" s="26">
        <v>2050000</v>
      </c>
      <c r="W178" s="26">
        <v>2050000</v>
      </c>
      <c r="X178" s="6" t="s">
        <v>2003</v>
      </c>
      <c r="Y178" s="6" t="s">
        <v>49</v>
      </c>
      <c r="Z178" s="6">
        <v>223925</v>
      </c>
    </row>
    <row r="179" spans="1:26" x14ac:dyDescent="0.3">
      <c r="A179" s="28" t="s">
        <v>42</v>
      </c>
      <c r="B179" s="6" t="s">
        <v>2309</v>
      </c>
      <c r="C179" s="6" t="s">
        <v>1972</v>
      </c>
      <c r="D179" s="6" t="s">
        <v>2291</v>
      </c>
      <c r="E179" s="6">
        <v>1</v>
      </c>
      <c r="F179" s="6" t="s">
        <v>2004</v>
      </c>
      <c r="G179" s="32" t="s">
        <v>2299</v>
      </c>
      <c r="H179" s="32" t="s">
        <v>2300</v>
      </c>
      <c r="I179" s="6" t="str">
        <f t="shared" si="7"/>
        <v>Stone Grapple</v>
      </c>
      <c r="J179" s="6" t="s">
        <v>386</v>
      </c>
      <c r="K179" s="6">
        <v>1</v>
      </c>
      <c r="L179" s="6">
        <f t="shared" si="8"/>
        <v>1940000</v>
      </c>
      <c r="M179" s="6">
        <v>1650000</v>
      </c>
      <c r="N179" s="6" t="s">
        <v>2003</v>
      </c>
      <c r="O179" s="6" t="s">
        <v>51</v>
      </c>
      <c r="P179" s="6">
        <v>2015</v>
      </c>
      <c r="Q179" s="6">
        <v>1</v>
      </c>
      <c r="R179" s="6" t="s">
        <v>45</v>
      </c>
      <c r="S179" s="32" t="s">
        <v>2113</v>
      </c>
      <c r="T179" s="6">
        <v>1</v>
      </c>
      <c r="U179" s="26">
        <v>1550000</v>
      </c>
      <c r="V179" s="26">
        <v>1550000</v>
      </c>
      <c r="W179" s="26">
        <v>1550000</v>
      </c>
      <c r="X179" s="6" t="s">
        <v>2003</v>
      </c>
      <c r="Y179" s="6" t="s">
        <v>49</v>
      </c>
      <c r="Z179" s="6">
        <v>223926</v>
      </c>
    </row>
    <row r="180" spans="1:26" x14ac:dyDescent="0.3">
      <c r="A180" s="28" t="s">
        <v>42</v>
      </c>
      <c r="B180" s="6" t="s">
        <v>2316</v>
      </c>
      <c r="C180" s="6"/>
      <c r="D180" s="6" t="s">
        <v>2292</v>
      </c>
      <c r="E180" s="6">
        <v>1</v>
      </c>
      <c r="F180" s="6" t="s">
        <v>2004</v>
      </c>
      <c r="G180" s="32" t="s">
        <v>2299</v>
      </c>
      <c r="H180" s="32" t="s">
        <v>2300</v>
      </c>
      <c r="I180" s="6" t="str">
        <f t="shared" si="7"/>
        <v>Ripper</v>
      </c>
      <c r="J180" s="6" t="s">
        <v>268</v>
      </c>
      <c r="K180" s="6">
        <v>1</v>
      </c>
      <c r="L180" s="6">
        <f t="shared" si="8"/>
        <v>700000</v>
      </c>
      <c r="M180" s="6">
        <v>600000</v>
      </c>
      <c r="N180" s="6" t="s">
        <v>2003</v>
      </c>
      <c r="O180" s="6" t="s">
        <v>801</v>
      </c>
      <c r="P180" s="6">
        <v>2010</v>
      </c>
      <c r="Q180" s="6">
        <v>1</v>
      </c>
      <c r="R180" s="6" t="s">
        <v>45</v>
      </c>
      <c r="S180" s="32" t="s">
        <v>2110</v>
      </c>
      <c r="T180" s="6">
        <v>1</v>
      </c>
      <c r="U180" s="26">
        <v>500000</v>
      </c>
      <c r="V180" s="26">
        <v>500000</v>
      </c>
      <c r="W180" s="26">
        <v>500000</v>
      </c>
      <c r="X180" s="6" t="s">
        <v>2003</v>
      </c>
      <c r="Y180" s="6" t="s">
        <v>1225</v>
      </c>
      <c r="Z180" s="6">
        <v>223929</v>
      </c>
    </row>
    <row r="181" spans="1:26" x14ac:dyDescent="0.3">
      <c r="A181" s="28" t="s">
        <v>42</v>
      </c>
      <c r="B181" s="6" t="s">
        <v>2313</v>
      </c>
      <c r="C181" s="19" t="s">
        <v>1982</v>
      </c>
      <c r="D181" s="6" t="s">
        <v>2292</v>
      </c>
      <c r="E181" s="6">
        <v>1</v>
      </c>
      <c r="F181" s="6" t="s">
        <v>2004</v>
      </c>
      <c r="G181" s="32" t="s">
        <v>2299</v>
      </c>
      <c r="H181" s="32" t="s">
        <v>2300</v>
      </c>
      <c r="I181" s="6" t="str">
        <f t="shared" si="7"/>
        <v>Standard Bucket</v>
      </c>
      <c r="J181" s="6" t="s">
        <v>387</v>
      </c>
      <c r="K181" s="6">
        <v>1</v>
      </c>
      <c r="L181" s="6">
        <f t="shared" si="8"/>
        <v>1290000</v>
      </c>
      <c r="M181" s="6">
        <v>1100000</v>
      </c>
      <c r="N181" s="6" t="s">
        <v>2003</v>
      </c>
      <c r="O181" s="6" t="s">
        <v>843</v>
      </c>
      <c r="P181" s="6">
        <v>2013</v>
      </c>
      <c r="Q181" s="6">
        <v>1</v>
      </c>
      <c r="R181" s="6" t="s">
        <v>45</v>
      </c>
      <c r="S181" s="32" t="s">
        <v>2118</v>
      </c>
      <c r="T181" s="6">
        <v>1</v>
      </c>
      <c r="U181" s="26">
        <v>1000000</v>
      </c>
      <c r="V181" s="26">
        <v>1000000</v>
      </c>
      <c r="W181" s="26">
        <v>1000000</v>
      </c>
      <c r="X181" s="6" t="s">
        <v>2003</v>
      </c>
      <c r="Y181" s="6" t="s">
        <v>1158</v>
      </c>
      <c r="Z181" s="6">
        <v>223931</v>
      </c>
    </row>
    <row r="182" spans="1:26" x14ac:dyDescent="0.3">
      <c r="A182" s="28" t="s">
        <v>42</v>
      </c>
      <c r="B182" s="6" t="s">
        <v>2308</v>
      </c>
      <c r="C182" s="6" t="s">
        <v>1975</v>
      </c>
      <c r="D182" s="6" t="s">
        <v>2291</v>
      </c>
      <c r="E182" s="6">
        <v>1</v>
      </c>
      <c r="F182" s="6" t="s">
        <v>2004</v>
      </c>
      <c r="G182" s="32" t="s">
        <v>2299</v>
      </c>
      <c r="H182" s="32" t="s">
        <v>2300</v>
      </c>
      <c r="I182" s="6" t="str">
        <f t="shared" si="7"/>
        <v>Side Breaker</v>
      </c>
      <c r="J182" s="6" t="s">
        <v>212</v>
      </c>
      <c r="K182" s="6">
        <v>1</v>
      </c>
      <c r="L182" s="6">
        <f t="shared" si="8"/>
        <v>1880000</v>
      </c>
      <c r="M182" s="6">
        <v>1600000</v>
      </c>
      <c r="N182" s="6" t="s">
        <v>2003</v>
      </c>
      <c r="O182" s="6" t="s">
        <v>794</v>
      </c>
      <c r="P182" s="6">
        <v>2015</v>
      </c>
      <c r="Q182" s="6">
        <v>1</v>
      </c>
      <c r="R182" s="6" t="s">
        <v>45</v>
      </c>
      <c r="S182" s="32" t="s">
        <v>2122</v>
      </c>
      <c r="T182" s="6">
        <v>1</v>
      </c>
      <c r="U182" s="26">
        <v>1500000</v>
      </c>
      <c r="V182" s="26">
        <v>1500000</v>
      </c>
      <c r="W182" s="26">
        <v>1500000</v>
      </c>
      <c r="X182" s="6" t="s">
        <v>2003</v>
      </c>
      <c r="Y182" s="6" t="s">
        <v>1154</v>
      </c>
      <c r="Z182" s="6">
        <v>223936</v>
      </c>
    </row>
    <row r="183" spans="1:26" x14ac:dyDescent="0.3">
      <c r="A183" s="28" t="s">
        <v>42</v>
      </c>
      <c r="B183" s="6" t="s">
        <v>2309</v>
      </c>
      <c r="C183" s="6" t="s">
        <v>1972</v>
      </c>
      <c r="D183" s="6" t="s">
        <v>2291</v>
      </c>
      <c r="E183" s="6">
        <v>1</v>
      </c>
      <c r="F183" s="6" t="s">
        <v>2004</v>
      </c>
      <c r="G183" s="32" t="s">
        <v>2299</v>
      </c>
      <c r="H183" s="32" t="s">
        <v>2300</v>
      </c>
      <c r="I183" s="6" t="str">
        <f t="shared" si="7"/>
        <v>Stone Grapple</v>
      </c>
      <c r="J183" s="6" t="s">
        <v>109</v>
      </c>
      <c r="K183" s="6">
        <v>1</v>
      </c>
      <c r="L183" s="6">
        <f t="shared" si="8"/>
        <v>2940000</v>
      </c>
      <c r="M183" s="6">
        <v>2500000</v>
      </c>
      <c r="N183" s="6" t="s">
        <v>2003</v>
      </c>
      <c r="O183" s="6" t="s">
        <v>900</v>
      </c>
      <c r="P183" s="6">
        <v>2011</v>
      </c>
      <c r="Q183" s="6">
        <v>10</v>
      </c>
      <c r="R183" s="6" t="s">
        <v>45</v>
      </c>
      <c r="S183" s="32" t="s">
        <v>2122</v>
      </c>
      <c r="T183" s="6">
        <v>1</v>
      </c>
      <c r="U183" s="26">
        <v>2300000</v>
      </c>
      <c r="V183" s="26">
        <v>2300000</v>
      </c>
      <c r="W183" s="26">
        <v>2300000</v>
      </c>
      <c r="X183" s="6" t="s">
        <v>2003</v>
      </c>
      <c r="Y183" s="6" t="s">
        <v>1163</v>
      </c>
      <c r="Z183" s="6">
        <v>223945</v>
      </c>
    </row>
    <row r="184" spans="1:26" x14ac:dyDescent="0.3">
      <c r="A184" s="28" t="s">
        <v>42</v>
      </c>
      <c r="B184" s="6" t="s">
        <v>2313</v>
      </c>
      <c r="C184" s="6" t="s">
        <v>1976</v>
      </c>
      <c r="D184" s="6" t="s">
        <v>2001</v>
      </c>
      <c r="E184" s="6">
        <v>1</v>
      </c>
      <c r="F184" s="6" t="s">
        <v>2004</v>
      </c>
      <c r="G184" s="32" t="s">
        <v>2299</v>
      </c>
      <c r="H184" s="32" t="s">
        <v>2300</v>
      </c>
      <c r="I184" s="6" t="str">
        <f t="shared" si="7"/>
        <v>Skeleton Bucket</v>
      </c>
      <c r="J184" s="6" t="s">
        <v>210</v>
      </c>
      <c r="K184" s="6">
        <v>1</v>
      </c>
      <c r="L184" s="6">
        <f t="shared" si="8"/>
        <v>2000000</v>
      </c>
      <c r="M184" s="6">
        <v>1700000</v>
      </c>
      <c r="N184" s="6" t="s">
        <v>2003</v>
      </c>
      <c r="O184" s="6" t="s">
        <v>813</v>
      </c>
      <c r="P184" s="6">
        <v>2013</v>
      </c>
      <c r="Q184" s="6">
        <v>1</v>
      </c>
      <c r="R184" s="6" t="s">
        <v>45</v>
      </c>
      <c r="S184" s="32" t="s">
        <v>2113</v>
      </c>
      <c r="T184" s="6">
        <v>1</v>
      </c>
      <c r="U184" s="26">
        <v>1600000</v>
      </c>
      <c r="V184" s="26">
        <v>1600000</v>
      </c>
      <c r="W184" s="26">
        <v>1600000</v>
      </c>
      <c r="X184" s="6" t="s">
        <v>2003</v>
      </c>
      <c r="Y184" s="6" t="s">
        <v>79</v>
      </c>
      <c r="Z184" s="6">
        <v>223947</v>
      </c>
    </row>
    <row r="185" spans="1:26" x14ac:dyDescent="0.3">
      <c r="A185" s="28" t="s">
        <v>42</v>
      </c>
      <c r="B185" s="6" t="s">
        <v>2315</v>
      </c>
      <c r="C185" s="6"/>
      <c r="D185" s="6" t="s">
        <v>2289</v>
      </c>
      <c r="E185" s="6">
        <v>1</v>
      </c>
      <c r="F185" s="6" t="s">
        <v>2004</v>
      </c>
      <c r="G185" s="32" t="s">
        <v>2299</v>
      </c>
      <c r="H185" s="32" t="s">
        <v>2300</v>
      </c>
      <c r="I185" s="6" t="str">
        <f t="shared" si="7"/>
        <v>ETC</v>
      </c>
      <c r="J185" s="6" t="s">
        <v>459</v>
      </c>
      <c r="K185" s="6">
        <v>1</v>
      </c>
      <c r="L185" s="6">
        <f t="shared" si="8"/>
        <v>3170000</v>
      </c>
      <c r="M185" s="6">
        <v>2700000</v>
      </c>
      <c r="N185" s="6" t="s">
        <v>2003</v>
      </c>
      <c r="O185" s="6" t="s">
        <v>2011</v>
      </c>
      <c r="P185" s="6">
        <v>2010</v>
      </c>
      <c r="Q185" s="6">
        <v>6</v>
      </c>
      <c r="R185" s="6" t="s">
        <v>45</v>
      </c>
      <c r="S185" s="32" t="s">
        <v>2123</v>
      </c>
      <c r="T185" s="6">
        <v>1</v>
      </c>
      <c r="U185" s="26">
        <v>2500000</v>
      </c>
      <c r="V185" s="26">
        <v>2500000</v>
      </c>
      <c r="W185" s="26">
        <v>2500000</v>
      </c>
      <c r="X185" s="6" t="s">
        <v>2003</v>
      </c>
      <c r="Y185" s="6" t="s">
        <v>1200</v>
      </c>
      <c r="Z185" s="6">
        <v>223960</v>
      </c>
    </row>
    <row r="186" spans="1:26" x14ac:dyDescent="0.3">
      <c r="A186" s="28" t="s">
        <v>42</v>
      </c>
      <c r="B186" s="6" t="s">
        <v>2308</v>
      </c>
      <c r="C186" s="6" t="s">
        <v>1975</v>
      </c>
      <c r="D186" s="6" t="s">
        <v>2001</v>
      </c>
      <c r="E186" s="6">
        <v>1</v>
      </c>
      <c r="F186" s="6" t="s">
        <v>2004</v>
      </c>
      <c r="G186" s="32" t="s">
        <v>2299</v>
      </c>
      <c r="H186" s="32" t="s">
        <v>2300</v>
      </c>
      <c r="I186" s="6" t="str">
        <f t="shared" si="7"/>
        <v>Side Breaker</v>
      </c>
      <c r="J186" s="6" t="s">
        <v>306</v>
      </c>
      <c r="K186" s="6">
        <v>1</v>
      </c>
      <c r="L186" s="6">
        <f t="shared" si="8"/>
        <v>7050000</v>
      </c>
      <c r="M186" s="6">
        <v>6000000</v>
      </c>
      <c r="N186" s="6" t="s">
        <v>2003</v>
      </c>
      <c r="O186" s="6" t="s">
        <v>2033</v>
      </c>
      <c r="P186" s="6">
        <v>2009</v>
      </c>
      <c r="Q186" s="6">
        <v>1</v>
      </c>
      <c r="R186" s="6" t="s">
        <v>45</v>
      </c>
      <c r="S186" s="32" t="s">
        <v>2121</v>
      </c>
      <c r="T186" s="6">
        <v>1</v>
      </c>
      <c r="U186" s="26">
        <v>5500000</v>
      </c>
      <c r="V186" s="26">
        <v>5500000</v>
      </c>
      <c r="W186" s="26">
        <v>5500000</v>
      </c>
      <c r="X186" s="6" t="s">
        <v>2003</v>
      </c>
      <c r="Y186" s="6" t="s">
        <v>1219</v>
      </c>
      <c r="Z186" s="6">
        <v>223981</v>
      </c>
    </row>
    <row r="187" spans="1:26" x14ac:dyDescent="0.3">
      <c r="A187" s="28" t="s">
        <v>42</v>
      </c>
      <c r="B187" s="6" t="s">
        <v>2309</v>
      </c>
      <c r="C187" s="6" t="s">
        <v>1979</v>
      </c>
      <c r="D187" s="6" t="s">
        <v>2291</v>
      </c>
      <c r="E187" s="6">
        <v>1</v>
      </c>
      <c r="F187" s="6" t="s">
        <v>2004</v>
      </c>
      <c r="G187" s="32" t="s">
        <v>2299</v>
      </c>
      <c r="H187" s="32" t="s">
        <v>2300</v>
      </c>
      <c r="I187" s="6" t="str">
        <f t="shared" si="7"/>
        <v>Thumb Grapple</v>
      </c>
      <c r="J187" s="6" t="s">
        <v>394</v>
      </c>
      <c r="K187" s="6">
        <v>1</v>
      </c>
      <c r="L187" s="6">
        <f t="shared" si="8"/>
        <v>2110000</v>
      </c>
      <c r="M187" s="6">
        <v>1800000</v>
      </c>
      <c r="N187" s="6" t="s">
        <v>2003</v>
      </c>
      <c r="O187" s="6" t="s">
        <v>1847</v>
      </c>
      <c r="P187" s="6">
        <v>2017</v>
      </c>
      <c r="Q187" s="6">
        <v>1</v>
      </c>
      <c r="R187" s="6" t="s">
        <v>45</v>
      </c>
      <c r="S187" s="32" t="s">
        <v>2116</v>
      </c>
      <c r="T187" s="6">
        <v>1</v>
      </c>
      <c r="U187" s="26">
        <v>1700000</v>
      </c>
      <c r="V187" s="26">
        <v>1700000</v>
      </c>
      <c r="W187" s="26">
        <v>1700000</v>
      </c>
      <c r="X187" s="6" t="s">
        <v>2003</v>
      </c>
      <c r="Y187" s="6" t="s">
        <v>49</v>
      </c>
      <c r="Z187" s="6">
        <v>223982</v>
      </c>
    </row>
    <row r="188" spans="1:26" x14ac:dyDescent="0.3">
      <c r="A188" s="28" t="s">
        <v>42</v>
      </c>
      <c r="B188" s="6" t="s">
        <v>2309</v>
      </c>
      <c r="C188" s="6" t="s">
        <v>1972</v>
      </c>
      <c r="D188" s="6" t="s">
        <v>2292</v>
      </c>
      <c r="E188" s="6">
        <v>1</v>
      </c>
      <c r="F188" s="6" t="s">
        <v>2004</v>
      </c>
      <c r="G188" s="32" t="s">
        <v>2299</v>
      </c>
      <c r="H188" s="32" t="s">
        <v>2300</v>
      </c>
      <c r="I188" s="6" t="str">
        <f t="shared" si="7"/>
        <v>Stone Grapple</v>
      </c>
      <c r="J188" s="6" t="s">
        <v>50</v>
      </c>
      <c r="K188" s="6">
        <v>1</v>
      </c>
      <c r="L188" s="6">
        <f t="shared" si="8"/>
        <v>3290000</v>
      </c>
      <c r="M188" s="6">
        <v>2800000</v>
      </c>
      <c r="N188" s="6" t="s">
        <v>2003</v>
      </c>
      <c r="O188" s="6" t="s">
        <v>2007</v>
      </c>
      <c r="P188" s="6">
        <v>2014</v>
      </c>
      <c r="Q188" s="6">
        <v>1</v>
      </c>
      <c r="R188" s="6" t="s">
        <v>45</v>
      </c>
      <c r="S188" s="32" t="s">
        <v>2113</v>
      </c>
      <c r="T188" s="6">
        <v>1</v>
      </c>
      <c r="U188" s="26">
        <v>2600000</v>
      </c>
      <c r="V188" s="26">
        <v>2600000</v>
      </c>
      <c r="W188" s="26">
        <v>2600000</v>
      </c>
      <c r="X188" s="6" t="s">
        <v>2003</v>
      </c>
      <c r="Y188" s="6" t="s">
        <v>49</v>
      </c>
      <c r="Z188" s="6">
        <v>223983</v>
      </c>
    </row>
    <row r="189" spans="1:26" x14ac:dyDescent="0.3">
      <c r="A189" s="28" t="s">
        <v>42</v>
      </c>
      <c r="B189" s="6" t="s">
        <v>2314</v>
      </c>
      <c r="C189" s="6" t="s">
        <v>1978</v>
      </c>
      <c r="D189" s="6" t="s">
        <v>2290</v>
      </c>
      <c r="E189" s="6">
        <v>1</v>
      </c>
      <c r="F189" s="6" t="s">
        <v>2004</v>
      </c>
      <c r="G189" s="32" t="s">
        <v>2299</v>
      </c>
      <c r="H189" s="32" t="s">
        <v>2300</v>
      </c>
      <c r="I189" s="6" t="str">
        <f t="shared" si="7"/>
        <v>Hydraulic Pulverizer</v>
      </c>
      <c r="J189" s="6" t="s">
        <v>471</v>
      </c>
      <c r="K189" s="6">
        <v>1</v>
      </c>
      <c r="L189" s="6">
        <f t="shared" si="8"/>
        <v>7640000</v>
      </c>
      <c r="M189" s="6">
        <v>6500000</v>
      </c>
      <c r="N189" s="6" t="s">
        <v>2003</v>
      </c>
      <c r="O189" s="6" t="s">
        <v>813</v>
      </c>
      <c r="P189" s="6">
        <v>2014</v>
      </c>
      <c r="Q189" s="6">
        <v>1</v>
      </c>
      <c r="R189" s="6" t="s">
        <v>45</v>
      </c>
      <c r="S189" s="32" t="s">
        <v>2113</v>
      </c>
      <c r="T189" s="6">
        <v>1</v>
      </c>
      <c r="U189" s="26">
        <v>6000000</v>
      </c>
      <c r="V189" s="26">
        <v>6000000</v>
      </c>
      <c r="W189" s="26">
        <v>6000000</v>
      </c>
      <c r="X189" s="6" t="s">
        <v>2003</v>
      </c>
      <c r="Y189" s="6" t="s">
        <v>80</v>
      </c>
      <c r="Z189" s="6">
        <v>223985</v>
      </c>
    </row>
    <row r="190" spans="1:26" x14ac:dyDescent="0.3">
      <c r="A190" s="28" t="s">
        <v>42</v>
      </c>
      <c r="B190" s="6" t="s">
        <v>2312</v>
      </c>
      <c r="C190" s="6"/>
      <c r="D190" s="6" t="s">
        <v>2291</v>
      </c>
      <c r="E190" s="6">
        <v>1</v>
      </c>
      <c r="F190" s="6" t="s">
        <v>2004</v>
      </c>
      <c r="G190" s="32" t="s">
        <v>2299</v>
      </c>
      <c r="H190" s="32" t="s">
        <v>2300</v>
      </c>
      <c r="I190" s="6" t="str">
        <f t="shared" si="7"/>
        <v>Lift Fork</v>
      </c>
      <c r="J190" s="6" t="s">
        <v>487</v>
      </c>
      <c r="K190" s="6">
        <v>1</v>
      </c>
      <c r="L190" s="6">
        <f t="shared" si="8"/>
        <v>1270000</v>
      </c>
      <c r="M190" s="6">
        <v>1080000</v>
      </c>
      <c r="N190" s="6" t="s">
        <v>2003</v>
      </c>
      <c r="O190" s="6" t="s">
        <v>901</v>
      </c>
      <c r="P190" s="6">
        <v>2017</v>
      </c>
      <c r="Q190" s="6">
        <v>1</v>
      </c>
      <c r="R190" s="6" t="s">
        <v>45</v>
      </c>
      <c r="S190" s="32" t="s">
        <v>2116</v>
      </c>
      <c r="T190" s="6">
        <v>1</v>
      </c>
      <c r="U190" s="26">
        <v>980000</v>
      </c>
      <c r="V190" s="26">
        <v>980000</v>
      </c>
      <c r="W190" s="26">
        <v>980000</v>
      </c>
      <c r="X190" s="6" t="s">
        <v>2003</v>
      </c>
      <c r="Y190" s="6" t="s">
        <v>60</v>
      </c>
      <c r="Z190" s="6">
        <v>223991</v>
      </c>
    </row>
    <row r="191" spans="1:26" x14ac:dyDescent="0.3">
      <c r="A191" s="28" t="s">
        <v>42</v>
      </c>
      <c r="B191" s="6" t="s">
        <v>2312</v>
      </c>
      <c r="C191" s="6"/>
      <c r="D191" s="6" t="s">
        <v>2292</v>
      </c>
      <c r="E191" s="6">
        <v>1</v>
      </c>
      <c r="F191" s="6" t="s">
        <v>2004</v>
      </c>
      <c r="G191" s="32" t="s">
        <v>2299</v>
      </c>
      <c r="H191" s="32" t="s">
        <v>2300</v>
      </c>
      <c r="I191" s="6" t="str">
        <f t="shared" si="7"/>
        <v>Lift Fork</v>
      </c>
      <c r="J191" s="6" t="s">
        <v>102</v>
      </c>
      <c r="K191" s="6">
        <v>1</v>
      </c>
      <c r="L191" s="6">
        <f t="shared" si="8"/>
        <v>1350000</v>
      </c>
      <c r="M191" s="6">
        <v>1150000</v>
      </c>
      <c r="N191" s="6" t="s">
        <v>2003</v>
      </c>
      <c r="O191" s="6" t="s">
        <v>1112</v>
      </c>
      <c r="P191" s="6">
        <v>2017</v>
      </c>
      <c r="Q191" s="6">
        <v>1</v>
      </c>
      <c r="R191" s="6" t="s">
        <v>45</v>
      </c>
      <c r="S191" s="32" t="s">
        <v>2124</v>
      </c>
      <c r="T191" s="6">
        <v>1</v>
      </c>
      <c r="U191" s="26">
        <v>1050000</v>
      </c>
      <c r="V191" s="26">
        <v>1050000</v>
      </c>
      <c r="W191" s="26">
        <v>1050000</v>
      </c>
      <c r="X191" s="6" t="s">
        <v>2003</v>
      </c>
      <c r="Y191" s="6" t="s">
        <v>1144</v>
      </c>
      <c r="Z191" s="6">
        <v>223993</v>
      </c>
    </row>
    <row r="192" spans="1:26" x14ac:dyDescent="0.3">
      <c r="A192" s="28" t="s">
        <v>42</v>
      </c>
      <c r="B192" s="6" t="s">
        <v>2316</v>
      </c>
      <c r="C192" s="6"/>
      <c r="D192" s="6" t="s">
        <v>2291</v>
      </c>
      <c r="E192" s="6">
        <v>1</v>
      </c>
      <c r="F192" s="6" t="s">
        <v>2004</v>
      </c>
      <c r="G192" s="32" t="s">
        <v>2299</v>
      </c>
      <c r="H192" s="32" t="s">
        <v>2300</v>
      </c>
      <c r="I192" s="6" t="str">
        <f t="shared" si="7"/>
        <v>Ripper</v>
      </c>
      <c r="J192" s="6" t="s">
        <v>488</v>
      </c>
      <c r="K192" s="6">
        <v>1</v>
      </c>
      <c r="L192" s="6">
        <f t="shared" si="8"/>
        <v>580000</v>
      </c>
      <c r="M192" s="6">
        <v>500000</v>
      </c>
      <c r="N192" s="6" t="s">
        <v>2003</v>
      </c>
      <c r="O192" s="6" t="s">
        <v>2034</v>
      </c>
      <c r="P192" s="6">
        <v>2017</v>
      </c>
      <c r="Q192" s="6">
        <v>1</v>
      </c>
      <c r="R192" s="6" t="s">
        <v>45</v>
      </c>
      <c r="S192" s="32" t="s">
        <v>2119</v>
      </c>
      <c r="T192" s="6">
        <v>1</v>
      </c>
      <c r="U192" s="26">
        <v>450000</v>
      </c>
      <c r="V192" s="26">
        <v>450000</v>
      </c>
      <c r="W192" s="26">
        <v>450000</v>
      </c>
      <c r="X192" s="6" t="s">
        <v>2003</v>
      </c>
      <c r="Y192" s="6" t="s">
        <v>60</v>
      </c>
      <c r="Z192" s="6">
        <v>223996</v>
      </c>
    </row>
    <row r="193" spans="1:26" x14ac:dyDescent="0.3">
      <c r="A193" s="28" t="s">
        <v>42</v>
      </c>
      <c r="B193" s="6" t="s">
        <v>2309</v>
      </c>
      <c r="C193" s="6" t="s">
        <v>1979</v>
      </c>
      <c r="D193" s="6" t="s">
        <v>2292</v>
      </c>
      <c r="E193" s="6">
        <v>1</v>
      </c>
      <c r="F193" s="6" t="s">
        <v>2004</v>
      </c>
      <c r="G193" s="32" t="s">
        <v>2299</v>
      </c>
      <c r="H193" s="32" t="s">
        <v>2300</v>
      </c>
      <c r="I193" s="6" t="str">
        <f t="shared" si="7"/>
        <v>Thumb Grapple</v>
      </c>
      <c r="J193" s="6" t="s">
        <v>176</v>
      </c>
      <c r="K193" s="6">
        <v>1</v>
      </c>
      <c r="L193" s="6">
        <f t="shared" si="8"/>
        <v>940000</v>
      </c>
      <c r="M193" s="6">
        <v>800000</v>
      </c>
      <c r="N193" s="6" t="s">
        <v>2003</v>
      </c>
      <c r="O193" s="6" t="s">
        <v>813</v>
      </c>
      <c r="P193" s="6">
        <v>2013</v>
      </c>
      <c r="Q193" s="6">
        <v>1</v>
      </c>
      <c r="R193" s="6" t="s">
        <v>45</v>
      </c>
      <c r="S193" s="32" t="s">
        <v>2113</v>
      </c>
      <c r="T193" s="6">
        <v>1</v>
      </c>
      <c r="U193" s="26">
        <v>700000</v>
      </c>
      <c r="V193" s="26">
        <v>700000</v>
      </c>
      <c r="W193" s="26">
        <v>700000</v>
      </c>
      <c r="X193" s="6" t="s">
        <v>2003</v>
      </c>
      <c r="Y193" s="6" t="s">
        <v>80</v>
      </c>
      <c r="Z193" s="6">
        <v>224000</v>
      </c>
    </row>
    <row r="194" spans="1:26" x14ac:dyDescent="0.3">
      <c r="A194" s="28" t="s">
        <v>42</v>
      </c>
      <c r="B194" s="6" t="s">
        <v>2314</v>
      </c>
      <c r="C194" s="6" t="s">
        <v>2321</v>
      </c>
      <c r="D194" s="6" t="s">
        <v>2293</v>
      </c>
      <c r="E194" s="6">
        <v>1</v>
      </c>
      <c r="F194" s="6" t="s">
        <v>2004</v>
      </c>
      <c r="G194" s="32" t="s">
        <v>2299</v>
      </c>
      <c r="H194" s="32" t="s">
        <v>2300</v>
      </c>
      <c r="I194" s="6" t="str">
        <f t="shared" si="7"/>
        <v>Etc Crusher</v>
      </c>
      <c r="J194" s="6" t="s">
        <v>76</v>
      </c>
      <c r="K194" s="6">
        <v>1</v>
      </c>
      <c r="L194" s="6">
        <f t="shared" si="8"/>
        <v>5290000</v>
      </c>
      <c r="M194" s="6">
        <v>4500000</v>
      </c>
      <c r="N194" s="6" t="s">
        <v>2003</v>
      </c>
      <c r="O194" s="6" t="s">
        <v>70</v>
      </c>
      <c r="P194" s="6">
        <v>2014</v>
      </c>
      <c r="Q194" s="6">
        <v>3</v>
      </c>
      <c r="R194" s="6" t="s">
        <v>45</v>
      </c>
      <c r="S194" s="32" t="s">
        <v>2113</v>
      </c>
      <c r="T194" s="6">
        <v>1</v>
      </c>
      <c r="U194" s="26">
        <v>4300000</v>
      </c>
      <c r="V194" s="26">
        <v>4300000</v>
      </c>
      <c r="W194" s="26">
        <v>4300000</v>
      </c>
      <c r="X194" s="6" t="s">
        <v>2003</v>
      </c>
      <c r="Y194" s="6" t="s">
        <v>71</v>
      </c>
      <c r="Z194" s="6">
        <v>224001</v>
      </c>
    </row>
    <row r="195" spans="1:26" x14ac:dyDescent="0.3">
      <c r="A195" s="28" t="s">
        <v>42</v>
      </c>
      <c r="B195" s="6" t="s">
        <v>2313</v>
      </c>
      <c r="C195" s="6" t="s">
        <v>1976</v>
      </c>
      <c r="D195" s="6" t="s">
        <v>2292</v>
      </c>
      <c r="E195" s="6">
        <v>1</v>
      </c>
      <c r="F195" s="6" t="s">
        <v>2004</v>
      </c>
      <c r="G195" s="32" t="s">
        <v>2299</v>
      </c>
      <c r="H195" s="32" t="s">
        <v>2300</v>
      </c>
      <c r="I195" s="6" t="str">
        <f t="shared" si="7"/>
        <v>Skeleton Bucket</v>
      </c>
      <c r="J195" s="6" t="s">
        <v>62</v>
      </c>
      <c r="K195" s="6">
        <v>1</v>
      </c>
      <c r="L195" s="6">
        <f t="shared" si="8"/>
        <v>1110000</v>
      </c>
      <c r="M195" s="6">
        <v>950000</v>
      </c>
      <c r="N195" s="6" t="s">
        <v>2003</v>
      </c>
      <c r="O195" s="6" t="s">
        <v>813</v>
      </c>
      <c r="P195" s="6">
        <v>2013</v>
      </c>
      <c r="Q195" s="6">
        <v>1</v>
      </c>
      <c r="R195" s="6" t="s">
        <v>45</v>
      </c>
      <c r="S195" s="32" t="s">
        <v>2113</v>
      </c>
      <c r="T195" s="6">
        <v>1</v>
      </c>
      <c r="U195" s="26">
        <v>850000</v>
      </c>
      <c r="V195" s="26">
        <v>850000</v>
      </c>
      <c r="W195" s="26">
        <v>850000</v>
      </c>
      <c r="X195" s="6" t="s">
        <v>2003</v>
      </c>
      <c r="Y195" s="6" t="s">
        <v>80</v>
      </c>
      <c r="Z195" s="6">
        <v>224002</v>
      </c>
    </row>
    <row r="196" spans="1:26" x14ac:dyDescent="0.3">
      <c r="A196" s="28" t="s">
        <v>42</v>
      </c>
      <c r="B196" s="6" t="s">
        <v>2313</v>
      </c>
      <c r="C196" s="6" t="s">
        <v>1976</v>
      </c>
      <c r="D196" s="6" t="s">
        <v>2292</v>
      </c>
      <c r="E196" s="6">
        <v>1</v>
      </c>
      <c r="F196" s="6" t="s">
        <v>2004</v>
      </c>
      <c r="G196" s="32" t="s">
        <v>2299</v>
      </c>
      <c r="H196" s="32" t="s">
        <v>2300</v>
      </c>
      <c r="I196" s="6" t="str">
        <f t="shared" si="7"/>
        <v>Skeleton Bucket</v>
      </c>
      <c r="J196" s="6" t="s">
        <v>455</v>
      </c>
      <c r="K196" s="6">
        <v>1</v>
      </c>
      <c r="L196" s="6">
        <f t="shared" si="8"/>
        <v>1050000</v>
      </c>
      <c r="M196" s="6">
        <v>900000</v>
      </c>
      <c r="N196" s="6" t="s">
        <v>2003</v>
      </c>
      <c r="O196" s="6" t="s">
        <v>813</v>
      </c>
      <c r="P196" s="6">
        <v>2013</v>
      </c>
      <c r="Q196" s="6">
        <v>1</v>
      </c>
      <c r="R196" s="6" t="s">
        <v>45</v>
      </c>
      <c r="S196" s="32" t="s">
        <v>2113</v>
      </c>
      <c r="T196" s="6">
        <v>1</v>
      </c>
      <c r="U196" s="26">
        <v>800000</v>
      </c>
      <c r="V196" s="26">
        <v>800000</v>
      </c>
      <c r="W196" s="26">
        <v>800000</v>
      </c>
      <c r="X196" s="6" t="s">
        <v>2003</v>
      </c>
      <c r="Y196" s="6" t="s">
        <v>79</v>
      </c>
      <c r="Z196" s="6">
        <v>224003</v>
      </c>
    </row>
    <row r="197" spans="1:26" x14ac:dyDescent="0.3">
      <c r="A197" s="28" t="s">
        <v>42</v>
      </c>
      <c r="B197" s="6" t="s">
        <v>2316</v>
      </c>
      <c r="C197" s="6"/>
      <c r="D197" s="6" t="s">
        <v>2001</v>
      </c>
      <c r="E197" s="6">
        <v>1</v>
      </c>
      <c r="F197" s="6" t="s">
        <v>2004</v>
      </c>
      <c r="G197" s="32" t="s">
        <v>2299</v>
      </c>
      <c r="H197" s="32" t="s">
        <v>2300</v>
      </c>
      <c r="I197" s="6" t="str">
        <f t="shared" si="7"/>
        <v>Ripper</v>
      </c>
      <c r="J197" s="6" t="s">
        <v>170</v>
      </c>
      <c r="K197" s="6">
        <v>1</v>
      </c>
      <c r="L197" s="6">
        <f t="shared" si="8"/>
        <v>2230000</v>
      </c>
      <c r="M197" s="6">
        <v>1900000</v>
      </c>
      <c r="N197" s="6" t="s">
        <v>2003</v>
      </c>
      <c r="O197" s="6" t="s">
        <v>804</v>
      </c>
      <c r="P197" s="6">
        <v>2017</v>
      </c>
      <c r="Q197" s="6">
        <v>1</v>
      </c>
      <c r="R197" s="6" t="s">
        <v>45</v>
      </c>
      <c r="S197" s="32" t="s">
        <v>2124</v>
      </c>
      <c r="T197" s="6">
        <v>1</v>
      </c>
      <c r="U197" s="26">
        <v>1800000</v>
      </c>
      <c r="V197" s="26">
        <v>1800000</v>
      </c>
      <c r="W197" s="26">
        <v>1800000</v>
      </c>
      <c r="X197" s="6" t="s">
        <v>2003</v>
      </c>
      <c r="Y197" s="6" t="s">
        <v>1144</v>
      </c>
      <c r="Z197" s="6">
        <v>224005</v>
      </c>
    </row>
    <row r="198" spans="1:26" x14ac:dyDescent="0.3">
      <c r="A198" s="28" t="s">
        <v>42</v>
      </c>
      <c r="B198" s="6" t="s">
        <v>2310</v>
      </c>
      <c r="C198" s="6" t="s">
        <v>1982</v>
      </c>
      <c r="D198" s="6" t="s">
        <v>2292</v>
      </c>
      <c r="E198" s="6">
        <v>1</v>
      </c>
      <c r="F198" s="6" t="s">
        <v>2004</v>
      </c>
      <c r="G198" s="32" t="s">
        <v>2299</v>
      </c>
      <c r="H198" s="32" t="s">
        <v>2300</v>
      </c>
      <c r="I198" s="6" t="str">
        <f t="shared" si="7"/>
        <v>Standard Bucket</v>
      </c>
      <c r="J198" s="6" t="s">
        <v>140</v>
      </c>
      <c r="K198" s="6">
        <v>1</v>
      </c>
      <c r="L198" s="6">
        <f t="shared" si="8"/>
        <v>1000000</v>
      </c>
      <c r="M198" s="6">
        <v>850000</v>
      </c>
      <c r="N198" s="6" t="s">
        <v>2003</v>
      </c>
      <c r="O198" s="6" t="s">
        <v>813</v>
      </c>
      <c r="P198" s="6">
        <v>2014</v>
      </c>
      <c r="Q198" s="6">
        <v>1</v>
      </c>
      <c r="R198" s="6" t="s">
        <v>45</v>
      </c>
      <c r="S198" s="32" t="s">
        <v>2113</v>
      </c>
      <c r="T198" s="6">
        <v>1</v>
      </c>
      <c r="U198" s="26">
        <v>750000</v>
      </c>
      <c r="V198" s="26">
        <v>750000</v>
      </c>
      <c r="W198" s="26">
        <v>750000</v>
      </c>
      <c r="X198" s="6" t="s">
        <v>2003</v>
      </c>
      <c r="Y198" s="6" t="s">
        <v>80</v>
      </c>
      <c r="Z198" s="6">
        <v>224008</v>
      </c>
    </row>
    <row r="199" spans="1:26" x14ac:dyDescent="0.3">
      <c r="A199" s="28" t="s">
        <v>42</v>
      </c>
      <c r="B199" s="6" t="s">
        <v>2309</v>
      </c>
      <c r="C199" s="6" t="s">
        <v>1974</v>
      </c>
      <c r="D199" s="6" t="s">
        <v>2291</v>
      </c>
      <c r="E199" s="6">
        <v>1</v>
      </c>
      <c r="F199" s="6" t="s">
        <v>2004</v>
      </c>
      <c r="G199" s="32" t="s">
        <v>2299</v>
      </c>
      <c r="H199" s="32" t="s">
        <v>2300</v>
      </c>
      <c r="I199" s="6" t="str">
        <f t="shared" si="7"/>
        <v>Etc Grapple</v>
      </c>
      <c r="J199" s="6" t="s">
        <v>136</v>
      </c>
      <c r="K199" s="6">
        <v>1</v>
      </c>
      <c r="L199" s="6">
        <f t="shared" si="8"/>
        <v>2940000</v>
      </c>
      <c r="M199" s="6">
        <v>2500000</v>
      </c>
      <c r="N199" s="6" t="s">
        <v>2003</v>
      </c>
      <c r="O199" s="6" t="s">
        <v>895</v>
      </c>
      <c r="P199" s="6">
        <v>2015</v>
      </c>
      <c r="Q199" s="6">
        <v>1</v>
      </c>
      <c r="R199" s="6" t="s">
        <v>45</v>
      </c>
      <c r="S199" s="32" t="s">
        <v>2122</v>
      </c>
      <c r="T199" s="6">
        <v>1</v>
      </c>
      <c r="U199" s="26">
        <v>2300000</v>
      </c>
      <c r="V199" s="26">
        <v>2300000</v>
      </c>
      <c r="W199" s="26">
        <v>2300000</v>
      </c>
      <c r="X199" s="6" t="s">
        <v>2003</v>
      </c>
      <c r="Y199" s="6" t="s">
        <v>1154</v>
      </c>
      <c r="Z199" s="6">
        <v>224010</v>
      </c>
    </row>
    <row r="200" spans="1:26" x14ac:dyDescent="0.3">
      <c r="A200" s="28" t="s">
        <v>42</v>
      </c>
      <c r="B200" s="6" t="s">
        <v>2312</v>
      </c>
      <c r="C200" s="6"/>
      <c r="D200" s="6" t="s">
        <v>2292</v>
      </c>
      <c r="E200" s="6">
        <v>1</v>
      </c>
      <c r="F200" s="6" t="s">
        <v>2004</v>
      </c>
      <c r="G200" s="32" t="s">
        <v>2299</v>
      </c>
      <c r="H200" s="32" t="s">
        <v>2300</v>
      </c>
      <c r="I200" s="6" t="str">
        <f t="shared" si="7"/>
        <v>Lift Fork</v>
      </c>
      <c r="J200" s="6" t="s">
        <v>320</v>
      </c>
      <c r="K200" s="6">
        <v>1</v>
      </c>
      <c r="L200" s="6">
        <f t="shared" si="8"/>
        <v>470000</v>
      </c>
      <c r="M200" s="6">
        <v>400000</v>
      </c>
      <c r="N200" s="6" t="s">
        <v>2003</v>
      </c>
      <c r="O200" s="6" t="s">
        <v>813</v>
      </c>
      <c r="P200" s="6">
        <v>2013</v>
      </c>
      <c r="Q200" s="6">
        <v>1</v>
      </c>
      <c r="R200" s="6" t="s">
        <v>45</v>
      </c>
      <c r="S200" s="32" t="s">
        <v>2113</v>
      </c>
      <c r="T200" s="6">
        <v>1</v>
      </c>
      <c r="U200" s="26">
        <v>350000</v>
      </c>
      <c r="V200" s="26">
        <v>350000</v>
      </c>
      <c r="W200" s="26">
        <v>350000</v>
      </c>
      <c r="X200" s="6" t="s">
        <v>2003</v>
      </c>
      <c r="Y200" s="6" t="s">
        <v>80</v>
      </c>
      <c r="Z200" s="6">
        <v>224012</v>
      </c>
    </row>
    <row r="201" spans="1:26" x14ac:dyDescent="0.3">
      <c r="A201" s="28" t="s">
        <v>42</v>
      </c>
      <c r="B201" s="6" t="s">
        <v>2315</v>
      </c>
      <c r="C201" s="6" t="s">
        <v>2209</v>
      </c>
      <c r="D201" s="6" t="s">
        <v>2290</v>
      </c>
      <c r="E201" s="6">
        <v>1</v>
      </c>
      <c r="F201" s="6" t="s">
        <v>2004</v>
      </c>
      <c r="G201" s="32" t="s">
        <v>2299</v>
      </c>
      <c r="H201" s="32" t="s">
        <v>2300</v>
      </c>
      <c r="I201" s="6" t="str">
        <f t="shared" si="7"/>
        <v>Etc Bucket</v>
      </c>
      <c r="J201" s="6" t="s">
        <v>332</v>
      </c>
      <c r="K201" s="6">
        <v>1</v>
      </c>
      <c r="L201" s="6">
        <f t="shared" si="8"/>
        <v>8940000</v>
      </c>
      <c r="M201" s="6">
        <v>7600000</v>
      </c>
      <c r="N201" s="6" t="s">
        <v>2003</v>
      </c>
      <c r="O201" s="6" t="s">
        <v>2035</v>
      </c>
      <c r="P201" s="6">
        <v>2013</v>
      </c>
      <c r="Q201" s="6">
        <v>8</v>
      </c>
      <c r="R201" s="6" t="s">
        <v>45</v>
      </c>
      <c r="S201" s="32" t="s">
        <v>2117</v>
      </c>
      <c r="T201" s="6">
        <v>1</v>
      </c>
      <c r="U201" s="26">
        <v>7100000</v>
      </c>
      <c r="V201" s="26">
        <v>7100000</v>
      </c>
      <c r="W201" s="26">
        <v>7100000</v>
      </c>
      <c r="X201" s="6" t="s">
        <v>2003</v>
      </c>
      <c r="Y201" s="6" t="s">
        <v>1156</v>
      </c>
      <c r="Z201" s="6">
        <v>224013</v>
      </c>
    </row>
    <row r="202" spans="1:26" x14ac:dyDescent="0.3">
      <c r="A202" s="28" t="s">
        <v>42</v>
      </c>
      <c r="B202" s="6" t="s">
        <v>2308</v>
      </c>
      <c r="C202" s="6" t="s">
        <v>1975</v>
      </c>
      <c r="D202" s="6" t="s">
        <v>2292</v>
      </c>
      <c r="E202" s="6">
        <v>1</v>
      </c>
      <c r="F202" s="6" t="s">
        <v>2004</v>
      </c>
      <c r="G202" s="32" t="s">
        <v>2299</v>
      </c>
      <c r="H202" s="32" t="s">
        <v>2300</v>
      </c>
      <c r="I202" s="6" t="str">
        <f t="shared" si="7"/>
        <v>Side Breaker</v>
      </c>
      <c r="J202" s="6" t="s">
        <v>440</v>
      </c>
      <c r="K202" s="6">
        <v>1</v>
      </c>
      <c r="L202" s="6">
        <f t="shared" si="8"/>
        <v>7050000</v>
      </c>
      <c r="M202" s="6">
        <v>6000000</v>
      </c>
      <c r="N202" s="6" t="s">
        <v>2003</v>
      </c>
      <c r="O202" s="6" t="s">
        <v>813</v>
      </c>
      <c r="P202" s="6">
        <v>2016</v>
      </c>
      <c r="Q202" s="6">
        <v>1</v>
      </c>
      <c r="R202" s="6" t="s">
        <v>45</v>
      </c>
      <c r="S202" s="32" t="s">
        <v>2113</v>
      </c>
      <c r="T202" s="6">
        <v>1</v>
      </c>
      <c r="U202" s="26">
        <v>5500000</v>
      </c>
      <c r="V202" s="26">
        <v>5500000</v>
      </c>
      <c r="W202" s="26">
        <v>5500000</v>
      </c>
      <c r="X202" s="6" t="s">
        <v>2003</v>
      </c>
      <c r="Y202" s="6" t="s">
        <v>80</v>
      </c>
      <c r="Z202" s="6">
        <v>224015</v>
      </c>
    </row>
    <row r="203" spans="1:26" x14ac:dyDescent="0.3">
      <c r="A203" s="28" t="s">
        <v>42</v>
      </c>
      <c r="B203" s="6" t="s">
        <v>2315</v>
      </c>
      <c r="C203" s="6"/>
      <c r="D203" s="6" t="s">
        <v>2289</v>
      </c>
      <c r="E203" s="6">
        <v>1</v>
      </c>
      <c r="F203" s="6" t="s">
        <v>2004</v>
      </c>
      <c r="G203" s="32" t="s">
        <v>2299</v>
      </c>
      <c r="H203" s="32" t="s">
        <v>2300</v>
      </c>
      <c r="I203" s="6" t="str">
        <f t="shared" ref="I203:I266" si="9">IF(ISBLANK(C203),B203,C203)</f>
        <v>ETC</v>
      </c>
      <c r="J203" s="6" t="s">
        <v>491</v>
      </c>
      <c r="K203" s="6">
        <v>1</v>
      </c>
      <c r="L203" s="6">
        <f t="shared" ref="L203:L266" si="10">FLOOR(((M203*100)/85)/10000, 1)*10000</f>
        <v>9410000</v>
      </c>
      <c r="M203" s="6">
        <v>8000000</v>
      </c>
      <c r="N203" s="6" t="s">
        <v>2003</v>
      </c>
      <c r="O203" s="6" t="s">
        <v>905</v>
      </c>
      <c r="P203" s="6">
        <v>2010</v>
      </c>
      <c r="Q203" s="6">
        <v>10</v>
      </c>
      <c r="R203" s="6" t="s">
        <v>45</v>
      </c>
      <c r="S203" s="32" t="s">
        <v>2113</v>
      </c>
      <c r="T203" s="6">
        <v>1</v>
      </c>
      <c r="U203" s="26">
        <v>7500000</v>
      </c>
      <c r="V203" s="26">
        <v>7500000</v>
      </c>
      <c r="W203" s="26">
        <v>7500000</v>
      </c>
      <c r="X203" s="6" t="s">
        <v>2003</v>
      </c>
      <c r="Y203" s="6" t="s">
        <v>108</v>
      </c>
      <c r="Z203" s="6">
        <v>224033</v>
      </c>
    </row>
    <row r="204" spans="1:26" x14ac:dyDescent="0.3">
      <c r="A204" s="28" t="s">
        <v>42</v>
      </c>
      <c r="B204" s="6" t="s">
        <v>2308</v>
      </c>
      <c r="C204" s="6" t="s">
        <v>1975</v>
      </c>
      <c r="D204" s="6" t="s">
        <v>2294</v>
      </c>
      <c r="E204" s="6">
        <v>1</v>
      </c>
      <c r="F204" s="6" t="s">
        <v>2004</v>
      </c>
      <c r="G204" s="32" t="s">
        <v>2299</v>
      </c>
      <c r="H204" s="32" t="s">
        <v>2300</v>
      </c>
      <c r="I204" s="6" t="str">
        <f t="shared" si="9"/>
        <v>Side Breaker</v>
      </c>
      <c r="J204" s="6" t="s">
        <v>492</v>
      </c>
      <c r="K204" s="6">
        <v>1</v>
      </c>
      <c r="L204" s="6">
        <f t="shared" si="10"/>
        <v>3410000</v>
      </c>
      <c r="M204" s="6">
        <v>2900000</v>
      </c>
      <c r="N204" s="6" t="s">
        <v>2003</v>
      </c>
      <c r="O204" s="6" t="s">
        <v>906</v>
      </c>
      <c r="P204" s="6">
        <v>2012</v>
      </c>
      <c r="Q204" s="6">
        <v>1</v>
      </c>
      <c r="R204" s="6" t="s">
        <v>45</v>
      </c>
      <c r="S204" s="32" t="s">
        <v>2117</v>
      </c>
      <c r="T204" s="6">
        <v>1</v>
      </c>
      <c r="U204" s="26">
        <v>2700000</v>
      </c>
      <c r="V204" s="26">
        <v>2700000</v>
      </c>
      <c r="W204" s="26">
        <v>2700000</v>
      </c>
      <c r="X204" s="6" t="s">
        <v>2003</v>
      </c>
      <c r="Y204" s="6" t="s">
        <v>1263</v>
      </c>
      <c r="Z204" s="6">
        <v>224037</v>
      </c>
    </row>
    <row r="205" spans="1:26" x14ac:dyDescent="0.3">
      <c r="A205" s="28" t="s">
        <v>42</v>
      </c>
      <c r="B205" s="6" t="s">
        <v>2308</v>
      </c>
      <c r="C205" s="6" t="s">
        <v>1975</v>
      </c>
      <c r="D205" s="6" t="s">
        <v>2289</v>
      </c>
      <c r="E205" s="6">
        <v>1</v>
      </c>
      <c r="F205" s="6" t="s">
        <v>2004</v>
      </c>
      <c r="G205" s="32" t="s">
        <v>2299</v>
      </c>
      <c r="H205" s="32" t="s">
        <v>2300</v>
      </c>
      <c r="I205" s="6" t="str">
        <f t="shared" si="9"/>
        <v>Side Breaker</v>
      </c>
      <c r="J205" s="6" t="s">
        <v>493</v>
      </c>
      <c r="K205" s="6">
        <v>1</v>
      </c>
      <c r="L205" s="6">
        <f t="shared" si="10"/>
        <v>7050000</v>
      </c>
      <c r="M205" s="6">
        <v>6000000</v>
      </c>
      <c r="N205" s="6" t="s">
        <v>2003</v>
      </c>
      <c r="O205" s="6" t="s">
        <v>907</v>
      </c>
      <c r="P205" s="6">
        <v>2013</v>
      </c>
      <c r="Q205" s="6">
        <v>1</v>
      </c>
      <c r="R205" s="6" t="s">
        <v>45</v>
      </c>
      <c r="S205" s="32" t="s">
        <v>2110</v>
      </c>
      <c r="T205" s="6">
        <v>1</v>
      </c>
      <c r="U205" s="26">
        <v>5500000</v>
      </c>
      <c r="V205" s="26">
        <v>5500000</v>
      </c>
      <c r="W205" s="26">
        <v>5500000</v>
      </c>
      <c r="X205" s="6" t="s">
        <v>2003</v>
      </c>
      <c r="Y205" s="6" t="s">
        <v>1264</v>
      </c>
      <c r="Z205" s="6">
        <v>224042</v>
      </c>
    </row>
    <row r="206" spans="1:26" x14ac:dyDescent="0.3">
      <c r="A206" s="28" t="s">
        <v>42</v>
      </c>
      <c r="B206" s="6" t="s">
        <v>2313</v>
      </c>
      <c r="C206" s="6" t="s">
        <v>1976</v>
      </c>
      <c r="D206" s="6" t="s">
        <v>2292</v>
      </c>
      <c r="E206" s="6">
        <v>1</v>
      </c>
      <c r="F206" s="6" t="s">
        <v>2004</v>
      </c>
      <c r="G206" s="32" t="s">
        <v>2299</v>
      </c>
      <c r="H206" s="32" t="s">
        <v>2300</v>
      </c>
      <c r="I206" s="6" t="str">
        <f t="shared" si="9"/>
        <v>Skeleton Bucket</v>
      </c>
      <c r="J206" s="6" t="s">
        <v>494</v>
      </c>
      <c r="K206" s="6">
        <v>1</v>
      </c>
      <c r="L206" s="6">
        <f t="shared" si="10"/>
        <v>1880000</v>
      </c>
      <c r="M206" s="6">
        <v>1600000</v>
      </c>
      <c r="N206" s="6" t="s">
        <v>2003</v>
      </c>
      <c r="O206" s="6" t="s">
        <v>908</v>
      </c>
      <c r="P206" s="6">
        <v>2017</v>
      </c>
      <c r="Q206" s="6">
        <v>1</v>
      </c>
      <c r="R206" s="6" t="s">
        <v>45</v>
      </c>
      <c r="S206" s="32" t="s">
        <v>2114</v>
      </c>
      <c r="T206" s="6">
        <v>1</v>
      </c>
      <c r="U206" s="26">
        <v>1500000</v>
      </c>
      <c r="V206" s="26">
        <v>1500000</v>
      </c>
      <c r="W206" s="26">
        <v>1500000</v>
      </c>
      <c r="X206" s="6" t="s">
        <v>2003</v>
      </c>
      <c r="Y206" s="6" t="s">
        <v>833</v>
      </c>
      <c r="Z206" s="6">
        <v>224043</v>
      </c>
    </row>
    <row r="207" spans="1:26" x14ac:dyDescent="0.3">
      <c r="A207" s="28" t="s">
        <v>42</v>
      </c>
      <c r="B207" s="6" t="s">
        <v>2313</v>
      </c>
      <c r="C207" s="19" t="s">
        <v>1982</v>
      </c>
      <c r="D207" s="6" t="s">
        <v>2289</v>
      </c>
      <c r="E207" s="6">
        <v>1</v>
      </c>
      <c r="F207" s="6" t="s">
        <v>2004</v>
      </c>
      <c r="G207" s="32" t="s">
        <v>2299</v>
      </c>
      <c r="H207" s="32" t="s">
        <v>2300</v>
      </c>
      <c r="I207" s="6" t="str">
        <f t="shared" si="9"/>
        <v>Standard Bucket</v>
      </c>
      <c r="J207" s="6" t="s">
        <v>75</v>
      </c>
      <c r="K207" s="6">
        <v>1</v>
      </c>
      <c r="L207" s="6">
        <f t="shared" si="10"/>
        <v>7050000</v>
      </c>
      <c r="M207" s="6">
        <v>6000000</v>
      </c>
      <c r="N207" s="6" t="s">
        <v>2003</v>
      </c>
      <c r="O207" s="6" t="s">
        <v>909</v>
      </c>
      <c r="P207" s="6">
        <v>2016</v>
      </c>
      <c r="Q207" s="6">
        <v>1</v>
      </c>
      <c r="R207" s="6" t="s">
        <v>45</v>
      </c>
      <c r="S207" s="32" t="s">
        <v>2120</v>
      </c>
      <c r="T207" s="6">
        <v>1</v>
      </c>
      <c r="U207" s="26">
        <v>5500000</v>
      </c>
      <c r="V207" s="26">
        <v>5500000</v>
      </c>
      <c r="W207" s="26">
        <v>5500000</v>
      </c>
      <c r="X207" s="6" t="s">
        <v>2003</v>
      </c>
      <c r="Y207" s="6" t="s">
        <v>74</v>
      </c>
      <c r="Z207" s="6">
        <v>224045</v>
      </c>
    </row>
    <row r="208" spans="1:26" x14ac:dyDescent="0.3">
      <c r="A208" s="28" t="s">
        <v>42</v>
      </c>
      <c r="B208" s="6" t="s">
        <v>2313</v>
      </c>
      <c r="C208" s="6" t="s">
        <v>1976</v>
      </c>
      <c r="D208" s="6" t="s">
        <v>2291</v>
      </c>
      <c r="E208" s="6">
        <v>1</v>
      </c>
      <c r="F208" s="6" t="s">
        <v>2004</v>
      </c>
      <c r="G208" s="32" t="s">
        <v>2299</v>
      </c>
      <c r="H208" s="32" t="s">
        <v>2300</v>
      </c>
      <c r="I208" s="6" t="str">
        <f t="shared" si="9"/>
        <v>Skeleton Bucket</v>
      </c>
      <c r="J208" s="6" t="s">
        <v>495</v>
      </c>
      <c r="K208" s="6">
        <v>1</v>
      </c>
      <c r="L208" s="6">
        <f t="shared" si="10"/>
        <v>820000</v>
      </c>
      <c r="M208" s="6">
        <v>700000</v>
      </c>
      <c r="N208" s="6" t="s">
        <v>2003</v>
      </c>
      <c r="O208" s="6" t="s">
        <v>833</v>
      </c>
      <c r="P208" s="6">
        <v>2017</v>
      </c>
      <c r="Q208" s="6">
        <v>1</v>
      </c>
      <c r="R208" s="6" t="s">
        <v>45</v>
      </c>
      <c r="S208" s="32" t="s">
        <v>2114</v>
      </c>
      <c r="T208" s="6">
        <v>1</v>
      </c>
      <c r="U208" s="26">
        <v>600000</v>
      </c>
      <c r="V208" s="26">
        <v>600000</v>
      </c>
      <c r="W208" s="26">
        <v>600000</v>
      </c>
      <c r="X208" s="6" t="s">
        <v>2003</v>
      </c>
      <c r="Y208" s="6" t="s">
        <v>833</v>
      </c>
      <c r="Z208" s="6">
        <v>224046</v>
      </c>
    </row>
    <row r="209" spans="1:26" x14ac:dyDescent="0.3">
      <c r="A209" s="28" t="s">
        <v>42</v>
      </c>
      <c r="B209" s="6" t="s">
        <v>2313</v>
      </c>
      <c r="C209" s="6" t="s">
        <v>1976</v>
      </c>
      <c r="D209" s="6" t="s">
        <v>2292</v>
      </c>
      <c r="E209" s="6">
        <v>1</v>
      </c>
      <c r="F209" s="6" t="s">
        <v>2004</v>
      </c>
      <c r="G209" s="32" t="s">
        <v>2299</v>
      </c>
      <c r="H209" s="32" t="s">
        <v>2300</v>
      </c>
      <c r="I209" s="6" t="str">
        <f t="shared" si="9"/>
        <v>Skeleton Bucket</v>
      </c>
      <c r="J209" s="6" t="s">
        <v>118</v>
      </c>
      <c r="K209" s="6">
        <v>1</v>
      </c>
      <c r="L209" s="6">
        <f t="shared" si="10"/>
        <v>1110000</v>
      </c>
      <c r="M209" s="6">
        <v>950000</v>
      </c>
      <c r="N209" s="6" t="s">
        <v>2003</v>
      </c>
      <c r="O209" s="6" t="s">
        <v>910</v>
      </c>
      <c r="P209" s="6">
        <v>2015</v>
      </c>
      <c r="Q209" s="6">
        <v>1</v>
      </c>
      <c r="R209" s="6" t="s">
        <v>45</v>
      </c>
      <c r="S209" s="32" t="s">
        <v>2125</v>
      </c>
      <c r="T209" s="6">
        <v>1</v>
      </c>
      <c r="U209" s="26">
        <v>850000</v>
      </c>
      <c r="V209" s="26">
        <v>850000</v>
      </c>
      <c r="W209" s="26">
        <v>850000</v>
      </c>
      <c r="X209" s="6" t="s">
        <v>2003</v>
      </c>
      <c r="Y209" s="6" t="s">
        <v>98</v>
      </c>
      <c r="Z209" s="6">
        <v>224060</v>
      </c>
    </row>
    <row r="210" spans="1:26" x14ac:dyDescent="0.3">
      <c r="A210" s="28" t="s">
        <v>42</v>
      </c>
      <c r="B210" s="6" t="s">
        <v>2308</v>
      </c>
      <c r="C210" s="6" t="s">
        <v>1975</v>
      </c>
      <c r="D210" s="6" t="s">
        <v>2292</v>
      </c>
      <c r="E210" s="6">
        <v>1</v>
      </c>
      <c r="F210" s="6" t="s">
        <v>2004</v>
      </c>
      <c r="G210" s="32" t="s">
        <v>2299</v>
      </c>
      <c r="H210" s="32" t="s">
        <v>2300</v>
      </c>
      <c r="I210" s="6" t="str">
        <f t="shared" si="9"/>
        <v>Side Breaker</v>
      </c>
      <c r="J210" s="6" t="s">
        <v>119</v>
      </c>
      <c r="K210" s="6">
        <v>1</v>
      </c>
      <c r="L210" s="6">
        <f t="shared" si="10"/>
        <v>5290000</v>
      </c>
      <c r="M210" s="6">
        <v>4500000</v>
      </c>
      <c r="N210" s="6" t="s">
        <v>2003</v>
      </c>
      <c r="O210" s="6" t="s">
        <v>837</v>
      </c>
      <c r="P210" s="6">
        <v>2015</v>
      </c>
      <c r="Q210" s="6">
        <v>1</v>
      </c>
      <c r="R210" s="6" t="s">
        <v>45</v>
      </c>
      <c r="S210" s="32" t="s">
        <v>2113</v>
      </c>
      <c r="T210" s="6">
        <v>1</v>
      </c>
      <c r="U210" s="26">
        <v>4300000</v>
      </c>
      <c r="V210" s="26">
        <v>4300000</v>
      </c>
      <c r="W210" s="26">
        <v>4300000</v>
      </c>
      <c r="X210" s="6" t="s">
        <v>2003</v>
      </c>
      <c r="Y210" s="6" t="s">
        <v>71</v>
      </c>
      <c r="Z210" s="6">
        <v>224061</v>
      </c>
    </row>
    <row r="211" spans="1:26" x14ac:dyDescent="0.3">
      <c r="A211" s="28" t="s">
        <v>42</v>
      </c>
      <c r="B211" s="6" t="s">
        <v>2309</v>
      </c>
      <c r="C211" s="6" t="s">
        <v>1972</v>
      </c>
      <c r="D211" s="6" t="s">
        <v>2291</v>
      </c>
      <c r="E211" s="6">
        <v>1</v>
      </c>
      <c r="F211" s="6" t="s">
        <v>2004</v>
      </c>
      <c r="G211" s="32" t="s">
        <v>2299</v>
      </c>
      <c r="H211" s="32" t="s">
        <v>2300</v>
      </c>
      <c r="I211" s="6" t="str">
        <f t="shared" si="9"/>
        <v>Stone Grapple</v>
      </c>
      <c r="J211" s="6" t="s">
        <v>149</v>
      </c>
      <c r="K211" s="6">
        <v>1</v>
      </c>
      <c r="L211" s="6">
        <f t="shared" si="10"/>
        <v>4580000</v>
      </c>
      <c r="M211" s="6">
        <v>3900000</v>
      </c>
      <c r="N211" s="6" t="s">
        <v>2003</v>
      </c>
      <c r="O211" s="6" t="s">
        <v>911</v>
      </c>
      <c r="P211" s="6">
        <v>2016</v>
      </c>
      <c r="Q211" s="6">
        <v>1</v>
      </c>
      <c r="R211" s="6" t="s">
        <v>45</v>
      </c>
      <c r="S211" s="32" t="s">
        <v>2121</v>
      </c>
      <c r="T211" s="6">
        <v>1</v>
      </c>
      <c r="U211" s="26">
        <v>3700000</v>
      </c>
      <c r="V211" s="26">
        <v>3700000</v>
      </c>
      <c r="W211" s="26">
        <v>3700000</v>
      </c>
      <c r="X211" s="6" t="s">
        <v>2003</v>
      </c>
      <c r="Y211" s="6" t="s">
        <v>1265</v>
      </c>
      <c r="Z211" s="6">
        <v>224062</v>
      </c>
    </row>
    <row r="212" spans="1:26" x14ac:dyDescent="0.3">
      <c r="A212" s="28" t="s">
        <v>42</v>
      </c>
      <c r="B212" s="6" t="s">
        <v>2309</v>
      </c>
      <c r="C212" s="6" t="s">
        <v>1979</v>
      </c>
      <c r="D212" s="6" t="s">
        <v>2292</v>
      </c>
      <c r="E212" s="6">
        <v>1</v>
      </c>
      <c r="F212" s="6" t="s">
        <v>2004</v>
      </c>
      <c r="G212" s="32" t="s">
        <v>2299</v>
      </c>
      <c r="H212" s="32" t="s">
        <v>2300</v>
      </c>
      <c r="I212" s="6" t="str">
        <f t="shared" si="9"/>
        <v>Thumb Grapple</v>
      </c>
      <c r="J212" s="6" t="s">
        <v>195</v>
      </c>
      <c r="K212" s="6">
        <v>1</v>
      </c>
      <c r="L212" s="6">
        <f t="shared" si="10"/>
        <v>1290000</v>
      </c>
      <c r="M212" s="6">
        <v>1100000</v>
      </c>
      <c r="N212" s="6" t="s">
        <v>2003</v>
      </c>
      <c r="O212" s="6" t="s">
        <v>1848</v>
      </c>
      <c r="P212" s="6">
        <v>2012</v>
      </c>
      <c r="Q212" s="6">
        <v>6</v>
      </c>
      <c r="R212" s="6" t="s">
        <v>45</v>
      </c>
      <c r="S212" s="32" t="s">
        <v>2116</v>
      </c>
      <c r="T212" s="6">
        <v>1</v>
      </c>
      <c r="U212" s="26">
        <v>1000000</v>
      </c>
      <c r="V212" s="26">
        <v>1000000</v>
      </c>
      <c r="W212" s="26">
        <v>1000000</v>
      </c>
      <c r="X212" s="6" t="s">
        <v>2003</v>
      </c>
      <c r="Y212" s="6" t="s">
        <v>1146</v>
      </c>
      <c r="Z212" s="6">
        <v>224063</v>
      </c>
    </row>
    <row r="213" spans="1:26" x14ac:dyDescent="0.3">
      <c r="A213" s="28" t="s">
        <v>42</v>
      </c>
      <c r="B213" s="6" t="s">
        <v>2309</v>
      </c>
      <c r="C213" s="6" t="s">
        <v>1972</v>
      </c>
      <c r="D213" s="6" t="s">
        <v>2291</v>
      </c>
      <c r="E213" s="6">
        <v>1</v>
      </c>
      <c r="F213" s="6" t="s">
        <v>2004</v>
      </c>
      <c r="G213" s="32" t="s">
        <v>2299</v>
      </c>
      <c r="H213" s="32" t="s">
        <v>2300</v>
      </c>
      <c r="I213" s="6" t="str">
        <f t="shared" si="9"/>
        <v>Stone Grapple</v>
      </c>
      <c r="J213" s="6" t="s">
        <v>426</v>
      </c>
      <c r="K213" s="6">
        <v>1</v>
      </c>
      <c r="L213" s="6">
        <f t="shared" si="10"/>
        <v>1940000</v>
      </c>
      <c r="M213" s="6">
        <v>1650000</v>
      </c>
      <c r="N213" s="6" t="s">
        <v>2003</v>
      </c>
      <c r="O213" s="6" t="s">
        <v>51</v>
      </c>
      <c r="P213" s="6">
        <v>2016</v>
      </c>
      <c r="Q213" s="6">
        <v>1</v>
      </c>
      <c r="R213" s="6" t="s">
        <v>45</v>
      </c>
      <c r="S213" s="32" t="s">
        <v>2113</v>
      </c>
      <c r="T213" s="6">
        <v>1</v>
      </c>
      <c r="U213" s="26">
        <v>1550000</v>
      </c>
      <c r="V213" s="26">
        <v>1550000</v>
      </c>
      <c r="W213" s="26">
        <v>1550000</v>
      </c>
      <c r="X213" s="6" t="s">
        <v>2003</v>
      </c>
      <c r="Y213" s="6" t="s">
        <v>49</v>
      </c>
      <c r="Z213" s="6">
        <v>224068</v>
      </c>
    </row>
    <row r="214" spans="1:26" x14ac:dyDescent="0.3">
      <c r="A214" s="28" t="s">
        <v>42</v>
      </c>
      <c r="B214" s="6" t="s">
        <v>2308</v>
      </c>
      <c r="C214" s="19" t="s">
        <v>1975</v>
      </c>
      <c r="D214" s="6" t="s">
        <v>2292</v>
      </c>
      <c r="E214" s="6">
        <v>1</v>
      </c>
      <c r="F214" s="6" t="s">
        <v>2004</v>
      </c>
      <c r="G214" s="32" t="s">
        <v>2299</v>
      </c>
      <c r="H214" s="32" t="s">
        <v>2300</v>
      </c>
      <c r="I214" s="6" t="str">
        <f t="shared" si="9"/>
        <v>Side Breaker</v>
      </c>
      <c r="J214" s="6" t="s">
        <v>423</v>
      </c>
      <c r="K214" s="6">
        <v>1</v>
      </c>
      <c r="L214" s="6">
        <f t="shared" si="10"/>
        <v>2940000</v>
      </c>
      <c r="M214" s="6">
        <v>2500000</v>
      </c>
      <c r="N214" s="6" t="s">
        <v>2003</v>
      </c>
      <c r="O214" s="6" t="s">
        <v>912</v>
      </c>
      <c r="P214" s="6">
        <v>2010</v>
      </c>
      <c r="Q214" s="6">
        <v>1</v>
      </c>
      <c r="R214" s="6" t="s">
        <v>45</v>
      </c>
      <c r="S214" s="32" t="s">
        <v>2120</v>
      </c>
      <c r="T214" s="6">
        <v>1</v>
      </c>
      <c r="U214" s="26">
        <v>2300000</v>
      </c>
      <c r="V214" s="26">
        <v>2300000</v>
      </c>
      <c r="W214" s="26">
        <v>2300000</v>
      </c>
      <c r="X214" s="6" t="s">
        <v>2003</v>
      </c>
      <c r="Y214" s="6" t="s">
        <v>1162</v>
      </c>
      <c r="Z214" s="6">
        <v>224074</v>
      </c>
    </row>
    <row r="215" spans="1:26" x14ac:dyDescent="0.3">
      <c r="A215" s="28" t="s">
        <v>42</v>
      </c>
      <c r="B215" s="6" t="s">
        <v>2309</v>
      </c>
      <c r="C215" s="6" t="s">
        <v>1972</v>
      </c>
      <c r="D215" s="6" t="s">
        <v>2292</v>
      </c>
      <c r="E215" s="6">
        <v>1</v>
      </c>
      <c r="F215" s="6" t="s">
        <v>2004</v>
      </c>
      <c r="G215" s="32" t="s">
        <v>2299</v>
      </c>
      <c r="H215" s="32" t="s">
        <v>2300</v>
      </c>
      <c r="I215" s="6" t="str">
        <f t="shared" si="9"/>
        <v>Stone Grapple</v>
      </c>
      <c r="J215" s="6" t="s">
        <v>44</v>
      </c>
      <c r="K215" s="6">
        <v>1</v>
      </c>
      <c r="L215" s="6">
        <f t="shared" si="10"/>
        <v>2820000</v>
      </c>
      <c r="M215" s="6">
        <v>2400000</v>
      </c>
      <c r="N215" s="6" t="s">
        <v>2003</v>
      </c>
      <c r="O215" s="6" t="s">
        <v>1849</v>
      </c>
      <c r="P215" s="6">
        <v>2013</v>
      </c>
      <c r="Q215" s="6">
        <v>1</v>
      </c>
      <c r="R215" s="6" t="s">
        <v>45</v>
      </c>
      <c r="S215" s="32" t="s">
        <v>2116</v>
      </c>
      <c r="T215" s="6">
        <v>1</v>
      </c>
      <c r="U215" s="26">
        <v>2200000</v>
      </c>
      <c r="V215" s="26">
        <v>2200000</v>
      </c>
      <c r="W215" s="26">
        <v>2200000</v>
      </c>
      <c r="X215" s="6" t="s">
        <v>2003</v>
      </c>
      <c r="Y215" s="6" t="s">
        <v>1236</v>
      </c>
      <c r="Z215" s="6">
        <v>224078</v>
      </c>
    </row>
    <row r="216" spans="1:26" x14ac:dyDescent="0.3">
      <c r="A216" s="28" t="s">
        <v>42</v>
      </c>
      <c r="B216" s="6" t="s">
        <v>2308</v>
      </c>
      <c r="C216" s="6" t="s">
        <v>1975</v>
      </c>
      <c r="D216" s="6" t="s">
        <v>2292</v>
      </c>
      <c r="E216" s="6">
        <v>1</v>
      </c>
      <c r="F216" s="6" t="s">
        <v>2004</v>
      </c>
      <c r="G216" s="32" t="s">
        <v>2299</v>
      </c>
      <c r="H216" s="32" t="s">
        <v>2300</v>
      </c>
      <c r="I216" s="6" t="str">
        <f t="shared" si="9"/>
        <v>Side Breaker</v>
      </c>
      <c r="J216" s="6" t="s">
        <v>404</v>
      </c>
      <c r="K216" s="6">
        <v>1</v>
      </c>
      <c r="L216" s="6">
        <f t="shared" si="10"/>
        <v>5170000</v>
      </c>
      <c r="M216" s="6">
        <v>4400000</v>
      </c>
      <c r="N216" s="6" t="s">
        <v>2003</v>
      </c>
      <c r="O216" s="6" t="s">
        <v>862</v>
      </c>
      <c r="P216" s="6">
        <v>2015</v>
      </c>
      <c r="Q216" s="6">
        <v>8</v>
      </c>
      <c r="R216" s="6" t="s">
        <v>45</v>
      </c>
      <c r="S216" s="32" t="s">
        <v>2118</v>
      </c>
      <c r="T216" s="6">
        <v>1</v>
      </c>
      <c r="U216" s="26">
        <v>4200000</v>
      </c>
      <c r="V216" s="26">
        <v>4200000</v>
      </c>
      <c r="W216" s="26">
        <v>4200000</v>
      </c>
      <c r="X216" s="6" t="s">
        <v>2003</v>
      </c>
      <c r="Y216" s="6" t="s">
        <v>67</v>
      </c>
      <c r="Z216" s="6">
        <v>224087</v>
      </c>
    </row>
    <row r="217" spans="1:26" x14ac:dyDescent="0.3">
      <c r="A217" s="28" t="s">
        <v>42</v>
      </c>
      <c r="B217" s="6" t="s">
        <v>2312</v>
      </c>
      <c r="C217" s="6"/>
      <c r="D217" s="6" t="s">
        <v>2295</v>
      </c>
      <c r="E217" s="6">
        <v>1</v>
      </c>
      <c r="F217" s="6" t="s">
        <v>2004</v>
      </c>
      <c r="G217" s="32" t="s">
        <v>2299</v>
      </c>
      <c r="H217" s="32" t="s">
        <v>2300</v>
      </c>
      <c r="I217" s="6" t="str">
        <f t="shared" si="9"/>
        <v>Lift Fork</v>
      </c>
      <c r="J217" s="6" t="s">
        <v>285</v>
      </c>
      <c r="K217" s="6">
        <v>1</v>
      </c>
      <c r="L217" s="6">
        <f t="shared" si="10"/>
        <v>1410000</v>
      </c>
      <c r="M217" s="6">
        <v>1200000</v>
      </c>
      <c r="N217" s="6" t="s">
        <v>2003</v>
      </c>
      <c r="O217" s="6" t="s">
        <v>1850</v>
      </c>
      <c r="P217" s="6">
        <v>2016</v>
      </c>
      <c r="Q217" s="6">
        <v>11</v>
      </c>
      <c r="R217" s="6" t="s">
        <v>45</v>
      </c>
      <c r="S217" s="32" t="s">
        <v>2112</v>
      </c>
      <c r="T217" s="6">
        <v>1</v>
      </c>
      <c r="U217" s="26">
        <v>1100000</v>
      </c>
      <c r="V217" s="26">
        <v>1100000</v>
      </c>
      <c r="W217" s="26">
        <v>1100000</v>
      </c>
      <c r="X217" s="6" t="s">
        <v>2003</v>
      </c>
      <c r="Y217" s="6" t="s">
        <v>1184</v>
      </c>
      <c r="Z217" s="6">
        <v>224090</v>
      </c>
    </row>
    <row r="218" spans="1:26" x14ac:dyDescent="0.3">
      <c r="A218" s="28" t="s">
        <v>42</v>
      </c>
      <c r="B218" s="6" t="s">
        <v>2309</v>
      </c>
      <c r="C218" s="6" t="s">
        <v>1972</v>
      </c>
      <c r="D218" s="6" t="s">
        <v>2292</v>
      </c>
      <c r="E218" s="6">
        <v>1</v>
      </c>
      <c r="F218" s="6" t="s">
        <v>2004</v>
      </c>
      <c r="G218" s="32" t="s">
        <v>2299</v>
      </c>
      <c r="H218" s="32" t="s">
        <v>2300</v>
      </c>
      <c r="I218" s="6" t="str">
        <f t="shared" si="9"/>
        <v>Stone Grapple</v>
      </c>
      <c r="J218" s="6" t="s">
        <v>120</v>
      </c>
      <c r="K218" s="6">
        <v>1</v>
      </c>
      <c r="L218" s="6">
        <f t="shared" si="10"/>
        <v>5520000</v>
      </c>
      <c r="M218" s="6">
        <v>4700000</v>
      </c>
      <c r="N218" s="6" t="s">
        <v>2003</v>
      </c>
      <c r="O218" s="6" t="s">
        <v>899</v>
      </c>
      <c r="P218" s="6">
        <v>2011</v>
      </c>
      <c r="Q218" s="6">
        <v>8</v>
      </c>
      <c r="R218" s="6" t="s">
        <v>45</v>
      </c>
      <c r="S218" s="32" t="s">
        <v>2117</v>
      </c>
      <c r="T218" s="6">
        <v>1</v>
      </c>
      <c r="U218" s="26">
        <v>4500000</v>
      </c>
      <c r="V218" s="26">
        <v>4500000</v>
      </c>
      <c r="W218" s="26">
        <v>4500000</v>
      </c>
      <c r="X218" s="6" t="s">
        <v>2003</v>
      </c>
      <c r="Y218" s="6" t="s">
        <v>899</v>
      </c>
      <c r="Z218" s="6">
        <v>224091</v>
      </c>
    </row>
    <row r="219" spans="1:26" x14ac:dyDescent="0.3">
      <c r="A219" s="28" t="s">
        <v>42</v>
      </c>
      <c r="B219" s="6" t="s">
        <v>2315</v>
      </c>
      <c r="C219" s="6"/>
      <c r="D219" s="6" t="s">
        <v>2291</v>
      </c>
      <c r="E219" s="6">
        <v>1</v>
      </c>
      <c r="F219" s="6" t="s">
        <v>2004</v>
      </c>
      <c r="G219" s="32" t="s">
        <v>2299</v>
      </c>
      <c r="H219" s="32" t="s">
        <v>2300</v>
      </c>
      <c r="I219" s="6" t="str">
        <f t="shared" si="9"/>
        <v>ETC</v>
      </c>
      <c r="J219" s="6" t="s">
        <v>500</v>
      </c>
      <c r="K219" s="6">
        <v>1</v>
      </c>
      <c r="L219" s="6">
        <f t="shared" si="10"/>
        <v>2110000</v>
      </c>
      <c r="M219" s="6">
        <v>1800000</v>
      </c>
      <c r="N219" s="6" t="s">
        <v>2003</v>
      </c>
      <c r="O219" s="6" t="s">
        <v>913</v>
      </c>
      <c r="P219" s="6">
        <v>2016</v>
      </c>
      <c r="Q219" s="6">
        <v>9</v>
      </c>
      <c r="R219" s="6" t="s">
        <v>45</v>
      </c>
      <c r="S219" s="32" t="s">
        <v>2118</v>
      </c>
      <c r="T219" s="6">
        <v>1</v>
      </c>
      <c r="U219" s="26">
        <v>1700000</v>
      </c>
      <c r="V219" s="26">
        <v>1700000</v>
      </c>
      <c r="W219" s="26">
        <v>1700000</v>
      </c>
      <c r="X219" s="6" t="s">
        <v>2003</v>
      </c>
      <c r="Y219" s="6" t="s">
        <v>1170</v>
      </c>
      <c r="Z219" s="6">
        <v>224093</v>
      </c>
    </row>
    <row r="220" spans="1:26" x14ac:dyDescent="0.3">
      <c r="A220" s="28" t="s">
        <v>42</v>
      </c>
      <c r="B220" s="6" t="s">
        <v>2308</v>
      </c>
      <c r="C220" s="6" t="s">
        <v>1975</v>
      </c>
      <c r="D220" s="6" t="s">
        <v>2293</v>
      </c>
      <c r="E220" s="6">
        <v>1</v>
      </c>
      <c r="F220" s="6" t="s">
        <v>2004</v>
      </c>
      <c r="G220" s="32" t="s">
        <v>2299</v>
      </c>
      <c r="H220" s="32" t="s">
        <v>2300</v>
      </c>
      <c r="I220" s="6" t="str">
        <f t="shared" si="9"/>
        <v>Side Breaker</v>
      </c>
      <c r="J220" s="6" t="s">
        <v>385</v>
      </c>
      <c r="K220" s="6">
        <v>1</v>
      </c>
      <c r="L220" s="6">
        <f t="shared" si="10"/>
        <v>2000000</v>
      </c>
      <c r="M220" s="6">
        <v>1700000</v>
      </c>
      <c r="N220" s="6" t="s">
        <v>2003</v>
      </c>
      <c r="O220" s="6" t="s">
        <v>70</v>
      </c>
      <c r="P220" s="6">
        <v>2014</v>
      </c>
      <c r="Q220" s="6">
        <v>5</v>
      </c>
      <c r="R220" s="6" t="s">
        <v>45</v>
      </c>
      <c r="S220" s="32" t="s">
        <v>2113</v>
      </c>
      <c r="T220" s="6">
        <v>1</v>
      </c>
      <c r="U220" s="26">
        <v>1600000</v>
      </c>
      <c r="V220" s="26">
        <v>1600000</v>
      </c>
      <c r="W220" s="26">
        <v>1600000</v>
      </c>
      <c r="X220" s="6" t="s">
        <v>2003</v>
      </c>
      <c r="Y220" s="6" t="s">
        <v>71</v>
      </c>
      <c r="Z220" s="6">
        <v>224096</v>
      </c>
    </row>
    <row r="221" spans="1:26" x14ac:dyDescent="0.3">
      <c r="A221" s="28" t="s">
        <v>42</v>
      </c>
      <c r="B221" s="6" t="s">
        <v>2308</v>
      </c>
      <c r="C221" s="6" t="s">
        <v>1975</v>
      </c>
      <c r="D221" s="6" t="s">
        <v>2292</v>
      </c>
      <c r="E221" s="6">
        <v>1</v>
      </c>
      <c r="F221" s="6" t="s">
        <v>2004</v>
      </c>
      <c r="G221" s="32" t="s">
        <v>2299</v>
      </c>
      <c r="H221" s="32" t="s">
        <v>2300</v>
      </c>
      <c r="I221" s="6" t="str">
        <f t="shared" si="9"/>
        <v>Side Breaker</v>
      </c>
      <c r="J221" s="6" t="s">
        <v>501</v>
      </c>
      <c r="K221" s="6">
        <v>1</v>
      </c>
      <c r="L221" s="6">
        <f t="shared" si="10"/>
        <v>7170000</v>
      </c>
      <c r="M221" s="6">
        <v>6100000</v>
      </c>
      <c r="N221" s="6" t="s">
        <v>2003</v>
      </c>
      <c r="O221" s="6" t="s">
        <v>915</v>
      </c>
      <c r="P221" s="6">
        <v>2015</v>
      </c>
      <c r="Q221" s="6">
        <v>1</v>
      </c>
      <c r="R221" s="6" t="s">
        <v>45</v>
      </c>
      <c r="S221" s="32" t="s">
        <v>2116</v>
      </c>
      <c r="T221" s="6">
        <v>1</v>
      </c>
      <c r="U221" s="26">
        <v>5600000</v>
      </c>
      <c r="V221" s="26">
        <v>5600000</v>
      </c>
      <c r="W221" s="26">
        <v>5600000</v>
      </c>
      <c r="X221" s="6" t="s">
        <v>2003</v>
      </c>
      <c r="Y221" s="6" t="s">
        <v>1175</v>
      </c>
      <c r="Z221" s="6">
        <v>224105</v>
      </c>
    </row>
    <row r="222" spans="1:26" x14ac:dyDescent="0.3">
      <c r="A222" s="28" t="s">
        <v>42</v>
      </c>
      <c r="B222" s="6" t="s">
        <v>2309</v>
      </c>
      <c r="C222" s="6" t="s">
        <v>1972</v>
      </c>
      <c r="D222" s="6" t="s">
        <v>2292</v>
      </c>
      <c r="E222" s="6">
        <v>1</v>
      </c>
      <c r="F222" s="6" t="s">
        <v>2004</v>
      </c>
      <c r="G222" s="32" t="s">
        <v>2299</v>
      </c>
      <c r="H222" s="32" t="s">
        <v>2300</v>
      </c>
      <c r="I222" s="6" t="str">
        <f t="shared" si="9"/>
        <v>Stone Grapple</v>
      </c>
      <c r="J222" s="6" t="s">
        <v>257</v>
      </c>
      <c r="K222" s="6">
        <v>1</v>
      </c>
      <c r="L222" s="6">
        <f t="shared" si="10"/>
        <v>4700000</v>
      </c>
      <c r="M222" s="6">
        <v>4000000</v>
      </c>
      <c r="N222" s="6" t="s">
        <v>2003</v>
      </c>
      <c r="O222" s="6" t="s">
        <v>1851</v>
      </c>
      <c r="P222" s="6">
        <v>2003</v>
      </c>
      <c r="Q222" s="6">
        <v>1</v>
      </c>
      <c r="R222" s="6" t="s">
        <v>45</v>
      </c>
      <c r="S222" s="32" t="s">
        <v>2122</v>
      </c>
      <c r="T222" s="6">
        <v>1</v>
      </c>
      <c r="U222" s="26">
        <v>3800000</v>
      </c>
      <c r="V222" s="26">
        <v>3800000</v>
      </c>
      <c r="W222" s="26">
        <v>3800000</v>
      </c>
      <c r="X222" s="6" t="s">
        <v>2003</v>
      </c>
      <c r="Y222" s="6" t="s">
        <v>1204</v>
      </c>
      <c r="Z222" s="6">
        <v>224115</v>
      </c>
    </row>
    <row r="223" spans="1:26" x14ac:dyDescent="0.3">
      <c r="A223" s="28" t="s">
        <v>42</v>
      </c>
      <c r="B223" s="6" t="s">
        <v>2312</v>
      </c>
      <c r="C223" s="6"/>
      <c r="D223" s="6" t="s">
        <v>2291</v>
      </c>
      <c r="E223" s="6">
        <v>1</v>
      </c>
      <c r="F223" s="6" t="s">
        <v>2004</v>
      </c>
      <c r="G223" s="32" t="s">
        <v>2299</v>
      </c>
      <c r="H223" s="32" t="s">
        <v>2300</v>
      </c>
      <c r="I223" s="6" t="str">
        <f t="shared" si="9"/>
        <v>Lift Fork</v>
      </c>
      <c r="J223" s="6" t="s">
        <v>391</v>
      </c>
      <c r="K223" s="6">
        <v>1</v>
      </c>
      <c r="L223" s="6">
        <f t="shared" si="10"/>
        <v>1050000</v>
      </c>
      <c r="M223" s="6">
        <v>900000</v>
      </c>
      <c r="N223" s="6" t="s">
        <v>2003</v>
      </c>
      <c r="O223" s="6" t="s">
        <v>791</v>
      </c>
      <c r="P223" s="6">
        <v>2016</v>
      </c>
      <c r="Q223" s="6">
        <v>12</v>
      </c>
      <c r="R223" s="6" t="s">
        <v>45</v>
      </c>
      <c r="S223" s="32" t="s">
        <v>2123</v>
      </c>
      <c r="T223" s="6">
        <v>1</v>
      </c>
      <c r="U223" s="26">
        <v>800000</v>
      </c>
      <c r="V223" s="26">
        <v>800000</v>
      </c>
      <c r="W223" s="26">
        <v>800000</v>
      </c>
      <c r="X223" s="6" t="s">
        <v>2003</v>
      </c>
      <c r="Y223" s="6" t="s">
        <v>1143</v>
      </c>
      <c r="Z223" s="6">
        <v>224116</v>
      </c>
    </row>
    <row r="224" spans="1:26" x14ac:dyDescent="0.3">
      <c r="A224" s="28" t="s">
        <v>42</v>
      </c>
      <c r="B224" s="6" t="s">
        <v>2309</v>
      </c>
      <c r="C224" s="6" t="s">
        <v>1979</v>
      </c>
      <c r="D224" s="6" t="s">
        <v>2292</v>
      </c>
      <c r="E224" s="6">
        <v>1</v>
      </c>
      <c r="F224" s="6" t="s">
        <v>2004</v>
      </c>
      <c r="G224" s="32" t="s">
        <v>2299</v>
      </c>
      <c r="H224" s="32" t="s">
        <v>2300</v>
      </c>
      <c r="I224" s="6" t="str">
        <f t="shared" si="9"/>
        <v>Thumb Grapple</v>
      </c>
      <c r="J224" s="6" t="s">
        <v>96</v>
      </c>
      <c r="K224" s="6">
        <v>1</v>
      </c>
      <c r="L224" s="6">
        <f t="shared" si="10"/>
        <v>1700000</v>
      </c>
      <c r="M224" s="6">
        <v>1450000</v>
      </c>
      <c r="N224" s="6" t="s">
        <v>2003</v>
      </c>
      <c r="O224" s="6" t="s">
        <v>51</v>
      </c>
      <c r="P224" s="6">
        <v>2014</v>
      </c>
      <c r="Q224" s="6">
        <v>1</v>
      </c>
      <c r="R224" s="6" t="s">
        <v>45</v>
      </c>
      <c r="S224" s="32" t="s">
        <v>2113</v>
      </c>
      <c r="T224" s="6">
        <v>1</v>
      </c>
      <c r="U224" s="26">
        <v>1350000</v>
      </c>
      <c r="V224" s="26">
        <v>1350000</v>
      </c>
      <c r="W224" s="26">
        <v>1350000</v>
      </c>
      <c r="X224" s="6" t="s">
        <v>2003</v>
      </c>
      <c r="Y224" s="6" t="s">
        <v>49</v>
      </c>
      <c r="Z224" s="6">
        <v>224127</v>
      </c>
    </row>
    <row r="225" spans="1:26" x14ac:dyDescent="0.3">
      <c r="A225" s="28" t="s">
        <v>42</v>
      </c>
      <c r="B225" s="6" t="s">
        <v>2309</v>
      </c>
      <c r="C225" s="6" t="s">
        <v>1972</v>
      </c>
      <c r="D225" s="6" t="s">
        <v>2292</v>
      </c>
      <c r="E225" s="6">
        <v>1</v>
      </c>
      <c r="F225" s="6" t="s">
        <v>2004</v>
      </c>
      <c r="G225" s="32" t="s">
        <v>2299</v>
      </c>
      <c r="H225" s="32" t="s">
        <v>2300</v>
      </c>
      <c r="I225" s="6" t="str">
        <f t="shared" si="9"/>
        <v>Stone Grapple</v>
      </c>
      <c r="J225" s="6" t="s">
        <v>44</v>
      </c>
      <c r="K225" s="6">
        <v>1</v>
      </c>
      <c r="L225" s="6">
        <f t="shared" si="10"/>
        <v>2700000</v>
      </c>
      <c r="M225" s="6">
        <v>2300000</v>
      </c>
      <c r="N225" s="6" t="s">
        <v>2003</v>
      </c>
      <c r="O225" s="6" t="s">
        <v>51</v>
      </c>
      <c r="P225" s="6">
        <v>2014</v>
      </c>
      <c r="Q225" s="6">
        <v>1</v>
      </c>
      <c r="R225" s="6" t="s">
        <v>45</v>
      </c>
      <c r="S225" s="32" t="s">
        <v>2113</v>
      </c>
      <c r="T225" s="6">
        <v>1</v>
      </c>
      <c r="U225" s="26">
        <v>2100000</v>
      </c>
      <c r="V225" s="26">
        <v>2100000</v>
      </c>
      <c r="W225" s="26">
        <v>2100000</v>
      </c>
      <c r="X225" s="6" t="s">
        <v>2003</v>
      </c>
      <c r="Y225" s="6" t="s">
        <v>49</v>
      </c>
      <c r="Z225" s="6">
        <v>224131</v>
      </c>
    </row>
    <row r="226" spans="1:26" x14ac:dyDescent="0.3">
      <c r="A226" s="28" t="s">
        <v>42</v>
      </c>
      <c r="B226" s="6" t="s">
        <v>2314</v>
      </c>
      <c r="C226" s="19" t="s">
        <v>2321</v>
      </c>
      <c r="D226" s="6" t="s">
        <v>2292</v>
      </c>
      <c r="E226" s="6">
        <v>1</v>
      </c>
      <c r="F226" s="6" t="s">
        <v>2004</v>
      </c>
      <c r="G226" s="32" t="s">
        <v>2299</v>
      </c>
      <c r="H226" s="32" t="s">
        <v>2300</v>
      </c>
      <c r="I226" s="6" t="str">
        <f t="shared" si="9"/>
        <v>Etc Crusher</v>
      </c>
      <c r="J226" s="6" t="s">
        <v>304</v>
      </c>
      <c r="K226" s="6">
        <v>1</v>
      </c>
      <c r="L226" s="6">
        <f t="shared" si="10"/>
        <v>8820000</v>
      </c>
      <c r="M226" s="6">
        <v>7500000</v>
      </c>
      <c r="N226" s="6" t="s">
        <v>2003</v>
      </c>
      <c r="O226" s="6" t="s">
        <v>2041</v>
      </c>
      <c r="P226" s="6">
        <v>2013</v>
      </c>
      <c r="Q226" s="6">
        <v>1</v>
      </c>
      <c r="R226" s="6" t="s">
        <v>45</v>
      </c>
      <c r="S226" s="32" t="s">
        <v>2113</v>
      </c>
      <c r="T226" s="6">
        <v>1</v>
      </c>
      <c r="U226" s="26">
        <v>7000000</v>
      </c>
      <c r="V226" s="26">
        <v>7000000</v>
      </c>
      <c r="W226" s="26">
        <v>7000000</v>
      </c>
      <c r="X226" s="6" t="s">
        <v>2003</v>
      </c>
      <c r="Y226" s="6" t="s">
        <v>49</v>
      </c>
      <c r="Z226" s="6">
        <v>224134</v>
      </c>
    </row>
    <row r="227" spans="1:26" x14ac:dyDescent="0.3">
      <c r="A227" s="28" t="s">
        <v>42</v>
      </c>
      <c r="B227" s="6" t="s">
        <v>2309</v>
      </c>
      <c r="C227" s="6" t="s">
        <v>1972</v>
      </c>
      <c r="D227" s="6" t="s">
        <v>2292</v>
      </c>
      <c r="E227" s="6">
        <v>1</v>
      </c>
      <c r="F227" s="6" t="s">
        <v>2004</v>
      </c>
      <c r="G227" s="32" t="s">
        <v>2299</v>
      </c>
      <c r="H227" s="32" t="s">
        <v>2300</v>
      </c>
      <c r="I227" s="6" t="str">
        <f t="shared" si="9"/>
        <v>Stone Grapple</v>
      </c>
      <c r="J227" s="6" t="s">
        <v>502</v>
      </c>
      <c r="K227" s="6">
        <v>1</v>
      </c>
      <c r="L227" s="6">
        <f t="shared" si="10"/>
        <v>3050000</v>
      </c>
      <c r="M227" s="6">
        <v>2600000</v>
      </c>
      <c r="N227" s="6" t="s">
        <v>2003</v>
      </c>
      <c r="O227" s="6" t="s">
        <v>51</v>
      </c>
      <c r="P227" s="6">
        <v>2014</v>
      </c>
      <c r="Q227" s="6">
        <v>1</v>
      </c>
      <c r="R227" s="6" t="s">
        <v>45</v>
      </c>
      <c r="S227" s="32" t="s">
        <v>2113</v>
      </c>
      <c r="T227" s="6">
        <v>1</v>
      </c>
      <c r="U227" s="26">
        <v>2400000</v>
      </c>
      <c r="V227" s="26">
        <v>2400000</v>
      </c>
      <c r="W227" s="26">
        <v>2400000</v>
      </c>
      <c r="X227" s="6" t="s">
        <v>2003</v>
      </c>
      <c r="Y227" s="6" t="s">
        <v>49</v>
      </c>
      <c r="Z227" s="6">
        <v>224135</v>
      </c>
    </row>
    <row r="228" spans="1:26" x14ac:dyDescent="0.3">
      <c r="A228" s="28" t="s">
        <v>42</v>
      </c>
      <c r="B228" s="6" t="s">
        <v>2309</v>
      </c>
      <c r="C228" s="6" t="s">
        <v>1973</v>
      </c>
      <c r="D228" s="6" t="s">
        <v>2292</v>
      </c>
      <c r="E228" s="6">
        <v>1</v>
      </c>
      <c r="F228" s="6" t="s">
        <v>2004</v>
      </c>
      <c r="G228" s="32" t="s">
        <v>2299</v>
      </c>
      <c r="H228" s="32" t="s">
        <v>2300</v>
      </c>
      <c r="I228" s="6" t="str">
        <f t="shared" si="9"/>
        <v>Wood Grapple</v>
      </c>
      <c r="J228" s="6" t="s">
        <v>101</v>
      </c>
      <c r="K228" s="6">
        <v>1</v>
      </c>
      <c r="L228" s="6">
        <f t="shared" si="10"/>
        <v>5640000</v>
      </c>
      <c r="M228" s="6">
        <v>4800000</v>
      </c>
      <c r="N228" s="6" t="s">
        <v>2003</v>
      </c>
      <c r="O228" s="6" t="s">
        <v>51</v>
      </c>
      <c r="P228" s="6">
        <v>2014</v>
      </c>
      <c r="Q228" s="6">
        <v>1</v>
      </c>
      <c r="R228" s="6" t="s">
        <v>45</v>
      </c>
      <c r="S228" s="32" t="s">
        <v>2113</v>
      </c>
      <c r="T228" s="6">
        <v>1</v>
      </c>
      <c r="U228" s="26">
        <v>4600000</v>
      </c>
      <c r="V228" s="26">
        <v>4600000</v>
      </c>
      <c r="W228" s="26">
        <v>4600000</v>
      </c>
      <c r="X228" s="6" t="s">
        <v>2003</v>
      </c>
      <c r="Y228" s="6" t="s">
        <v>49</v>
      </c>
      <c r="Z228" s="6">
        <v>224139</v>
      </c>
    </row>
    <row r="229" spans="1:26" x14ac:dyDescent="0.3">
      <c r="A229" s="28" t="s">
        <v>42</v>
      </c>
      <c r="B229" s="6" t="s">
        <v>2315</v>
      </c>
      <c r="C229" s="19"/>
      <c r="D229" s="6" t="s">
        <v>2292</v>
      </c>
      <c r="E229" s="6">
        <v>1</v>
      </c>
      <c r="F229" s="6" t="s">
        <v>2004</v>
      </c>
      <c r="G229" s="32" t="s">
        <v>2299</v>
      </c>
      <c r="H229" s="32" t="s">
        <v>2300</v>
      </c>
      <c r="I229" s="6" t="str">
        <f t="shared" si="9"/>
        <v>ETC</v>
      </c>
      <c r="J229" s="6" t="s">
        <v>503</v>
      </c>
      <c r="K229" s="6">
        <v>1</v>
      </c>
      <c r="L229" s="6">
        <f t="shared" si="10"/>
        <v>4350000</v>
      </c>
      <c r="M229" s="6">
        <v>3700000</v>
      </c>
      <c r="N229" s="6" t="s">
        <v>2003</v>
      </c>
      <c r="O229" s="6" t="s">
        <v>916</v>
      </c>
      <c r="P229" s="6">
        <v>2010</v>
      </c>
      <c r="Q229" s="6">
        <v>5</v>
      </c>
      <c r="R229" s="6" t="s">
        <v>45</v>
      </c>
      <c r="S229" s="32" t="s">
        <v>2117</v>
      </c>
      <c r="T229" s="6">
        <v>1</v>
      </c>
      <c r="U229" s="26">
        <v>3500000</v>
      </c>
      <c r="V229" s="26">
        <v>3500000</v>
      </c>
      <c r="W229" s="26">
        <v>3500000</v>
      </c>
      <c r="X229" s="6" t="s">
        <v>2003</v>
      </c>
      <c r="Y229" s="6" t="s">
        <v>1176</v>
      </c>
      <c r="Z229" s="6">
        <v>224144</v>
      </c>
    </row>
    <row r="230" spans="1:26" x14ac:dyDescent="0.3">
      <c r="A230" s="28" t="s">
        <v>42</v>
      </c>
      <c r="B230" s="6" t="s">
        <v>2308</v>
      </c>
      <c r="C230" s="6" t="s">
        <v>1975</v>
      </c>
      <c r="D230" s="6" t="s">
        <v>2291</v>
      </c>
      <c r="E230" s="6">
        <v>1</v>
      </c>
      <c r="F230" s="6" t="s">
        <v>2004</v>
      </c>
      <c r="G230" s="32" t="s">
        <v>2299</v>
      </c>
      <c r="H230" s="32" t="s">
        <v>2300</v>
      </c>
      <c r="I230" s="6" t="str">
        <f t="shared" si="9"/>
        <v>Side Breaker</v>
      </c>
      <c r="J230" s="6" t="s">
        <v>538</v>
      </c>
      <c r="K230" s="6">
        <v>1</v>
      </c>
      <c r="L230" s="6">
        <f t="shared" si="10"/>
        <v>3760000</v>
      </c>
      <c r="M230" s="6">
        <v>3200000</v>
      </c>
      <c r="N230" s="6" t="s">
        <v>2003</v>
      </c>
      <c r="O230" s="6" t="s">
        <v>820</v>
      </c>
      <c r="P230" s="6">
        <v>2010</v>
      </c>
      <c r="Q230" s="6">
        <v>1</v>
      </c>
      <c r="R230" s="6" t="s">
        <v>45</v>
      </c>
      <c r="S230" s="32" t="s">
        <v>2120</v>
      </c>
      <c r="T230" s="6">
        <v>1</v>
      </c>
      <c r="U230" s="26">
        <v>3000000</v>
      </c>
      <c r="V230" s="26">
        <v>3000000</v>
      </c>
      <c r="W230" s="26">
        <v>3000000</v>
      </c>
      <c r="X230" s="6" t="s">
        <v>2003</v>
      </c>
      <c r="Y230" s="6" t="s">
        <v>1160</v>
      </c>
      <c r="Z230" s="6">
        <v>224153</v>
      </c>
    </row>
    <row r="231" spans="1:26" x14ac:dyDescent="0.3">
      <c r="A231" s="28" t="s">
        <v>42</v>
      </c>
      <c r="B231" s="6" t="s">
        <v>2309</v>
      </c>
      <c r="C231" s="19" t="s">
        <v>1974</v>
      </c>
      <c r="D231" s="6" t="s">
        <v>2293</v>
      </c>
      <c r="E231" s="6">
        <v>1</v>
      </c>
      <c r="F231" s="6" t="s">
        <v>2004</v>
      </c>
      <c r="G231" s="32" t="s">
        <v>2299</v>
      </c>
      <c r="H231" s="32" t="s">
        <v>2300</v>
      </c>
      <c r="I231" s="6" t="str">
        <f t="shared" si="9"/>
        <v>Etc Grapple</v>
      </c>
      <c r="J231" s="6" t="s">
        <v>505</v>
      </c>
      <c r="K231" s="6">
        <v>1</v>
      </c>
      <c r="L231" s="6">
        <f t="shared" si="10"/>
        <v>2640000</v>
      </c>
      <c r="M231" s="6">
        <v>2250000</v>
      </c>
      <c r="N231" s="6" t="s">
        <v>2003</v>
      </c>
      <c r="O231" s="6" t="s">
        <v>2007</v>
      </c>
      <c r="P231" s="6">
        <v>2016</v>
      </c>
      <c r="Q231" s="6">
        <v>1</v>
      </c>
      <c r="R231" s="6" t="s">
        <v>45</v>
      </c>
      <c r="S231" s="32" t="s">
        <v>2113</v>
      </c>
      <c r="T231" s="6">
        <v>1</v>
      </c>
      <c r="U231" s="26">
        <v>2050000</v>
      </c>
      <c r="V231" s="26">
        <v>2050000</v>
      </c>
      <c r="W231" s="26">
        <v>2050000</v>
      </c>
      <c r="X231" s="6" t="s">
        <v>2003</v>
      </c>
      <c r="Y231" s="6" t="s">
        <v>49</v>
      </c>
      <c r="Z231" s="6">
        <v>224157</v>
      </c>
    </row>
    <row r="232" spans="1:26" x14ac:dyDescent="0.3">
      <c r="A232" s="28" t="s">
        <v>42</v>
      </c>
      <c r="B232" s="6" t="s">
        <v>2308</v>
      </c>
      <c r="C232" s="6" t="s">
        <v>1975</v>
      </c>
      <c r="D232" s="6" t="s">
        <v>2293</v>
      </c>
      <c r="E232" s="6">
        <v>1</v>
      </c>
      <c r="F232" s="6" t="s">
        <v>2004</v>
      </c>
      <c r="G232" s="32" t="s">
        <v>2299</v>
      </c>
      <c r="H232" s="32" t="s">
        <v>2300</v>
      </c>
      <c r="I232" s="6" t="str">
        <f t="shared" si="9"/>
        <v>Side Breaker</v>
      </c>
      <c r="J232" s="6" t="s">
        <v>172</v>
      </c>
      <c r="K232" s="6">
        <v>1</v>
      </c>
      <c r="L232" s="6">
        <f t="shared" si="10"/>
        <v>2000000</v>
      </c>
      <c r="M232" s="6">
        <v>1700000</v>
      </c>
      <c r="N232" s="6" t="s">
        <v>2003</v>
      </c>
      <c r="O232" s="6" t="s">
        <v>798</v>
      </c>
      <c r="P232" s="6">
        <v>2014</v>
      </c>
      <c r="Q232" s="6">
        <v>6</v>
      </c>
      <c r="R232" s="6" t="s">
        <v>45</v>
      </c>
      <c r="S232" s="32" t="s">
        <v>2113</v>
      </c>
      <c r="T232" s="6">
        <v>1</v>
      </c>
      <c r="U232" s="26">
        <v>1600000</v>
      </c>
      <c r="V232" s="26">
        <v>1600000</v>
      </c>
      <c r="W232" s="26">
        <v>1600000</v>
      </c>
      <c r="X232" s="6" t="s">
        <v>2003</v>
      </c>
      <c r="Y232" s="6" t="s">
        <v>71</v>
      </c>
      <c r="Z232" s="6">
        <v>224161</v>
      </c>
    </row>
    <row r="233" spans="1:26" x14ac:dyDescent="0.3">
      <c r="A233" s="28" t="s">
        <v>42</v>
      </c>
      <c r="B233" s="6" t="s">
        <v>2309</v>
      </c>
      <c r="C233" s="6" t="s">
        <v>1984</v>
      </c>
      <c r="D233" s="6" t="s">
        <v>2289</v>
      </c>
      <c r="E233" s="6">
        <v>1</v>
      </c>
      <c r="F233" s="6" t="s">
        <v>2004</v>
      </c>
      <c r="G233" s="32" t="s">
        <v>2299</v>
      </c>
      <c r="H233" s="32" t="s">
        <v>2300</v>
      </c>
      <c r="I233" s="6" t="str">
        <f t="shared" si="9"/>
        <v>Scrap Grapple</v>
      </c>
      <c r="J233" s="6" t="s">
        <v>301</v>
      </c>
      <c r="K233" s="6">
        <v>1</v>
      </c>
      <c r="L233" s="6">
        <f t="shared" si="10"/>
        <v>4350000</v>
      </c>
      <c r="M233" s="6">
        <v>3700000</v>
      </c>
      <c r="N233" s="6" t="s">
        <v>2003</v>
      </c>
      <c r="O233" s="6" t="s">
        <v>813</v>
      </c>
      <c r="P233" s="6">
        <v>2013</v>
      </c>
      <c r="Q233" s="6">
        <v>1</v>
      </c>
      <c r="R233" s="6" t="s">
        <v>45</v>
      </c>
      <c r="S233" s="32" t="s">
        <v>2113</v>
      </c>
      <c r="T233" s="6">
        <v>1</v>
      </c>
      <c r="U233" s="26">
        <v>3500000</v>
      </c>
      <c r="V233" s="26">
        <v>3500000</v>
      </c>
      <c r="W233" s="26">
        <v>3500000</v>
      </c>
      <c r="X233" s="6" t="s">
        <v>2003</v>
      </c>
      <c r="Y233" s="6" t="s">
        <v>79</v>
      </c>
      <c r="Z233" s="6">
        <v>224162</v>
      </c>
    </row>
    <row r="234" spans="1:26" x14ac:dyDescent="0.3">
      <c r="A234" s="28" t="s">
        <v>42</v>
      </c>
      <c r="B234" s="6" t="s">
        <v>2309</v>
      </c>
      <c r="C234" s="19" t="s">
        <v>1974</v>
      </c>
      <c r="D234" s="6" t="s">
        <v>2002</v>
      </c>
      <c r="E234" s="6">
        <v>1</v>
      </c>
      <c r="F234" s="6" t="s">
        <v>2004</v>
      </c>
      <c r="G234" s="32" t="s">
        <v>2299</v>
      </c>
      <c r="H234" s="32" t="s">
        <v>2300</v>
      </c>
      <c r="I234" s="6" t="str">
        <f t="shared" si="9"/>
        <v>Etc Grapple</v>
      </c>
      <c r="J234" s="6" t="s">
        <v>588</v>
      </c>
      <c r="K234" s="6">
        <v>1</v>
      </c>
      <c r="L234" s="6">
        <f t="shared" si="10"/>
        <v>2290000</v>
      </c>
      <c r="M234" s="6">
        <v>1950000</v>
      </c>
      <c r="N234" s="6" t="s">
        <v>2003</v>
      </c>
      <c r="O234" s="6" t="s">
        <v>2007</v>
      </c>
      <c r="P234" s="6">
        <v>2014</v>
      </c>
      <c r="Q234" s="6">
        <v>1</v>
      </c>
      <c r="R234" s="6" t="s">
        <v>45</v>
      </c>
      <c r="S234" s="32" t="s">
        <v>2113</v>
      </c>
      <c r="T234" s="6">
        <v>1</v>
      </c>
      <c r="U234" s="26">
        <v>1850000</v>
      </c>
      <c r="V234" s="26">
        <v>1850000</v>
      </c>
      <c r="W234" s="26">
        <v>1850000</v>
      </c>
      <c r="X234" s="6" t="s">
        <v>2003</v>
      </c>
      <c r="Y234" s="6" t="s">
        <v>49</v>
      </c>
      <c r="Z234" s="6">
        <v>224165</v>
      </c>
    </row>
    <row r="235" spans="1:26" x14ac:dyDescent="0.3">
      <c r="A235" s="28" t="s">
        <v>42</v>
      </c>
      <c r="B235" s="6" t="s">
        <v>2309</v>
      </c>
      <c r="C235" s="6" t="s">
        <v>1974</v>
      </c>
      <c r="D235" s="6" t="s">
        <v>2292</v>
      </c>
      <c r="E235" s="6">
        <v>1</v>
      </c>
      <c r="F235" s="6" t="s">
        <v>2004</v>
      </c>
      <c r="G235" s="32" t="s">
        <v>2299</v>
      </c>
      <c r="H235" s="32" t="s">
        <v>2300</v>
      </c>
      <c r="I235" s="6" t="str">
        <f t="shared" si="9"/>
        <v>Etc Grapple</v>
      </c>
      <c r="J235" s="6" t="s">
        <v>125</v>
      </c>
      <c r="K235" s="6">
        <v>1</v>
      </c>
      <c r="L235" s="6">
        <f t="shared" si="10"/>
        <v>5520000</v>
      </c>
      <c r="M235" s="6">
        <v>4700000</v>
      </c>
      <c r="N235" s="6" t="s">
        <v>2003</v>
      </c>
      <c r="O235" s="6" t="s">
        <v>809</v>
      </c>
      <c r="P235" s="6">
        <v>2009</v>
      </c>
      <c r="Q235" s="6">
        <v>1</v>
      </c>
      <c r="R235" s="6" t="s">
        <v>45</v>
      </c>
      <c r="S235" s="32" t="s">
        <v>2114</v>
      </c>
      <c r="T235" s="6">
        <v>1</v>
      </c>
      <c r="U235" s="26">
        <v>4500000</v>
      </c>
      <c r="V235" s="26">
        <v>4500000</v>
      </c>
      <c r="W235" s="26">
        <v>4500000</v>
      </c>
      <c r="X235" s="6" t="s">
        <v>2003</v>
      </c>
      <c r="Y235" s="6" t="s">
        <v>830</v>
      </c>
      <c r="Z235" s="6">
        <v>224166</v>
      </c>
    </row>
    <row r="236" spans="1:26" x14ac:dyDescent="0.3">
      <c r="A236" s="28" t="s">
        <v>42</v>
      </c>
      <c r="B236" s="6" t="s">
        <v>2310</v>
      </c>
      <c r="C236" s="6"/>
      <c r="D236" s="6" t="s">
        <v>2289</v>
      </c>
      <c r="E236" s="6">
        <v>1</v>
      </c>
      <c r="F236" s="6" t="s">
        <v>2004</v>
      </c>
      <c r="G236" s="32" t="s">
        <v>2299</v>
      </c>
      <c r="H236" s="32" t="s">
        <v>2300</v>
      </c>
      <c r="I236" s="6" t="str">
        <f t="shared" si="9"/>
        <v>Quick Coupler</v>
      </c>
      <c r="J236" s="6" t="s">
        <v>244</v>
      </c>
      <c r="K236" s="6">
        <v>1</v>
      </c>
      <c r="L236" s="6">
        <f t="shared" si="10"/>
        <v>4350000</v>
      </c>
      <c r="M236" s="6">
        <v>3700000</v>
      </c>
      <c r="N236" s="6" t="s">
        <v>2003</v>
      </c>
      <c r="O236" s="6" t="s">
        <v>813</v>
      </c>
      <c r="P236" s="6">
        <v>2013</v>
      </c>
      <c r="Q236" s="6">
        <v>1</v>
      </c>
      <c r="R236" s="6" t="s">
        <v>45</v>
      </c>
      <c r="S236" s="32" t="s">
        <v>2113</v>
      </c>
      <c r="T236" s="6">
        <v>1</v>
      </c>
      <c r="U236" s="26">
        <v>3500000</v>
      </c>
      <c r="V236" s="26">
        <v>3500000</v>
      </c>
      <c r="W236" s="26">
        <v>3500000</v>
      </c>
      <c r="X236" s="6" t="s">
        <v>2003</v>
      </c>
      <c r="Y236" s="6" t="s">
        <v>80</v>
      </c>
      <c r="Z236" s="6">
        <v>224171</v>
      </c>
    </row>
    <row r="237" spans="1:26" x14ac:dyDescent="0.3">
      <c r="A237" s="28" t="s">
        <v>42</v>
      </c>
      <c r="B237" s="6" t="s">
        <v>2309</v>
      </c>
      <c r="C237" s="6" t="s">
        <v>1972</v>
      </c>
      <c r="D237" s="6" t="s">
        <v>2292</v>
      </c>
      <c r="E237" s="6">
        <v>1</v>
      </c>
      <c r="F237" s="6" t="s">
        <v>2004</v>
      </c>
      <c r="G237" s="32" t="s">
        <v>2299</v>
      </c>
      <c r="H237" s="32" t="s">
        <v>2300</v>
      </c>
      <c r="I237" s="6" t="str">
        <f t="shared" si="9"/>
        <v>Stone Grapple</v>
      </c>
      <c r="J237" s="6" t="s">
        <v>120</v>
      </c>
      <c r="K237" s="6">
        <v>1</v>
      </c>
      <c r="L237" s="6">
        <f t="shared" si="10"/>
        <v>5880000</v>
      </c>
      <c r="M237" s="6">
        <v>5000000</v>
      </c>
      <c r="N237" s="6" t="s">
        <v>2003</v>
      </c>
      <c r="O237" s="6" t="s">
        <v>2007</v>
      </c>
      <c r="P237" s="6">
        <v>2015</v>
      </c>
      <c r="Q237" s="6">
        <v>1</v>
      </c>
      <c r="R237" s="6" t="s">
        <v>45</v>
      </c>
      <c r="S237" s="32" t="s">
        <v>2113</v>
      </c>
      <c r="T237" s="6">
        <v>1</v>
      </c>
      <c r="U237" s="26">
        <v>4800000</v>
      </c>
      <c r="V237" s="26">
        <v>4800000</v>
      </c>
      <c r="W237" s="26">
        <v>4800000</v>
      </c>
      <c r="X237" s="6" t="s">
        <v>2003</v>
      </c>
      <c r="Y237" s="6" t="s">
        <v>49</v>
      </c>
      <c r="Z237" s="6">
        <v>224174</v>
      </c>
    </row>
    <row r="238" spans="1:26" x14ac:dyDescent="0.3">
      <c r="A238" s="28" t="s">
        <v>42</v>
      </c>
      <c r="B238" s="6" t="s">
        <v>2313</v>
      </c>
      <c r="C238" s="19" t="s">
        <v>1982</v>
      </c>
      <c r="D238" s="6" t="s">
        <v>2289</v>
      </c>
      <c r="E238" s="6">
        <v>1</v>
      </c>
      <c r="F238" s="6" t="s">
        <v>2004</v>
      </c>
      <c r="G238" s="32" t="s">
        <v>2299</v>
      </c>
      <c r="H238" s="32" t="s">
        <v>2300</v>
      </c>
      <c r="I238" s="6" t="str">
        <f t="shared" si="9"/>
        <v>Standard Bucket</v>
      </c>
      <c r="J238" s="6" t="s">
        <v>506</v>
      </c>
      <c r="K238" s="6">
        <v>1</v>
      </c>
      <c r="L238" s="6">
        <f t="shared" si="10"/>
        <v>15880000</v>
      </c>
      <c r="M238" s="6">
        <v>13500000</v>
      </c>
      <c r="N238" s="6" t="s">
        <v>2003</v>
      </c>
      <c r="O238" s="6" t="s">
        <v>831</v>
      </c>
      <c r="P238" s="6">
        <v>2012</v>
      </c>
      <c r="Q238" s="6">
        <v>1</v>
      </c>
      <c r="R238" s="6" t="s">
        <v>45</v>
      </c>
      <c r="S238" s="32" t="s">
        <v>2117</v>
      </c>
      <c r="T238" s="6">
        <v>1</v>
      </c>
      <c r="U238" s="26">
        <v>13000000</v>
      </c>
      <c r="V238" s="26">
        <v>13000000</v>
      </c>
      <c r="W238" s="26">
        <v>13000000</v>
      </c>
      <c r="X238" s="6" t="s">
        <v>2003</v>
      </c>
      <c r="Y238" s="6" t="s">
        <v>1179</v>
      </c>
      <c r="Z238" s="6">
        <v>224179</v>
      </c>
    </row>
    <row r="239" spans="1:26" x14ac:dyDescent="0.3">
      <c r="A239" s="28" t="s">
        <v>42</v>
      </c>
      <c r="B239" s="6" t="s">
        <v>2312</v>
      </c>
      <c r="C239" s="6"/>
      <c r="D239" s="6" t="s">
        <v>2291</v>
      </c>
      <c r="E239" s="6">
        <v>1</v>
      </c>
      <c r="F239" s="6" t="s">
        <v>2004</v>
      </c>
      <c r="G239" s="32" t="s">
        <v>2299</v>
      </c>
      <c r="H239" s="32" t="s">
        <v>2300</v>
      </c>
      <c r="I239" s="6" t="str">
        <f t="shared" si="9"/>
        <v>Lift Fork</v>
      </c>
      <c r="J239" s="6" t="s">
        <v>310</v>
      </c>
      <c r="K239" s="6">
        <v>1</v>
      </c>
      <c r="L239" s="6">
        <f t="shared" si="10"/>
        <v>1110000</v>
      </c>
      <c r="M239" s="6">
        <v>950000</v>
      </c>
      <c r="N239" s="6" t="s">
        <v>2003</v>
      </c>
      <c r="O239" s="6" t="s">
        <v>836</v>
      </c>
      <c r="P239" s="6">
        <v>2017</v>
      </c>
      <c r="Q239" s="6">
        <v>1</v>
      </c>
      <c r="R239" s="6" t="s">
        <v>45</v>
      </c>
      <c r="S239" s="32" t="s">
        <v>2124</v>
      </c>
      <c r="T239" s="6">
        <v>1</v>
      </c>
      <c r="U239" s="26">
        <v>850000</v>
      </c>
      <c r="V239" s="26">
        <v>850000</v>
      </c>
      <c r="W239" s="26">
        <v>850000</v>
      </c>
      <c r="X239" s="6" t="s">
        <v>2003</v>
      </c>
      <c r="Y239" s="6" t="s">
        <v>1144</v>
      </c>
      <c r="Z239" s="6">
        <v>224180</v>
      </c>
    </row>
    <row r="240" spans="1:26" x14ac:dyDescent="0.3">
      <c r="A240" s="28" t="s">
        <v>42</v>
      </c>
      <c r="B240" s="6" t="s">
        <v>2308</v>
      </c>
      <c r="C240" s="6" t="s">
        <v>1975</v>
      </c>
      <c r="D240" s="6" t="s">
        <v>2292</v>
      </c>
      <c r="E240" s="6">
        <v>1</v>
      </c>
      <c r="F240" s="6" t="s">
        <v>2004</v>
      </c>
      <c r="G240" s="32" t="s">
        <v>2299</v>
      </c>
      <c r="H240" s="32" t="s">
        <v>2300</v>
      </c>
      <c r="I240" s="6" t="str">
        <f t="shared" si="9"/>
        <v>Side Breaker</v>
      </c>
      <c r="J240" s="6" t="s">
        <v>177</v>
      </c>
      <c r="K240" s="6">
        <v>1</v>
      </c>
      <c r="L240" s="6">
        <f t="shared" si="10"/>
        <v>3760000</v>
      </c>
      <c r="M240" s="6">
        <v>3200000</v>
      </c>
      <c r="N240" s="6" t="s">
        <v>2003</v>
      </c>
      <c r="O240" s="6" t="s">
        <v>2042</v>
      </c>
      <c r="P240" s="6">
        <v>2010</v>
      </c>
      <c r="Q240" s="6">
        <v>8</v>
      </c>
      <c r="R240" s="6" t="s">
        <v>45</v>
      </c>
      <c r="S240" s="32" t="s">
        <v>2123</v>
      </c>
      <c r="T240" s="6">
        <v>1</v>
      </c>
      <c r="U240" s="26">
        <v>3000000</v>
      </c>
      <c r="V240" s="26">
        <v>3000000</v>
      </c>
      <c r="W240" s="26">
        <v>3000000</v>
      </c>
      <c r="X240" s="6" t="s">
        <v>2003</v>
      </c>
      <c r="Y240" s="6" t="s">
        <v>1212</v>
      </c>
      <c r="Z240" s="6">
        <v>224181</v>
      </c>
    </row>
    <row r="241" spans="1:26" x14ac:dyDescent="0.3">
      <c r="A241" s="28" t="s">
        <v>42</v>
      </c>
      <c r="B241" s="6" t="s">
        <v>2309</v>
      </c>
      <c r="C241" s="6" t="s">
        <v>1981</v>
      </c>
      <c r="D241" s="6" t="s">
        <v>2001</v>
      </c>
      <c r="E241" s="6">
        <v>1</v>
      </c>
      <c r="F241" s="6" t="s">
        <v>2004</v>
      </c>
      <c r="G241" s="32" t="s">
        <v>2299</v>
      </c>
      <c r="H241" s="32" t="s">
        <v>2300</v>
      </c>
      <c r="I241" s="6" t="str">
        <f t="shared" si="9"/>
        <v>Orange Grapple</v>
      </c>
      <c r="J241" s="6" t="s">
        <v>508</v>
      </c>
      <c r="K241" s="6">
        <v>1</v>
      </c>
      <c r="L241" s="6">
        <f t="shared" si="10"/>
        <v>4940000</v>
      </c>
      <c r="M241" s="6">
        <v>4200000</v>
      </c>
      <c r="N241" s="6" t="s">
        <v>2003</v>
      </c>
      <c r="O241" s="6" t="s">
        <v>917</v>
      </c>
      <c r="P241" s="6">
        <v>2004</v>
      </c>
      <c r="Q241" s="6">
        <v>6</v>
      </c>
      <c r="R241" s="6" t="s">
        <v>45</v>
      </c>
      <c r="S241" s="32" t="s">
        <v>2112</v>
      </c>
      <c r="T241" s="6">
        <v>1</v>
      </c>
      <c r="U241" s="26">
        <v>4000000</v>
      </c>
      <c r="V241" s="26">
        <v>4000000</v>
      </c>
      <c r="W241" s="26">
        <v>4000000</v>
      </c>
      <c r="X241" s="6" t="s">
        <v>2003</v>
      </c>
      <c r="Y241" s="6" t="s">
        <v>1267</v>
      </c>
      <c r="Z241" s="6">
        <v>224200</v>
      </c>
    </row>
    <row r="242" spans="1:26" x14ac:dyDescent="0.3">
      <c r="A242" s="28" t="s">
        <v>42</v>
      </c>
      <c r="B242" s="6" t="s">
        <v>2309</v>
      </c>
      <c r="C242" s="6" t="s">
        <v>1974</v>
      </c>
      <c r="D242" s="6" t="s">
        <v>2291</v>
      </c>
      <c r="E242" s="6">
        <v>1</v>
      </c>
      <c r="F242" s="6" t="s">
        <v>2004</v>
      </c>
      <c r="G242" s="32" t="s">
        <v>2299</v>
      </c>
      <c r="H242" s="32" t="s">
        <v>2300</v>
      </c>
      <c r="I242" s="6" t="str">
        <f t="shared" si="9"/>
        <v>Etc Grapple</v>
      </c>
      <c r="J242" s="6" t="s">
        <v>136</v>
      </c>
      <c r="K242" s="6">
        <v>1</v>
      </c>
      <c r="L242" s="6">
        <f t="shared" si="10"/>
        <v>2940000</v>
      </c>
      <c r="M242" s="6">
        <v>2500000</v>
      </c>
      <c r="N242" s="6" t="s">
        <v>2003</v>
      </c>
      <c r="O242" s="6" t="s">
        <v>794</v>
      </c>
      <c r="P242" s="6">
        <v>2015</v>
      </c>
      <c r="Q242" s="6">
        <v>1</v>
      </c>
      <c r="R242" s="6" t="s">
        <v>45</v>
      </c>
      <c r="S242" s="32" t="s">
        <v>2122</v>
      </c>
      <c r="T242" s="6">
        <v>1</v>
      </c>
      <c r="U242" s="26">
        <v>2300000</v>
      </c>
      <c r="V242" s="26">
        <v>2300000</v>
      </c>
      <c r="W242" s="26">
        <v>2300000</v>
      </c>
      <c r="X242" s="6" t="s">
        <v>2003</v>
      </c>
      <c r="Y242" s="6" t="s">
        <v>1154</v>
      </c>
      <c r="Z242" s="6">
        <v>224201</v>
      </c>
    </row>
    <row r="243" spans="1:26" x14ac:dyDescent="0.3">
      <c r="A243" s="28" t="s">
        <v>42</v>
      </c>
      <c r="B243" s="6" t="s">
        <v>2313</v>
      </c>
      <c r="C243" s="6" t="s">
        <v>1976</v>
      </c>
      <c r="D243" s="6" t="s">
        <v>2292</v>
      </c>
      <c r="E243" s="6">
        <v>1</v>
      </c>
      <c r="F243" s="6" t="s">
        <v>2004</v>
      </c>
      <c r="G243" s="32" t="s">
        <v>2299</v>
      </c>
      <c r="H243" s="32" t="s">
        <v>2300</v>
      </c>
      <c r="I243" s="6" t="str">
        <f t="shared" si="9"/>
        <v>Skeleton Bucket</v>
      </c>
      <c r="J243" s="6" t="s">
        <v>118</v>
      </c>
      <c r="K243" s="6">
        <v>1</v>
      </c>
      <c r="L243" s="6">
        <f t="shared" si="10"/>
        <v>1410000</v>
      </c>
      <c r="M243" s="6">
        <v>1200000</v>
      </c>
      <c r="N243" s="6" t="s">
        <v>2003</v>
      </c>
      <c r="O243" s="6" t="s">
        <v>918</v>
      </c>
      <c r="P243" s="6">
        <v>2014</v>
      </c>
      <c r="Q243" s="6">
        <v>5</v>
      </c>
      <c r="R243" s="6" t="s">
        <v>45</v>
      </c>
      <c r="S243" s="32" t="s">
        <v>2112</v>
      </c>
      <c r="T243" s="6">
        <v>1</v>
      </c>
      <c r="U243" s="26">
        <v>1100000</v>
      </c>
      <c r="V243" s="26">
        <v>1100000</v>
      </c>
      <c r="W243" s="26">
        <v>1100000</v>
      </c>
      <c r="X243" s="6" t="s">
        <v>2003</v>
      </c>
      <c r="Y243" s="6" t="s">
        <v>1184</v>
      </c>
      <c r="Z243" s="6">
        <v>224204</v>
      </c>
    </row>
    <row r="244" spans="1:26" x14ac:dyDescent="0.3">
      <c r="A244" s="28" t="s">
        <v>42</v>
      </c>
      <c r="B244" s="6" t="s">
        <v>2309</v>
      </c>
      <c r="C244" s="6" t="s">
        <v>1973</v>
      </c>
      <c r="D244" s="6" t="s">
        <v>2291</v>
      </c>
      <c r="E244" s="6">
        <v>1</v>
      </c>
      <c r="F244" s="6" t="s">
        <v>2004</v>
      </c>
      <c r="G244" s="32" t="s">
        <v>2299</v>
      </c>
      <c r="H244" s="32" t="s">
        <v>2300</v>
      </c>
      <c r="I244" s="6" t="str">
        <f t="shared" si="9"/>
        <v>Wood Grapple</v>
      </c>
      <c r="J244" s="6" t="s">
        <v>420</v>
      </c>
      <c r="K244" s="6">
        <v>1</v>
      </c>
      <c r="L244" s="6">
        <f t="shared" si="10"/>
        <v>3880000</v>
      </c>
      <c r="M244" s="6">
        <v>3300000</v>
      </c>
      <c r="N244" s="6" t="s">
        <v>2003</v>
      </c>
      <c r="O244" s="6" t="s">
        <v>51</v>
      </c>
      <c r="P244" s="6">
        <v>2017</v>
      </c>
      <c r="Q244" s="6">
        <v>1</v>
      </c>
      <c r="R244" s="6" t="s">
        <v>45</v>
      </c>
      <c r="S244" s="32" t="s">
        <v>2113</v>
      </c>
      <c r="T244" s="6">
        <v>1</v>
      </c>
      <c r="U244" s="26">
        <v>3100000</v>
      </c>
      <c r="V244" s="26">
        <v>3100000</v>
      </c>
      <c r="W244" s="26">
        <v>3100000</v>
      </c>
      <c r="X244" s="6" t="s">
        <v>2003</v>
      </c>
      <c r="Y244" s="6" t="s">
        <v>49</v>
      </c>
      <c r="Z244" s="6">
        <v>224206</v>
      </c>
    </row>
    <row r="245" spans="1:26" x14ac:dyDescent="0.3">
      <c r="A245" s="28" t="s">
        <v>42</v>
      </c>
      <c r="B245" s="6" t="s">
        <v>2315</v>
      </c>
      <c r="C245" s="6"/>
      <c r="D245" s="6" t="s">
        <v>2291</v>
      </c>
      <c r="E245" s="6">
        <v>1</v>
      </c>
      <c r="F245" s="6" t="s">
        <v>2004</v>
      </c>
      <c r="G245" s="32" t="s">
        <v>2299</v>
      </c>
      <c r="H245" s="32" t="s">
        <v>2300</v>
      </c>
      <c r="I245" s="6" t="str">
        <f t="shared" si="9"/>
        <v>ETC</v>
      </c>
      <c r="J245" s="6" t="s">
        <v>509</v>
      </c>
      <c r="K245" s="6">
        <v>1</v>
      </c>
      <c r="L245" s="6">
        <f t="shared" si="10"/>
        <v>350000</v>
      </c>
      <c r="M245" s="6">
        <v>300000</v>
      </c>
      <c r="N245" s="6" t="s">
        <v>2003</v>
      </c>
      <c r="O245" s="6" t="s">
        <v>2011</v>
      </c>
      <c r="P245" s="6">
        <v>2015</v>
      </c>
      <c r="Q245" s="6">
        <v>6</v>
      </c>
      <c r="R245" s="6" t="s">
        <v>45</v>
      </c>
      <c r="S245" s="32" t="s">
        <v>2123</v>
      </c>
      <c r="T245" s="6">
        <v>1</v>
      </c>
      <c r="U245" s="26">
        <v>250000</v>
      </c>
      <c r="V245" s="26">
        <v>250000</v>
      </c>
      <c r="W245" s="26">
        <v>250000</v>
      </c>
      <c r="X245" s="6" t="s">
        <v>2003</v>
      </c>
      <c r="Y245" s="6" t="s">
        <v>1200</v>
      </c>
      <c r="Z245" s="6">
        <v>224210</v>
      </c>
    </row>
    <row r="246" spans="1:26" x14ac:dyDescent="0.3">
      <c r="A246" s="28" t="s">
        <v>42</v>
      </c>
      <c r="B246" s="6" t="s">
        <v>2308</v>
      </c>
      <c r="C246" s="6" t="s">
        <v>1975</v>
      </c>
      <c r="D246" s="6" t="s">
        <v>2290</v>
      </c>
      <c r="E246" s="6">
        <v>1</v>
      </c>
      <c r="F246" s="6" t="s">
        <v>2004</v>
      </c>
      <c r="G246" s="32" t="s">
        <v>2299</v>
      </c>
      <c r="H246" s="32" t="s">
        <v>2300</v>
      </c>
      <c r="I246" s="6" t="str">
        <f t="shared" si="9"/>
        <v>Side Breaker</v>
      </c>
      <c r="J246" s="6" t="s">
        <v>443</v>
      </c>
      <c r="K246" s="6">
        <v>1</v>
      </c>
      <c r="L246" s="6">
        <f t="shared" si="10"/>
        <v>5520000</v>
      </c>
      <c r="M246" s="6">
        <v>4700000</v>
      </c>
      <c r="N246" s="6" t="s">
        <v>2003</v>
      </c>
      <c r="O246" s="6" t="s">
        <v>948</v>
      </c>
      <c r="P246" s="6">
        <v>2008</v>
      </c>
      <c r="Q246" s="6">
        <v>1</v>
      </c>
      <c r="R246" s="6" t="s">
        <v>45</v>
      </c>
      <c r="S246" s="32" t="s">
        <v>2123</v>
      </c>
      <c r="T246" s="6">
        <v>1</v>
      </c>
      <c r="U246" s="26">
        <v>4500000</v>
      </c>
      <c r="V246" s="26">
        <v>4500000</v>
      </c>
      <c r="W246" s="26">
        <v>4500000</v>
      </c>
      <c r="X246" s="6" t="s">
        <v>2003</v>
      </c>
      <c r="Y246" s="6" t="s">
        <v>1181</v>
      </c>
      <c r="Z246" s="6">
        <v>224213</v>
      </c>
    </row>
    <row r="247" spans="1:26" x14ac:dyDescent="0.3">
      <c r="A247" s="28" t="s">
        <v>42</v>
      </c>
      <c r="B247" s="6" t="s">
        <v>2309</v>
      </c>
      <c r="C247" s="6" t="s">
        <v>1972</v>
      </c>
      <c r="D247" s="6" t="s">
        <v>2291</v>
      </c>
      <c r="E247" s="6">
        <v>1</v>
      </c>
      <c r="F247" s="6" t="s">
        <v>2004</v>
      </c>
      <c r="G247" s="32" t="s">
        <v>2299</v>
      </c>
      <c r="H247" s="32" t="s">
        <v>2300</v>
      </c>
      <c r="I247" s="6" t="str">
        <f t="shared" si="9"/>
        <v>Stone Grapple</v>
      </c>
      <c r="J247" s="6" t="s">
        <v>168</v>
      </c>
      <c r="K247" s="6">
        <v>1</v>
      </c>
      <c r="L247" s="6">
        <f t="shared" si="10"/>
        <v>1940000</v>
      </c>
      <c r="M247" s="6">
        <v>1650000</v>
      </c>
      <c r="N247" s="6" t="s">
        <v>2003</v>
      </c>
      <c r="O247" s="6" t="s">
        <v>51</v>
      </c>
      <c r="P247" s="6">
        <v>2016</v>
      </c>
      <c r="Q247" s="6">
        <v>1</v>
      </c>
      <c r="R247" s="6" t="s">
        <v>45</v>
      </c>
      <c r="S247" s="32" t="s">
        <v>2113</v>
      </c>
      <c r="T247" s="6">
        <v>1</v>
      </c>
      <c r="U247" s="26">
        <v>1550000</v>
      </c>
      <c r="V247" s="26">
        <v>1550000</v>
      </c>
      <c r="W247" s="26">
        <v>1550000</v>
      </c>
      <c r="X247" s="6" t="s">
        <v>2003</v>
      </c>
      <c r="Y247" s="6" t="s">
        <v>49</v>
      </c>
      <c r="Z247" s="6">
        <v>224221</v>
      </c>
    </row>
    <row r="248" spans="1:26" x14ac:dyDescent="0.3">
      <c r="A248" s="28" t="s">
        <v>42</v>
      </c>
      <c r="B248" s="6" t="s">
        <v>2308</v>
      </c>
      <c r="C248" s="6" t="s">
        <v>1975</v>
      </c>
      <c r="D248" s="6" t="s">
        <v>2292</v>
      </c>
      <c r="E248" s="6">
        <v>1</v>
      </c>
      <c r="F248" s="6" t="s">
        <v>2004</v>
      </c>
      <c r="G248" s="32" t="s">
        <v>2299</v>
      </c>
      <c r="H248" s="32" t="s">
        <v>2300</v>
      </c>
      <c r="I248" s="6" t="str">
        <f t="shared" si="9"/>
        <v>Side Breaker</v>
      </c>
      <c r="J248" s="6" t="s">
        <v>510</v>
      </c>
      <c r="K248" s="6">
        <v>1</v>
      </c>
      <c r="L248" s="6">
        <f t="shared" si="10"/>
        <v>4000000</v>
      </c>
      <c r="M248" s="6">
        <v>3400000</v>
      </c>
      <c r="N248" s="6" t="s">
        <v>2003</v>
      </c>
      <c r="O248" s="6" t="s">
        <v>803</v>
      </c>
      <c r="P248" s="6">
        <v>2009</v>
      </c>
      <c r="Q248" s="6">
        <v>1</v>
      </c>
      <c r="R248" s="6" t="s">
        <v>45</v>
      </c>
      <c r="S248" s="32" t="s">
        <v>2123</v>
      </c>
      <c r="T248" s="6">
        <v>1</v>
      </c>
      <c r="U248" s="26">
        <v>3200000</v>
      </c>
      <c r="V248" s="26">
        <v>3200000</v>
      </c>
      <c r="W248" s="26">
        <v>3200000</v>
      </c>
      <c r="X248" s="6" t="s">
        <v>2003</v>
      </c>
      <c r="Y248" s="6" t="s">
        <v>1181</v>
      </c>
      <c r="Z248" s="6">
        <v>224222</v>
      </c>
    </row>
    <row r="249" spans="1:26" x14ac:dyDescent="0.3">
      <c r="A249" s="28" t="s">
        <v>42</v>
      </c>
      <c r="B249" s="6" t="s">
        <v>2308</v>
      </c>
      <c r="C249" s="6" t="s">
        <v>1975</v>
      </c>
      <c r="D249" s="6" t="s">
        <v>2292</v>
      </c>
      <c r="E249" s="6">
        <v>1</v>
      </c>
      <c r="F249" s="6" t="s">
        <v>2004</v>
      </c>
      <c r="G249" s="32" t="s">
        <v>2299</v>
      </c>
      <c r="H249" s="32" t="s">
        <v>2300</v>
      </c>
      <c r="I249" s="6" t="str">
        <f t="shared" si="9"/>
        <v>Side Breaker</v>
      </c>
      <c r="J249" s="6" t="s">
        <v>422</v>
      </c>
      <c r="K249" s="6">
        <v>1</v>
      </c>
      <c r="L249" s="6">
        <f t="shared" si="10"/>
        <v>4230000</v>
      </c>
      <c r="M249" s="6">
        <v>3600000</v>
      </c>
      <c r="N249" s="6" t="s">
        <v>2003</v>
      </c>
      <c r="O249" s="6" t="s">
        <v>814</v>
      </c>
      <c r="P249" s="6">
        <v>2015</v>
      </c>
      <c r="Q249" s="6">
        <v>10</v>
      </c>
      <c r="R249" s="6" t="s">
        <v>45</v>
      </c>
      <c r="S249" s="32" t="s">
        <v>2119</v>
      </c>
      <c r="T249" s="6">
        <v>1</v>
      </c>
      <c r="U249" s="26">
        <v>3400000</v>
      </c>
      <c r="V249" s="26">
        <v>3400000</v>
      </c>
      <c r="W249" s="26">
        <v>3400000</v>
      </c>
      <c r="X249" s="6" t="s">
        <v>2003</v>
      </c>
      <c r="Y249" s="6" t="s">
        <v>1194</v>
      </c>
      <c r="Z249" s="6">
        <v>224230</v>
      </c>
    </row>
    <row r="250" spans="1:26" x14ac:dyDescent="0.3">
      <c r="A250" s="28" t="s">
        <v>42</v>
      </c>
      <c r="B250" s="6" t="s">
        <v>2316</v>
      </c>
      <c r="C250" s="6"/>
      <c r="D250" s="6" t="s">
        <v>2291</v>
      </c>
      <c r="E250" s="6">
        <v>1</v>
      </c>
      <c r="F250" s="6" t="s">
        <v>2004</v>
      </c>
      <c r="G250" s="32" t="s">
        <v>2299</v>
      </c>
      <c r="H250" s="32" t="s">
        <v>2300</v>
      </c>
      <c r="I250" s="6" t="str">
        <f t="shared" si="9"/>
        <v>Ripper</v>
      </c>
      <c r="J250" s="6" t="s">
        <v>291</v>
      </c>
      <c r="K250" s="6">
        <v>1</v>
      </c>
      <c r="L250" s="6">
        <f t="shared" si="10"/>
        <v>350000</v>
      </c>
      <c r="M250" s="6">
        <v>300000</v>
      </c>
      <c r="N250" s="6" t="s">
        <v>2003</v>
      </c>
      <c r="O250" s="6" t="s">
        <v>794</v>
      </c>
      <c r="P250" s="6">
        <v>2015</v>
      </c>
      <c r="Q250" s="6">
        <v>1</v>
      </c>
      <c r="R250" s="6" t="s">
        <v>45</v>
      </c>
      <c r="S250" s="32" t="s">
        <v>2122</v>
      </c>
      <c r="T250" s="6">
        <v>1</v>
      </c>
      <c r="U250" s="26">
        <v>250000</v>
      </c>
      <c r="V250" s="26">
        <v>250000</v>
      </c>
      <c r="W250" s="26">
        <v>250000</v>
      </c>
      <c r="X250" s="6" t="s">
        <v>2003</v>
      </c>
      <c r="Y250" s="6" t="s">
        <v>1154</v>
      </c>
      <c r="Z250" s="6">
        <v>224233</v>
      </c>
    </row>
    <row r="251" spans="1:26" x14ac:dyDescent="0.3">
      <c r="A251" s="28" t="s">
        <v>42</v>
      </c>
      <c r="B251" s="6" t="s">
        <v>2308</v>
      </c>
      <c r="C251" s="6" t="s">
        <v>1975</v>
      </c>
      <c r="D251" s="6" t="s">
        <v>2291</v>
      </c>
      <c r="E251" s="6">
        <v>1</v>
      </c>
      <c r="F251" s="6" t="s">
        <v>2004</v>
      </c>
      <c r="G251" s="32" t="s">
        <v>2299</v>
      </c>
      <c r="H251" s="32" t="s">
        <v>2300</v>
      </c>
      <c r="I251" s="6" t="str">
        <f t="shared" si="9"/>
        <v>Side Breaker</v>
      </c>
      <c r="J251" s="6" t="s">
        <v>383</v>
      </c>
      <c r="K251" s="6">
        <v>1</v>
      </c>
      <c r="L251" s="6">
        <f t="shared" si="10"/>
        <v>1290000</v>
      </c>
      <c r="M251" s="6">
        <v>1100000</v>
      </c>
      <c r="N251" s="6" t="s">
        <v>2003</v>
      </c>
      <c r="O251" s="6" t="s">
        <v>805</v>
      </c>
      <c r="P251" s="6">
        <v>2010</v>
      </c>
      <c r="Q251" s="6">
        <v>6</v>
      </c>
      <c r="R251" s="6" t="s">
        <v>45</v>
      </c>
      <c r="S251" s="32" t="s">
        <v>2119</v>
      </c>
      <c r="T251" s="6">
        <v>1</v>
      </c>
      <c r="U251" s="26">
        <v>1000000</v>
      </c>
      <c r="V251" s="26">
        <v>1000000</v>
      </c>
      <c r="W251" s="26">
        <v>1000000</v>
      </c>
      <c r="X251" s="6" t="s">
        <v>2003</v>
      </c>
      <c r="Y251" s="6" t="s">
        <v>1165</v>
      </c>
      <c r="Z251" s="6">
        <v>224239</v>
      </c>
    </row>
    <row r="252" spans="1:26" x14ac:dyDescent="0.3">
      <c r="A252" s="28" t="s">
        <v>42</v>
      </c>
      <c r="B252" s="6" t="s">
        <v>2313</v>
      </c>
      <c r="C252" s="6" t="s">
        <v>1976</v>
      </c>
      <c r="D252" s="6" t="s">
        <v>2292</v>
      </c>
      <c r="E252" s="6">
        <v>1</v>
      </c>
      <c r="F252" s="6" t="s">
        <v>2004</v>
      </c>
      <c r="G252" s="32" t="s">
        <v>2299</v>
      </c>
      <c r="H252" s="32" t="s">
        <v>2300</v>
      </c>
      <c r="I252" s="6" t="str">
        <f t="shared" si="9"/>
        <v>Skeleton Bucket</v>
      </c>
      <c r="J252" s="6" t="s">
        <v>190</v>
      </c>
      <c r="K252" s="6">
        <v>1</v>
      </c>
      <c r="L252" s="6">
        <f t="shared" si="10"/>
        <v>1880000</v>
      </c>
      <c r="M252" s="6">
        <v>1600000</v>
      </c>
      <c r="N252" s="6" t="s">
        <v>2003</v>
      </c>
      <c r="O252" s="6" t="s">
        <v>2044</v>
      </c>
      <c r="P252" s="6">
        <v>2017</v>
      </c>
      <c r="Q252" s="6">
        <v>1</v>
      </c>
      <c r="R252" s="6" t="s">
        <v>45</v>
      </c>
      <c r="S252" s="32" t="s">
        <v>2124</v>
      </c>
      <c r="T252" s="6">
        <v>1</v>
      </c>
      <c r="U252" s="26">
        <v>1500000</v>
      </c>
      <c r="V252" s="26">
        <v>1500000</v>
      </c>
      <c r="W252" s="26">
        <v>1500000</v>
      </c>
      <c r="X252" s="6" t="s">
        <v>2003</v>
      </c>
      <c r="Y252" s="6" t="s">
        <v>1144</v>
      </c>
      <c r="Z252" s="6">
        <v>224243</v>
      </c>
    </row>
    <row r="253" spans="1:26" x14ac:dyDescent="0.3">
      <c r="A253" s="28" t="s">
        <v>42</v>
      </c>
      <c r="B253" s="6" t="s">
        <v>2310</v>
      </c>
      <c r="C253" s="6"/>
      <c r="D253" s="6" t="s">
        <v>2001</v>
      </c>
      <c r="E253" s="6">
        <v>1</v>
      </c>
      <c r="F253" s="6" t="s">
        <v>2004</v>
      </c>
      <c r="G253" s="32" t="s">
        <v>2299</v>
      </c>
      <c r="H253" s="32" t="s">
        <v>2300</v>
      </c>
      <c r="I253" s="6" t="str">
        <f t="shared" si="9"/>
        <v>Quick Coupler</v>
      </c>
      <c r="J253" s="6" t="s">
        <v>411</v>
      </c>
      <c r="K253" s="6">
        <v>1</v>
      </c>
      <c r="L253" s="6">
        <f t="shared" si="10"/>
        <v>3170000</v>
      </c>
      <c r="M253" s="6">
        <v>2700000</v>
      </c>
      <c r="N253" s="6" t="s">
        <v>2003</v>
      </c>
      <c r="O253" s="6" t="s">
        <v>91</v>
      </c>
      <c r="P253" s="6">
        <v>2017</v>
      </c>
      <c r="Q253" s="6">
        <v>1</v>
      </c>
      <c r="R253" s="6" t="s">
        <v>45</v>
      </c>
      <c r="S253" s="32" t="s">
        <v>2111</v>
      </c>
      <c r="T253" s="6">
        <v>1</v>
      </c>
      <c r="U253" s="26">
        <v>2500000</v>
      </c>
      <c r="V253" s="26">
        <v>2500000</v>
      </c>
      <c r="W253" s="26">
        <v>2500000</v>
      </c>
      <c r="X253" s="6" t="s">
        <v>2003</v>
      </c>
      <c r="Y253" s="6" t="s">
        <v>84</v>
      </c>
      <c r="Z253" s="6">
        <v>224250</v>
      </c>
    </row>
    <row r="254" spans="1:26" x14ac:dyDescent="0.3">
      <c r="A254" s="28" t="s">
        <v>42</v>
      </c>
      <c r="B254" s="6" t="s">
        <v>2309</v>
      </c>
      <c r="C254" s="6" t="s">
        <v>1974</v>
      </c>
      <c r="D254" s="6" t="s">
        <v>2292</v>
      </c>
      <c r="E254" s="6">
        <v>1</v>
      </c>
      <c r="F254" s="6" t="s">
        <v>2004</v>
      </c>
      <c r="G254" s="32" t="s">
        <v>2299</v>
      </c>
      <c r="H254" s="32" t="s">
        <v>2300</v>
      </c>
      <c r="I254" s="6" t="str">
        <f t="shared" si="9"/>
        <v>Etc Grapple</v>
      </c>
      <c r="J254" s="6" t="s">
        <v>125</v>
      </c>
      <c r="K254" s="6">
        <v>1</v>
      </c>
      <c r="L254" s="6">
        <f t="shared" si="10"/>
        <v>5640000</v>
      </c>
      <c r="M254" s="6">
        <v>4800000</v>
      </c>
      <c r="N254" s="6" t="s">
        <v>2003</v>
      </c>
      <c r="O254" s="6" t="s">
        <v>54</v>
      </c>
      <c r="P254" s="6">
        <v>2010</v>
      </c>
      <c r="Q254" s="6">
        <v>1</v>
      </c>
      <c r="R254" s="6" t="s">
        <v>45</v>
      </c>
      <c r="S254" s="32" t="s">
        <v>2114</v>
      </c>
      <c r="T254" s="6">
        <v>1</v>
      </c>
      <c r="U254" s="26">
        <v>4600000</v>
      </c>
      <c r="V254" s="26">
        <v>4600000</v>
      </c>
      <c r="W254" s="26">
        <v>4600000</v>
      </c>
      <c r="X254" s="6" t="s">
        <v>2003</v>
      </c>
      <c r="Y254" s="6" t="s">
        <v>54</v>
      </c>
      <c r="Z254" s="6">
        <v>224255</v>
      </c>
    </row>
    <row r="255" spans="1:26" x14ac:dyDescent="0.3">
      <c r="A255" s="28" t="s">
        <v>42</v>
      </c>
      <c r="B255" s="6" t="s">
        <v>2313</v>
      </c>
      <c r="C255" s="6" t="s">
        <v>1977</v>
      </c>
      <c r="D255" s="6" t="s">
        <v>2291</v>
      </c>
      <c r="E255" s="6">
        <v>1</v>
      </c>
      <c r="F255" s="6" t="s">
        <v>2004</v>
      </c>
      <c r="G255" s="32" t="s">
        <v>2299</v>
      </c>
      <c r="H255" s="32" t="s">
        <v>2300</v>
      </c>
      <c r="I255" s="6" t="str">
        <f t="shared" si="9"/>
        <v>Wide Bucket</v>
      </c>
      <c r="J255" s="6" t="s">
        <v>514</v>
      </c>
      <c r="K255" s="6">
        <v>1</v>
      </c>
      <c r="L255" s="6">
        <f t="shared" si="10"/>
        <v>760000</v>
      </c>
      <c r="M255" s="6">
        <v>650000</v>
      </c>
      <c r="N255" s="6" t="s">
        <v>2003</v>
      </c>
      <c r="O255" s="6" t="s">
        <v>921</v>
      </c>
      <c r="P255" s="6">
        <v>2017</v>
      </c>
      <c r="Q255" s="6">
        <v>1</v>
      </c>
      <c r="R255" s="6" t="s">
        <v>45</v>
      </c>
      <c r="S255" s="32" t="s">
        <v>2114</v>
      </c>
      <c r="T255" s="6">
        <v>1</v>
      </c>
      <c r="U255" s="26">
        <v>550000</v>
      </c>
      <c r="V255" s="26">
        <v>550000</v>
      </c>
      <c r="W255" s="26">
        <v>550000</v>
      </c>
      <c r="X255" s="6" t="s">
        <v>2003</v>
      </c>
      <c r="Y255" s="6" t="s">
        <v>833</v>
      </c>
      <c r="Z255" s="6">
        <v>224262</v>
      </c>
    </row>
    <row r="256" spans="1:26" x14ac:dyDescent="0.3">
      <c r="A256" s="28" t="s">
        <v>42</v>
      </c>
      <c r="B256" s="6" t="s">
        <v>2313</v>
      </c>
      <c r="C256" s="6" t="s">
        <v>1976</v>
      </c>
      <c r="D256" s="6" t="s">
        <v>2292</v>
      </c>
      <c r="E256" s="6">
        <v>1</v>
      </c>
      <c r="F256" s="6" t="s">
        <v>2004</v>
      </c>
      <c r="G256" s="32" t="s">
        <v>2299</v>
      </c>
      <c r="H256" s="32" t="s">
        <v>2300</v>
      </c>
      <c r="I256" s="6" t="str">
        <f t="shared" si="9"/>
        <v>Skeleton Bucket</v>
      </c>
      <c r="J256" s="6" t="s">
        <v>190</v>
      </c>
      <c r="K256" s="6">
        <v>1</v>
      </c>
      <c r="L256" s="6">
        <f t="shared" si="10"/>
        <v>1410000</v>
      </c>
      <c r="M256" s="6">
        <v>1200000</v>
      </c>
      <c r="N256" s="6" t="s">
        <v>2003</v>
      </c>
      <c r="O256" s="6" t="s">
        <v>922</v>
      </c>
      <c r="P256" s="6">
        <v>2016</v>
      </c>
      <c r="Q256" s="6">
        <v>6</v>
      </c>
      <c r="R256" s="6" t="s">
        <v>45</v>
      </c>
      <c r="S256" s="32" t="s">
        <v>2123</v>
      </c>
      <c r="T256" s="6">
        <v>1</v>
      </c>
      <c r="U256" s="26">
        <v>1100000</v>
      </c>
      <c r="V256" s="26">
        <v>1100000</v>
      </c>
      <c r="W256" s="26">
        <v>1100000</v>
      </c>
      <c r="X256" s="6" t="s">
        <v>2003</v>
      </c>
      <c r="Y256" s="6" t="s">
        <v>1237</v>
      </c>
      <c r="Z256" s="6">
        <v>224266</v>
      </c>
    </row>
    <row r="257" spans="1:26" x14ac:dyDescent="0.3">
      <c r="A257" s="28" t="s">
        <v>42</v>
      </c>
      <c r="B257" s="6" t="s">
        <v>2315</v>
      </c>
      <c r="C257" s="6"/>
      <c r="D257" s="6" t="s">
        <v>2001</v>
      </c>
      <c r="E257" s="6">
        <v>1</v>
      </c>
      <c r="F257" s="6" t="s">
        <v>2004</v>
      </c>
      <c r="G257" s="32" t="s">
        <v>2299</v>
      </c>
      <c r="H257" s="32" t="s">
        <v>2300</v>
      </c>
      <c r="I257" s="6" t="str">
        <f t="shared" si="9"/>
        <v>ETC</v>
      </c>
      <c r="J257" s="6" t="s">
        <v>515</v>
      </c>
      <c r="K257" s="6">
        <v>1</v>
      </c>
      <c r="L257" s="6">
        <f t="shared" si="10"/>
        <v>11170000</v>
      </c>
      <c r="M257" s="6">
        <v>9500000</v>
      </c>
      <c r="N257" s="6" t="s">
        <v>2003</v>
      </c>
      <c r="O257" s="6" t="s">
        <v>923</v>
      </c>
      <c r="P257" s="6">
        <v>2014</v>
      </c>
      <c r="Q257" s="6">
        <v>1</v>
      </c>
      <c r="R257" s="6" t="s">
        <v>45</v>
      </c>
      <c r="S257" s="32" t="s">
        <v>2121</v>
      </c>
      <c r="T257" s="6">
        <v>1</v>
      </c>
      <c r="U257" s="26">
        <v>9000000</v>
      </c>
      <c r="V257" s="26">
        <v>9000000</v>
      </c>
      <c r="W257" s="26">
        <v>9000000</v>
      </c>
      <c r="X257" s="6" t="s">
        <v>2003</v>
      </c>
      <c r="Y257" s="6" t="s">
        <v>1265</v>
      </c>
      <c r="Z257" s="6">
        <v>224272</v>
      </c>
    </row>
    <row r="258" spans="1:26" x14ac:dyDescent="0.3">
      <c r="A258" s="28" t="s">
        <v>42</v>
      </c>
      <c r="B258" s="6" t="s">
        <v>2309</v>
      </c>
      <c r="C258" s="6" t="s">
        <v>1972</v>
      </c>
      <c r="D258" s="6" t="s">
        <v>2291</v>
      </c>
      <c r="E258" s="6">
        <v>1</v>
      </c>
      <c r="F258" s="6" t="s">
        <v>2004</v>
      </c>
      <c r="G258" s="32" t="s">
        <v>2299</v>
      </c>
      <c r="H258" s="32" t="s">
        <v>2300</v>
      </c>
      <c r="I258" s="6" t="str">
        <f t="shared" si="9"/>
        <v>Stone Grapple</v>
      </c>
      <c r="J258" s="6" t="s">
        <v>109</v>
      </c>
      <c r="K258" s="6">
        <v>1</v>
      </c>
      <c r="L258" s="6">
        <f t="shared" si="10"/>
        <v>3760000</v>
      </c>
      <c r="M258" s="6">
        <v>3200000</v>
      </c>
      <c r="N258" s="6" t="s">
        <v>2003</v>
      </c>
      <c r="O258" s="6" t="s">
        <v>54</v>
      </c>
      <c r="P258" s="6">
        <v>2011</v>
      </c>
      <c r="Q258" s="6">
        <v>1</v>
      </c>
      <c r="R258" s="6" t="s">
        <v>45</v>
      </c>
      <c r="S258" s="32" t="s">
        <v>2114</v>
      </c>
      <c r="T258" s="6">
        <v>1</v>
      </c>
      <c r="U258" s="26">
        <v>3000000</v>
      </c>
      <c r="V258" s="26">
        <v>3000000</v>
      </c>
      <c r="W258" s="26">
        <v>3000000</v>
      </c>
      <c r="X258" s="6" t="s">
        <v>2003</v>
      </c>
      <c r="Y258" s="6" t="s">
        <v>54</v>
      </c>
      <c r="Z258" s="6">
        <v>224275</v>
      </c>
    </row>
    <row r="259" spans="1:26" x14ac:dyDescent="0.3">
      <c r="A259" s="28" t="s">
        <v>42</v>
      </c>
      <c r="B259" s="6" t="s">
        <v>2309</v>
      </c>
      <c r="C259" s="6" t="s">
        <v>1973</v>
      </c>
      <c r="D259" s="6" t="s">
        <v>2291</v>
      </c>
      <c r="E259" s="6">
        <v>1</v>
      </c>
      <c r="F259" s="6" t="s">
        <v>2004</v>
      </c>
      <c r="G259" s="32" t="s">
        <v>2299</v>
      </c>
      <c r="H259" s="32" t="s">
        <v>2300</v>
      </c>
      <c r="I259" s="6" t="str">
        <f t="shared" si="9"/>
        <v>Wood Grapple</v>
      </c>
      <c r="J259" s="6" t="s">
        <v>262</v>
      </c>
      <c r="K259" s="6">
        <v>1</v>
      </c>
      <c r="L259" s="6">
        <f t="shared" si="10"/>
        <v>3880000</v>
      </c>
      <c r="M259" s="6">
        <v>3300000</v>
      </c>
      <c r="N259" s="6" t="s">
        <v>2003</v>
      </c>
      <c r="O259" s="6" t="s">
        <v>2045</v>
      </c>
      <c r="P259" s="6">
        <v>2016</v>
      </c>
      <c r="Q259" s="6">
        <v>1</v>
      </c>
      <c r="R259" s="6" t="s">
        <v>45</v>
      </c>
      <c r="S259" s="32" t="s">
        <v>2116</v>
      </c>
      <c r="T259" s="6">
        <v>1</v>
      </c>
      <c r="U259" s="26">
        <v>3100000</v>
      </c>
      <c r="V259" s="26">
        <v>3100000</v>
      </c>
      <c r="W259" s="26">
        <v>3100000</v>
      </c>
      <c r="X259" s="6" t="s">
        <v>2003</v>
      </c>
      <c r="Y259" s="6" t="s">
        <v>49</v>
      </c>
      <c r="Z259" s="6">
        <v>224281</v>
      </c>
    </row>
    <row r="260" spans="1:26" x14ac:dyDescent="0.3">
      <c r="A260" s="28" t="s">
        <v>42</v>
      </c>
      <c r="B260" s="6" t="s">
        <v>2308</v>
      </c>
      <c r="C260" s="6" t="s">
        <v>1975</v>
      </c>
      <c r="D260" s="6" t="s">
        <v>2002</v>
      </c>
      <c r="E260" s="6">
        <v>1</v>
      </c>
      <c r="F260" s="6" t="s">
        <v>2004</v>
      </c>
      <c r="G260" s="32" t="s">
        <v>2299</v>
      </c>
      <c r="H260" s="32" t="s">
        <v>2300</v>
      </c>
      <c r="I260" s="6" t="str">
        <f t="shared" si="9"/>
        <v>Side Breaker</v>
      </c>
      <c r="J260" s="6" t="s">
        <v>425</v>
      </c>
      <c r="K260" s="6">
        <v>1</v>
      </c>
      <c r="L260" s="6">
        <f t="shared" si="10"/>
        <v>1640000</v>
      </c>
      <c r="M260" s="6">
        <v>1400000</v>
      </c>
      <c r="N260" s="6" t="s">
        <v>2003</v>
      </c>
      <c r="O260" s="6" t="s">
        <v>2007</v>
      </c>
      <c r="P260" s="6">
        <v>2014</v>
      </c>
      <c r="Q260" s="6">
        <v>1</v>
      </c>
      <c r="R260" s="6" t="s">
        <v>45</v>
      </c>
      <c r="S260" s="32" t="s">
        <v>2113</v>
      </c>
      <c r="T260" s="6">
        <v>1</v>
      </c>
      <c r="U260" s="26">
        <v>1300000</v>
      </c>
      <c r="V260" s="26">
        <v>1300000</v>
      </c>
      <c r="W260" s="26">
        <v>1300000</v>
      </c>
      <c r="X260" s="6" t="s">
        <v>2003</v>
      </c>
      <c r="Y260" s="6" t="s">
        <v>49</v>
      </c>
      <c r="Z260" s="6">
        <v>224283</v>
      </c>
    </row>
    <row r="261" spans="1:26" x14ac:dyDescent="0.3">
      <c r="A261" s="28" t="s">
        <v>42</v>
      </c>
      <c r="B261" s="6" t="s">
        <v>2309</v>
      </c>
      <c r="C261" s="6" t="s">
        <v>1973</v>
      </c>
      <c r="D261" s="6" t="s">
        <v>2291</v>
      </c>
      <c r="E261" s="6">
        <v>1</v>
      </c>
      <c r="F261" s="6" t="s">
        <v>2004</v>
      </c>
      <c r="G261" s="32" t="s">
        <v>2299</v>
      </c>
      <c r="H261" s="32" t="s">
        <v>2300</v>
      </c>
      <c r="I261" s="6" t="str">
        <f t="shared" si="9"/>
        <v>Wood Grapple</v>
      </c>
      <c r="J261" s="6" t="s">
        <v>127</v>
      </c>
      <c r="K261" s="6">
        <v>1</v>
      </c>
      <c r="L261" s="6">
        <f t="shared" si="10"/>
        <v>2580000</v>
      </c>
      <c r="M261" s="6">
        <v>2200000</v>
      </c>
      <c r="N261" s="6" t="s">
        <v>2003</v>
      </c>
      <c r="O261" s="6" t="s">
        <v>924</v>
      </c>
      <c r="P261" s="6">
        <v>2010</v>
      </c>
      <c r="Q261" s="6">
        <v>1</v>
      </c>
      <c r="R261" s="6" t="s">
        <v>45</v>
      </c>
      <c r="S261" s="32" t="s">
        <v>2114</v>
      </c>
      <c r="T261" s="6">
        <v>1</v>
      </c>
      <c r="U261" s="26">
        <v>2000000</v>
      </c>
      <c r="V261" s="26">
        <v>2000000</v>
      </c>
      <c r="W261" s="26">
        <v>2000000</v>
      </c>
      <c r="X261" s="6" t="s">
        <v>2003</v>
      </c>
      <c r="Y261" s="6" t="s">
        <v>830</v>
      </c>
      <c r="Z261" s="6">
        <v>224284</v>
      </c>
    </row>
    <row r="262" spans="1:26" x14ac:dyDescent="0.3">
      <c r="A262" s="28" t="s">
        <v>42</v>
      </c>
      <c r="B262" s="6" t="s">
        <v>2309</v>
      </c>
      <c r="C262" s="6" t="s">
        <v>1972</v>
      </c>
      <c r="D262" s="6" t="s">
        <v>2292</v>
      </c>
      <c r="E262" s="6">
        <v>1</v>
      </c>
      <c r="F262" s="6" t="s">
        <v>2004</v>
      </c>
      <c r="G262" s="32" t="s">
        <v>2299</v>
      </c>
      <c r="H262" s="32" t="s">
        <v>2300</v>
      </c>
      <c r="I262" s="6" t="str">
        <f t="shared" si="9"/>
        <v>Stone Grapple</v>
      </c>
      <c r="J262" s="6" t="s">
        <v>250</v>
      </c>
      <c r="K262" s="6">
        <v>1</v>
      </c>
      <c r="L262" s="6">
        <f t="shared" si="10"/>
        <v>2230000</v>
      </c>
      <c r="M262" s="6">
        <v>1900000</v>
      </c>
      <c r="N262" s="6" t="s">
        <v>2003</v>
      </c>
      <c r="O262" s="6" t="s">
        <v>2007</v>
      </c>
      <c r="P262" s="6">
        <v>2013</v>
      </c>
      <c r="Q262" s="6">
        <v>1</v>
      </c>
      <c r="R262" s="6" t="s">
        <v>45</v>
      </c>
      <c r="S262" s="32" t="s">
        <v>2113</v>
      </c>
      <c r="T262" s="6">
        <v>1</v>
      </c>
      <c r="U262" s="26">
        <v>1800000</v>
      </c>
      <c r="V262" s="26">
        <v>1800000</v>
      </c>
      <c r="W262" s="26">
        <v>1800000</v>
      </c>
      <c r="X262" s="6" t="s">
        <v>2003</v>
      </c>
      <c r="Y262" s="6" t="s">
        <v>49</v>
      </c>
      <c r="Z262" s="6">
        <v>224288</v>
      </c>
    </row>
    <row r="263" spans="1:26" x14ac:dyDescent="0.3">
      <c r="A263" s="28" t="s">
        <v>42</v>
      </c>
      <c r="B263" s="6" t="s">
        <v>2312</v>
      </c>
      <c r="C263" s="6"/>
      <c r="D263" s="6" t="s">
        <v>2292</v>
      </c>
      <c r="E263" s="6">
        <v>1</v>
      </c>
      <c r="F263" s="6" t="s">
        <v>2004</v>
      </c>
      <c r="G263" s="32" t="s">
        <v>2299</v>
      </c>
      <c r="H263" s="32" t="s">
        <v>2300</v>
      </c>
      <c r="I263" s="6" t="str">
        <f t="shared" si="9"/>
        <v>Lift Fork</v>
      </c>
      <c r="J263" s="6" t="s">
        <v>102</v>
      </c>
      <c r="K263" s="6">
        <v>1</v>
      </c>
      <c r="L263" s="6">
        <f t="shared" si="10"/>
        <v>940000</v>
      </c>
      <c r="M263" s="6">
        <v>800000</v>
      </c>
      <c r="N263" s="6" t="s">
        <v>2003</v>
      </c>
      <c r="O263" s="6" t="s">
        <v>925</v>
      </c>
      <c r="P263" s="6">
        <v>2014</v>
      </c>
      <c r="Q263" s="6">
        <v>1</v>
      </c>
      <c r="R263" s="6" t="s">
        <v>45</v>
      </c>
      <c r="S263" s="32" t="s">
        <v>2119</v>
      </c>
      <c r="T263" s="6">
        <v>1</v>
      </c>
      <c r="U263" s="26">
        <v>700000</v>
      </c>
      <c r="V263" s="26">
        <v>700000</v>
      </c>
      <c r="W263" s="26">
        <v>700000</v>
      </c>
      <c r="X263" s="6" t="s">
        <v>2003</v>
      </c>
      <c r="Y263" s="6" t="s">
        <v>60</v>
      </c>
      <c r="Z263" s="6">
        <v>224291</v>
      </c>
    </row>
    <row r="264" spans="1:26" x14ac:dyDescent="0.3">
      <c r="A264" s="28" t="s">
        <v>42</v>
      </c>
      <c r="B264" s="6" t="s">
        <v>2315</v>
      </c>
      <c r="C264" s="6"/>
      <c r="D264" s="6" t="s">
        <v>2289</v>
      </c>
      <c r="E264" s="6">
        <v>1</v>
      </c>
      <c r="F264" s="6" t="s">
        <v>2004</v>
      </c>
      <c r="G264" s="32" t="s">
        <v>2299</v>
      </c>
      <c r="H264" s="32" t="s">
        <v>2300</v>
      </c>
      <c r="I264" s="6" t="str">
        <f t="shared" si="9"/>
        <v>ETC</v>
      </c>
      <c r="J264" s="6" t="s">
        <v>517</v>
      </c>
      <c r="K264" s="6">
        <v>1</v>
      </c>
      <c r="L264" s="6">
        <f t="shared" si="10"/>
        <v>12350000</v>
      </c>
      <c r="M264" s="6">
        <v>10500000</v>
      </c>
      <c r="N264" s="6" t="s">
        <v>2003</v>
      </c>
      <c r="O264" s="6" t="s">
        <v>926</v>
      </c>
      <c r="P264" s="6">
        <v>2006</v>
      </c>
      <c r="Q264" s="6">
        <v>1</v>
      </c>
      <c r="R264" s="6" t="s">
        <v>45</v>
      </c>
      <c r="S264" s="32" t="s">
        <v>2110</v>
      </c>
      <c r="T264" s="6">
        <v>1</v>
      </c>
      <c r="U264" s="26">
        <v>10000000</v>
      </c>
      <c r="V264" s="26">
        <v>10000000</v>
      </c>
      <c r="W264" s="26">
        <v>10000000</v>
      </c>
      <c r="X264" s="6" t="s">
        <v>2003</v>
      </c>
      <c r="Y264" s="6" t="s">
        <v>1208</v>
      </c>
      <c r="Z264" s="6">
        <v>224292</v>
      </c>
    </row>
    <row r="265" spans="1:26" x14ac:dyDescent="0.3">
      <c r="A265" s="28" t="s">
        <v>42</v>
      </c>
      <c r="B265" s="6" t="s">
        <v>2309</v>
      </c>
      <c r="C265" s="6" t="s">
        <v>1972</v>
      </c>
      <c r="D265" s="6" t="s">
        <v>2291</v>
      </c>
      <c r="E265" s="6">
        <v>1</v>
      </c>
      <c r="F265" s="6" t="s">
        <v>2004</v>
      </c>
      <c r="G265" s="32" t="s">
        <v>2299</v>
      </c>
      <c r="H265" s="32" t="s">
        <v>2300</v>
      </c>
      <c r="I265" s="6" t="str">
        <f t="shared" si="9"/>
        <v>Stone Grapple</v>
      </c>
      <c r="J265" s="6" t="s">
        <v>518</v>
      </c>
      <c r="K265" s="6">
        <v>1</v>
      </c>
      <c r="L265" s="6">
        <f t="shared" si="10"/>
        <v>1940000</v>
      </c>
      <c r="M265" s="6">
        <v>1650000</v>
      </c>
      <c r="N265" s="6" t="s">
        <v>2003</v>
      </c>
      <c r="O265" s="6" t="s">
        <v>2007</v>
      </c>
      <c r="P265" s="6">
        <v>2016</v>
      </c>
      <c r="Q265" s="6">
        <v>1</v>
      </c>
      <c r="R265" s="6" t="s">
        <v>45</v>
      </c>
      <c r="S265" s="32" t="s">
        <v>2113</v>
      </c>
      <c r="T265" s="6">
        <v>1</v>
      </c>
      <c r="U265" s="26">
        <v>1550000</v>
      </c>
      <c r="V265" s="26">
        <v>1550000</v>
      </c>
      <c r="W265" s="26">
        <v>1550000</v>
      </c>
      <c r="X265" s="6" t="s">
        <v>2003</v>
      </c>
      <c r="Y265" s="6" t="s">
        <v>49</v>
      </c>
      <c r="Z265" s="6">
        <v>224293</v>
      </c>
    </row>
    <row r="266" spans="1:26" x14ac:dyDescent="0.3">
      <c r="A266" s="28" t="s">
        <v>42</v>
      </c>
      <c r="B266" s="6" t="s">
        <v>2313</v>
      </c>
      <c r="C266" s="6" t="s">
        <v>1976</v>
      </c>
      <c r="D266" s="6" t="s">
        <v>2289</v>
      </c>
      <c r="E266" s="6">
        <v>1</v>
      </c>
      <c r="F266" s="6" t="s">
        <v>2004</v>
      </c>
      <c r="G266" s="32" t="s">
        <v>2299</v>
      </c>
      <c r="H266" s="32" t="s">
        <v>2300</v>
      </c>
      <c r="I266" s="6" t="str">
        <f t="shared" si="9"/>
        <v>Skeleton Bucket</v>
      </c>
      <c r="J266" s="6" t="s">
        <v>1928</v>
      </c>
      <c r="K266" s="6">
        <v>1</v>
      </c>
      <c r="L266" s="6">
        <f t="shared" si="10"/>
        <v>3170000</v>
      </c>
      <c r="M266" s="6">
        <v>2700000</v>
      </c>
      <c r="N266" s="6" t="s">
        <v>2003</v>
      </c>
      <c r="O266" s="6" t="s">
        <v>927</v>
      </c>
      <c r="P266" s="6">
        <v>2010</v>
      </c>
      <c r="Q266" s="6">
        <v>1</v>
      </c>
      <c r="R266" s="6" t="s">
        <v>45</v>
      </c>
      <c r="S266" s="32" t="s">
        <v>2110</v>
      </c>
      <c r="T266" s="6">
        <v>1</v>
      </c>
      <c r="U266" s="26">
        <v>2500000</v>
      </c>
      <c r="V266" s="26">
        <v>2500000</v>
      </c>
      <c r="W266" s="26">
        <v>2500000</v>
      </c>
      <c r="X266" s="6" t="s">
        <v>2003</v>
      </c>
      <c r="Y266" s="6" t="s">
        <v>1208</v>
      </c>
      <c r="Z266" s="6">
        <v>224294</v>
      </c>
    </row>
    <row r="267" spans="1:26" x14ac:dyDescent="0.3">
      <c r="A267" s="28" t="s">
        <v>42</v>
      </c>
      <c r="B267" s="6" t="s">
        <v>2313</v>
      </c>
      <c r="C267" s="6" t="s">
        <v>1976</v>
      </c>
      <c r="D267" s="6" t="s">
        <v>2292</v>
      </c>
      <c r="E267" s="6">
        <v>1</v>
      </c>
      <c r="F267" s="6" t="s">
        <v>2004</v>
      </c>
      <c r="G267" s="32" t="s">
        <v>2299</v>
      </c>
      <c r="H267" s="32" t="s">
        <v>2300</v>
      </c>
      <c r="I267" s="6" t="str">
        <f t="shared" ref="I267:I330" si="11">IF(ISBLANK(C267),B267,C267)</f>
        <v>Skeleton Bucket</v>
      </c>
      <c r="J267" s="6" t="s">
        <v>62</v>
      </c>
      <c r="K267" s="6">
        <v>1</v>
      </c>
      <c r="L267" s="6">
        <f t="shared" ref="L267:L330" si="12">FLOOR(((M267*100)/85)/10000, 1)*10000</f>
        <v>1290000</v>
      </c>
      <c r="M267" s="6">
        <v>1100000</v>
      </c>
      <c r="N267" s="6" t="s">
        <v>2003</v>
      </c>
      <c r="O267" s="6" t="s">
        <v>2007</v>
      </c>
      <c r="P267" s="6">
        <v>2015</v>
      </c>
      <c r="Q267" s="6">
        <v>1</v>
      </c>
      <c r="R267" s="6" t="s">
        <v>45</v>
      </c>
      <c r="S267" s="32" t="s">
        <v>2113</v>
      </c>
      <c r="T267" s="6">
        <v>1</v>
      </c>
      <c r="U267" s="26">
        <v>1000000</v>
      </c>
      <c r="V267" s="26">
        <v>1000000</v>
      </c>
      <c r="W267" s="26">
        <v>1000000</v>
      </c>
      <c r="X267" s="6" t="s">
        <v>2003</v>
      </c>
      <c r="Y267" s="6" t="s">
        <v>49</v>
      </c>
      <c r="Z267" s="6">
        <v>224295</v>
      </c>
    </row>
    <row r="268" spans="1:26" x14ac:dyDescent="0.3">
      <c r="A268" s="28" t="s">
        <v>42</v>
      </c>
      <c r="B268" s="6" t="s">
        <v>2308</v>
      </c>
      <c r="C268" s="6" t="s">
        <v>1975</v>
      </c>
      <c r="D268" s="6" t="s">
        <v>2001</v>
      </c>
      <c r="E268" s="6">
        <v>1</v>
      </c>
      <c r="F268" s="6" t="s">
        <v>2004</v>
      </c>
      <c r="G268" s="32" t="s">
        <v>2299</v>
      </c>
      <c r="H268" s="32" t="s">
        <v>2300</v>
      </c>
      <c r="I268" s="6" t="str">
        <f t="shared" si="11"/>
        <v>Side Breaker</v>
      </c>
      <c r="J268" s="6" t="s">
        <v>150</v>
      </c>
      <c r="K268" s="6">
        <v>1</v>
      </c>
      <c r="L268" s="6">
        <f t="shared" si="12"/>
        <v>6470000</v>
      </c>
      <c r="M268" s="6">
        <v>5500000</v>
      </c>
      <c r="N268" s="6" t="s">
        <v>2003</v>
      </c>
      <c r="O268" s="6" t="s">
        <v>2009</v>
      </c>
      <c r="P268" s="6">
        <v>2009</v>
      </c>
      <c r="Q268" s="6">
        <v>1</v>
      </c>
      <c r="R268" s="6" t="s">
        <v>45</v>
      </c>
      <c r="S268" s="32" t="s">
        <v>2110</v>
      </c>
      <c r="T268" s="6">
        <v>1</v>
      </c>
      <c r="U268" s="26">
        <v>5000000</v>
      </c>
      <c r="V268" s="26">
        <v>5000000</v>
      </c>
      <c r="W268" s="26">
        <v>5000000</v>
      </c>
      <c r="X268" s="6" t="s">
        <v>2003</v>
      </c>
      <c r="Y268" s="6" t="s">
        <v>1152</v>
      </c>
      <c r="Z268" s="6">
        <v>224296</v>
      </c>
    </row>
    <row r="269" spans="1:26" x14ac:dyDescent="0.3">
      <c r="A269" s="28" t="s">
        <v>42</v>
      </c>
      <c r="B269" s="6" t="s">
        <v>2313</v>
      </c>
      <c r="C269" s="19" t="s">
        <v>1982</v>
      </c>
      <c r="D269" s="6" t="s">
        <v>2291</v>
      </c>
      <c r="E269" s="6">
        <v>1</v>
      </c>
      <c r="F269" s="6" t="s">
        <v>2004</v>
      </c>
      <c r="G269" s="32" t="s">
        <v>2299</v>
      </c>
      <c r="H269" s="32" t="s">
        <v>2300</v>
      </c>
      <c r="I269" s="6" t="str">
        <f t="shared" si="11"/>
        <v>Standard Bucket</v>
      </c>
      <c r="J269" s="6" t="s">
        <v>706</v>
      </c>
      <c r="K269" s="6">
        <v>1</v>
      </c>
      <c r="L269" s="6">
        <f t="shared" si="12"/>
        <v>290000</v>
      </c>
      <c r="M269" s="6">
        <v>250000</v>
      </c>
      <c r="N269" s="6" t="s">
        <v>2003</v>
      </c>
      <c r="O269" s="6" t="s">
        <v>793</v>
      </c>
      <c r="P269" s="6">
        <v>2014</v>
      </c>
      <c r="Q269" s="6">
        <v>1</v>
      </c>
      <c r="R269" s="6" t="s">
        <v>45</v>
      </c>
      <c r="S269" s="32" t="s">
        <v>2116</v>
      </c>
      <c r="T269" s="6">
        <v>1</v>
      </c>
      <c r="U269" s="26">
        <v>200000</v>
      </c>
      <c r="V269" s="26">
        <v>200000</v>
      </c>
      <c r="W269" s="26">
        <v>200000</v>
      </c>
      <c r="X269" s="6" t="s">
        <v>2003</v>
      </c>
      <c r="Y269" s="6" t="s">
        <v>90</v>
      </c>
      <c r="Z269" s="6">
        <v>224299</v>
      </c>
    </row>
    <row r="270" spans="1:26" x14ac:dyDescent="0.3">
      <c r="A270" s="28" t="s">
        <v>42</v>
      </c>
      <c r="B270" s="6" t="s">
        <v>2313</v>
      </c>
      <c r="C270" s="6" t="s">
        <v>1977</v>
      </c>
      <c r="D270" s="6" t="s">
        <v>2291</v>
      </c>
      <c r="E270" s="6">
        <v>1</v>
      </c>
      <c r="F270" s="6" t="s">
        <v>2004</v>
      </c>
      <c r="G270" s="32" t="s">
        <v>2299</v>
      </c>
      <c r="H270" s="32" t="s">
        <v>2300</v>
      </c>
      <c r="I270" s="6" t="str">
        <f t="shared" si="11"/>
        <v>Wide Bucket</v>
      </c>
      <c r="J270" s="6" t="s">
        <v>350</v>
      </c>
      <c r="K270" s="6">
        <v>1</v>
      </c>
      <c r="L270" s="6">
        <f t="shared" si="12"/>
        <v>760000</v>
      </c>
      <c r="M270" s="6">
        <v>650000</v>
      </c>
      <c r="N270" s="6" t="s">
        <v>2003</v>
      </c>
      <c r="O270" s="6" t="s">
        <v>833</v>
      </c>
      <c r="P270" s="6">
        <v>2017</v>
      </c>
      <c r="Q270" s="6">
        <v>1</v>
      </c>
      <c r="R270" s="6" t="s">
        <v>45</v>
      </c>
      <c r="S270" s="32" t="s">
        <v>2114</v>
      </c>
      <c r="T270" s="6">
        <v>1</v>
      </c>
      <c r="U270" s="26">
        <v>550000</v>
      </c>
      <c r="V270" s="26">
        <v>550000</v>
      </c>
      <c r="W270" s="26">
        <v>550000</v>
      </c>
      <c r="X270" s="6" t="s">
        <v>2003</v>
      </c>
      <c r="Y270" s="6" t="s">
        <v>833</v>
      </c>
      <c r="Z270" s="6">
        <v>224303</v>
      </c>
    </row>
    <row r="271" spans="1:26" x14ac:dyDescent="0.3">
      <c r="A271" s="28" t="s">
        <v>42</v>
      </c>
      <c r="B271" s="6" t="s">
        <v>2309</v>
      </c>
      <c r="C271" s="6" t="s">
        <v>1973</v>
      </c>
      <c r="D271" s="6" t="s">
        <v>2291</v>
      </c>
      <c r="E271" s="6">
        <v>1</v>
      </c>
      <c r="F271" s="6" t="s">
        <v>2004</v>
      </c>
      <c r="G271" s="32" t="s">
        <v>2299</v>
      </c>
      <c r="H271" s="32" t="s">
        <v>2300</v>
      </c>
      <c r="I271" s="6" t="str">
        <f t="shared" si="11"/>
        <v>Wood Grapple</v>
      </c>
      <c r="J271" s="6" t="s">
        <v>127</v>
      </c>
      <c r="K271" s="6">
        <v>1</v>
      </c>
      <c r="L271" s="6">
        <f t="shared" si="12"/>
        <v>2230000</v>
      </c>
      <c r="M271" s="6">
        <v>1900000</v>
      </c>
      <c r="N271" s="6" t="s">
        <v>2003</v>
      </c>
      <c r="O271" s="6" t="s">
        <v>54</v>
      </c>
      <c r="P271" s="6">
        <v>2012</v>
      </c>
      <c r="Q271" s="6">
        <v>1</v>
      </c>
      <c r="R271" s="6" t="s">
        <v>45</v>
      </c>
      <c r="S271" s="32" t="s">
        <v>2114</v>
      </c>
      <c r="T271" s="6">
        <v>1</v>
      </c>
      <c r="U271" s="26">
        <v>1800000</v>
      </c>
      <c r="V271" s="26">
        <v>1800000</v>
      </c>
      <c r="W271" s="26">
        <v>1800000</v>
      </c>
      <c r="X271" s="6" t="s">
        <v>2003</v>
      </c>
      <c r="Y271" s="6" t="s">
        <v>54</v>
      </c>
      <c r="Z271" s="6">
        <v>224304</v>
      </c>
    </row>
    <row r="272" spans="1:26" x14ac:dyDescent="0.3">
      <c r="A272" s="28" t="s">
        <v>42</v>
      </c>
      <c r="B272" s="6" t="s">
        <v>2315</v>
      </c>
      <c r="C272" s="6"/>
      <c r="D272" s="6" t="s">
        <v>2292</v>
      </c>
      <c r="E272" s="6">
        <v>1</v>
      </c>
      <c r="F272" s="6" t="s">
        <v>2004</v>
      </c>
      <c r="G272" s="32" t="s">
        <v>2299</v>
      </c>
      <c r="H272" s="32" t="s">
        <v>2300</v>
      </c>
      <c r="I272" s="6" t="str">
        <f t="shared" si="11"/>
        <v>ETC</v>
      </c>
      <c r="J272" s="6" t="s">
        <v>530</v>
      </c>
      <c r="K272" s="6">
        <v>1</v>
      </c>
      <c r="L272" s="6">
        <f t="shared" si="12"/>
        <v>4350000</v>
      </c>
      <c r="M272" s="6">
        <v>3700000</v>
      </c>
      <c r="N272" s="6" t="s">
        <v>2003</v>
      </c>
      <c r="O272" s="6" t="s">
        <v>813</v>
      </c>
      <c r="P272" s="6">
        <v>2013</v>
      </c>
      <c r="Q272" s="6">
        <v>1</v>
      </c>
      <c r="R272" s="6" t="s">
        <v>45</v>
      </c>
      <c r="S272" s="32" t="s">
        <v>2113</v>
      </c>
      <c r="T272" s="6">
        <v>1</v>
      </c>
      <c r="U272" s="26">
        <v>3500000</v>
      </c>
      <c r="V272" s="26">
        <v>3500000</v>
      </c>
      <c r="W272" s="26">
        <v>3500000</v>
      </c>
      <c r="X272" s="6" t="s">
        <v>2003</v>
      </c>
      <c r="Y272" s="6" t="s">
        <v>79</v>
      </c>
      <c r="Z272" s="6">
        <v>224306</v>
      </c>
    </row>
    <row r="273" spans="1:26" x14ac:dyDescent="0.3">
      <c r="A273" s="28" t="s">
        <v>42</v>
      </c>
      <c r="B273" s="6" t="s">
        <v>2309</v>
      </c>
      <c r="C273" s="6" t="s">
        <v>1979</v>
      </c>
      <c r="D273" s="6" t="s">
        <v>2292</v>
      </c>
      <c r="E273" s="6">
        <v>1</v>
      </c>
      <c r="F273" s="6" t="s">
        <v>2004</v>
      </c>
      <c r="G273" s="32" t="s">
        <v>2299</v>
      </c>
      <c r="H273" s="32" t="s">
        <v>2300</v>
      </c>
      <c r="I273" s="6" t="str">
        <f t="shared" si="11"/>
        <v>Thumb Grapple</v>
      </c>
      <c r="J273" s="6" t="s">
        <v>59</v>
      </c>
      <c r="K273" s="6">
        <v>1</v>
      </c>
      <c r="L273" s="6">
        <f t="shared" si="12"/>
        <v>1640000</v>
      </c>
      <c r="M273" s="6">
        <v>1400000</v>
      </c>
      <c r="N273" s="6" t="s">
        <v>2003</v>
      </c>
      <c r="O273" s="6" t="s">
        <v>823</v>
      </c>
      <c r="P273" s="6">
        <v>2014</v>
      </c>
      <c r="Q273" s="6">
        <v>1</v>
      </c>
      <c r="R273" s="6" t="s">
        <v>45</v>
      </c>
      <c r="S273" s="32" t="s">
        <v>2113</v>
      </c>
      <c r="T273" s="6">
        <v>1</v>
      </c>
      <c r="U273" s="26">
        <v>1300000</v>
      </c>
      <c r="V273" s="26">
        <v>1300000</v>
      </c>
      <c r="W273" s="26">
        <v>1300000</v>
      </c>
      <c r="X273" s="6" t="s">
        <v>2003</v>
      </c>
      <c r="Y273" s="6" t="s">
        <v>49</v>
      </c>
      <c r="Z273" s="6">
        <v>224307</v>
      </c>
    </row>
    <row r="274" spans="1:26" x14ac:dyDescent="0.3">
      <c r="A274" s="28" t="s">
        <v>42</v>
      </c>
      <c r="B274" s="6" t="s">
        <v>2313</v>
      </c>
      <c r="C274" s="6" t="s">
        <v>1980</v>
      </c>
      <c r="D274" s="6" t="s">
        <v>2292</v>
      </c>
      <c r="E274" s="6">
        <v>1</v>
      </c>
      <c r="F274" s="6" t="s">
        <v>2004</v>
      </c>
      <c r="G274" s="32" t="s">
        <v>2299</v>
      </c>
      <c r="H274" s="32" t="s">
        <v>2300</v>
      </c>
      <c r="I274" s="6" t="str">
        <f t="shared" si="11"/>
        <v>Small Bucket</v>
      </c>
      <c r="J274" s="6" t="s">
        <v>465</v>
      </c>
      <c r="K274" s="6">
        <v>1</v>
      </c>
      <c r="L274" s="6">
        <f t="shared" si="12"/>
        <v>1410000</v>
      </c>
      <c r="M274" s="6">
        <v>1200000</v>
      </c>
      <c r="N274" s="6" t="s">
        <v>2003</v>
      </c>
      <c r="O274" s="6" t="s">
        <v>847</v>
      </c>
      <c r="P274" s="6">
        <v>2012</v>
      </c>
      <c r="Q274" s="6">
        <v>1</v>
      </c>
      <c r="R274" s="6" t="s">
        <v>45</v>
      </c>
      <c r="S274" s="32" t="s">
        <v>2116</v>
      </c>
      <c r="T274" s="6">
        <v>1</v>
      </c>
      <c r="U274" s="26">
        <v>1100000</v>
      </c>
      <c r="V274" s="26">
        <v>1100000</v>
      </c>
      <c r="W274" s="26">
        <v>1100000</v>
      </c>
      <c r="X274" s="6" t="s">
        <v>2003</v>
      </c>
      <c r="Y274" s="6" t="s">
        <v>1146</v>
      </c>
      <c r="Z274" s="6">
        <v>224310</v>
      </c>
    </row>
    <row r="275" spans="1:26" x14ac:dyDescent="0.3">
      <c r="A275" s="28" t="s">
        <v>42</v>
      </c>
      <c r="B275" s="6" t="s">
        <v>2308</v>
      </c>
      <c r="C275" s="6" t="s">
        <v>1975</v>
      </c>
      <c r="D275" s="6" t="s">
        <v>2291</v>
      </c>
      <c r="E275" s="6">
        <v>1</v>
      </c>
      <c r="F275" s="6" t="s">
        <v>2004</v>
      </c>
      <c r="G275" s="32" t="s">
        <v>2299</v>
      </c>
      <c r="H275" s="32" t="s">
        <v>2300</v>
      </c>
      <c r="I275" s="6" t="str">
        <f t="shared" si="11"/>
        <v>Side Breaker</v>
      </c>
      <c r="J275" s="6" t="s">
        <v>266</v>
      </c>
      <c r="K275" s="6">
        <v>1</v>
      </c>
      <c r="L275" s="6">
        <f t="shared" si="12"/>
        <v>2350000</v>
      </c>
      <c r="M275" s="6">
        <v>2000000</v>
      </c>
      <c r="N275" s="6" t="s">
        <v>2003</v>
      </c>
      <c r="O275" s="6" t="s">
        <v>1852</v>
      </c>
      <c r="P275" s="6">
        <v>2017</v>
      </c>
      <c r="Q275" s="6">
        <v>1</v>
      </c>
      <c r="R275" s="6" t="s">
        <v>45</v>
      </c>
      <c r="S275" s="32" t="s">
        <v>2113</v>
      </c>
      <c r="T275" s="6">
        <v>1</v>
      </c>
      <c r="U275" s="26">
        <v>1900000</v>
      </c>
      <c r="V275" s="26">
        <v>1900000</v>
      </c>
      <c r="W275" s="26">
        <v>1900000</v>
      </c>
      <c r="X275" s="6" t="s">
        <v>2003</v>
      </c>
      <c r="Y275" s="6" t="s">
        <v>49</v>
      </c>
      <c r="Z275" s="6">
        <v>224311</v>
      </c>
    </row>
    <row r="276" spans="1:26" x14ac:dyDescent="0.3">
      <c r="A276" s="28" t="s">
        <v>42</v>
      </c>
      <c r="B276" s="6" t="s">
        <v>2309</v>
      </c>
      <c r="C276" s="6" t="s">
        <v>1972</v>
      </c>
      <c r="D276" s="6" t="s">
        <v>2292</v>
      </c>
      <c r="E276" s="6">
        <v>1</v>
      </c>
      <c r="F276" s="6" t="s">
        <v>2004</v>
      </c>
      <c r="G276" s="32" t="s">
        <v>2299</v>
      </c>
      <c r="H276" s="32" t="s">
        <v>2300</v>
      </c>
      <c r="I276" s="6" t="str">
        <f t="shared" si="11"/>
        <v>Stone Grapple</v>
      </c>
      <c r="J276" s="6" t="s">
        <v>197</v>
      </c>
      <c r="K276" s="6">
        <v>1</v>
      </c>
      <c r="L276" s="6">
        <f t="shared" si="12"/>
        <v>4580000</v>
      </c>
      <c r="M276" s="6">
        <v>3900000</v>
      </c>
      <c r="N276" s="6" t="s">
        <v>2003</v>
      </c>
      <c r="O276" s="6" t="s">
        <v>2046</v>
      </c>
      <c r="P276" s="6">
        <v>2017</v>
      </c>
      <c r="Q276" s="6">
        <v>1</v>
      </c>
      <c r="R276" s="6" t="s">
        <v>45</v>
      </c>
      <c r="S276" s="32" t="s">
        <v>2110</v>
      </c>
      <c r="T276" s="6">
        <v>1</v>
      </c>
      <c r="U276" s="26">
        <v>3700000</v>
      </c>
      <c r="V276" s="26">
        <v>3700000</v>
      </c>
      <c r="W276" s="26">
        <v>3700000</v>
      </c>
      <c r="X276" s="6" t="s">
        <v>2003</v>
      </c>
      <c r="Y276" s="6" t="s">
        <v>1155</v>
      </c>
      <c r="Z276" s="6">
        <v>224313</v>
      </c>
    </row>
    <row r="277" spans="1:26" x14ac:dyDescent="0.3">
      <c r="A277" s="28" t="s">
        <v>42</v>
      </c>
      <c r="B277" s="6" t="s">
        <v>2314</v>
      </c>
      <c r="C277" s="6" t="s">
        <v>1983</v>
      </c>
      <c r="D277" s="6" t="s">
        <v>2001</v>
      </c>
      <c r="E277" s="6">
        <v>1</v>
      </c>
      <c r="F277" s="6" t="s">
        <v>2004</v>
      </c>
      <c r="G277" s="32" t="s">
        <v>2299</v>
      </c>
      <c r="H277" s="32" t="s">
        <v>2300</v>
      </c>
      <c r="I277" s="6" t="str">
        <f t="shared" si="11"/>
        <v>Hydraulic Multi Processor</v>
      </c>
      <c r="J277" s="6" t="s">
        <v>452</v>
      </c>
      <c r="K277" s="6">
        <v>1</v>
      </c>
      <c r="L277" s="6">
        <f t="shared" si="12"/>
        <v>19410000</v>
      </c>
      <c r="M277" s="6">
        <v>16500000</v>
      </c>
      <c r="N277" s="6" t="s">
        <v>2003</v>
      </c>
      <c r="O277" s="6" t="s">
        <v>1853</v>
      </c>
      <c r="P277" s="6">
        <v>2015</v>
      </c>
      <c r="Q277" s="6">
        <v>1</v>
      </c>
      <c r="R277" s="6" t="s">
        <v>45</v>
      </c>
      <c r="S277" s="32" t="s">
        <v>2116</v>
      </c>
      <c r="T277" s="6">
        <v>1</v>
      </c>
      <c r="U277" s="26">
        <v>16000000</v>
      </c>
      <c r="V277" s="26">
        <v>16000000</v>
      </c>
      <c r="W277" s="26">
        <v>16000000</v>
      </c>
      <c r="X277" s="6" t="s">
        <v>2003</v>
      </c>
      <c r="Y277" s="6" t="s">
        <v>1199</v>
      </c>
      <c r="Z277" s="6">
        <v>224317</v>
      </c>
    </row>
    <row r="278" spans="1:26" x14ac:dyDescent="0.3">
      <c r="A278" s="28" t="s">
        <v>42</v>
      </c>
      <c r="B278" s="6" t="s">
        <v>2308</v>
      </c>
      <c r="C278" s="6" t="s">
        <v>1975</v>
      </c>
      <c r="D278" s="6" t="s">
        <v>2295</v>
      </c>
      <c r="E278" s="6">
        <v>1</v>
      </c>
      <c r="F278" s="6" t="s">
        <v>2004</v>
      </c>
      <c r="G278" s="32" t="s">
        <v>2299</v>
      </c>
      <c r="H278" s="32" t="s">
        <v>2300</v>
      </c>
      <c r="I278" s="6" t="str">
        <f t="shared" si="11"/>
        <v>Side Breaker</v>
      </c>
      <c r="J278" s="6" t="s">
        <v>379</v>
      </c>
      <c r="K278" s="6">
        <v>1</v>
      </c>
      <c r="L278" s="6">
        <f t="shared" si="12"/>
        <v>2230000</v>
      </c>
      <c r="M278" s="6">
        <v>1900000</v>
      </c>
      <c r="N278" s="6" t="s">
        <v>2003</v>
      </c>
      <c r="O278" s="6" t="s">
        <v>2007</v>
      </c>
      <c r="P278" s="6">
        <v>2017</v>
      </c>
      <c r="Q278" s="6">
        <v>1</v>
      </c>
      <c r="R278" s="6" t="s">
        <v>45</v>
      </c>
      <c r="S278" s="32" t="s">
        <v>2113</v>
      </c>
      <c r="T278" s="6">
        <v>1</v>
      </c>
      <c r="U278" s="26">
        <v>1800000</v>
      </c>
      <c r="V278" s="26">
        <v>1800000</v>
      </c>
      <c r="W278" s="26">
        <v>1800000</v>
      </c>
      <c r="X278" s="6" t="s">
        <v>2003</v>
      </c>
      <c r="Y278" s="6" t="s">
        <v>49</v>
      </c>
      <c r="Z278" s="6">
        <v>224320</v>
      </c>
    </row>
    <row r="279" spans="1:26" x14ac:dyDescent="0.3">
      <c r="A279" s="28" t="s">
        <v>42</v>
      </c>
      <c r="B279" s="6" t="s">
        <v>2313</v>
      </c>
      <c r="C279" s="6" t="s">
        <v>1976</v>
      </c>
      <c r="D279" s="6" t="s">
        <v>2292</v>
      </c>
      <c r="E279" s="6">
        <v>1</v>
      </c>
      <c r="F279" s="6" t="s">
        <v>2004</v>
      </c>
      <c r="G279" s="32" t="s">
        <v>2299</v>
      </c>
      <c r="H279" s="32" t="s">
        <v>2300</v>
      </c>
      <c r="I279" s="6" t="str">
        <f t="shared" si="11"/>
        <v>Skeleton Bucket</v>
      </c>
      <c r="J279" s="6" t="s">
        <v>334</v>
      </c>
      <c r="K279" s="6">
        <v>1</v>
      </c>
      <c r="L279" s="6">
        <f t="shared" si="12"/>
        <v>1290000</v>
      </c>
      <c r="M279" s="6">
        <v>1100000</v>
      </c>
      <c r="N279" s="6" t="s">
        <v>2003</v>
      </c>
      <c r="O279" s="6" t="s">
        <v>823</v>
      </c>
      <c r="P279" s="6">
        <v>2014</v>
      </c>
      <c r="Q279" s="6">
        <v>1</v>
      </c>
      <c r="R279" s="6" t="s">
        <v>45</v>
      </c>
      <c r="S279" s="32" t="s">
        <v>2113</v>
      </c>
      <c r="T279" s="6">
        <v>1</v>
      </c>
      <c r="U279" s="26">
        <v>1000000</v>
      </c>
      <c r="V279" s="26">
        <v>1000000</v>
      </c>
      <c r="W279" s="26">
        <v>1000000</v>
      </c>
      <c r="X279" s="6" t="s">
        <v>2003</v>
      </c>
      <c r="Y279" s="6" t="s">
        <v>49</v>
      </c>
      <c r="Z279" s="6">
        <v>224322</v>
      </c>
    </row>
    <row r="280" spans="1:26" x14ac:dyDescent="0.3">
      <c r="A280" s="28" t="s">
        <v>42</v>
      </c>
      <c r="B280" s="6" t="s">
        <v>2313</v>
      </c>
      <c r="C280" s="19" t="s">
        <v>1982</v>
      </c>
      <c r="D280" s="6" t="s">
        <v>2289</v>
      </c>
      <c r="E280" s="6">
        <v>1</v>
      </c>
      <c r="F280" s="6" t="s">
        <v>2004</v>
      </c>
      <c r="G280" s="32" t="s">
        <v>2299</v>
      </c>
      <c r="H280" s="32" t="s">
        <v>2300</v>
      </c>
      <c r="I280" s="6" t="str">
        <f t="shared" si="11"/>
        <v>Standard Bucket</v>
      </c>
      <c r="J280" s="6" t="s">
        <v>366</v>
      </c>
      <c r="K280" s="6">
        <v>1</v>
      </c>
      <c r="L280" s="6">
        <f t="shared" si="12"/>
        <v>4940000</v>
      </c>
      <c r="M280" s="6">
        <v>4200000</v>
      </c>
      <c r="N280" s="6" t="s">
        <v>2003</v>
      </c>
      <c r="O280" s="6" t="s">
        <v>928</v>
      </c>
      <c r="P280" s="6">
        <v>2016</v>
      </c>
      <c r="Q280" s="6">
        <v>1</v>
      </c>
      <c r="R280" s="6" t="s">
        <v>45</v>
      </c>
      <c r="S280" s="32" t="s">
        <v>2120</v>
      </c>
      <c r="T280" s="6">
        <v>1</v>
      </c>
      <c r="U280" s="26">
        <v>4000000</v>
      </c>
      <c r="V280" s="26">
        <v>4000000</v>
      </c>
      <c r="W280" s="26">
        <v>4000000</v>
      </c>
      <c r="X280" s="6" t="s">
        <v>2003</v>
      </c>
      <c r="Y280" s="6" t="s">
        <v>74</v>
      </c>
      <c r="Z280" s="6">
        <v>224326</v>
      </c>
    </row>
    <row r="281" spans="1:26" x14ac:dyDescent="0.3">
      <c r="A281" s="28" t="s">
        <v>42</v>
      </c>
      <c r="B281" s="6" t="s">
        <v>2308</v>
      </c>
      <c r="C281" s="6" t="s">
        <v>1975</v>
      </c>
      <c r="D281" s="6" t="s">
        <v>2293</v>
      </c>
      <c r="E281" s="6">
        <v>1</v>
      </c>
      <c r="F281" s="6" t="s">
        <v>2004</v>
      </c>
      <c r="G281" s="32" t="s">
        <v>2299</v>
      </c>
      <c r="H281" s="32" t="s">
        <v>2300</v>
      </c>
      <c r="I281" s="6" t="str">
        <f t="shared" si="11"/>
        <v>Side Breaker</v>
      </c>
      <c r="J281" s="6" t="s">
        <v>520</v>
      </c>
      <c r="K281" s="6">
        <v>1</v>
      </c>
      <c r="L281" s="6">
        <f t="shared" si="12"/>
        <v>1520000</v>
      </c>
      <c r="M281" s="6">
        <v>1300000</v>
      </c>
      <c r="N281" s="6" t="s">
        <v>2003</v>
      </c>
      <c r="O281" s="6" t="s">
        <v>929</v>
      </c>
      <c r="P281" s="6">
        <v>2015</v>
      </c>
      <c r="Q281" s="6">
        <v>1</v>
      </c>
      <c r="R281" s="6" t="s">
        <v>45</v>
      </c>
      <c r="S281" s="32" t="s">
        <v>2112</v>
      </c>
      <c r="T281" s="6">
        <v>1</v>
      </c>
      <c r="U281" s="26">
        <v>1200000</v>
      </c>
      <c r="V281" s="26">
        <v>1200000</v>
      </c>
      <c r="W281" s="26">
        <v>1200000</v>
      </c>
      <c r="X281" s="6" t="s">
        <v>2003</v>
      </c>
      <c r="Y281" s="6" t="s">
        <v>1142</v>
      </c>
      <c r="Z281" s="6">
        <v>224327</v>
      </c>
    </row>
    <row r="282" spans="1:26" x14ac:dyDescent="0.3">
      <c r="A282" s="28" t="s">
        <v>42</v>
      </c>
      <c r="B282" s="6" t="s">
        <v>2313</v>
      </c>
      <c r="C282" s="6" t="s">
        <v>1976</v>
      </c>
      <c r="D282" s="6" t="s">
        <v>2001</v>
      </c>
      <c r="E282" s="6">
        <v>1</v>
      </c>
      <c r="F282" s="6" t="s">
        <v>2004</v>
      </c>
      <c r="G282" s="32" t="s">
        <v>2299</v>
      </c>
      <c r="H282" s="32" t="s">
        <v>2300</v>
      </c>
      <c r="I282" s="6" t="str">
        <f t="shared" si="11"/>
        <v>Skeleton Bucket</v>
      </c>
      <c r="J282" s="6" t="s">
        <v>124</v>
      </c>
      <c r="K282" s="6">
        <v>1</v>
      </c>
      <c r="L282" s="6">
        <f t="shared" si="12"/>
        <v>2820000</v>
      </c>
      <c r="M282" s="6">
        <v>2400000</v>
      </c>
      <c r="N282" s="6" t="s">
        <v>2003</v>
      </c>
      <c r="O282" s="6" t="s">
        <v>930</v>
      </c>
      <c r="P282" s="6">
        <v>2015</v>
      </c>
      <c r="Q282" s="6">
        <v>1</v>
      </c>
      <c r="R282" s="6" t="s">
        <v>45</v>
      </c>
      <c r="S282" s="32" t="s">
        <v>2116</v>
      </c>
      <c r="T282" s="6">
        <v>1</v>
      </c>
      <c r="U282" s="26">
        <v>2200000</v>
      </c>
      <c r="V282" s="26">
        <v>2200000</v>
      </c>
      <c r="W282" s="26">
        <v>2200000</v>
      </c>
      <c r="X282" s="6" t="s">
        <v>2003</v>
      </c>
      <c r="Y282" s="6" t="s">
        <v>1216</v>
      </c>
      <c r="Z282" s="6">
        <v>224344</v>
      </c>
    </row>
    <row r="283" spans="1:26" x14ac:dyDescent="0.3">
      <c r="A283" s="28" t="s">
        <v>42</v>
      </c>
      <c r="B283" s="6" t="s">
        <v>2309</v>
      </c>
      <c r="C283" s="6" t="s">
        <v>1972</v>
      </c>
      <c r="D283" s="6" t="s">
        <v>2292</v>
      </c>
      <c r="E283" s="6">
        <v>1</v>
      </c>
      <c r="F283" s="6" t="s">
        <v>2004</v>
      </c>
      <c r="G283" s="32" t="s">
        <v>2299</v>
      </c>
      <c r="H283" s="32" t="s">
        <v>2300</v>
      </c>
      <c r="I283" s="6" t="str">
        <f t="shared" si="11"/>
        <v>Stone Grapple</v>
      </c>
      <c r="J283" s="6" t="s">
        <v>341</v>
      </c>
      <c r="K283" s="6">
        <v>1</v>
      </c>
      <c r="L283" s="6">
        <f t="shared" si="12"/>
        <v>2230000</v>
      </c>
      <c r="M283" s="6">
        <v>1900000</v>
      </c>
      <c r="N283" s="6" t="s">
        <v>2003</v>
      </c>
      <c r="O283" s="6" t="s">
        <v>823</v>
      </c>
      <c r="P283" s="6">
        <v>2014</v>
      </c>
      <c r="Q283" s="6">
        <v>1</v>
      </c>
      <c r="R283" s="6" t="s">
        <v>45</v>
      </c>
      <c r="S283" s="32" t="s">
        <v>2113</v>
      </c>
      <c r="T283" s="6">
        <v>1</v>
      </c>
      <c r="U283" s="26">
        <v>1800000</v>
      </c>
      <c r="V283" s="26">
        <v>1800000</v>
      </c>
      <c r="W283" s="26">
        <v>1800000</v>
      </c>
      <c r="X283" s="6" t="s">
        <v>2003</v>
      </c>
      <c r="Y283" s="6" t="s">
        <v>49</v>
      </c>
      <c r="Z283" s="6">
        <v>224345</v>
      </c>
    </row>
    <row r="284" spans="1:26" x14ac:dyDescent="0.3">
      <c r="A284" s="28" t="s">
        <v>42</v>
      </c>
      <c r="B284" s="6" t="s">
        <v>2308</v>
      </c>
      <c r="C284" s="6" t="s">
        <v>1975</v>
      </c>
      <c r="D284" s="6" t="s">
        <v>2292</v>
      </c>
      <c r="E284" s="6">
        <v>1</v>
      </c>
      <c r="F284" s="6" t="s">
        <v>2004</v>
      </c>
      <c r="G284" s="32" t="s">
        <v>2299</v>
      </c>
      <c r="H284" s="32" t="s">
        <v>2300</v>
      </c>
      <c r="I284" s="6" t="str">
        <f t="shared" si="11"/>
        <v>Side Breaker</v>
      </c>
      <c r="J284" s="6" t="s">
        <v>119</v>
      </c>
      <c r="K284" s="6">
        <v>1</v>
      </c>
      <c r="L284" s="6">
        <f t="shared" si="12"/>
        <v>5520000</v>
      </c>
      <c r="M284" s="6">
        <v>4700000</v>
      </c>
      <c r="N284" s="6" t="s">
        <v>2003</v>
      </c>
      <c r="O284" s="6" t="s">
        <v>798</v>
      </c>
      <c r="P284" s="6">
        <v>2015</v>
      </c>
      <c r="Q284" s="6">
        <v>1</v>
      </c>
      <c r="R284" s="6" t="s">
        <v>45</v>
      </c>
      <c r="S284" s="32" t="s">
        <v>2113</v>
      </c>
      <c r="T284" s="6">
        <v>1</v>
      </c>
      <c r="U284" s="26">
        <v>4500000</v>
      </c>
      <c r="V284" s="26">
        <v>4500000</v>
      </c>
      <c r="W284" s="26">
        <v>4500000</v>
      </c>
      <c r="X284" s="6" t="s">
        <v>2003</v>
      </c>
      <c r="Y284" s="6" t="s">
        <v>71</v>
      </c>
      <c r="Z284" s="6">
        <v>224353</v>
      </c>
    </row>
    <row r="285" spans="1:26" x14ac:dyDescent="0.3">
      <c r="A285" s="28" t="s">
        <v>42</v>
      </c>
      <c r="B285" s="6" t="s">
        <v>2313</v>
      </c>
      <c r="C285" s="19" t="s">
        <v>1982</v>
      </c>
      <c r="D285" s="6" t="s">
        <v>2289</v>
      </c>
      <c r="E285" s="6">
        <v>1</v>
      </c>
      <c r="F285" s="6" t="s">
        <v>2004</v>
      </c>
      <c r="G285" s="32" t="s">
        <v>2299</v>
      </c>
      <c r="H285" s="32" t="s">
        <v>2300</v>
      </c>
      <c r="I285" s="6" t="str">
        <f t="shared" si="11"/>
        <v>Standard Bucket</v>
      </c>
      <c r="J285" s="6" t="s">
        <v>187</v>
      </c>
      <c r="K285" s="6">
        <v>1</v>
      </c>
      <c r="L285" s="6">
        <f t="shared" si="12"/>
        <v>4350000</v>
      </c>
      <c r="M285" s="6">
        <v>3700000</v>
      </c>
      <c r="N285" s="6" t="s">
        <v>2003</v>
      </c>
      <c r="O285" s="6" t="s">
        <v>1854</v>
      </c>
      <c r="P285" s="6">
        <v>2016</v>
      </c>
      <c r="Q285" s="6">
        <v>1</v>
      </c>
      <c r="R285" s="6" t="s">
        <v>45</v>
      </c>
      <c r="S285" s="32" t="s">
        <v>2120</v>
      </c>
      <c r="T285" s="6">
        <v>1</v>
      </c>
      <c r="U285" s="26">
        <v>3500000</v>
      </c>
      <c r="V285" s="26">
        <v>3500000</v>
      </c>
      <c r="W285" s="26">
        <v>3500000</v>
      </c>
      <c r="X285" s="6" t="s">
        <v>2003</v>
      </c>
      <c r="Y285" s="6" t="s">
        <v>74</v>
      </c>
      <c r="Z285" s="6">
        <v>224365</v>
      </c>
    </row>
    <row r="286" spans="1:26" x14ac:dyDescent="0.3">
      <c r="A286" s="28" t="s">
        <v>42</v>
      </c>
      <c r="B286" s="6" t="s">
        <v>2313</v>
      </c>
      <c r="C286" s="6" t="s">
        <v>1976</v>
      </c>
      <c r="D286" s="6" t="s">
        <v>2292</v>
      </c>
      <c r="E286" s="6">
        <v>1</v>
      </c>
      <c r="F286" s="6" t="s">
        <v>2004</v>
      </c>
      <c r="G286" s="32" t="s">
        <v>2299</v>
      </c>
      <c r="H286" s="32" t="s">
        <v>2300</v>
      </c>
      <c r="I286" s="6" t="str">
        <f t="shared" si="11"/>
        <v>Skeleton Bucket</v>
      </c>
      <c r="J286" s="6" t="s">
        <v>110</v>
      </c>
      <c r="K286" s="6">
        <v>1</v>
      </c>
      <c r="L286" s="6">
        <f t="shared" si="12"/>
        <v>1290000</v>
      </c>
      <c r="M286" s="6">
        <v>1100000</v>
      </c>
      <c r="N286" s="6" t="s">
        <v>2003</v>
      </c>
      <c r="O286" s="6" t="s">
        <v>2012</v>
      </c>
      <c r="P286" s="6">
        <v>2014</v>
      </c>
      <c r="Q286" s="6">
        <v>1</v>
      </c>
      <c r="R286" s="6" t="s">
        <v>45</v>
      </c>
      <c r="S286" s="32" t="s">
        <v>2113</v>
      </c>
      <c r="T286" s="6">
        <v>1</v>
      </c>
      <c r="U286" s="26">
        <v>1000000</v>
      </c>
      <c r="V286" s="26">
        <v>1000000</v>
      </c>
      <c r="W286" s="26">
        <v>1000000</v>
      </c>
      <c r="X286" s="6" t="s">
        <v>2003</v>
      </c>
      <c r="Y286" s="6" t="s">
        <v>49</v>
      </c>
      <c r="Z286" s="6">
        <v>224366</v>
      </c>
    </row>
    <row r="287" spans="1:26" x14ac:dyDescent="0.3">
      <c r="A287" s="28" t="s">
        <v>42</v>
      </c>
      <c r="B287" s="6" t="s">
        <v>2308</v>
      </c>
      <c r="C287" s="6" t="s">
        <v>1975</v>
      </c>
      <c r="D287" s="6" t="s">
        <v>2291</v>
      </c>
      <c r="E287" s="6">
        <v>1</v>
      </c>
      <c r="F287" s="6" t="s">
        <v>2004</v>
      </c>
      <c r="G287" s="32" t="s">
        <v>2299</v>
      </c>
      <c r="H287" s="32" t="s">
        <v>2300</v>
      </c>
      <c r="I287" s="6" t="str">
        <f t="shared" si="11"/>
        <v>Side Breaker</v>
      </c>
      <c r="J287" s="6" t="s">
        <v>522</v>
      </c>
      <c r="K287" s="6">
        <v>1</v>
      </c>
      <c r="L287" s="6">
        <f t="shared" si="12"/>
        <v>1880000</v>
      </c>
      <c r="M287" s="6">
        <v>1600000</v>
      </c>
      <c r="N287" s="6" t="s">
        <v>2003</v>
      </c>
      <c r="O287" s="6" t="s">
        <v>794</v>
      </c>
      <c r="P287" s="6">
        <v>2015</v>
      </c>
      <c r="Q287" s="6">
        <v>1</v>
      </c>
      <c r="R287" s="6" t="s">
        <v>45</v>
      </c>
      <c r="S287" s="32" t="s">
        <v>2122</v>
      </c>
      <c r="T287" s="6">
        <v>1</v>
      </c>
      <c r="U287" s="26">
        <v>1500000</v>
      </c>
      <c r="V287" s="26">
        <v>1500000</v>
      </c>
      <c r="W287" s="26">
        <v>1500000</v>
      </c>
      <c r="X287" s="6" t="s">
        <v>2003</v>
      </c>
      <c r="Y287" s="6" t="s">
        <v>1154</v>
      </c>
      <c r="Z287" s="6">
        <v>224369</v>
      </c>
    </row>
    <row r="288" spans="1:26" x14ac:dyDescent="0.3">
      <c r="A288" s="28" t="s">
        <v>42</v>
      </c>
      <c r="B288" s="6" t="s">
        <v>2313</v>
      </c>
      <c r="C288" s="6" t="s">
        <v>1976</v>
      </c>
      <c r="D288" s="6" t="s">
        <v>2289</v>
      </c>
      <c r="E288" s="6">
        <v>1</v>
      </c>
      <c r="F288" s="6" t="s">
        <v>2004</v>
      </c>
      <c r="G288" s="32" t="s">
        <v>2299</v>
      </c>
      <c r="H288" s="32" t="s">
        <v>2300</v>
      </c>
      <c r="I288" s="6" t="str">
        <f t="shared" si="11"/>
        <v>Skeleton Bucket</v>
      </c>
      <c r="J288" s="6" t="s">
        <v>188</v>
      </c>
      <c r="K288" s="6">
        <v>1</v>
      </c>
      <c r="L288" s="6">
        <f t="shared" si="12"/>
        <v>4110000</v>
      </c>
      <c r="M288" s="6">
        <v>3500000</v>
      </c>
      <c r="N288" s="6" t="s">
        <v>2003</v>
      </c>
      <c r="O288" s="6" t="s">
        <v>1855</v>
      </c>
      <c r="P288" s="6">
        <v>2016</v>
      </c>
      <c r="Q288" s="6">
        <v>1</v>
      </c>
      <c r="R288" s="6" t="s">
        <v>45</v>
      </c>
      <c r="S288" s="32" t="s">
        <v>2120</v>
      </c>
      <c r="T288" s="6">
        <v>1</v>
      </c>
      <c r="U288" s="26">
        <v>3300000</v>
      </c>
      <c r="V288" s="26">
        <v>3300000</v>
      </c>
      <c r="W288" s="26">
        <v>3300000</v>
      </c>
      <c r="X288" s="6" t="s">
        <v>2003</v>
      </c>
      <c r="Y288" s="6" t="s">
        <v>74</v>
      </c>
      <c r="Z288" s="6">
        <v>224370</v>
      </c>
    </row>
    <row r="289" spans="1:26" x14ac:dyDescent="0.3">
      <c r="A289" s="28" t="s">
        <v>42</v>
      </c>
      <c r="B289" s="6" t="s">
        <v>2308</v>
      </c>
      <c r="C289" s="6" t="s">
        <v>1975</v>
      </c>
      <c r="D289" s="6" t="s">
        <v>2290</v>
      </c>
      <c r="E289" s="6">
        <v>1</v>
      </c>
      <c r="F289" s="6" t="s">
        <v>2004</v>
      </c>
      <c r="G289" s="32" t="s">
        <v>2299</v>
      </c>
      <c r="H289" s="32" t="s">
        <v>2300</v>
      </c>
      <c r="I289" s="6" t="str">
        <f t="shared" si="11"/>
        <v>Side Breaker</v>
      </c>
      <c r="J289" s="6" t="s">
        <v>523</v>
      </c>
      <c r="K289" s="6">
        <v>1</v>
      </c>
      <c r="L289" s="6">
        <f t="shared" si="12"/>
        <v>10000000</v>
      </c>
      <c r="M289" s="6">
        <v>8500000</v>
      </c>
      <c r="N289" s="6" t="s">
        <v>2003</v>
      </c>
      <c r="O289" s="6" t="s">
        <v>931</v>
      </c>
      <c r="P289" s="6">
        <v>2013</v>
      </c>
      <c r="Q289" s="6">
        <v>1</v>
      </c>
      <c r="R289" s="6" t="s">
        <v>45</v>
      </c>
      <c r="S289" s="32" t="s">
        <v>2114</v>
      </c>
      <c r="T289" s="6">
        <v>1</v>
      </c>
      <c r="U289" s="26">
        <v>8000000</v>
      </c>
      <c r="V289" s="26">
        <v>8000000</v>
      </c>
      <c r="W289" s="26">
        <v>8000000</v>
      </c>
      <c r="X289" s="6" t="s">
        <v>2003</v>
      </c>
      <c r="Y289" s="6" t="s">
        <v>1230</v>
      </c>
      <c r="Z289" s="6">
        <v>224373</v>
      </c>
    </row>
    <row r="290" spans="1:26" x14ac:dyDescent="0.3">
      <c r="A290" s="28" t="s">
        <v>42</v>
      </c>
      <c r="B290" s="6" t="s">
        <v>2315</v>
      </c>
      <c r="C290" s="6" t="s">
        <v>2209</v>
      </c>
      <c r="D290" s="6" t="s">
        <v>2289</v>
      </c>
      <c r="E290" s="6">
        <v>1</v>
      </c>
      <c r="F290" s="6" t="s">
        <v>2004</v>
      </c>
      <c r="G290" s="32" t="s">
        <v>2299</v>
      </c>
      <c r="H290" s="32" t="s">
        <v>2300</v>
      </c>
      <c r="I290" s="6" t="str">
        <f t="shared" si="11"/>
        <v>Etc Bucket</v>
      </c>
      <c r="J290" s="6" t="s">
        <v>287</v>
      </c>
      <c r="K290" s="6">
        <v>1</v>
      </c>
      <c r="L290" s="6">
        <f t="shared" si="12"/>
        <v>3170000</v>
      </c>
      <c r="M290" s="6">
        <v>2700000</v>
      </c>
      <c r="N290" s="6" t="s">
        <v>2003</v>
      </c>
      <c r="O290" s="6" t="s">
        <v>826</v>
      </c>
      <c r="P290" s="6">
        <v>2007</v>
      </c>
      <c r="Q290" s="6">
        <v>1</v>
      </c>
      <c r="R290" s="6" t="s">
        <v>45</v>
      </c>
      <c r="S290" s="32" t="s">
        <v>2117</v>
      </c>
      <c r="T290" s="6">
        <v>1</v>
      </c>
      <c r="U290" s="26">
        <v>2500000</v>
      </c>
      <c r="V290" s="26">
        <v>2500000</v>
      </c>
      <c r="W290" s="26">
        <v>2500000</v>
      </c>
      <c r="X290" s="6" t="s">
        <v>2003</v>
      </c>
      <c r="Y290" s="6" t="s">
        <v>1269</v>
      </c>
      <c r="Z290" s="6">
        <v>224378</v>
      </c>
    </row>
    <row r="291" spans="1:26" x14ac:dyDescent="0.3">
      <c r="A291" s="28" t="s">
        <v>42</v>
      </c>
      <c r="B291" s="6" t="s">
        <v>2308</v>
      </c>
      <c r="C291" s="6" t="s">
        <v>1975</v>
      </c>
      <c r="D291" s="6" t="s">
        <v>2292</v>
      </c>
      <c r="E291" s="6">
        <v>1</v>
      </c>
      <c r="F291" s="6" t="s">
        <v>2004</v>
      </c>
      <c r="G291" s="32" t="s">
        <v>2299</v>
      </c>
      <c r="H291" s="32" t="s">
        <v>2300</v>
      </c>
      <c r="I291" s="6" t="str">
        <f t="shared" si="11"/>
        <v>Side Breaker</v>
      </c>
      <c r="J291" s="6" t="s">
        <v>524</v>
      </c>
      <c r="K291" s="6">
        <v>1</v>
      </c>
      <c r="L291" s="6">
        <f t="shared" si="12"/>
        <v>2580000</v>
      </c>
      <c r="M291" s="6">
        <v>2200000</v>
      </c>
      <c r="N291" s="6" t="s">
        <v>2003</v>
      </c>
      <c r="O291" s="6" t="s">
        <v>54</v>
      </c>
      <c r="P291" s="6">
        <v>2009</v>
      </c>
      <c r="Q291" s="6">
        <v>1</v>
      </c>
      <c r="R291" s="6" t="s">
        <v>45</v>
      </c>
      <c r="S291" s="32" t="s">
        <v>2114</v>
      </c>
      <c r="T291" s="6">
        <v>1</v>
      </c>
      <c r="U291" s="26">
        <v>2000000</v>
      </c>
      <c r="V291" s="26">
        <v>2000000</v>
      </c>
      <c r="W291" s="26">
        <v>2000000</v>
      </c>
      <c r="X291" s="6" t="s">
        <v>2003</v>
      </c>
      <c r="Y291" s="6" t="s">
        <v>54</v>
      </c>
      <c r="Z291" s="6">
        <v>224379</v>
      </c>
    </row>
    <row r="292" spans="1:26" x14ac:dyDescent="0.3">
      <c r="A292" s="28" t="s">
        <v>42</v>
      </c>
      <c r="B292" s="6" t="s">
        <v>2313</v>
      </c>
      <c r="C292" s="6" t="s">
        <v>1971</v>
      </c>
      <c r="D292" s="6" t="s">
        <v>2289</v>
      </c>
      <c r="E292" s="6">
        <v>1</v>
      </c>
      <c r="F292" s="6" t="s">
        <v>2004</v>
      </c>
      <c r="G292" s="32" t="s">
        <v>2299</v>
      </c>
      <c r="H292" s="32" t="s">
        <v>2300</v>
      </c>
      <c r="I292" s="6" t="str">
        <f t="shared" si="11"/>
        <v>Special Bucket</v>
      </c>
      <c r="J292" s="6" t="s">
        <v>359</v>
      </c>
      <c r="K292" s="6">
        <v>1</v>
      </c>
      <c r="L292" s="6">
        <f t="shared" si="12"/>
        <v>4110000</v>
      </c>
      <c r="M292" s="6">
        <v>3500000</v>
      </c>
      <c r="N292" s="6" t="s">
        <v>2003</v>
      </c>
      <c r="O292" s="6" t="s">
        <v>1856</v>
      </c>
      <c r="P292" s="6">
        <v>2015</v>
      </c>
      <c r="Q292" s="6">
        <v>1</v>
      </c>
      <c r="R292" s="6" t="s">
        <v>45</v>
      </c>
      <c r="S292" s="32" t="s">
        <v>2122</v>
      </c>
      <c r="T292" s="6">
        <v>1</v>
      </c>
      <c r="U292" s="26">
        <v>3300000</v>
      </c>
      <c r="V292" s="26">
        <v>3300000</v>
      </c>
      <c r="W292" s="26">
        <v>3300000</v>
      </c>
      <c r="X292" s="6" t="s">
        <v>2003</v>
      </c>
      <c r="Y292" s="6" t="s">
        <v>1231</v>
      </c>
      <c r="Z292" s="6">
        <v>224393</v>
      </c>
    </row>
    <row r="293" spans="1:26" x14ac:dyDescent="0.3">
      <c r="A293" s="28" t="s">
        <v>42</v>
      </c>
      <c r="B293" s="6" t="s">
        <v>2308</v>
      </c>
      <c r="C293" s="6" t="s">
        <v>1975</v>
      </c>
      <c r="D293" s="6" t="s">
        <v>2292</v>
      </c>
      <c r="E293" s="6">
        <v>1</v>
      </c>
      <c r="F293" s="6" t="s">
        <v>2004</v>
      </c>
      <c r="G293" s="32" t="s">
        <v>2299</v>
      </c>
      <c r="H293" s="32" t="s">
        <v>2300</v>
      </c>
      <c r="I293" s="6" t="str">
        <f t="shared" si="11"/>
        <v>Side Breaker</v>
      </c>
      <c r="J293" s="6" t="s">
        <v>159</v>
      </c>
      <c r="K293" s="6">
        <v>1</v>
      </c>
      <c r="L293" s="6">
        <f t="shared" si="12"/>
        <v>4350000</v>
      </c>
      <c r="M293" s="6">
        <v>3700000</v>
      </c>
      <c r="N293" s="6" t="s">
        <v>2003</v>
      </c>
      <c r="O293" s="6" t="s">
        <v>51</v>
      </c>
      <c r="P293" s="6">
        <v>2014</v>
      </c>
      <c r="Q293" s="6">
        <v>1</v>
      </c>
      <c r="R293" s="6" t="s">
        <v>45</v>
      </c>
      <c r="S293" s="32" t="s">
        <v>2113</v>
      </c>
      <c r="T293" s="6">
        <v>1</v>
      </c>
      <c r="U293" s="26">
        <v>3500000</v>
      </c>
      <c r="V293" s="26">
        <v>3500000</v>
      </c>
      <c r="W293" s="26">
        <v>3500000</v>
      </c>
      <c r="X293" s="6" t="s">
        <v>2003</v>
      </c>
      <c r="Y293" s="6" t="s">
        <v>49</v>
      </c>
      <c r="Z293" s="6">
        <v>224399</v>
      </c>
    </row>
    <row r="294" spans="1:26" x14ac:dyDescent="0.3">
      <c r="A294" s="28" t="s">
        <v>42</v>
      </c>
      <c r="B294" s="6" t="s">
        <v>2309</v>
      </c>
      <c r="C294" s="6" t="s">
        <v>1972</v>
      </c>
      <c r="D294" s="6" t="s">
        <v>2290</v>
      </c>
      <c r="E294" s="6">
        <v>1</v>
      </c>
      <c r="F294" s="6" t="s">
        <v>2004</v>
      </c>
      <c r="G294" s="32" t="s">
        <v>2299</v>
      </c>
      <c r="H294" s="32" t="s">
        <v>2300</v>
      </c>
      <c r="I294" s="6" t="str">
        <f t="shared" si="11"/>
        <v>Stone Grapple</v>
      </c>
      <c r="J294" s="6" t="s">
        <v>94</v>
      </c>
      <c r="K294" s="6">
        <v>1</v>
      </c>
      <c r="L294" s="6">
        <f t="shared" si="12"/>
        <v>3170000</v>
      </c>
      <c r="M294" s="6">
        <v>2700000</v>
      </c>
      <c r="N294" s="6" t="s">
        <v>2003</v>
      </c>
      <c r="O294" s="6" t="s">
        <v>2011</v>
      </c>
      <c r="P294" s="6">
        <v>2010</v>
      </c>
      <c r="Q294" s="6">
        <v>6</v>
      </c>
      <c r="R294" s="6" t="s">
        <v>45</v>
      </c>
      <c r="S294" s="32" t="s">
        <v>2123</v>
      </c>
      <c r="T294" s="6">
        <v>1</v>
      </c>
      <c r="U294" s="26">
        <v>2500000</v>
      </c>
      <c r="V294" s="26">
        <v>2500000</v>
      </c>
      <c r="W294" s="26">
        <v>2500000</v>
      </c>
      <c r="X294" s="6" t="s">
        <v>2003</v>
      </c>
      <c r="Y294" s="6" t="s">
        <v>1200</v>
      </c>
      <c r="Z294" s="6">
        <v>224400</v>
      </c>
    </row>
    <row r="295" spans="1:26" x14ac:dyDescent="0.3">
      <c r="A295" s="28" t="s">
        <v>42</v>
      </c>
      <c r="B295" s="6" t="s">
        <v>2309</v>
      </c>
      <c r="C295" s="6" t="s">
        <v>1972</v>
      </c>
      <c r="D295" s="6" t="s">
        <v>2292</v>
      </c>
      <c r="E295" s="6">
        <v>1</v>
      </c>
      <c r="F295" s="6" t="s">
        <v>2004</v>
      </c>
      <c r="G295" s="32" t="s">
        <v>2299</v>
      </c>
      <c r="H295" s="32" t="s">
        <v>2300</v>
      </c>
      <c r="I295" s="6" t="str">
        <f t="shared" si="11"/>
        <v>Stone Grapple</v>
      </c>
      <c r="J295" s="6" t="s">
        <v>44</v>
      </c>
      <c r="K295" s="6">
        <v>1</v>
      </c>
      <c r="L295" s="6">
        <f t="shared" si="12"/>
        <v>2580000</v>
      </c>
      <c r="M295" s="6">
        <v>2200000</v>
      </c>
      <c r="N295" s="6" t="s">
        <v>2003</v>
      </c>
      <c r="O295" s="6" t="s">
        <v>819</v>
      </c>
      <c r="P295" s="6">
        <v>2015</v>
      </c>
      <c r="Q295" s="6">
        <v>1</v>
      </c>
      <c r="R295" s="6" t="s">
        <v>45</v>
      </c>
      <c r="S295" s="32" t="s">
        <v>2114</v>
      </c>
      <c r="T295" s="6">
        <v>1</v>
      </c>
      <c r="U295" s="26">
        <v>2000000</v>
      </c>
      <c r="V295" s="26">
        <v>2000000</v>
      </c>
      <c r="W295" s="26">
        <v>2000000</v>
      </c>
      <c r="X295" s="6" t="s">
        <v>2003</v>
      </c>
      <c r="Y295" s="6" t="s">
        <v>1141</v>
      </c>
      <c r="Z295" s="6">
        <v>224405</v>
      </c>
    </row>
    <row r="296" spans="1:26" x14ac:dyDescent="0.3">
      <c r="A296" s="28" t="s">
        <v>42</v>
      </c>
      <c r="B296" s="6" t="s">
        <v>2308</v>
      </c>
      <c r="C296" s="6" t="s">
        <v>1975</v>
      </c>
      <c r="D296" s="6" t="s">
        <v>2001</v>
      </c>
      <c r="E296" s="6">
        <v>1</v>
      </c>
      <c r="F296" s="6" t="s">
        <v>2004</v>
      </c>
      <c r="G296" s="32" t="s">
        <v>2299</v>
      </c>
      <c r="H296" s="32" t="s">
        <v>2300</v>
      </c>
      <c r="I296" s="6" t="str">
        <f t="shared" si="11"/>
        <v>Side Breaker</v>
      </c>
      <c r="J296" s="6" t="s">
        <v>397</v>
      </c>
      <c r="K296" s="6">
        <v>1</v>
      </c>
      <c r="L296" s="6">
        <f t="shared" si="12"/>
        <v>13520000</v>
      </c>
      <c r="M296" s="6">
        <v>11500000</v>
      </c>
      <c r="N296" s="6" t="s">
        <v>2003</v>
      </c>
      <c r="O296" s="6" t="s">
        <v>814</v>
      </c>
      <c r="P296" s="6">
        <v>2015</v>
      </c>
      <c r="Q296" s="6">
        <v>7</v>
      </c>
      <c r="R296" s="6" t="s">
        <v>45</v>
      </c>
      <c r="S296" s="32" t="s">
        <v>2119</v>
      </c>
      <c r="T296" s="6">
        <v>1</v>
      </c>
      <c r="U296" s="26">
        <v>11000000</v>
      </c>
      <c r="V296" s="26">
        <v>11000000</v>
      </c>
      <c r="W296" s="26">
        <v>11000000</v>
      </c>
      <c r="X296" s="6" t="s">
        <v>2003</v>
      </c>
      <c r="Y296" s="6" t="s">
        <v>1194</v>
      </c>
      <c r="Z296" s="6">
        <v>224410</v>
      </c>
    </row>
    <row r="297" spans="1:26" x14ac:dyDescent="0.3">
      <c r="A297" s="28" t="s">
        <v>42</v>
      </c>
      <c r="B297" s="6" t="s">
        <v>2309</v>
      </c>
      <c r="C297" s="6" t="s">
        <v>1979</v>
      </c>
      <c r="D297" s="6" t="s">
        <v>2292</v>
      </c>
      <c r="E297" s="6">
        <v>1</v>
      </c>
      <c r="F297" s="6" t="s">
        <v>2004</v>
      </c>
      <c r="G297" s="32" t="s">
        <v>2299</v>
      </c>
      <c r="H297" s="32" t="s">
        <v>2300</v>
      </c>
      <c r="I297" s="6" t="str">
        <f t="shared" si="11"/>
        <v>Thumb Grapple</v>
      </c>
      <c r="J297" s="6" t="s">
        <v>526</v>
      </c>
      <c r="K297" s="6">
        <v>1</v>
      </c>
      <c r="L297" s="6">
        <f t="shared" si="12"/>
        <v>940000</v>
      </c>
      <c r="M297" s="6">
        <v>800000</v>
      </c>
      <c r="N297" s="6" t="s">
        <v>2003</v>
      </c>
      <c r="O297" s="6" t="s">
        <v>813</v>
      </c>
      <c r="P297" s="6">
        <v>2013</v>
      </c>
      <c r="Q297" s="6">
        <v>1</v>
      </c>
      <c r="R297" s="6" t="s">
        <v>45</v>
      </c>
      <c r="S297" s="32" t="s">
        <v>2113</v>
      </c>
      <c r="T297" s="6">
        <v>1</v>
      </c>
      <c r="U297" s="26">
        <v>700000</v>
      </c>
      <c r="V297" s="26">
        <v>700000</v>
      </c>
      <c r="W297" s="26">
        <v>700000</v>
      </c>
      <c r="X297" s="6" t="s">
        <v>2003</v>
      </c>
      <c r="Y297" s="6" t="s">
        <v>79</v>
      </c>
      <c r="Z297" s="6">
        <v>224412</v>
      </c>
    </row>
    <row r="298" spans="1:26" x14ac:dyDescent="0.3">
      <c r="A298" s="28" t="s">
        <v>42</v>
      </c>
      <c r="B298" s="6" t="s">
        <v>2309</v>
      </c>
      <c r="C298" s="6" t="s">
        <v>1979</v>
      </c>
      <c r="D298" s="6" t="s">
        <v>2292</v>
      </c>
      <c r="E298" s="6">
        <v>1</v>
      </c>
      <c r="F298" s="6" t="s">
        <v>2004</v>
      </c>
      <c r="G298" s="32" t="s">
        <v>2299</v>
      </c>
      <c r="H298" s="32" t="s">
        <v>2300</v>
      </c>
      <c r="I298" s="6" t="str">
        <f t="shared" si="11"/>
        <v>Thumb Grapple</v>
      </c>
      <c r="J298" s="6" t="s">
        <v>93</v>
      </c>
      <c r="K298" s="6">
        <v>1</v>
      </c>
      <c r="L298" s="6">
        <f t="shared" si="12"/>
        <v>940000</v>
      </c>
      <c r="M298" s="6">
        <v>800000</v>
      </c>
      <c r="N298" s="6" t="s">
        <v>2003</v>
      </c>
      <c r="O298" s="6" t="s">
        <v>813</v>
      </c>
      <c r="P298" s="6">
        <v>2013</v>
      </c>
      <c r="Q298" s="6">
        <v>1</v>
      </c>
      <c r="R298" s="6" t="s">
        <v>45</v>
      </c>
      <c r="S298" s="32" t="s">
        <v>2113</v>
      </c>
      <c r="T298" s="6">
        <v>1</v>
      </c>
      <c r="U298" s="26">
        <v>700000</v>
      </c>
      <c r="V298" s="26">
        <v>700000</v>
      </c>
      <c r="W298" s="26">
        <v>700000</v>
      </c>
      <c r="X298" s="6" t="s">
        <v>2003</v>
      </c>
      <c r="Y298" s="6" t="s">
        <v>79</v>
      </c>
      <c r="Z298" s="6">
        <v>224414</v>
      </c>
    </row>
    <row r="299" spans="1:26" x14ac:dyDescent="0.3">
      <c r="A299" s="28" t="s">
        <v>42</v>
      </c>
      <c r="B299" s="6" t="s">
        <v>2313</v>
      </c>
      <c r="C299" s="6" t="s">
        <v>1976</v>
      </c>
      <c r="D299" s="6" t="s">
        <v>2292</v>
      </c>
      <c r="E299" s="6">
        <v>1</v>
      </c>
      <c r="F299" s="6" t="s">
        <v>2004</v>
      </c>
      <c r="G299" s="32" t="s">
        <v>2299</v>
      </c>
      <c r="H299" s="32" t="s">
        <v>2300</v>
      </c>
      <c r="I299" s="6" t="str">
        <f t="shared" si="11"/>
        <v>Skeleton Bucket</v>
      </c>
      <c r="J299" s="6" t="s">
        <v>162</v>
      </c>
      <c r="K299" s="6">
        <v>1</v>
      </c>
      <c r="L299" s="6">
        <f t="shared" si="12"/>
        <v>1290000</v>
      </c>
      <c r="M299" s="6">
        <v>1100000</v>
      </c>
      <c r="N299" s="6" t="s">
        <v>2003</v>
      </c>
      <c r="O299" s="6" t="s">
        <v>51</v>
      </c>
      <c r="P299" s="6">
        <v>2014</v>
      </c>
      <c r="Q299" s="6">
        <v>1</v>
      </c>
      <c r="R299" s="6" t="s">
        <v>45</v>
      </c>
      <c r="S299" s="32" t="s">
        <v>2113</v>
      </c>
      <c r="T299" s="6">
        <v>1</v>
      </c>
      <c r="U299" s="26">
        <v>1000000</v>
      </c>
      <c r="V299" s="26">
        <v>1000000</v>
      </c>
      <c r="W299" s="26">
        <v>1000000</v>
      </c>
      <c r="X299" s="6" t="s">
        <v>2003</v>
      </c>
      <c r="Y299" s="6" t="s">
        <v>49</v>
      </c>
      <c r="Z299" s="6">
        <v>224416</v>
      </c>
    </row>
    <row r="300" spans="1:26" x14ac:dyDescent="0.3">
      <c r="A300" s="28" t="s">
        <v>42</v>
      </c>
      <c r="B300" s="6" t="s">
        <v>2313</v>
      </c>
      <c r="C300" s="6" t="s">
        <v>1976</v>
      </c>
      <c r="D300" s="6" t="s">
        <v>2292</v>
      </c>
      <c r="E300" s="6">
        <v>1</v>
      </c>
      <c r="F300" s="6" t="s">
        <v>2004</v>
      </c>
      <c r="G300" s="32" t="s">
        <v>2299</v>
      </c>
      <c r="H300" s="32" t="s">
        <v>2300</v>
      </c>
      <c r="I300" s="6" t="str">
        <f t="shared" si="11"/>
        <v>Skeleton Bucket</v>
      </c>
      <c r="J300" s="6" t="s">
        <v>110</v>
      </c>
      <c r="K300" s="6">
        <v>1</v>
      </c>
      <c r="L300" s="6">
        <f t="shared" si="12"/>
        <v>1290000</v>
      </c>
      <c r="M300" s="6">
        <v>1100000</v>
      </c>
      <c r="N300" s="6" t="s">
        <v>2003</v>
      </c>
      <c r="O300" s="6" t="s">
        <v>813</v>
      </c>
      <c r="P300" s="6">
        <v>2013</v>
      </c>
      <c r="Q300" s="6">
        <v>1</v>
      </c>
      <c r="R300" s="6" t="s">
        <v>45</v>
      </c>
      <c r="S300" s="32" t="s">
        <v>2113</v>
      </c>
      <c r="T300" s="6">
        <v>1</v>
      </c>
      <c r="U300" s="26">
        <v>1000000</v>
      </c>
      <c r="V300" s="26">
        <v>1000000</v>
      </c>
      <c r="W300" s="26">
        <v>1000000</v>
      </c>
      <c r="X300" s="6" t="s">
        <v>2003</v>
      </c>
      <c r="Y300" s="6" t="s">
        <v>79</v>
      </c>
      <c r="Z300" s="6">
        <v>224421</v>
      </c>
    </row>
    <row r="301" spans="1:26" x14ac:dyDescent="0.3">
      <c r="A301" s="28" t="s">
        <v>42</v>
      </c>
      <c r="B301" s="6" t="s">
        <v>2308</v>
      </c>
      <c r="C301" s="6" t="s">
        <v>1975</v>
      </c>
      <c r="D301" s="6" t="s">
        <v>2292</v>
      </c>
      <c r="E301" s="6">
        <v>1</v>
      </c>
      <c r="F301" s="6" t="s">
        <v>2004</v>
      </c>
      <c r="G301" s="32" t="s">
        <v>2299</v>
      </c>
      <c r="H301" s="32" t="s">
        <v>2300</v>
      </c>
      <c r="I301" s="6" t="str">
        <f t="shared" si="11"/>
        <v>Side Breaker</v>
      </c>
      <c r="J301" s="6" t="s">
        <v>119</v>
      </c>
      <c r="K301" s="6">
        <v>1</v>
      </c>
      <c r="L301" s="6">
        <f t="shared" si="12"/>
        <v>3170000</v>
      </c>
      <c r="M301" s="6">
        <v>2700000</v>
      </c>
      <c r="N301" s="6" t="s">
        <v>2003</v>
      </c>
      <c r="O301" s="6" t="s">
        <v>934</v>
      </c>
      <c r="P301" s="6">
        <v>2008</v>
      </c>
      <c r="Q301" s="6">
        <v>1</v>
      </c>
      <c r="R301" s="6" t="s">
        <v>45</v>
      </c>
      <c r="S301" s="32" t="s">
        <v>2118</v>
      </c>
      <c r="T301" s="6">
        <v>1</v>
      </c>
      <c r="U301" s="26">
        <v>2500000</v>
      </c>
      <c r="V301" s="26">
        <v>2500000</v>
      </c>
      <c r="W301" s="26">
        <v>2500000</v>
      </c>
      <c r="X301" s="6" t="s">
        <v>2003</v>
      </c>
      <c r="Y301" s="6" t="s">
        <v>67</v>
      </c>
      <c r="Z301" s="6">
        <v>224430</v>
      </c>
    </row>
    <row r="302" spans="1:26" x14ac:dyDescent="0.3">
      <c r="A302" s="28" t="s">
        <v>42</v>
      </c>
      <c r="B302" s="6" t="s">
        <v>2318</v>
      </c>
      <c r="C302" s="6"/>
      <c r="D302" s="6" t="s">
        <v>2292</v>
      </c>
      <c r="E302" s="6">
        <v>1</v>
      </c>
      <c r="F302" s="6" t="s">
        <v>2004</v>
      </c>
      <c r="G302" s="32" t="s">
        <v>2299</v>
      </c>
      <c r="H302" s="32" t="s">
        <v>2300</v>
      </c>
      <c r="I302" s="6" t="str">
        <f t="shared" si="11"/>
        <v>Compactor</v>
      </c>
      <c r="J302" s="6" t="s">
        <v>660</v>
      </c>
      <c r="K302" s="6">
        <v>1</v>
      </c>
      <c r="L302" s="6">
        <f t="shared" si="12"/>
        <v>3760000</v>
      </c>
      <c r="M302" s="6">
        <v>3200000</v>
      </c>
      <c r="N302" s="6" t="s">
        <v>2003</v>
      </c>
      <c r="O302" s="6" t="s">
        <v>1857</v>
      </c>
      <c r="P302" s="6">
        <v>2014</v>
      </c>
      <c r="Q302" s="6">
        <v>1</v>
      </c>
      <c r="R302" s="6" t="s">
        <v>45</v>
      </c>
      <c r="S302" s="32" t="s">
        <v>2121</v>
      </c>
      <c r="T302" s="6">
        <v>1</v>
      </c>
      <c r="U302" s="26">
        <v>3000000</v>
      </c>
      <c r="V302" s="26">
        <v>3000000</v>
      </c>
      <c r="W302" s="26">
        <v>3000000</v>
      </c>
      <c r="X302" s="6" t="s">
        <v>2003</v>
      </c>
      <c r="Y302" s="6" t="s">
        <v>1265</v>
      </c>
      <c r="Z302" s="6">
        <v>224435</v>
      </c>
    </row>
    <row r="303" spans="1:26" x14ac:dyDescent="0.3">
      <c r="A303" s="28" t="s">
        <v>42</v>
      </c>
      <c r="B303" s="6" t="s">
        <v>2314</v>
      </c>
      <c r="C303" s="6" t="s">
        <v>2321</v>
      </c>
      <c r="D303" s="6" t="s">
        <v>2292</v>
      </c>
      <c r="E303" s="6">
        <v>1</v>
      </c>
      <c r="F303" s="6" t="s">
        <v>2004</v>
      </c>
      <c r="G303" s="32" t="s">
        <v>2299</v>
      </c>
      <c r="H303" s="32" t="s">
        <v>2300</v>
      </c>
      <c r="I303" s="6" t="str">
        <f t="shared" si="11"/>
        <v>Etc Crusher</v>
      </c>
      <c r="J303" s="6" t="s">
        <v>311</v>
      </c>
      <c r="K303" s="6">
        <v>1</v>
      </c>
      <c r="L303" s="6">
        <f t="shared" si="12"/>
        <v>13520000</v>
      </c>
      <c r="M303" s="6">
        <v>11500000</v>
      </c>
      <c r="N303" s="6" t="s">
        <v>2003</v>
      </c>
      <c r="O303" s="6" t="s">
        <v>51</v>
      </c>
      <c r="P303" s="6">
        <v>2015</v>
      </c>
      <c r="Q303" s="6">
        <v>1</v>
      </c>
      <c r="R303" s="6" t="s">
        <v>45</v>
      </c>
      <c r="S303" s="32" t="s">
        <v>2113</v>
      </c>
      <c r="T303" s="6">
        <v>1</v>
      </c>
      <c r="U303" s="26">
        <v>11000000</v>
      </c>
      <c r="V303" s="26">
        <v>11000000</v>
      </c>
      <c r="W303" s="26">
        <v>11000000</v>
      </c>
      <c r="X303" s="6" t="s">
        <v>2003</v>
      </c>
      <c r="Y303" s="6" t="s">
        <v>49</v>
      </c>
      <c r="Z303" s="6">
        <v>224440</v>
      </c>
    </row>
    <row r="304" spans="1:26" x14ac:dyDescent="0.3">
      <c r="A304" s="28" t="s">
        <v>42</v>
      </c>
      <c r="B304" s="6" t="s">
        <v>2309</v>
      </c>
      <c r="C304" s="6" t="s">
        <v>1972</v>
      </c>
      <c r="D304" s="6" t="s">
        <v>2291</v>
      </c>
      <c r="E304" s="6">
        <v>1</v>
      </c>
      <c r="F304" s="6" t="s">
        <v>2004</v>
      </c>
      <c r="G304" s="32" t="s">
        <v>2299</v>
      </c>
      <c r="H304" s="32" t="s">
        <v>2300</v>
      </c>
      <c r="I304" s="6" t="str">
        <f t="shared" si="11"/>
        <v>Stone Grapple</v>
      </c>
      <c r="J304" s="6" t="s">
        <v>375</v>
      </c>
      <c r="K304" s="6">
        <v>1</v>
      </c>
      <c r="L304" s="6">
        <f t="shared" si="12"/>
        <v>24110000</v>
      </c>
      <c r="M304" s="6">
        <v>20500000</v>
      </c>
      <c r="N304" s="6" t="s">
        <v>2003</v>
      </c>
      <c r="O304" s="6" t="s">
        <v>802</v>
      </c>
      <c r="P304" s="6">
        <v>2016</v>
      </c>
      <c r="Q304" s="6">
        <v>12</v>
      </c>
      <c r="R304" s="6" t="s">
        <v>45</v>
      </c>
      <c r="S304" s="32" t="s">
        <v>2122</v>
      </c>
      <c r="T304" s="6">
        <v>1</v>
      </c>
      <c r="U304" s="26">
        <v>20000000</v>
      </c>
      <c r="V304" s="26">
        <v>20000000</v>
      </c>
      <c r="W304" s="26">
        <v>20000000</v>
      </c>
      <c r="X304" s="6" t="s">
        <v>2003</v>
      </c>
      <c r="Y304" s="6" t="s">
        <v>1172</v>
      </c>
      <c r="Z304" s="6">
        <v>224442</v>
      </c>
    </row>
    <row r="305" spans="1:26" x14ac:dyDescent="0.3">
      <c r="A305" s="28" t="s">
        <v>42</v>
      </c>
      <c r="B305" s="6" t="s">
        <v>2309</v>
      </c>
      <c r="C305" s="6" t="s">
        <v>1974</v>
      </c>
      <c r="D305" s="6" t="s">
        <v>2290</v>
      </c>
      <c r="E305" s="6">
        <v>1</v>
      </c>
      <c r="F305" s="6" t="s">
        <v>2004</v>
      </c>
      <c r="G305" s="32" t="s">
        <v>2299</v>
      </c>
      <c r="H305" s="32" t="s">
        <v>2300</v>
      </c>
      <c r="I305" s="6" t="str">
        <f t="shared" si="11"/>
        <v>Etc Grapple</v>
      </c>
      <c r="J305" s="6" t="s">
        <v>432</v>
      </c>
      <c r="K305" s="6">
        <v>1</v>
      </c>
      <c r="L305" s="6">
        <f t="shared" si="12"/>
        <v>6470000</v>
      </c>
      <c r="M305" s="6">
        <v>5500000</v>
      </c>
      <c r="N305" s="6" t="s">
        <v>2003</v>
      </c>
      <c r="O305" s="6" t="s">
        <v>1858</v>
      </c>
      <c r="P305" s="6">
        <v>2012</v>
      </c>
      <c r="Q305" s="6">
        <v>4</v>
      </c>
      <c r="R305" s="6" t="s">
        <v>45</v>
      </c>
      <c r="S305" s="32" t="s">
        <v>2116</v>
      </c>
      <c r="T305" s="6">
        <v>1</v>
      </c>
      <c r="U305" s="26">
        <v>5000000</v>
      </c>
      <c r="V305" s="26">
        <v>5000000</v>
      </c>
      <c r="W305" s="26">
        <v>5000000</v>
      </c>
      <c r="X305" s="6" t="s">
        <v>2003</v>
      </c>
      <c r="Y305" s="6" t="s">
        <v>1250</v>
      </c>
      <c r="Z305" s="6">
        <v>224446</v>
      </c>
    </row>
    <row r="306" spans="1:26" x14ac:dyDescent="0.3">
      <c r="A306" s="28" t="s">
        <v>42</v>
      </c>
      <c r="B306" s="6" t="s">
        <v>2313</v>
      </c>
      <c r="C306" s="6" t="s">
        <v>1980</v>
      </c>
      <c r="D306" s="6" t="s">
        <v>2292</v>
      </c>
      <c r="E306" s="6">
        <v>1</v>
      </c>
      <c r="F306" s="6" t="s">
        <v>2004</v>
      </c>
      <c r="G306" s="32" t="s">
        <v>2299</v>
      </c>
      <c r="H306" s="32" t="s">
        <v>2300</v>
      </c>
      <c r="I306" s="6" t="str">
        <f t="shared" si="11"/>
        <v>Small Bucket</v>
      </c>
      <c r="J306" s="6" t="s">
        <v>97</v>
      </c>
      <c r="K306" s="6">
        <v>1</v>
      </c>
      <c r="L306" s="6">
        <f t="shared" si="12"/>
        <v>820000</v>
      </c>
      <c r="M306" s="6">
        <v>700000</v>
      </c>
      <c r="N306" s="6" t="s">
        <v>2003</v>
      </c>
      <c r="O306" s="6" t="s">
        <v>936</v>
      </c>
      <c r="P306" s="6">
        <v>2013</v>
      </c>
      <c r="Q306" s="6">
        <v>1</v>
      </c>
      <c r="R306" s="6" t="s">
        <v>45</v>
      </c>
      <c r="S306" s="32" t="s">
        <v>2112</v>
      </c>
      <c r="T306" s="6">
        <v>1</v>
      </c>
      <c r="U306" s="26">
        <v>600000</v>
      </c>
      <c r="V306" s="26">
        <v>600000</v>
      </c>
      <c r="W306" s="26">
        <v>600000</v>
      </c>
      <c r="X306" s="6" t="s">
        <v>2003</v>
      </c>
      <c r="Y306" s="6" t="s">
        <v>1270</v>
      </c>
      <c r="Z306" s="6">
        <v>224451</v>
      </c>
    </row>
    <row r="307" spans="1:26" x14ac:dyDescent="0.3">
      <c r="A307" s="28" t="s">
        <v>42</v>
      </c>
      <c r="B307" s="6" t="s">
        <v>2312</v>
      </c>
      <c r="C307" s="6"/>
      <c r="D307" s="6" t="s">
        <v>2292</v>
      </c>
      <c r="E307" s="6">
        <v>1</v>
      </c>
      <c r="F307" s="6" t="s">
        <v>2004</v>
      </c>
      <c r="G307" s="32" t="s">
        <v>2299</v>
      </c>
      <c r="H307" s="32" t="s">
        <v>2300</v>
      </c>
      <c r="I307" s="6" t="str">
        <f t="shared" si="11"/>
        <v>Lift Fork</v>
      </c>
      <c r="J307" s="6" t="s">
        <v>102</v>
      </c>
      <c r="K307" s="6">
        <v>1</v>
      </c>
      <c r="L307" s="6">
        <f t="shared" si="12"/>
        <v>880000</v>
      </c>
      <c r="M307" s="6">
        <v>750000</v>
      </c>
      <c r="N307" s="6" t="s">
        <v>2003</v>
      </c>
      <c r="O307" s="6" t="s">
        <v>813</v>
      </c>
      <c r="P307" s="6">
        <v>2013</v>
      </c>
      <c r="Q307" s="6">
        <v>1</v>
      </c>
      <c r="R307" s="6" t="s">
        <v>45</v>
      </c>
      <c r="S307" s="32" t="s">
        <v>2113</v>
      </c>
      <c r="T307" s="6">
        <v>1</v>
      </c>
      <c r="U307" s="26">
        <v>650000</v>
      </c>
      <c r="V307" s="26">
        <v>650000</v>
      </c>
      <c r="W307" s="26">
        <v>650000</v>
      </c>
      <c r="X307" s="6" t="s">
        <v>2003</v>
      </c>
      <c r="Y307" s="6" t="s">
        <v>79</v>
      </c>
      <c r="Z307" s="6">
        <v>224457</v>
      </c>
    </row>
    <row r="308" spans="1:26" x14ac:dyDescent="0.3">
      <c r="A308" s="28" t="s">
        <v>42</v>
      </c>
      <c r="B308" s="6" t="s">
        <v>2308</v>
      </c>
      <c r="C308" s="6" t="s">
        <v>1975</v>
      </c>
      <c r="D308" s="6" t="s">
        <v>2292</v>
      </c>
      <c r="E308" s="6">
        <v>1</v>
      </c>
      <c r="F308" s="6" t="s">
        <v>2004</v>
      </c>
      <c r="G308" s="32" t="s">
        <v>2299</v>
      </c>
      <c r="H308" s="32" t="s">
        <v>2300</v>
      </c>
      <c r="I308" s="6" t="str">
        <f t="shared" si="11"/>
        <v>Side Breaker</v>
      </c>
      <c r="J308" s="6" t="s">
        <v>531</v>
      </c>
      <c r="K308" s="6">
        <v>1</v>
      </c>
      <c r="L308" s="6">
        <f t="shared" si="12"/>
        <v>5520000</v>
      </c>
      <c r="M308" s="6">
        <v>4700000</v>
      </c>
      <c r="N308" s="6" t="s">
        <v>2003</v>
      </c>
      <c r="O308" s="6" t="s">
        <v>937</v>
      </c>
      <c r="P308" s="6">
        <v>2016</v>
      </c>
      <c r="Q308" s="6">
        <v>6</v>
      </c>
      <c r="R308" s="6" t="s">
        <v>45</v>
      </c>
      <c r="S308" s="32" t="s">
        <v>2123</v>
      </c>
      <c r="T308" s="6">
        <v>1</v>
      </c>
      <c r="U308" s="26">
        <v>4500000</v>
      </c>
      <c r="V308" s="26">
        <v>4500000</v>
      </c>
      <c r="W308" s="26">
        <v>4500000</v>
      </c>
      <c r="X308" s="6" t="s">
        <v>2003</v>
      </c>
      <c r="Y308" s="6" t="s">
        <v>1237</v>
      </c>
      <c r="Z308" s="6">
        <v>224459</v>
      </c>
    </row>
    <row r="309" spans="1:26" x14ac:dyDescent="0.3">
      <c r="A309" s="28" t="s">
        <v>42</v>
      </c>
      <c r="B309" s="6" t="s">
        <v>2312</v>
      </c>
      <c r="C309" s="6"/>
      <c r="D309" s="6" t="s">
        <v>2292</v>
      </c>
      <c r="E309" s="6">
        <v>1</v>
      </c>
      <c r="F309" s="6" t="s">
        <v>2004</v>
      </c>
      <c r="G309" s="32" t="s">
        <v>2299</v>
      </c>
      <c r="H309" s="32" t="s">
        <v>2300</v>
      </c>
      <c r="I309" s="6" t="str">
        <f t="shared" si="11"/>
        <v>Lift Fork</v>
      </c>
      <c r="J309" s="6" t="s">
        <v>178</v>
      </c>
      <c r="K309" s="6">
        <v>1</v>
      </c>
      <c r="L309" s="6">
        <f t="shared" si="12"/>
        <v>1050000</v>
      </c>
      <c r="M309" s="6">
        <v>900000</v>
      </c>
      <c r="N309" s="6" t="s">
        <v>2003</v>
      </c>
      <c r="O309" s="6" t="s">
        <v>938</v>
      </c>
      <c r="P309" s="6">
        <v>2016</v>
      </c>
      <c r="Q309" s="6">
        <v>6</v>
      </c>
      <c r="R309" s="6" t="s">
        <v>45</v>
      </c>
      <c r="S309" s="32" t="s">
        <v>2123</v>
      </c>
      <c r="T309" s="6">
        <v>1</v>
      </c>
      <c r="U309" s="26">
        <v>800000</v>
      </c>
      <c r="V309" s="26">
        <v>800000</v>
      </c>
      <c r="W309" s="26">
        <v>800000</v>
      </c>
      <c r="X309" s="6" t="s">
        <v>2003</v>
      </c>
      <c r="Y309" s="6" t="s">
        <v>1237</v>
      </c>
      <c r="Z309" s="6">
        <v>224460</v>
      </c>
    </row>
    <row r="310" spans="1:26" x14ac:dyDescent="0.3">
      <c r="A310" s="28" t="s">
        <v>42</v>
      </c>
      <c r="B310" s="6" t="s">
        <v>2309</v>
      </c>
      <c r="C310" s="6" t="s">
        <v>1972</v>
      </c>
      <c r="D310" s="6" t="s">
        <v>2291</v>
      </c>
      <c r="E310" s="6">
        <v>1</v>
      </c>
      <c r="F310" s="6" t="s">
        <v>2004</v>
      </c>
      <c r="G310" s="32" t="s">
        <v>2299</v>
      </c>
      <c r="H310" s="32" t="s">
        <v>2300</v>
      </c>
      <c r="I310" s="6" t="str">
        <f t="shared" si="11"/>
        <v>Stone Grapple</v>
      </c>
      <c r="J310" s="6" t="s">
        <v>109</v>
      </c>
      <c r="K310" s="6">
        <v>1</v>
      </c>
      <c r="L310" s="6">
        <f t="shared" si="12"/>
        <v>3760000</v>
      </c>
      <c r="M310" s="6">
        <v>3200000</v>
      </c>
      <c r="N310" s="6" t="s">
        <v>2003</v>
      </c>
      <c r="O310" s="6" t="s">
        <v>939</v>
      </c>
      <c r="P310" s="6">
        <v>2015</v>
      </c>
      <c r="Q310" s="6">
        <v>2</v>
      </c>
      <c r="R310" s="6" t="s">
        <v>45</v>
      </c>
      <c r="S310" s="32" t="s">
        <v>2120</v>
      </c>
      <c r="T310" s="6">
        <v>1</v>
      </c>
      <c r="U310" s="26">
        <v>3000000</v>
      </c>
      <c r="V310" s="26">
        <v>3000000</v>
      </c>
      <c r="W310" s="26">
        <v>3000000</v>
      </c>
      <c r="X310" s="6" t="s">
        <v>2003</v>
      </c>
      <c r="Y310" s="6" t="s">
        <v>1271</v>
      </c>
      <c r="Z310" s="6">
        <v>224461</v>
      </c>
    </row>
    <row r="311" spans="1:26" x14ac:dyDescent="0.3">
      <c r="A311" s="28" t="s">
        <v>42</v>
      </c>
      <c r="B311" s="6" t="s">
        <v>2316</v>
      </c>
      <c r="C311" s="6"/>
      <c r="D311" s="6" t="s">
        <v>2292</v>
      </c>
      <c r="E311" s="6">
        <v>1</v>
      </c>
      <c r="F311" s="6" t="s">
        <v>2004</v>
      </c>
      <c r="G311" s="32" t="s">
        <v>2299</v>
      </c>
      <c r="H311" s="32" t="s">
        <v>2300</v>
      </c>
      <c r="I311" s="6" t="str">
        <f t="shared" si="11"/>
        <v>Ripper</v>
      </c>
      <c r="J311" s="6" t="s">
        <v>167</v>
      </c>
      <c r="K311" s="6">
        <v>1</v>
      </c>
      <c r="L311" s="6">
        <f t="shared" si="12"/>
        <v>1050000</v>
      </c>
      <c r="M311" s="6">
        <v>900000</v>
      </c>
      <c r="N311" s="6" t="s">
        <v>2003</v>
      </c>
      <c r="O311" s="6" t="s">
        <v>2007</v>
      </c>
      <c r="P311" s="6">
        <v>2017</v>
      </c>
      <c r="Q311" s="6">
        <v>1</v>
      </c>
      <c r="R311" s="6" t="s">
        <v>45</v>
      </c>
      <c r="S311" s="32" t="s">
        <v>2113</v>
      </c>
      <c r="T311" s="6">
        <v>1</v>
      </c>
      <c r="U311" s="26">
        <v>800000</v>
      </c>
      <c r="V311" s="26">
        <v>800000</v>
      </c>
      <c r="W311" s="26">
        <v>800000</v>
      </c>
      <c r="X311" s="6" t="s">
        <v>2003</v>
      </c>
      <c r="Y311" s="6" t="s">
        <v>49</v>
      </c>
      <c r="Z311" s="6">
        <v>224470</v>
      </c>
    </row>
    <row r="312" spans="1:26" x14ac:dyDescent="0.3">
      <c r="A312" s="28" t="s">
        <v>42</v>
      </c>
      <c r="B312" s="6" t="s">
        <v>2324</v>
      </c>
      <c r="C312" s="6" t="s">
        <v>1982</v>
      </c>
      <c r="D312" s="6" t="s">
        <v>2001</v>
      </c>
      <c r="E312" s="6">
        <v>1</v>
      </c>
      <c r="F312" s="6" t="s">
        <v>2004</v>
      </c>
      <c r="G312" s="32" t="s">
        <v>2299</v>
      </c>
      <c r="H312" s="32" t="s">
        <v>2300</v>
      </c>
      <c r="I312" s="6" t="str">
        <f t="shared" si="11"/>
        <v>Standard Bucket</v>
      </c>
      <c r="J312" s="6" t="s">
        <v>260</v>
      </c>
      <c r="K312" s="6">
        <v>1</v>
      </c>
      <c r="L312" s="6">
        <f t="shared" si="12"/>
        <v>2230000</v>
      </c>
      <c r="M312" s="6">
        <v>1900000</v>
      </c>
      <c r="N312" s="6" t="s">
        <v>2003</v>
      </c>
      <c r="O312" s="6">
        <v>1</v>
      </c>
      <c r="P312" s="6">
        <v>2015</v>
      </c>
      <c r="Q312" s="6">
        <v>1</v>
      </c>
      <c r="R312" s="6" t="s">
        <v>45</v>
      </c>
      <c r="S312" s="32" t="s">
        <v>2116</v>
      </c>
      <c r="T312" s="6">
        <v>1</v>
      </c>
      <c r="U312" s="26">
        <v>1800000</v>
      </c>
      <c r="V312" s="26">
        <v>1800000</v>
      </c>
      <c r="W312" s="26">
        <v>1800000</v>
      </c>
      <c r="X312" s="6" t="s">
        <v>2003</v>
      </c>
      <c r="Y312" s="6" t="s">
        <v>1185</v>
      </c>
      <c r="Z312" s="6">
        <v>224471</v>
      </c>
    </row>
    <row r="313" spans="1:26" x14ac:dyDescent="0.3">
      <c r="A313" s="28" t="s">
        <v>42</v>
      </c>
      <c r="B313" s="6" t="s">
        <v>2324</v>
      </c>
      <c r="C313" s="6" t="s">
        <v>1982</v>
      </c>
      <c r="D313" s="6" t="s">
        <v>2001</v>
      </c>
      <c r="E313" s="6">
        <v>1</v>
      </c>
      <c r="F313" s="6" t="s">
        <v>2004</v>
      </c>
      <c r="G313" s="32" t="s">
        <v>2299</v>
      </c>
      <c r="H313" s="32" t="s">
        <v>2300</v>
      </c>
      <c r="I313" s="6" t="str">
        <f t="shared" si="11"/>
        <v>Standard Bucket</v>
      </c>
      <c r="J313" s="6" t="s">
        <v>260</v>
      </c>
      <c r="K313" s="6">
        <v>1</v>
      </c>
      <c r="L313" s="6">
        <f t="shared" si="12"/>
        <v>3410000</v>
      </c>
      <c r="M313" s="6">
        <v>2900000</v>
      </c>
      <c r="N313" s="6" t="s">
        <v>2003</v>
      </c>
      <c r="O313" s="6">
        <v>1</v>
      </c>
      <c r="P313" s="6">
        <v>2015</v>
      </c>
      <c r="Q313" s="6">
        <v>1</v>
      </c>
      <c r="R313" s="6" t="s">
        <v>45</v>
      </c>
      <c r="S313" s="32" t="s">
        <v>2116</v>
      </c>
      <c r="T313" s="6">
        <v>1</v>
      </c>
      <c r="U313" s="26">
        <v>2700000</v>
      </c>
      <c r="V313" s="26">
        <v>2700000</v>
      </c>
      <c r="W313" s="26">
        <v>2700000</v>
      </c>
      <c r="X313" s="6" t="s">
        <v>2003</v>
      </c>
      <c r="Y313" s="6" t="s">
        <v>1185</v>
      </c>
      <c r="Z313" s="6">
        <v>224474</v>
      </c>
    </row>
    <row r="314" spans="1:26" x14ac:dyDescent="0.3">
      <c r="A314" s="28" t="s">
        <v>42</v>
      </c>
      <c r="B314" s="6" t="s">
        <v>2322</v>
      </c>
      <c r="C314" s="6" t="s">
        <v>1984</v>
      </c>
      <c r="D314" s="6" t="s">
        <v>2292</v>
      </c>
      <c r="E314" s="6">
        <v>1</v>
      </c>
      <c r="F314" s="6" t="s">
        <v>2004</v>
      </c>
      <c r="G314" s="32" t="s">
        <v>2299</v>
      </c>
      <c r="H314" s="32" t="s">
        <v>2300</v>
      </c>
      <c r="I314" s="6" t="str">
        <f t="shared" si="11"/>
        <v>Scrap Grapple</v>
      </c>
      <c r="J314" s="6" t="s">
        <v>337</v>
      </c>
      <c r="K314" s="6">
        <v>1</v>
      </c>
      <c r="L314" s="6">
        <f t="shared" si="12"/>
        <v>2230000</v>
      </c>
      <c r="M314" s="6">
        <v>1900000</v>
      </c>
      <c r="N314" s="6" t="s">
        <v>2003</v>
      </c>
      <c r="O314" s="6">
        <v>1</v>
      </c>
      <c r="P314" s="6">
        <v>2015</v>
      </c>
      <c r="Q314" s="6">
        <v>1</v>
      </c>
      <c r="R314" s="6" t="s">
        <v>45</v>
      </c>
      <c r="S314" s="32" t="s">
        <v>2116</v>
      </c>
      <c r="T314" s="6">
        <v>1</v>
      </c>
      <c r="U314" s="26">
        <v>1800000</v>
      </c>
      <c r="V314" s="26">
        <v>1800000</v>
      </c>
      <c r="W314" s="26">
        <v>1800000</v>
      </c>
      <c r="X314" s="6" t="s">
        <v>2003</v>
      </c>
      <c r="Y314" s="6" t="s">
        <v>1185</v>
      </c>
      <c r="Z314" s="6">
        <v>224476</v>
      </c>
    </row>
    <row r="315" spans="1:26" x14ac:dyDescent="0.3">
      <c r="A315" s="28" t="s">
        <v>42</v>
      </c>
      <c r="B315" s="6" t="s">
        <v>2325</v>
      </c>
      <c r="C315" s="6"/>
      <c r="D315" s="6" t="s">
        <v>2001</v>
      </c>
      <c r="E315" s="6">
        <v>1</v>
      </c>
      <c r="F315" s="6" t="s">
        <v>2004</v>
      </c>
      <c r="G315" s="32" t="s">
        <v>2299</v>
      </c>
      <c r="H315" s="32" t="s">
        <v>2300</v>
      </c>
      <c r="I315" s="6" t="str">
        <f t="shared" si="11"/>
        <v>Quick Coupler</v>
      </c>
      <c r="J315" s="6" t="s">
        <v>208</v>
      </c>
      <c r="K315" s="6">
        <v>1</v>
      </c>
      <c r="L315" s="6">
        <f t="shared" si="12"/>
        <v>1290000</v>
      </c>
      <c r="M315" s="6">
        <v>1100000</v>
      </c>
      <c r="N315" s="6" t="s">
        <v>2003</v>
      </c>
      <c r="O315" s="6">
        <v>300</v>
      </c>
      <c r="P315" s="6">
        <v>2015</v>
      </c>
      <c r="Q315" s="6">
        <v>1</v>
      </c>
      <c r="R315" s="6" t="s">
        <v>45</v>
      </c>
      <c r="S315" s="32" t="s">
        <v>2116</v>
      </c>
      <c r="T315" s="6">
        <v>1</v>
      </c>
      <c r="U315" s="26">
        <v>1000000</v>
      </c>
      <c r="V315" s="26">
        <v>1000000</v>
      </c>
      <c r="W315" s="26">
        <v>1000000</v>
      </c>
      <c r="X315" s="6" t="s">
        <v>2003</v>
      </c>
      <c r="Y315" s="6" t="s">
        <v>1185</v>
      </c>
      <c r="Z315" s="6">
        <v>224478</v>
      </c>
    </row>
    <row r="316" spans="1:26" x14ac:dyDescent="0.3">
      <c r="A316" s="28" t="s">
        <v>42</v>
      </c>
      <c r="B316" s="6" t="s">
        <v>2324</v>
      </c>
      <c r="C316" s="6" t="s">
        <v>1976</v>
      </c>
      <c r="D316" s="6" t="s">
        <v>2001</v>
      </c>
      <c r="E316" s="6">
        <v>1</v>
      </c>
      <c r="F316" s="6" t="s">
        <v>2004</v>
      </c>
      <c r="G316" s="32" t="s">
        <v>2299</v>
      </c>
      <c r="H316" s="32" t="s">
        <v>2300</v>
      </c>
      <c r="I316" s="6" t="str">
        <f t="shared" si="11"/>
        <v>Skeleton Bucket</v>
      </c>
      <c r="J316" s="6" t="s">
        <v>377</v>
      </c>
      <c r="K316" s="6">
        <v>1</v>
      </c>
      <c r="L316" s="6">
        <f t="shared" si="12"/>
        <v>2350000</v>
      </c>
      <c r="M316" s="6">
        <v>2000000</v>
      </c>
      <c r="N316" s="6" t="s">
        <v>2003</v>
      </c>
      <c r="O316" s="6" t="s">
        <v>941</v>
      </c>
      <c r="P316" s="6">
        <v>2013</v>
      </c>
      <c r="Q316" s="6">
        <v>1</v>
      </c>
      <c r="R316" s="6" t="s">
        <v>45</v>
      </c>
      <c r="S316" s="32" t="s">
        <v>2116</v>
      </c>
      <c r="T316" s="6">
        <v>1</v>
      </c>
      <c r="U316" s="26">
        <v>1900000</v>
      </c>
      <c r="V316" s="26">
        <v>1900000</v>
      </c>
      <c r="W316" s="26">
        <v>1900000</v>
      </c>
      <c r="X316" s="6" t="s">
        <v>2003</v>
      </c>
      <c r="Y316" s="6" t="s">
        <v>1185</v>
      </c>
      <c r="Z316" s="6">
        <v>224481</v>
      </c>
    </row>
    <row r="317" spans="1:26" x14ac:dyDescent="0.3">
      <c r="A317" s="28" t="s">
        <v>42</v>
      </c>
      <c r="B317" s="6" t="s">
        <v>2326</v>
      </c>
      <c r="C317" s="6" t="s">
        <v>1983</v>
      </c>
      <c r="D317" s="6" t="s">
        <v>2001</v>
      </c>
      <c r="E317" s="6">
        <v>1</v>
      </c>
      <c r="F317" s="6" t="s">
        <v>2004</v>
      </c>
      <c r="G317" s="32" t="s">
        <v>2299</v>
      </c>
      <c r="H317" s="32" t="s">
        <v>2300</v>
      </c>
      <c r="I317" s="6" t="str">
        <f t="shared" si="11"/>
        <v>Hydraulic Multi Processor</v>
      </c>
      <c r="J317" s="6" t="s">
        <v>485</v>
      </c>
      <c r="K317" s="6">
        <v>1</v>
      </c>
      <c r="L317" s="6">
        <f t="shared" si="12"/>
        <v>19410000</v>
      </c>
      <c r="M317" s="6">
        <v>16500000</v>
      </c>
      <c r="N317" s="6" t="s">
        <v>2003</v>
      </c>
      <c r="O317" s="6" t="s">
        <v>1859</v>
      </c>
      <c r="P317" s="6">
        <v>2015</v>
      </c>
      <c r="Q317" s="6">
        <v>1</v>
      </c>
      <c r="R317" s="6" t="s">
        <v>45</v>
      </c>
      <c r="S317" s="32" t="s">
        <v>2116</v>
      </c>
      <c r="T317" s="6">
        <v>1</v>
      </c>
      <c r="U317" s="26">
        <v>16000000</v>
      </c>
      <c r="V317" s="26">
        <v>16000000</v>
      </c>
      <c r="W317" s="26">
        <v>16000000</v>
      </c>
      <c r="X317" s="6" t="s">
        <v>2003</v>
      </c>
      <c r="Y317" s="6" t="s">
        <v>1199</v>
      </c>
      <c r="Z317" s="6">
        <v>224483</v>
      </c>
    </row>
    <row r="318" spans="1:26" x14ac:dyDescent="0.3">
      <c r="A318" s="28" t="s">
        <v>42</v>
      </c>
      <c r="B318" s="6" t="s">
        <v>2322</v>
      </c>
      <c r="C318" s="19" t="s">
        <v>1974</v>
      </c>
      <c r="D318" s="6" t="s">
        <v>2291</v>
      </c>
      <c r="E318" s="6">
        <v>1</v>
      </c>
      <c r="F318" s="6" t="s">
        <v>2004</v>
      </c>
      <c r="G318" s="32" t="s">
        <v>2299</v>
      </c>
      <c r="H318" s="32" t="s">
        <v>2300</v>
      </c>
      <c r="I318" s="6" t="str">
        <f t="shared" si="11"/>
        <v>Etc Grapple</v>
      </c>
      <c r="J318" s="6" t="s">
        <v>365</v>
      </c>
      <c r="K318" s="6">
        <v>1</v>
      </c>
      <c r="L318" s="6">
        <f t="shared" si="12"/>
        <v>3880000</v>
      </c>
      <c r="M318" s="6">
        <v>3300000</v>
      </c>
      <c r="N318" s="6" t="s">
        <v>2003</v>
      </c>
      <c r="O318" s="6" t="s">
        <v>942</v>
      </c>
      <c r="P318" s="6">
        <v>2015</v>
      </c>
      <c r="Q318" s="6">
        <v>6</v>
      </c>
      <c r="R318" s="6" t="s">
        <v>45</v>
      </c>
      <c r="S318" s="32" t="s">
        <v>2111</v>
      </c>
      <c r="T318" s="6">
        <v>1</v>
      </c>
      <c r="U318" s="26">
        <v>3100000</v>
      </c>
      <c r="V318" s="26">
        <v>3100000</v>
      </c>
      <c r="W318" s="26">
        <v>3100000</v>
      </c>
      <c r="X318" s="6" t="s">
        <v>2003</v>
      </c>
      <c r="Y318" s="6" t="s">
        <v>1235</v>
      </c>
      <c r="Z318" s="6">
        <v>224485</v>
      </c>
    </row>
    <row r="319" spans="1:26" x14ac:dyDescent="0.3">
      <c r="A319" s="28" t="s">
        <v>42</v>
      </c>
      <c r="B319" s="6" t="s">
        <v>2327</v>
      </c>
      <c r="C319" s="6" t="s">
        <v>1975</v>
      </c>
      <c r="D319" s="6" t="s">
        <v>2293</v>
      </c>
      <c r="E319" s="6">
        <v>1</v>
      </c>
      <c r="F319" s="6" t="s">
        <v>2004</v>
      </c>
      <c r="G319" s="32" t="s">
        <v>2299</v>
      </c>
      <c r="H319" s="32" t="s">
        <v>2300</v>
      </c>
      <c r="I319" s="6" t="str">
        <f t="shared" si="11"/>
        <v>Side Breaker</v>
      </c>
      <c r="J319" s="6" t="s">
        <v>520</v>
      </c>
      <c r="K319" s="6">
        <v>1</v>
      </c>
      <c r="L319" s="6">
        <f t="shared" si="12"/>
        <v>1640000</v>
      </c>
      <c r="M319" s="6">
        <v>1400000</v>
      </c>
      <c r="N319" s="6" t="s">
        <v>2003</v>
      </c>
      <c r="O319" s="6" t="s">
        <v>943</v>
      </c>
      <c r="P319" s="6">
        <v>2015</v>
      </c>
      <c r="Q319" s="6">
        <v>1</v>
      </c>
      <c r="R319" s="6" t="s">
        <v>45</v>
      </c>
      <c r="S319" s="32" t="s">
        <v>2112</v>
      </c>
      <c r="T319" s="6">
        <v>1</v>
      </c>
      <c r="U319" s="26">
        <v>1300000</v>
      </c>
      <c r="V319" s="26">
        <v>1300000</v>
      </c>
      <c r="W319" s="26">
        <v>1300000</v>
      </c>
      <c r="X319" s="6" t="s">
        <v>2003</v>
      </c>
      <c r="Y319" s="6" t="s">
        <v>1142</v>
      </c>
      <c r="Z319" s="6">
        <v>224487</v>
      </c>
    </row>
    <row r="320" spans="1:26" x14ac:dyDescent="0.3">
      <c r="A320" s="28" t="s">
        <v>42</v>
      </c>
      <c r="B320" s="6" t="s">
        <v>2322</v>
      </c>
      <c r="C320" s="6" t="s">
        <v>1972</v>
      </c>
      <c r="D320" s="6" t="s">
        <v>2001</v>
      </c>
      <c r="E320" s="6">
        <v>1</v>
      </c>
      <c r="F320" s="6" t="s">
        <v>2004</v>
      </c>
      <c r="G320" s="32" t="s">
        <v>2299</v>
      </c>
      <c r="H320" s="32" t="s">
        <v>2300</v>
      </c>
      <c r="I320" s="6" t="str">
        <f t="shared" si="11"/>
        <v>Stone Grapple</v>
      </c>
      <c r="J320" s="6" t="s">
        <v>203</v>
      </c>
      <c r="K320" s="6">
        <v>1</v>
      </c>
      <c r="L320" s="6">
        <f t="shared" si="12"/>
        <v>6820000</v>
      </c>
      <c r="M320" s="6">
        <v>5800000</v>
      </c>
      <c r="N320" s="6" t="s">
        <v>2003</v>
      </c>
      <c r="O320" s="6" t="s">
        <v>945</v>
      </c>
      <c r="P320" s="6">
        <v>2014</v>
      </c>
      <c r="Q320" s="6">
        <v>1</v>
      </c>
      <c r="R320" s="6" t="s">
        <v>45</v>
      </c>
      <c r="S320" s="32" t="s">
        <v>2117</v>
      </c>
      <c r="T320" s="6">
        <v>1</v>
      </c>
      <c r="U320" s="26">
        <v>5300000</v>
      </c>
      <c r="V320" s="26">
        <v>5300000</v>
      </c>
      <c r="W320" s="26">
        <v>5300000</v>
      </c>
      <c r="X320" s="6" t="s">
        <v>2003</v>
      </c>
      <c r="Y320" s="6" t="s">
        <v>1240</v>
      </c>
      <c r="Z320" s="6">
        <v>224491</v>
      </c>
    </row>
    <row r="321" spans="1:26" x14ac:dyDescent="0.3">
      <c r="A321" s="28" t="s">
        <v>42</v>
      </c>
      <c r="B321" s="6" t="s">
        <v>2322</v>
      </c>
      <c r="C321" s="6" t="s">
        <v>1974</v>
      </c>
      <c r="D321" s="6" t="s">
        <v>2292</v>
      </c>
      <c r="E321" s="6">
        <v>1</v>
      </c>
      <c r="F321" s="6" t="s">
        <v>2004</v>
      </c>
      <c r="G321" s="32" t="s">
        <v>2299</v>
      </c>
      <c r="H321" s="32" t="s">
        <v>2300</v>
      </c>
      <c r="I321" s="6" t="str">
        <f t="shared" si="11"/>
        <v>Etc Grapple</v>
      </c>
      <c r="J321" s="6" t="s">
        <v>590</v>
      </c>
      <c r="K321" s="6">
        <v>1</v>
      </c>
      <c r="L321" s="6">
        <f t="shared" si="12"/>
        <v>7050000</v>
      </c>
      <c r="M321" s="6">
        <v>6000000</v>
      </c>
      <c r="N321" s="6" t="s">
        <v>2003</v>
      </c>
      <c r="O321" s="6" t="s">
        <v>789</v>
      </c>
      <c r="P321" s="6">
        <v>2014</v>
      </c>
      <c r="Q321" s="6">
        <v>1</v>
      </c>
      <c r="R321" s="6" t="s">
        <v>45</v>
      </c>
      <c r="S321" s="32" t="s">
        <v>2122</v>
      </c>
      <c r="T321" s="6">
        <v>1</v>
      </c>
      <c r="U321" s="26">
        <v>5500000</v>
      </c>
      <c r="V321" s="26">
        <v>5500000</v>
      </c>
      <c r="W321" s="26">
        <v>5500000</v>
      </c>
      <c r="X321" s="6" t="s">
        <v>2003</v>
      </c>
      <c r="Y321" s="6" t="s">
        <v>65</v>
      </c>
      <c r="Z321" s="6">
        <v>224492</v>
      </c>
    </row>
    <row r="322" spans="1:26" x14ac:dyDescent="0.3">
      <c r="A322" s="28" t="s">
        <v>42</v>
      </c>
      <c r="B322" s="6" t="s">
        <v>2324</v>
      </c>
      <c r="C322" s="6" t="s">
        <v>1980</v>
      </c>
      <c r="D322" s="6" t="s">
        <v>2291</v>
      </c>
      <c r="E322" s="6">
        <v>1</v>
      </c>
      <c r="F322" s="6" t="s">
        <v>2004</v>
      </c>
      <c r="G322" s="32" t="s">
        <v>2299</v>
      </c>
      <c r="H322" s="32" t="s">
        <v>2300</v>
      </c>
      <c r="I322" s="6" t="str">
        <f t="shared" si="11"/>
        <v>Small Bucket</v>
      </c>
      <c r="J322" s="6" t="s">
        <v>328</v>
      </c>
      <c r="K322" s="6">
        <v>1</v>
      </c>
      <c r="L322" s="6">
        <f t="shared" si="12"/>
        <v>310000</v>
      </c>
      <c r="M322" s="6">
        <v>270000</v>
      </c>
      <c r="N322" s="6" t="s">
        <v>2003</v>
      </c>
      <c r="O322" s="6" t="s">
        <v>790</v>
      </c>
      <c r="P322" s="6">
        <v>2016</v>
      </c>
      <c r="Q322" s="6">
        <v>1</v>
      </c>
      <c r="R322" s="6" t="s">
        <v>45</v>
      </c>
      <c r="S322" s="32" t="s">
        <v>2112</v>
      </c>
      <c r="T322" s="6">
        <v>1</v>
      </c>
      <c r="U322" s="26">
        <v>220000</v>
      </c>
      <c r="V322" s="26">
        <v>220000</v>
      </c>
      <c r="W322" s="26">
        <v>220000</v>
      </c>
      <c r="X322" s="6" t="s">
        <v>2003</v>
      </c>
      <c r="Y322" s="6" t="s">
        <v>1142</v>
      </c>
      <c r="Z322" s="6">
        <v>224496</v>
      </c>
    </row>
    <row r="323" spans="1:26" x14ac:dyDescent="0.3">
      <c r="A323" s="28" t="s">
        <v>42</v>
      </c>
      <c r="B323" s="6" t="s">
        <v>2327</v>
      </c>
      <c r="C323" s="6" t="s">
        <v>1975</v>
      </c>
      <c r="D323" s="6" t="s">
        <v>2292</v>
      </c>
      <c r="E323" s="6">
        <v>1</v>
      </c>
      <c r="F323" s="6" t="s">
        <v>2004</v>
      </c>
      <c r="G323" s="32" t="s">
        <v>2299</v>
      </c>
      <c r="H323" s="32" t="s">
        <v>2300</v>
      </c>
      <c r="I323" s="6" t="str">
        <f t="shared" si="11"/>
        <v>Side Breaker</v>
      </c>
      <c r="J323" s="6" t="s">
        <v>119</v>
      </c>
      <c r="K323" s="6">
        <v>1</v>
      </c>
      <c r="L323" s="6">
        <f t="shared" si="12"/>
        <v>5520000</v>
      </c>
      <c r="M323" s="6">
        <v>4700000</v>
      </c>
      <c r="N323" s="6" t="s">
        <v>2003</v>
      </c>
      <c r="O323" s="6" t="s">
        <v>70</v>
      </c>
      <c r="P323" s="6">
        <v>2015</v>
      </c>
      <c r="Q323" s="6">
        <v>1</v>
      </c>
      <c r="R323" s="6" t="s">
        <v>45</v>
      </c>
      <c r="S323" s="32" t="s">
        <v>2113</v>
      </c>
      <c r="T323" s="6">
        <v>1</v>
      </c>
      <c r="U323" s="26">
        <v>4500000</v>
      </c>
      <c r="V323" s="26">
        <v>4500000</v>
      </c>
      <c r="W323" s="26">
        <v>4500000</v>
      </c>
      <c r="X323" s="6" t="s">
        <v>2003</v>
      </c>
      <c r="Y323" s="6" t="s">
        <v>71</v>
      </c>
      <c r="Z323" s="6">
        <v>224517</v>
      </c>
    </row>
    <row r="324" spans="1:26" x14ac:dyDescent="0.3">
      <c r="A324" s="28" t="s">
        <v>42</v>
      </c>
      <c r="B324" s="6" t="s">
        <v>2324</v>
      </c>
      <c r="C324" s="6" t="s">
        <v>1976</v>
      </c>
      <c r="D324" s="6" t="s">
        <v>2290</v>
      </c>
      <c r="E324" s="6">
        <v>1</v>
      </c>
      <c r="F324" s="6" t="s">
        <v>2004</v>
      </c>
      <c r="G324" s="32" t="s">
        <v>2299</v>
      </c>
      <c r="H324" s="32" t="s">
        <v>2300</v>
      </c>
      <c r="I324" s="6" t="str">
        <f t="shared" si="11"/>
        <v>Skeleton Bucket</v>
      </c>
      <c r="J324" s="6" t="s">
        <v>537</v>
      </c>
      <c r="K324" s="6">
        <v>1</v>
      </c>
      <c r="L324" s="6">
        <f t="shared" si="12"/>
        <v>1050000</v>
      </c>
      <c r="M324" s="6">
        <v>900000</v>
      </c>
      <c r="N324" s="6" t="s">
        <v>2003</v>
      </c>
      <c r="O324" s="6" t="s">
        <v>823</v>
      </c>
      <c r="P324" s="6">
        <v>2013</v>
      </c>
      <c r="Q324" s="6">
        <v>1</v>
      </c>
      <c r="R324" s="6" t="s">
        <v>45</v>
      </c>
      <c r="S324" s="32" t="s">
        <v>2113</v>
      </c>
      <c r="T324" s="6">
        <v>1</v>
      </c>
      <c r="U324" s="26">
        <v>800000</v>
      </c>
      <c r="V324" s="26">
        <v>800000</v>
      </c>
      <c r="W324" s="26">
        <v>800000</v>
      </c>
      <c r="X324" s="6" t="s">
        <v>2003</v>
      </c>
      <c r="Y324" s="6" t="s">
        <v>49</v>
      </c>
      <c r="Z324" s="6">
        <v>224520</v>
      </c>
    </row>
    <row r="325" spans="1:26" x14ac:dyDescent="0.3">
      <c r="A325" s="28" t="s">
        <v>42</v>
      </c>
      <c r="B325" s="6" t="s">
        <v>2307</v>
      </c>
      <c r="C325" s="6"/>
      <c r="D325" s="6" t="s">
        <v>2289</v>
      </c>
      <c r="E325" s="6">
        <v>1</v>
      </c>
      <c r="F325" s="6" t="s">
        <v>2004</v>
      </c>
      <c r="G325" s="32" t="s">
        <v>2299</v>
      </c>
      <c r="H325" s="32" t="s">
        <v>2300</v>
      </c>
      <c r="I325" s="6" t="str">
        <f t="shared" si="11"/>
        <v>ETC</v>
      </c>
      <c r="J325" s="6" t="s">
        <v>363</v>
      </c>
      <c r="K325" s="6">
        <v>1</v>
      </c>
      <c r="L325" s="6">
        <f t="shared" si="12"/>
        <v>15880000</v>
      </c>
      <c r="M325" s="6">
        <v>13500000</v>
      </c>
      <c r="N325" s="6" t="s">
        <v>2003</v>
      </c>
      <c r="O325" s="6" t="s">
        <v>840</v>
      </c>
      <c r="P325" s="6">
        <v>2010</v>
      </c>
      <c r="Q325" s="6">
        <v>1</v>
      </c>
      <c r="R325" s="6" t="s">
        <v>45</v>
      </c>
      <c r="S325" s="32" t="s">
        <v>2117</v>
      </c>
      <c r="T325" s="6">
        <v>1</v>
      </c>
      <c r="U325" s="26">
        <v>13000000</v>
      </c>
      <c r="V325" s="26">
        <v>13000000</v>
      </c>
      <c r="W325" s="26">
        <v>13000000</v>
      </c>
      <c r="X325" s="6" t="s">
        <v>2003</v>
      </c>
      <c r="Y325" s="6" t="s">
        <v>1145</v>
      </c>
      <c r="Z325" s="6">
        <v>224528</v>
      </c>
    </row>
    <row r="326" spans="1:26" x14ac:dyDescent="0.3">
      <c r="A326" s="28" t="s">
        <v>42</v>
      </c>
      <c r="B326" s="6" t="s">
        <v>2322</v>
      </c>
      <c r="C326" s="19" t="s">
        <v>1974</v>
      </c>
      <c r="D326" s="6" t="s">
        <v>2002</v>
      </c>
      <c r="E326" s="6">
        <v>1</v>
      </c>
      <c r="F326" s="6" t="s">
        <v>2004</v>
      </c>
      <c r="G326" s="32" t="s">
        <v>2299</v>
      </c>
      <c r="H326" s="32" t="s">
        <v>2300</v>
      </c>
      <c r="I326" s="6" t="str">
        <f t="shared" si="11"/>
        <v>Etc Grapple</v>
      </c>
      <c r="J326" s="6" t="s">
        <v>241</v>
      </c>
      <c r="K326" s="6">
        <v>1</v>
      </c>
      <c r="L326" s="6">
        <f t="shared" si="12"/>
        <v>2290000</v>
      </c>
      <c r="M326" s="6">
        <v>1950000</v>
      </c>
      <c r="N326" s="6" t="s">
        <v>2003</v>
      </c>
      <c r="O326" s="6" t="s">
        <v>51</v>
      </c>
      <c r="P326" s="6">
        <v>2014</v>
      </c>
      <c r="Q326" s="6">
        <v>1</v>
      </c>
      <c r="R326" s="6" t="s">
        <v>45</v>
      </c>
      <c r="S326" s="32" t="s">
        <v>2113</v>
      </c>
      <c r="T326" s="6">
        <v>1</v>
      </c>
      <c r="U326" s="26">
        <v>1850000</v>
      </c>
      <c r="V326" s="26">
        <v>1850000</v>
      </c>
      <c r="W326" s="26">
        <v>1850000</v>
      </c>
      <c r="X326" s="6" t="s">
        <v>2003</v>
      </c>
      <c r="Y326" s="6" t="s">
        <v>49</v>
      </c>
      <c r="Z326" s="6">
        <v>224534</v>
      </c>
    </row>
    <row r="327" spans="1:26" x14ac:dyDescent="0.3">
      <c r="A327" s="28" t="s">
        <v>42</v>
      </c>
      <c r="B327" s="6" t="s">
        <v>2322</v>
      </c>
      <c r="C327" s="19" t="s">
        <v>1974</v>
      </c>
      <c r="D327" s="6" t="s">
        <v>2293</v>
      </c>
      <c r="E327" s="6">
        <v>1</v>
      </c>
      <c r="F327" s="6" t="s">
        <v>2004</v>
      </c>
      <c r="G327" s="32" t="s">
        <v>2299</v>
      </c>
      <c r="H327" s="32" t="s">
        <v>2300</v>
      </c>
      <c r="I327" s="6" t="str">
        <f t="shared" si="11"/>
        <v>Etc Grapple</v>
      </c>
      <c r="J327" s="6" t="s">
        <v>335</v>
      </c>
      <c r="K327" s="6">
        <v>1</v>
      </c>
      <c r="L327" s="6">
        <f t="shared" si="12"/>
        <v>2640000</v>
      </c>
      <c r="M327" s="6">
        <v>2250000</v>
      </c>
      <c r="N327" s="6" t="s">
        <v>2003</v>
      </c>
      <c r="O327" s="6" t="s">
        <v>2007</v>
      </c>
      <c r="P327" s="6">
        <v>2016</v>
      </c>
      <c r="Q327" s="6">
        <v>1</v>
      </c>
      <c r="R327" s="6" t="s">
        <v>45</v>
      </c>
      <c r="S327" s="32" t="s">
        <v>2113</v>
      </c>
      <c r="T327" s="6">
        <v>1</v>
      </c>
      <c r="U327" s="26">
        <v>2050000</v>
      </c>
      <c r="V327" s="26">
        <v>2050000</v>
      </c>
      <c r="W327" s="26">
        <v>2050000</v>
      </c>
      <c r="X327" s="6" t="s">
        <v>2003</v>
      </c>
      <c r="Y327" s="6" t="s">
        <v>49</v>
      </c>
      <c r="Z327" s="6">
        <v>224545</v>
      </c>
    </row>
    <row r="328" spans="1:26" x14ac:dyDescent="0.3">
      <c r="A328" s="28" t="s">
        <v>42</v>
      </c>
      <c r="B328" s="6" t="s">
        <v>2307</v>
      </c>
      <c r="C328" s="6"/>
      <c r="D328" s="6" t="s">
        <v>2001</v>
      </c>
      <c r="E328" s="6">
        <v>1</v>
      </c>
      <c r="F328" s="6" t="s">
        <v>2004</v>
      </c>
      <c r="G328" s="32" t="s">
        <v>2299</v>
      </c>
      <c r="H328" s="32" t="s">
        <v>2300</v>
      </c>
      <c r="I328" s="6" t="str">
        <f t="shared" si="11"/>
        <v>ETC</v>
      </c>
      <c r="J328" s="6" t="s">
        <v>497</v>
      </c>
      <c r="K328" s="6">
        <v>1</v>
      </c>
      <c r="L328" s="6">
        <f t="shared" si="12"/>
        <v>10000000</v>
      </c>
      <c r="M328" s="6">
        <v>8500000</v>
      </c>
      <c r="N328" s="6" t="s">
        <v>2003</v>
      </c>
      <c r="O328" s="6" t="s">
        <v>1860</v>
      </c>
      <c r="P328" s="6">
        <v>2014</v>
      </c>
      <c r="Q328" s="6">
        <v>1</v>
      </c>
      <c r="R328" s="6" t="s">
        <v>45</v>
      </c>
      <c r="S328" s="32" t="s">
        <v>2121</v>
      </c>
      <c r="T328" s="6">
        <v>1</v>
      </c>
      <c r="U328" s="26">
        <v>8000000</v>
      </c>
      <c r="V328" s="26">
        <v>8000000</v>
      </c>
      <c r="W328" s="26">
        <v>8000000</v>
      </c>
      <c r="X328" s="6" t="s">
        <v>2003</v>
      </c>
      <c r="Y328" s="6" t="s">
        <v>1265</v>
      </c>
      <c r="Z328" s="6">
        <v>224547</v>
      </c>
    </row>
    <row r="329" spans="1:26" x14ac:dyDescent="0.3">
      <c r="A329" s="28" t="s">
        <v>42</v>
      </c>
      <c r="B329" s="6" t="s">
        <v>2322</v>
      </c>
      <c r="C329" s="19" t="s">
        <v>1974</v>
      </c>
      <c r="D329" s="6" t="s">
        <v>2292</v>
      </c>
      <c r="E329" s="6">
        <v>1</v>
      </c>
      <c r="F329" s="6" t="s">
        <v>2004</v>
      </c>
      <c r="G329" s="32" t="s">
        <v>2299</v>
      </c>
      <c r="H329" s="32" t="s">
        <v>2300</v>
      </c>
      <c r="I329" s="6" t="str">
        <f t="shared" si="11"/>
        <v>Etc Grapple</v>
      </c>
      <c r="J329" s="6" t="s">
        <v>297</v>
      </c>
      <c r="K329" s="6">
        <v>1</v>
      </c>
      <c r="L329" s="6">
        <f t="shared" si="12"/>
        <v>3050000</v>
      </c>
      <c r="M329" s="6">
        <v>2600000</v>
      </c>
      <c r="N329" s="6" t="s">
        <v>2003</v>
      </c>
      <c r="O329" s="6" t="s">
        <v>902</v>
      </c>
      <c r="P329" s="6">
        <v>2014</v>
      </c>
      <c r="Q329" s="6">
        <v>1</v>
      </c>
      <c r="R329" s="6" t="s">
        <v>45</v>
      </c>
      <c r="S329" s="32" t="s">
        <v>2112</v>
      </c>
      <c r="T329" s="6">
        <v>1</v>
      </c>
      <c r="U329" s="26">
        <v>2400000</v>
      </c>
      <c r="V329" s="26">
        <v>2400000</v>
      </c>
      <c r="W329" s="26">
        <v>2400000</v>
      </c>
      <c r="X329" s="6" t="s">
        <v>2003</v>
      </c>
      <c r="Y329" s="6" t="s">
        <v>1192</v>
      </c>
      <c r="Z329" s="6">
        <v>224551</v>
      </c>
    </row>
    <row r="330" spans="1:26" x14ac:dyDescent="0.3">
      <c r="A330" s="28" t="s">
        <v>42</v>
      </c>
      <c r="B330" s="6" t="s">
        <v>2325</v>
      </c>
      <c r="C330" s="6"/>
      <c r="D330" s="6" t="s">
        <v>2290</v>
      </c>
      <c r="E330" s="6">
        <v>1</v>
      </c>
      <c r="F330" s="6" t="s">
        <v>2004</v>
      </c>
      <c r="G330" s="32" t="s">
        <v>2299</v>
      </c>
      <c r="H330" s="32" t="s">
        <v>2300</v>
      </c>
      <c r="I330" s="6" t="str">
        <f t="shared" si="11"/>
        <v>Quick Coupler</v>
      </c>
      <c r="J330" s="6" t="s">
        <v>734</v>
      </c>
      <c r="K330" s="6">
        <v>1</v>
      </c>
      <c r="L330" s="6">
        <f t="shared" si="12"/>
        <v>1050000</v>
      </c>
      <c r="M330" s="6">
        <v>900000</v>
      </c>
      <c r="N330" s="6" t="s">
        <v>2003</v>
      </c>
      <c r="O330" s="6" t="s">
        <v>1861</v>
      </c>
      <c r="P330" s="6">
        <v>2007</v>
      </c>
      <c r="Q330" s="6">
        <v>1</v>
      </c>
      <c r="R330" s="6" t="s">
        <v>45</v>
      </c>
      <c r="S330" s="32" t="s">
        <v>2123</v>
      </c>
      <c r="T330" s="6">
        <v>1</v>
      </c>
      <c r="U330" s="26">
        <v>800000</v>
      </c>
      <c r="V330" s="26">
        <v>800000</v>
      </c>
      <c r="W330" s="26">
        <v>800000</v>
      </c>
      <c r="X330" s="6" t="s">
        <v>2003</v>
      </c>
      <c r="Y330" s="6" t="s">
        <v>1157</v>
      </c>
      <c r="Z330" s="6">
        <v>224552</v>
      </c>
    </row>
    <row r="331" spans="1:26" x14ac:dyDescent="0.3">
      <c r="A331" s="28" t="s">
        <v>42</v>
      </c>
      <c r="B331" s="6" t="s">
        <v>2307</v>
      </c>
      <c r="C331" s="6"/>
      <c r="D331" s="6" t="s">
        <v>2289</v>
      </c>
      <c r="E331" s="6">
        <v>1</v>
      </c>
      <c r="F331" s="6" t="s">
        <v>2004</v>
      </c>
      <c r="G331" s="32" t="s">
        <v>2299</v>
      </c>
      <c r="H331" s="32" t="s">
        <v>2300</v>
      </c>
      <c r="I331" s="6" t="str">
        <f t="shared" ref="I331:I394" si="13">IF(ISBLANK(C331),B331,C331)</f>
        <v>ETC</v>
      </c>
      <c r="J331" s="6" t="s">
        <v>173</v>
      </c>
      <c r="K331" s="6">
        <v>1</v>
      </c>
      <c r="L331" s="6">
        <f t="shared" ref="L331:L394" si="14">FLOOR(((M331*100)/85)/10000, 1)*10000</f>
        <v>10000000</v>
      </c>
      <c r="M331" s="6">
        <v>8500000</v>
      </c>
      <c r="N331" s="6" t="s">
        <v>2003</v>
      </c>
      <c r="O331" s="6" t="s">
        <v>792</v>
      </c>
      <c r="P331" s="6">
        <v>2007</v>
      </c>
      <c r="Q331" s="6">
        <v>1</v>
      </c>
      <c r="R331" s="6" t="s">
        <v>45</v>
      </c>
      <c r="S331" s="32" t="s">
        <v>2117</v>
      </c>
      <c r="T331" s="6">
        <v>1</v>
      </c>
      <c r="U331" s="26">
        <v>8000000</v>
      </c>
      <c r="V331" s="26">
        <v>8000000</v>
      </c>
      <c r="W331" s="26">
        <v>8000000</v>
      </c>
      <c r="X331" s="6" t="s">
        <v>2003</v>
      </c>
      <c r="Y331" s="6" t="s">
        <v>1179</v>
      </c>
      <c r="Z331" s="6">
        <v>224558</v>
      </c>
    </row>
    <row r="332" spans="1:26" x14ac:dyDescent="0.3">
      <c r="A332" s="28" t="s">
        <v>42</v>
      </c>
      <c r="B332" s="6" t="s">
        <v>2307</v>
      </c>
      <c r="C332" s="6"/>
      <c r="D332" s="6" t="s">
        <v>2289</v>
      </c>
      <c r="E332" s="6">
        <v>1</v>
      </c>
      <c r="F332" s="6" t="s">
        <v>2004</v>
      </c>
      <c r="G332" s="32" t="s">
        <v>2299</v>
      </c>
      <c r="H332" s="32" t="s">
        <v>2300</v>
      </c>
      <c r="I332" s="6" t="str">
        <f t="shared" si="13"/>
        <v>ETC</v>
      </c>
      <c r="J332" s="6" t="s">
        <v>539</v>
      </c>
      <c r="K332" s="6">
        <v>1</v>
      </c>
      <c r="L332" s="6">
        <f t="shared" si="14"/>
        <v>12350000</v>
      </c>
      <c r="M332" s="6">
        <v>10500000</v>
      </c>
      <c r="N332" s="6" t="s">
        <v>2003</v>
      </c>
      <c r="O332" s="6" t="s">
        <v>949</v>
      </c>
      <c r="P332" s="6">
        <v>2012</v>
      </c>
      <c r="Q332" s="6">
        <v>8</v>
      </c>
      <c r="R332" s="6" t="s">
        <v>45</v>
      </c>
      <c r="S332" s="32" t="s">
        <v>2110</v>
      </c>
      <c r="T332" s="6">
        <v>1</v>
      </c>
      <c r="U332" s="26">
        <v>10000000</v>
      </c>
      <c r="V332" s="26">
        <v>10000000</v>
      </c>
      <c r="W332" s="26">
        <v>10000000</v>
      </c>
      <c r="X332" s="6" t="s">
        <v>2003</v>
      </c>
      <c r="Y332" s="6" t="s">
        <v>1274</v>
      </c>
      <c r="Z332" s="6">
        <v>224559</v>
      </c>
    </row>
    <row r="333" spans="1:26" x14ac:dyDescent="0.3">
      <c r="A333" s="28" t="s">
        <v>42</v>
      </c>
      <c r="B333" s="6" t="s">
        <v>2323</v>
      </c>
      <c r="C333" s="6"/>
      <c r="D333" s="6" t="s">
        <v>2001</v>
      </c>
      <c r="E333" s="6">
        <v>1</v>
      </c>
      <c r="F333" s="6" t="s">
        <v>2004</v>
      </c>
      <c r="G333" s="32" t="s">
        <v>2299</v>
      </c>
      <c r="H333" s="32" t="s">
        <v>2300</v>
      </c>
      <c r="I333" s="6" t="str">
        <f t="shared" si="13"/>
        <v>Ripper</v>
      </c>
      <c r="J333" s="6" t="s">
        <v>540</v>
      </c>
      <c r="K333" s="6">
        <v>1</v>
      </c>
      <c r="L333" s="6">
        <f t="shared" si="14"/>
        <v>2000000</v>
      </c>
      <c r="M333" s="6">
        <v>1700000</v>
      </c>
      <c r="N333" s="6" t="s">
        <v>2003</v>
      </c>
      <c r="O333" s="6" t="s">
        <v>950</v>
      </c>
      <c r="P333" s="6">
        <v>2016</v>
      </c>
      <c r="Q333" s="6">
        <v>1</v>
      </c>
      <c r="R333" s="6" t="s">
        <v>45</v>
      </c>
      <c r="S333" s="32" t="s">
        <v>2121</v>
      </c>
      <c r="T333" s="6">
        <v>1</v>
      </c>
      <c r="U333" s="26">
        <v>1600000</v>
      </c>
      <c r="V333" s="26">
        <v>1600000</v>
      </c>
      <c r="W333" s="26">
        <v>1600000</v>
      </c>
      <c r="X333" s="6" t="s">
        <v>2003</v>
      </c>
      <c r="Y333" s="6" t="s">
        <v>1265</v>
      </c>
      <c r="Z333" s="6">
        <v>224562</v>
      </c>
    </row>
    <row r="334" spans="1:26" x14ac:dyDescent="0.3">
      <c r="A334" s="28" t="s">
        <v>42</v>
      </c>
      <c r="B334" s="6" t="s">
        <v>2328</v>
      </c>
      <c r="C334" s="6"/>
      <c r="D334" s="6" t="s">
        <v>2289</v>
      </c>
      <c r="E334" s="6">
        <v>1</v>
      </c>
      <c r="F334" s="6" t="s">
        <v>2004</v>
      </c>
      <c r="G334" s="32" t="s">
        <v>2299</v>
      </c>
      <c r="H334" s="32" t="s">
        <v>2300</v>
      </c>
      <c r="I334" s="6" t="str">
        <f t="shared" si="13"/>
        <v>ETC</v>
      </c>
      <c r="J334" s="6" t="s">
        <v>126</v>
      </c>
      <c r="K334" s="6">
        <v>1</v>
      </c>
      <c r="L334" s="6">
        <f t="shared" si="14"/>
        <v>13520000</v>
      </c>
      <c r="M334" s="6">
        <v>11500000</v>
      </c>
      <c r="N334" s="6" t="s">
        <v>2003</v>
      </c>
      <c r="O334" s="6" t="s">
        <v>951</v>
      </c>
      <c r="P334" s="6">
        <v>2012</v>
      </c>
      <c r="Q334" s="6">
        <v>4</v>
      </c>
      <c r="R334" s="6" t="s">
        <v>45</v>
      </c>
      <c r="S334" s="32" t="s">
        <v>2111</v>
      </c>
      <c r="T334" s="6">
        <v>1</v>
      </c>
      <c r="U334" s="26">
        <v>11000000</v>
      </c>
      <c r="V334" s="26">
        <v>11000000</v>
      </c>
      <c r="W334" s="26">
        <v>11000000</v>
      </c>
      <c r="X334" s="6" t="s">
        <v>2003</v>
      </c>
      <c r="Y334" s="6" t="s">
        <v>55</v>
      </c>
      <c r="Z334" s="6">
        <v>224568</v>
      </c>
    </row>
    <row r="335" spans="1:26" x14ac:dyDescent="0.3">
      <c r="A335" s="28" t="s">
        <v>42</v>
      </c>
      <c r="B335" s="6" t="s">
        <v>2329</v>
      </c>
      <c r="C335" s="6" t="s">
        <v>1972</v>
      </c>
      <c r="D335" s="6" t="s">
        <v>2292</v>
      </c>
      <c r="E335" s="6">
        <v>1</v>
      </c>
      <c r="F335" s="6" t="s">
        <v>2004</v>
      </c>
      <c r="G335" s="32" t="s">
        <v>2299</v>
      </c>
      <c r="H335" s="32" t="s">
        <v>2300</v>
      </c>
      <c r="I335" s="6" t="str">
        <f t="shared" si="13"/>
        <v>Stone Grapple</v>
      </c>
      <c r="J335" s="6" t="s">
        <v>120</v>
      </c>
      <c r="K335" s="6">
        <v>1</v>
      </c>
      <c r="L335" s="6">
        <f t="shared" si="14"/>
        <v>6580000</v>
      </c>
      <c r="M335" s="6">
        <v>5600000</v>
      </c>
      <c r="N335" s="6" t="s">
        <v>2003</v>
      </c>
      <c r="O335" s="6" t="s">
        <v>2007</v>
      </c>
      <c r="P335" s="6">
        <v>2014</v>
      </c>
      <c r="Q335" s="6">
        <v>1</v>
      </c>
      <c r="R335" s="6" t="s">
        <v>45</v>
      </c>
      <c r="S335" s="32" t="s">
        <v>2113</v>
      </c>
      <c r="T335" s="6">
        <v>1</v>
      </c>
      <c r="U335" s="26">
        <v>5100000</v>
      </c>
      <c r="V335" s="26">
        <v>5100000</v>
      </c>
      <c r="W335" s="26">
        <v>5100000</v>
      </c>
      <c r="X335" s="6" t="s">
        <v>2003</v>
      </c>
      <c r="Y335" s="6" t="s">
        <v>49</v>
      </c>
      <c r="Z335" s="6">
        <v>224569</v>
      </c>
    </row>
    <row r="336" spans="1:26" x14ac:dyDescent="0.3">
      <c r="A336" s="28" t="s">
        <v>42</v>
      </c>
      <c r="B336" s="6" t="s">
        <v>2329</v>
      </c>
      <c r="C336" s="6" t="s">
        <v>1972</v>
      </c>
      <c r="D336" s="6" t="s">
        <v>2292</v>
      </c>
      <c r="E336" s="6">
        <v>1</v>
      </c>
      <c r="F336" s="6" t="s">
        <v>2004</v>
      </c>
      <c r="G336" s="32" t="s">
        <v>2299</v>
      </c>
      <c r="H336" s="32" t="s">
        <v>2300</v>
      </c>
      <c r="I336" s="6" t="str">
        <f t="shared" si="13"/>
        <v>Stone Grapple</v>
      </c>
      <c r="J336" s="6" t="s">
        <v>86</v>
      </c>
      <c r="K336" s="6">
        <v>1</v>
      </c>
      <c r="L336" s="6">
        <f t="shared" si="14"/>
        <v>2110000</v>
      </c>
      <c r="M336" s="6">
        <v>1800000</v>
      </c>
      <c r="N336" s="6" t="s">
        <v>2003</v>
      </c>
      <c r="O336" s="6" t="s">
        <v>800</v>
      </c>
      <c r="P336" s="6">
        <v>2012</v>
      </c>
      <c r="Q336" s="6">
        <v>11</v>
      </c>
      <c r="R336" s="6" t="s">
        <v>45</v>
      </c>
      <c r="S336" s="32" t="s">
        <v>2121</v>
      </c>
      <c r="T336" s="6">
        <v>1</v>
      </c>
      <c r="U336" s="26">
        <v>1700000</v>
      </c>
      <c r="V336" s="26">
        <v>1700000</v>
      </c>
      <c r="W336" s="26">
        <v>1700000</v>
      </c>
      <c r="X336" s="6" t="s">
        <v>2003</v>
      </c>
      <c r="Y336" s="6" t="s">
        <v>87</v>
      </c>
      <c r="Z336" s="6">
        <v>224570</v>
      </c>
    </row>
    <row r="337" spans="1:26" x14ac:dyDescent="0.3">
      <c r="A337" s="28" t="s">
        <v>42</v>
      </c>
      <c r="B337" s="6" t="s">
        <v>2330</v>
      </c>
      <c r="C337" s="6" t="s">
        <v>1975</v>
      </c>
      <c r="D337" s="6" t="s">
        <v>2292</v>
      </c>
      <c r="E337" s="6">
        <v>1</v>
      </c>
      <c r="F337" s="6" t="s">
        <v>2004</v>
      </c>
      <c r="G337" s="32" t="s">
        <v>2299</v>
      </c>
      <c r="H337" s="32" t="s">
        <v>2300</v>
      </c>
      <c r="I337" s="6" t="str">
        <f t="shared" si="13"/>
        <v>Side Breaker</v>
      </c>
      <c r="J337" s="6" t="s">
        <v>541</v>
      </c>
      <c r="K337" s="6">
        <v>1</v>
      </c>
      <c r="L337" s="6">
        <f t="shared" si="14"/>
        <v>4350000</v>
      </c>
      <c r="M337" s="6">
        <v>3700000</v>
      </c>
      <c r="N337" s="6" t="s">
        <v>2003</v>
      </c>
      <c r="O337" s="6" t="s">
        <v>952</v>
      </c>
      <c r="P337" s="6">
        <v>2013</v>
      </c>
      <c r="Q337" s="6">
        <v>1</v>
      </c>
      <c r="R337" s="6" t="s">
        <v>45</v>
      </c>
      <c r="S337" s="32" t="s">
        <v>2118</v>
      </c>
      <c r="T337" s="6">
        <v>1</v>
      </c>
      <c r="U337" s="26">
        <v>3500000</v>
      </c>
      <c r="V337" s="26">
        <v>3500000</v>
      </c>
      <c r="W337" s="26">
        <v>3500000</v>
      </c>
      <c r="X337" s="6" t="s">
        <v>2003</v>
      </c>
      <c r="Y337" s="6" t="s">
        <v>67</v>
      </c>
      <c r="Z337" s="6">
        <v>224575</v>
      </c>
    </row>
    <row r="338" spans="1:26" x14ac:dyDescent="0.3">
      <c r="A338" s="28" t="s">
        <v>42</v>
      </c>
      <c r="B338" s="6" t="s">
        <v>2330</v>
      </c>
      <c r="C338" s="6" t="s">
        <v>1975</v>
      </c>
      <c r="D338" s="6" t="s">
        <v>2001</v>
      </c>
      <c r="E338" s="6">
        <v>1</v>
      </c>
      <c r="F338" s="6" t="s">
        <v>2004</v>
      </c>
      <c r="G338" s="32" t="s">
        <v>2299</v>
      </c>
      <c r="H338" s="32" t="s">
        <v>2300</v>
      </c>
      <c r="I338" s="6" t="str">
        <f t="shared" si="13"/>
        <v>Side Breaker</v>
      </c>
      <c r="J338" s="6" t="s">
        <v>163</v>
      </c>
      <c r="K338" s="6">
        <v>1</v>
      </c>
      <c r="L338" s="6">
        <f t="shared" si="14"/>
        <v>11760000</v>
      </c>
      <c r="M338" s="6">
        <v>10000000</v>
      </c>
      <c r="N338" s="6" t="s">
        <v>2003</v>
      </c>
      <c r="O338" s="6" t="s">
        <v>954</v>
      </c>
      <c r="P338" s="6">
        <v>2013</v>
      </c>
      <c r="Q338" s="6">
        <v>7</v>
      </c>
      <c r="R338" s="6" t="s">
        <v>45</v>
      </c>
      <c r="S338" s="32" t="s">
        <v>2118</v>
      </c>
      <c r="T338" s="6">
        <v>1</v>
      </c>
      <c r="U338" s="26">
        <v>9500000</v>
      </c>
      <c r="V338" s="26">
        <v>9500000</v>
      </c>
      <c r="W338" s="26">
        <v>9500000</v>
      </c>
      <c r="X338" s="6" t="s">
        <v>2003</v>
      </c>
      <c r="Y338" s="6" t="s">
        <v>67</v>
      </c>
      <c r="Z338" s="6">
        <v>224578</v>
      </c>
    </row>
    <row r="339" spans="1:26" x14ac:dyDescent="0.3">
      <c r="A339" s="28" t="s">
        <v>42</v>
      </c>
      <c r="B339" s="6" t="s">
        <v>2194</v>
      </c>
      <c r="C339" s="6"/>
      <c r="D339" s="6" t="s">
        <v>2001</v>
      </c>
      <c r="E339" s="6">
        <v>1</v>
      </c>
      <c r="F339" s="6" t="s">
        <v>2004</v>
      </c>
      <c r="G339" s="32" t="s">
        <v>2299</v>
      </c>
      <c r="H339" s="32" t="s">
        <v>2300</v>
      </c>
      <c r="I339" s="6" t="str">
        <f t="shared" si="13"/>
        <v>Lift Fork</v>
      </c>
      <c r="J339" s="6" t="s">
        <v>277</v>
      </c>
      <c r="K339" s="6">
        <v>1</v>
      </c>
      <c r="L339" s="6">
        <f t="shared" si="14"/>
        <v>2940000</v>
      </c>
      <c r="M339" s="6">
        <v>2500000</v>
      </c>
      <c r="N339" s="6" t="s">
        <v>2003</v>
      </c>
      <c r="O339" s="6" t="s">
        <v>2048</v>
      </c>
      <c r="P339" s="6">
        <v>2017</v>
      </c>
      <c r="Q339" s="6">
        <v>1</v>
      </c>
      <c r="R339" s="6" t="s">
        <v>45</v>
      </c>
      <c r="S339" s="32" t="s">
        <v>2110</v>
      </c>
      <c r="T339" s="6">
        <v>1</v>
      </c>
      <c r="U339" s="26">
        <v>2300000</v>
      </c>
      <c r="V339" s="26">
        <v>2300000</v>
      </c>
      <c r="W339" s="26">
        <v>2300000</v>
      </c>
      <c r="X339" s="6" t="s">
        <v>2003</v>
      </c>
      <c r="Y339" s="6" t="s">
        <v>1155</v>
      </c>
      <c r="Z339" s="6">
        <v>224579</v>
      </c>
    </row>
    <row r="340" spans="1:26" x14ac:dyDescent="0.3">
      <c r="A340" s="28" t="s">
        <v>42</v>
      </c>
      <c r="B340" s="6" t="s">
        <v>2330</v>
      </c>
      <c r="C340" s="6" t="s">
        <v>1975</v>
      </c>
      <c r="D340" s="6" t="s">
        <v>2292</v>
      </c>
      <c r="E340" s="6">
        <v>1</v>
      </c>
      <c r="F340" s="6" t="s">
        <v>2004</v>
      </c>
      <c r="G340" s="32" t="s">
        <v>2299</v>
      </c>
      <c r="H340" s="32" t="s">
        <v>2300</v>
      </c>
      <c r="I340" s="6" t="str">
        <f t="shared" si="13"/>
        <v>Side Breaker</v>
      </c>
      <c r="J340" s="6" t="s">
        <v>119</v>
      </c>
      <c r="K340" s="6">
        <v>1</v>
      </c>
      <c r="L340" s="6">
        <f t="shared" si="14"/>
        <v>3520000</v>
      </c>
      <c r="M340" s="6">
        <v>3000000</v>
      </c>
      <c r="N340" s="6" t="s">
        <v>2003</v>
      </c>
      <c r="O340" s="6" t="s">
        <v>2007</v>
      </c>
      <c r="P340" s="6">
        <v>2012</v>
      </c>
      <c r="Q340" s="6">
        <v>1</v>
      </c>
      <c r="R340" s="6" t="s">
        <v>45</v>
      </c>
      <c r="S340" s="32" t="s">
        <v>2113</v>
      </c>
      <c r="T340" s="6">
        <v>1</v>
      </c>
      <c r="U340" s="26">
        <v>2800000</v>
      </c>
      <c r="V340" s="26">
        <v>2800000</v>
      </c>
      <c r="W340" s="26">
        <v>2800000</v>
      </c>
      <c r="X340" s="6" t="s">
        <v>2003</v>
      </c>
      <c r="Y340" s="6" t="s">
        <v>49</v>
      </c>
      <c r="Z340" s="6">
        <v>224581</v>
      </c>
    </row>
    <row r="341" spans="1:26" x14ac:dyDescent="0.3">
      <c r="A341" s="28" t="s">
        <v>42</v>
      </c>
      <c r="B341" s="6" t="s">
        <v>2330</v>
      </c>
      <c r="C341" s="6" t="s">
        <v>1975</v>
      </c>
      <c r="D341" s="6" t="s">
        <v>2291</v>
      </c>
      <c r="E341" s="6">
        <v>1</v>
      </c>
      <c r="F341" s="6" t="s">
        <v>2004</v>
      </c>
      <c r="G341" s="32" t="s">
        <v>2299</v>
      </c>
      <c r="H341" s="32" t="s">
        <v>2300</v>
      </c>
      <c r="I341" s="6" t="str">
        <f t="shared" si="13"/>
        <v>Side Breaker</v>
      </c>
      <c r="J341" s="6" t="s">
        <v>543</v>
      </c>
      <c r="K341" s="6">
        <v>1</v>
      </c>
      <c r="L341" s="6">
        <f t="shared" si="14"/>
        <v>2350000</v>
      </c>
      <c r="M341" s="6">
        <v>2000000</v>
      </c>
      <c r="N341" s="6" t="s">
        <v>2003</v>
      </c>
      <c r="O341" s="6" t="s">
        <v>2007</v>
      </c>
      <c r="P341" s="6">
        <v>2017</v>
      </c>
      <c r="Q341" s="6">
        <v>1</v>
      </c>
      <c r="R341" s="6" t="s">
        <v>45</v>
      </c>
      <c r="S341" s="32" t="s">
        <v>2113</v>
      </c>
      <c r="T341" s="6">
        <v>1</v>
      </c>
      <c r="U341" s="26">
        <v>1900000</v>
      </c>
      <c r="V341" s="26">
        <v>1900000</v>
      </c>
      <c r="W341" s="26">
        <v>1900000</v>
      </c>
      <c r="X341" s="6" t="s">
        <v>2003</v>
      </c>
      <c r="Y341" s="6" t="s">
        <v>49</v>
      </c>
      <c r="Z341" s="6">
        <v>224586</v>
      </c>
    </row>
    <row r="342" spans="1:26" x14ac:dyDescent="0.3">
      <c r="A342" s="28" t="s">
        <v>42</v>
      </c>
      <c r="B342" s="6" t="s">
        <v>2331</v>
      </c>
      <c r="C342" s="6"/>
      <c r="D342" s="6" t="s">
        <v>2292</v>
      </c>
      <c r="E342" s="6">
        <v>1</v>
      </c>
      <c r="F342" s="6" t="s">
        <v>2004</v>
      </c>
      <c r="G342" s="32" t="s">
        <v>2299</v>
      </c>
      <c r="H342" s="32" t="s">
        <v>2300</v>
      </c>
      <c r="I342" s="6" t="str">
        <f t="shared" si="13"/>
        <v>Ripper</v>
      </c>
      <c r="J342" s="6" t="s">
        <v>313</v>
      </c>
      <c r="K342" s="6">
        <v>1</v>
      </c>
      <c r="L342" s="6">
        <f t="shared" si="14"/>
        <v>940000</v>
      </c>
      <c r="M342" s="6">
        <v>800000</v>
      </c>
      <c r="N342" s="6" t="s">
        <v>2003</v>
      </c>
      <c r="O342" s="6" t="s">
        <v>955</v>
      </c>
      <c r="P342" s="6">
        <v>2014</v>
      </c>
      <c r="Q342" s="6">
        <v>1</v>
      </c>
      <c r="R342" s="6" t="s">
        <v>45</v>
      </c>
      <c r="S342" s="32" t="s">
        <v>2121</v>
      </c>
      <c r="T342" s="6">
        <v>1</v>
      </c>
      <c r="U342" s="26">
        <v>700000</v>
      </c>
      <c r="V342" s="26">
        <v>700000</v>
      </c>
      <c r="W342" s="26">
        <v>700000</v>
      </c>
      <c r="X342" s="6" t="s">
        <v>2003</v>
      </c>
      <c r="Y342" s="6" t="s">
        <v>1265</v>
      </c>
      <c r="Z342" s="6">
        <v>224589</v>
      </c>
    </row>
    <row r="343" spans="1:26" x14ac:dyDescent="0.3">
      <c r="A343" s="28" t="s">
        <v>42</v>
      </c>
      <c r="B343" s="6" t="s">
        <v>2332</v>
      </c>
      <c r="C343" s="19" t="s">
        <v>2321</v>
      </c>
      <c r="D343" s="6" t="s">
        <v>2001</v>
      </c>
      <c r="E343" s="6">
        <v>1</v>
      </c>
      <c r="F343" s="6" t="s">
        <v>2004</v>
      </c>
      <c r="G343" s="32" t="s">
        <v>2299</v>
      </c>
      <c r="H343" s="32" t="s">
        <v>2300</v>
      </c>
      <c r="I343" s="6" t="str">
        <f t="shared" si="13"/>
        <v>Etc Crusher</v>
      </c>
      <c r="J343" s="6" t="s">
        <v>53</v>
      </c>
      <c r="K343" s="6">
        <v>1</v>
      </c>
      <c r="L343" s="6">
        <f t="shared" si="14"/>
        <v>14700000</v>
      </c>
      <c r="M343" s="6">
        <v>12500000</v>
      </c>
      <c r="N343" s="6" t="s">
        <v>2003</v>
      </c>
      <c r="O343" s="6" t="s">
        <v>956</v>
      </c>
      <c r="P343" s="6">
        <v>2014</v>
      </c>
      <c r="Q343" s="6">
        <v>1</v>
      </c>
      <c r="R343" s="6" t="s">
        <v>45</v>
      </c>
      <c r="S343" s="32" t="s">
        <v>2121</v>
      </c>
      <c r="T343" s="6">
        <v>1</v>
      </c>
      <c r="U343" s="26">
        <v>12000000</v>
      </c>
      <c r="V343" s="26">
        <v>12000000</v>
      </c>
      <c r="W343" s="26">
        <v>12000000</v>
      </c>
      <c r="X343" s="6" t="s">
        <v>2003</v>
      </c>
      <c r="Y343" s="6" t="s">
        <v>1265</v>
      </c>
      <c r="Z343" s="6">
        <v>224596</v>
      </c>
    </row>
    <row r="344" spans="1:26" x14ac:dyDescent="0.3">
      <c r="A344" s="28" t="s">
        <v>42</v>
      </c>
      <c r="B344" s="6" t="s">
        <v>2329</v>
      </c>
      <c r="C344" s="6" t="s">
        <v>1973</v>
      </c>
      <c r="D344" s="6" t="s">
        <v>2291</v>
      </c>
      <c r="E344" s="6">
        <v>1</v>
      </c>
      <c r="F344" s="6" t="s">
        <v>2004</v>
      </c>
      <c r="G344" s="32" t="s">
        <v>2299</v>
      </c>
      <c r="H344" s="32" t="s">
        <v>2300</v>
      </c>
      <c r="I344" s="6" t="str">
        <f t="shared" si="13"/>
        <v>Wood Grapple</v>
      </c>
      <c r="J344" s="6" t="s">
        <v>127</v>
      </c>
      <c r="K344" s="6">
        <v>1</v>
      </c>
      <c r="L344" s="6">
        <f t="shared" si="14"/>
        <v>3520000</v>
      </c>
      <c r="M344" s="6">
        <v>3000000</v>
      </c>
      <c r="N344" s="6" t="s">
        <v>2003</v>
      </c>
      <c r="O344" s="6" t="s">
        <v>51</v>
      </c>
      <c r="P344" s="6">
        <v>2014</v>
      </c>
      <c r="Q344" s="6">
        <v>1</v>
      </c>
      <c r="R344" s="6" t="s">
        <v>45</v>
      </c>
      <c r="S344" s="32" t="s">
        <v>2113</v>
      </c>
      <c r="T344" s="6">
        <v>1</v>
      </c>
      <c r="U344" s="26">
        <v>2800000</v>
      </c>
      <c r="V344" s="26">
        <v>2800000</v>
      </c>
      <c r="W344" s="26">
        <v>2800000</v>
      </c>
      <c r="X344" s="6" t="s">
        <v>2003</v>
      </c>
      <c r="Y344" s="6" t="s">
        <v>49</v>
      </c>
      <c r="Z344" s="6">
        <v>224602</v>
      </c>
    </row>
    <row r="345" spans="1:26" x14ac:dyDescent="0.3">
      <c r="A345" s="28" t="s">
        <v>42</v>
      </c>
      <c r="B345" s="6" t="s">
        <v>2333</v>
      </c>
      <c r="C345" s="6" t="s">
        <v>1976</v>
      </c>
      <c r="D345" s="6" t="s">
        <v>2289</v>
      </c>
      <c r="E345" s="6">
        <v>1</v>
      </c>
      <c r="F345" s="6" t="s">
        <v>2004</v>
      </c>
      <c r="G345" s="32" t="s">
        <v>2299</v>
      </c>
      <c r="H345" s="32" t="s">
        <v>2300</v>
      </c>
      <c r="I345" s="6" t="str">
        <f t="shared" si="13"/>
        <v>Skeleton Bucket</v>
      </c>
      <c r="J345" s="6" t="s">
        <v>547</v>
      </c>
      <c r="K345" s="6">
        <v>1</v>
      </c>
      <c r="L345" s="6">
        <f t="shared" si="14"/>
        <v>3410000</v>
      </c>
      <c r="M345" s="6">
        <v>2900000</v>
      </c>
      <c r="N345" s="6" t="s">
        <v>2003</v>
      </c>
      <c r="O345" s="6">
        <v>1</v>
      </c>
      <c r="P345" s="6">
        <v>2014</v>
      </c>
      <c r="Q345" s="6">
        <v>1</v>
      </c>
      <c r="R345" s="6" t="s">
        <v>45</v>
      </c>
      <c r="S345" s="32" t="s">
        <v>2116</v>
      </c>
      <c r="T345" s="6">
        <v>1</v>
      </c>
      <c r="U345" s="26">
        <v>2700000</v>
      </c>
      <c r="V345" s="26">
        <v>2700000</v>
      </c>
      <c r="W345" s="26">
        <v>2700000</v>
      </c>
      <c r="X345" s="6" t="s">
        <v>2003</v>
      </c>
      <c r="Y345" s="6" t="s">
        <v>1185</v>
      </c>
      <c r="Z345" s="6">
        <v>224604</v>
      </c>
    </row>
    <row r="346" spans="1:26" x14ac:dyDescent="0.3">
      <c r="A346" s="28" t="s">
        <v>42</v>
      </c>
      <c r="B346" s="6" t="s">
        <v>2328</v>
      </c>
      <c r="C346" s="6"/>
      <c r="D346" s="6" t="s">
        <v>2289</v>
      </c>
      <c r="E346" s="6">
        <v>1</v>
      </c>
      <c r="F346" s="6" t="s">
        <v>2004</v>
      </c>
      <c r="G346" s="32" t="s">
        <v>2299</v>
      </c>
      <c r="H346" s="32" t="s">
        <v>2300</v>
      </c>
      <c r="I346" s="6" t="str">
        <f t="shared" si="13"/>
        <v>ETC</v>
      </c>
      <c r="J346" s="6" t="s">
        <v>548</v>
      </c>
      <c r="K346" s="6">
        <v>1</v>
      </c>
      <c r="L346" s="6">
        <f t="shared" si="14"/>
        <v>2580000</v>
      </c>
      <c r="M346" s="6">
        <v>2200000</v>
      </c>
      <c r="N346" s="6" t="s">
        <v>2003</v>
      </c>
      <c r="O346" s="6">
        <v>1</v>
      </c>
      <c r="P346" s="6">
        <v>2013</v>
      </c>
      <c r="Q346" s="6">
        <v>1</v>
      </c>
      <c r="R346" s="6" t="s">
        <v>45</v>
      </c>
      <c r="S346" s="32" t="s">
        <v>2116</v>
      </c>
      <c r="T346" s="6">
        <v>1</v>
      </c>
      <c r="U346" s="26">
        <v>2000000</v>
      </c>
      <c r="V346" s="26">
        <v>2000000</v>
      </c>
      <c r="W346" s="26">
        <v>2000000</v>
      </c>
      <c r="X346" s="6" t="s">
        <v>2003</v>
      </c>
      <c r="Y346" s="6" t="s">
        <v>1185</v>
      </c>
      <c r="Z346" s="6">
        <v>224606</v>
      </c>
    </row>
    <row r="347" spans="1:26" x14ac:dyDescent="0.3">
      <c r="A347" s="28" t="s">
        <v>42</v>
      </c>
      <c r="B347" s="6" t="s">
        <v>2329</v>
      </c>
      <c r="C347" s="6" t="s">
        <v>1979</v>
      </c>
      <c r="D347" s="6" t="s">
        <v>2292</v>
      </c>
      <c r="E347" s="6">
        <v>1</v>
      </c>
      <c r="F347" s="6" t="s">
        <v>2004</v>
      </c>
      <c r="G347" s="32" t="s">
        <v>2299</v>
      </c>
      <c r="H347" s="32" t="s">
        <v>2300</v>
      </c>
      <c r="I347" s="6" t="str">
        <f t="shared" si="13"/>
        <v>Thumb Grapple</v>
      </c>
      <c r="J347" s="6" t="s">
        <v>186</v>
      </c>
      <c r="K347" s="6">
        <v>1</v>
      </c>
      <c r="L347" s="6">
        <f t="shared" si="14"/>
        <v>940000</v>
      </c>
      <c r="M347" s="6">
        <v>800000</v>
      </c>
      <c r="N347" s="6" t="s">
        <v>2003</v>
      </c>
      <c r="O347" s="6" t="s">
        <v>813</v>
      </c>
      <c r="P347" s="6">
        <v>2013</v>
      </c>
      <c r="Q347" s="6">
        <v>1</v>
      </c>
      <c r="R347" s="6" t="s">
        <v>45</v>
      </c>
      <c r="S347" s="32" t="s">
        <v>2113</v>
      </c>
      <c r="T347" s="6">
        <v>1</v>
      </c>
      <c r="U347" s="26">
        <v>700000</v>
      </c>
      <c r="V347" s="26">
        <v>700000</v>
      </c>
      <c r="W347" s="26">
        <v>700000</v>
      </c>
      <c r="X347" s="6" t="s">
        <v>2003</v>
      </c>
      <c r="Y347" s="6" t="s">
        <v>80</v>
      </c>
      <c r="Z347" s="6">
        <v>224608</v>
      </c>
    </row>
    <row r="348" spans="1:26" x14ac:dyDescent="0.3">
      <c r="A348" s="28" t="s">
        <v>42</v>
      </c>
      <c r="B348" s="6" t="s">
        <v>2333</v>
      </c>
      <c r="C348" s="6" t="s">
        <v>1976</v>
      </c>
      <c r="D348" s="6" t="s">
        <v>2292</v>
      </c>
      <c r="E348" s="6">
        <v>1</v>
      </c>
      <c r="F348" s="6" t="s">
        <v>2004</v>
      </c>
      <c r="G348" s="32" t="s">
        <v>2299</v>
      </c>
      <c r="H348" s="32" t="s">
        <v>2300</v>
      </c>
      <c r="I348" s="6" t="str">
        <f t="shared" si="13"/>
        <v>Skeleton Bucket</v>
      </c>
      <c r="J348" s="6" t="s">
        <v>62</v>
      </c>
      <c r="K348" s="6">
        <v>1</v>
      </c>
      <c r="L348" s="6">
        <f t="shared" si="14"/>
        <v>1110000</v>
      </c>
      <c r="M348" s="6">
        <v>950000</v>
      </c>
      <c r="N348" s="6" t="s">
        <v>2003</v>
      </c>
      <c r="O348" s="6" t="s">
        <v>813</v>
      </c>
      <c r="P348" s="6">
        <v>2013</v>
      </c>
      <c r="Q348" s="6">
        <v>1</v>
      </c>
      <c r="R348" s="6" t="s">
        <v>45</v>
      </c>
      <c r="S348" s="32" t="s">
        <v>2113</v>
      </c>
      <c r="T348" s="6">
        <v>1</v>
      </c>
      <c r="U348" s="26">
        <v>850000</v>
      </c>
      <c r="V348" s="26">
        <v>850000</v>
      </c>
      <c r="W348" s="26">
        <v>850000</v>
      </c>
      <c r="X348" s="6" t="s">
        <v>2003</v>
      </c>
      <c r="Y348" s="6" t="s">
        <v>79</v>
      </c>
      <c r="Z348" s="6">
        <v>224612</v>
      </c>
    </row>
    <row r="349" spans="1:26" x14ac:dyDescent="0.3">
      <c r="A349" s="28" t="s">
        <v>42</v>
      </c>
      <c r="B349" s="6" t="s">
        <v>2329</v>
      </c>
      <c r="C349" s="19" t="s">
        <v>1974</v>
      </c>
      <c r="D349" s="6" t="s">
        <v>2001</v>
      </c>
      <c r="E349" s="6">
        <v>1</v>
      </c>
      <c r="F349" s="6" t="s">
        <v>2004</v>
      </c>
      <c r="G349" s="32" t="s">
        <v>2299</v>
      </c>
      <c r="H349" s="32" t="s">
        <v>2300</v>
      </c>
      <c r="I349" s="6" t="str">
        <f t="shared" si="13"/>
        <v>Etc Grapple</v>
      </c>
      <c r="J349" s="6" t="s">
        <v>550</v>
      </c>
      <c r="K349" s="6">
        <v>1</v>
      </c>
      <c r="L349" s="6">
        <f t="shared" si="14"/>
        <v>8230000</v>
      </c>
      <c r="M349" s="6">
        <v>7000000</v>
      </c>
      <c r="N349" s="6" t="s">
        <v>2003</v>
      </c>
      <c r="O349" s="6" t="s">
        <v>835</v>
      </c>
      <c r="P349" s="6">
        <v>2012</v>
      </c>
      <c r="Q349" s="6">
        <v>7</v>
      </c>
      <c r="R349" s="6" t="s">
        <v>45</v>
      </c>
      <c r="S349" s="32" t="s">
        <v>2116</v>
      </c>
      <c r="T349" s="6">
        <v>1</v>
      </c>
      <c r="U349" s="26">
        <v>6500000</v>
      </c>
      <c r="V349" s="26">
        <v>6500000</v>
      </c>
      <c r="W349" s="26">
        <v>6500000</v>
      </c>
      <c r="X349" s="6" t="s">
        <v>2003</v>
      </c>
      <c r="Y349" s="6" t="s">
        <v>1173</v>
      </c>
      <c r="Z349" s="6">
        <v>224615</v>
      </c>
    </row>
    <row r="350" spans="1:26" x14ac:dyDescent="0.3">
      <c r="A350" s="28" t="s">
        <v>42</v>
      </c>
      <c r="B350" s="6" t="s">
        <v>2329</v>
      </c>
      <c r="C350" s="6" t="s">
        <v>1972</v>
      </c>
      <c r="D350" s="6" t="s">
        <v>2290</v>
      </c>
      <c r="E350" s="6">
        <v>1</v>
      </c>
      <c r="F350" s="6" t="s">
        <v>2004</v>
      </c>
      <c r="G350" s="32" t="s">
        <v>2299</v>
      </c>
      <c r="H350" s="32" t="s">
        <v>2300</v>
      </c>
      <c r="I350" s="6" t="str">
        <f t="shared" si="13"/>
        <v>Stone Grapple</v>
      </c>
      <c r="J350" s="6" t="s">
        <v>94</v>
      </c>
      <c r="K350" s="6">
        <v>1</v>
      </c>
      <c r="L350" s="6">
        <f t="shared" si="14"/>
        <v>3170000</v>
      </c>
      <c r="M350" s="6">
        <v>2700000</v>
      </c>
      <c r="N350" s="6" t="s">
        <v>2003</v>
      </c>
      <c r="O350" s="6" t="s">
        <v>958</v>
      </c>
      <c r="P350" s="6">
        <v>2010</v>
      </c>
      <c r="Q350" s="6">
        <v>6</v>
      </c>
      <c r="R350" s="6" t="s">
        <v>45</v>
      </c>
      <c r="S350" s="32" t="s">
        <v>2116</v>
      </c>
      <c r="T350" s="6">
        <v>1</v>
      </c>
      <c r="U350" s="26">
        <v>2500000</v>
      </c>
      <c r="V350" s="26">
        <v>2500000</v>
      </c>
      <c r="W350" s="26">
        <v>2500000</v>
      </c>
      <c r="X350" s="6" t="s">
        <v>2003</v>
      </c>
      <c r="Y350" s="6" t="s">
        <v>1276</v>
      </c>
      <c r="Z350" s="6">
        <v>224616</v>
      </c>
    </row>
    <row r="351" spans="1:26" x14ac:dyDescent="0.3">
      <c r="A351" s="28" t="s">
        <v>42</v>
      </c>
      <c r="B351" s="6" t="s">
        <v>2334</v>
      </c>
      <c r="C351" s="6" t="s">
        <v>1982</v>
      </c>
      <c r="D351" s="6" t="s">
        <v>2292</v>
      </c>
      <c r="E351" s="6">
        <v>1</v>
      </c>
      <c r="F351" s="6" t="s">
        <v>2004</v>
      </c>
      <c r="G351" s="32" t="s">
        <v>2299</v>
      </c>
      <c r="H351" s="32" t="s">
        <v>2300</v>
      </c>
      <c r="I351" s="6" t="str">
        <f t="shared" si="13"/>
        <v>Standard Bucket</v>
      </c>
      <c r="J351" s="6" t="s">
        <v>140</v>
      </c>
      <c r="K351" s="6">
        <v>1</v>
      </c>
      <c r="L351" s="6">
        <f t="shared" si="14"/>
        <v>940000</v>
      </c>
      <c r="M351" s="6">
        <v>800000</v>
      </c>
      <c r="N351" s="6" t="s">
        <v>2003</v>
      </c>
      <c r="O351" s="6" t="s">
        <v>813</v>
      </c>
      <c r="P351" s="6">
        <v>2013</v>
      </c>
      <c r="Q351" s="6">
        <v>1</v>
      </c>
      <c r="R351" s="6" t="s">
        <v>45</v>
      </c>
      <c r="S351" s="32" t="s">
        <v>2113</v>
      </c>
      <c r="T351" s="6">
        <v>1</v>
      </c>
      <c r="U351" s="26">
        <v>700000</v>
      </c>
      <c r="V351" s="26">
        <v>700000</v>
      </c>
      <c r="W351" s="26">
        <v>700000</v>
      </c>
      <c r="X351" s="6" t="s">
        <v>2003</v>
      </c>
      <c r="Y351" s="6" t="s">
        <v>80</v>
      </c>
      <c r="Z351" s="6">
        <v>224618</v>
      </c>
    </row>
    <row r="352" spans="1:26" x14ac:dyDescent="0.3">
      <c r="A352" s="28" t="s">
        <v>42</v>
      </c>
      <c r="B352" s="6" t="s">
        <v>2329</v>
      </c>
      <c r="C352" s="19" t="s">
        <v>1974</v>
      </c>
      <c r="D352" s="6" t="s">
        <v>2002</v>
      </c>
      <c r="E352" s="6">
        <v>1</v>
      </c>
      <c r="F352" s="6" t="s">
        <v>2004</v>
      </c>
      <c r="G352" s="32" t="s">
        <v>2299</v>
      </c>
      <c r="H352" s="32" t="s">
        <v>2300</v>
      </c>
      <c r="I352" s="6" t="str">
        <f t="shared" si="13"/>
        <v>Etc Grapple</v>
      </c>
      <c r="J352" s="6" t="s">
        <v>551</v>
      </c>
      <c r="K352" s="6">
        <v>1</v>
      </c>
      <c r="L352" s="6">
        <f t="shared" si="14"/>
        <v>2580000</v>
      </c>
      <c r="M352" s="6">
        <v>2200000</v>
      </c>
      <c r="N352" s="6" t="s">
        <v>2003</v>
      </c>
      <c r="O352" s="6" t="s">
        <v>959</v>
      </c>
      <c r="P352" s="6">
        <v>2015</v>
      </c>
      <c r="Q352" s="6">
        <v>1</v>
      </c>
      <c r="R352" s="6" t="s">
        <v>45</v>
      </c>
      <c r="S352" s="32" t="s">
        <v>2113</v>
      </c>
      <c r="T352" s="6">
        <v>1</v>
      </c>
      <c r="U352" s="26">
        <v>2000000</v>
      </c>
      <c r="V352" s="26">
        <v>2000000</v>
      </c>
      <c r="W352" s="26">
        <v>2000000</v>
      </c>
      <c r="X352" s="6" t="s">
        <v>2003</v>
      </c>
      <c r="Y352" s="6" t="s">
        <v>49</v>
      </c>
      <c r="Z352" s="6">
        <v>224620</v>
      </c>
    </row>
    <row r="353" spans="1:26" x14ac:dyDescent="0.3">
      <c r="A353" s="28" t="s">
        <v>42</v>
      </c>
      <c r="B353" s="6" t="s">
        <v>2334</v>
      </c>
      <c r="C353" s="6" t="s">
        <v>1982</v>
      </c>
      <c r="D353" s="6" t="s">
        <v>2292</v>
      </c>
      <c r="E353" s="6">
        <v>1</v>
      </c>
      <c r="F353" s="6" t="s">
        <v>2004</v>
      </c>
      <c r="G353" s="32" t="s">
        <v>2299</v>
      </c>
      <c r="H353" s="32" t="s">
        <v>2300</v>
      </c>
      <c r="I353" s="6" t="str">
        <f t="shared" si="13"/>
        <v>Standard Bucket</v>
      </c>
      <c r="J353" s="6" t="s">
        <v>147</v>
      </c>
      <c r="K353" s="6">
        <v>1</v>
      </c>
      <c r="L353" s="6">
        <f t="shared" si="14"/>
        <v>940000</v>
      </c>
      <c r="M353" s="6">
        <v>800000</v>
      </c>
      <c r="N353" s="6" t="s">
        <v>2003</v>
      </c>
      <c r="O353" s="6" t="s">
        <v>813</v>
      </c>
      <c r="P353" s="6">
        <v>2013</v>
      </c>
      <c r="Q353" s="6">
        <v>1</v>
      </c>
      <c r="R353" s="6" t="s">
        <v>45</v>
      </c>
      <c r="S353" s="32" t="s">
        <v>2113</v>
      </c>
      <c r="T353" s="6">
        <v>1</v>
      </c>
      <c r="U353" s="26">
        <v>700000</v>
      </c>
      <c r="V353" s="26">
        <v>700000</v>
      </c>
      <c r="W353" s="26">
        <v>700000</v>
      </c>
      <c r="X353" s="6" t="s">
        <v>2003</v>
      </c>
      <c r="Y353" s="6" t="s">
        <v>79</v>
      </c>
      <c r="Z353" s="6">
        <v>224624</v>
      </c>
    </row>
    <row r="354" spans="1:26" x14ac:dyDescent="0.3">
      <c r="A354" s="28" t="s">
        <v>42</v>
      </c>
      <c r="B354" s="6" t="s">
        <v>2332</v>
      </c>
      <c r="C354" s="6" t="s">
        <v>2321</v>
      </c>
      <c r="D354" s="6" t="s">
        <v>2292</v>
      </c>
      <c r="E354" s="6">
        <v>1</v>
      </c>
      <c r="F354" s="6" t="s">
        <v>2004</v>
      </c>
      <c r="G354" s="32" t="s">
        <v>2299</v>
      </c>
      <c r="H354" s="32" t="s">
        <v>2300</v>
      </c>
      <c r="I354" s="6" t="str">
        <f t="shared" si="13"/>
        <v>Etc Crusher</v>
      </c>
      <c r="J354" s="6" t="s">
        <v>104</v>
      </c>
      <c r="K354" s="6">
        <v>1</v>
      </c>
      <c r="L354" s="6">
        <f t="shared" si="14"/>
        <v>13520000</v>
      </c>
      <c r="M354" s="6">
        <v>11500000</v>
      </c>
      <c r="N354" s="6" t="s">
        <v>2003</v>
      </c>
      <c r="O354" s="6" t="s">
        <v>2007</v>
      </c>
      <c r="P354" s="6">
        <v>2015</v>
      </c>
      <c r="Q354" s="6">
        <v>1</v>
      </c>
      <c r="R354" s="6" t="s">
        <v>45</v>
      </c>
      <c r="S354" s="32" t="s">
        <v>2113</v>
      </c>
      <c r="T354" s="6">
        <v>1</v>
      </c>
      <c r="U354" s="26">
        <v>11000000</v>
      </c>
      <c r="V354" s="26">
        <v>11000000</v>
      </c>
      <c r="W354" s="26">
        <v>11000000</v>
      </c>
      <c r="X354" s="6" t="s">
        <v>2003</v>
      </c>
      <c r="Y354" s="6" t="s">
        <v>49</v>
      </c>
      <c r="Z354" s="6">
        <v>224633</v>
      </c>
    </row>
    <row r="355" spans="1:26" x14ac:dyDescent="0.3">
      <c r="A355" s="28" t="s">
        <v>42</v>
      </c>
      <c r="B355" s="6" t="s">
        <v>2331</v>
      </c>
      <c r="C355" s="6"/>
      <c r="D355" s="6" t="s">
        <v>2290</v>
      </c>
      <c r="E355" s="6">
        <v>1</v>
      </c>
      <c r="F355" s="6" t="s">
        <v>2004</v>
      </c>
      <c r="G355" s="32" t="s">
        <v>2299</v>
      </c>
      <c r="H355" s="32" t="s">
        <v>2300</v>
      </c>
      <c r="I355" s="6" t="str">
        <f t="shared" si="13"/>
        <v>Ripper</v>
      </c>
      <c r="J355" s="6" t="s">
        <v>576</v>
      </c>
      <c r="K355" s="6">
        <v>1</v>
      </c>
      <c r="L355" s="6">
        <f t="shared" si="14"/>
        <v>1290000</v>
      </c>
      <c r="M355" s="6">
        <v>1100000</v>
      </c>
      <c r="N355" s="6" t="s">
        <v>2003</v>
      </c>
      <c r="O355" s="6" t="s">
        <v>2008</v>
      </c>
      <c r="P355" s="6">
        <v>2017</v>
      </c>
      <c r="Q355" s="6">
        <v>1</v>
      </c>
      <c r="R355" s="6" t="s">
        <v>45</v>
      </c>
      <c r="S355" s="32" t="s">
        <v>2110</v>
      </c>
      <c r="T355" s="6">
        <v>1</v>
      </c>
      <c r="U355" s="26">
        <v>1000000</v>
      </c>
      <c r="V355" s="26">
        <v>1000000</v>
      </c>
      <c r="W355" s="26">
        <v>1000000</v>
      </c>
      <c r="X355" s="6" t="s">
        <v>2003</v>
      </c>
      <c r="Y355" s="6" t="s">
        <v>1155</v>
      </c>
      <c r="Z355" s="6">
        <v>224635</v>
      </c>
    </row>
    <row r="356" spans="1:26" x14ac:dyDescent="0.3">
      <c r="A356" s="28" t="s">
        <v>42</v>
      </c>
      <c r="B356" s="6" t="s">
        <v>2190</v>
      </c>
      <c r="C356" s="6"/>
      <c r="D356" s="6" t="s">
        <v>2292</v>
      </c>
      <c r="E356" s="6">
        <v>1</v>
      </c>
      <c r="F356" s="6" t="s">
        <v>2004</v>
      </c>
      <c r="G356" s="32" t="s">
        <v>2299</v>
      </c>
      <c r="H356" s="32" t="s">
        <v>2300</v>
      </c>
      <c r="I356" s="6" t="str">
        <f t="shared" si="13"/>
        <v>Lift Fork</v>
      </c>
      <c r="J356" s="6" t="s">
        <v>555</v>
      </c>
      <c r="K356" s="6">
        <v>1</v>
      </c>
      <c r="L356" s="6">
        <f t="shared" si="14"/>
        <v>940000</v>
      </c>
      <c r="M356" s="6">
        <v>800000</v>
      </c>
      <c r="N356" s="6" t="s">
        <v>2003</v>
      </c>
      <c r="O356" s="6" t="s">
        <v>961</v>
      </c>
      <c r="P356" s="6">
        <v>2013</v>
      </c>
      <c r="Q356" s="6">
        <v>1</v>
      </c>
      <c r="R356" s="6" t="s">
        <v>45</v>
      </c>
      <c r="S356" s="32" t="s">
        <v>2119</v>
      </c>
      <c r="T356" s="6">
        <v>1</v>
      </c>
      <c r="U356" s="26">
        <v>700000</v>
      </c>
      <c r="V356" s="26">
        <v>700000</v>
      </c>
      <c r="W356" s="26">
        <v>700000</v>
      </c>
      <c r="X356" s="6" t="s">
        <v>2003</v>
      </c>
      <c r="Y356" s="6" t="s">
        <v>1277</v>
      </c>
      <c r="Z356" s="6">
        <v>224636</v>
      </c>
    </row>
    <row r="357" spans="1:26" x14ac:dyDescent="0.3">
      <c r="A357" s="28" t="s">
        <v>42</v>
      </c>
      <c r="B357" s="6" t="s">
        <v>1326</v>
      </c>
      <c r="C357" s="6" t="s">
        <v>1979</v>
      </c>
      <c r="D357" s="6" t="s">
        <v>2292</v>
      </c>
      <c r="E357" s="6">
        <v>1</v>
      </c>
      <c r="F357" s="6" t="s">
        <v>2004</v>
      </c>
      <c r="G357" s="32" t="s">
        <v>2299</v>
      </c>
      <c r="H357" s="32" t="s">
        <v>2300</v>
      </c>
      <c r="I357" s="6" t="str">
        <f t="shared" si="13"/>
        <v>Thumb Grapple</v>
      </c>
      <c r="J357" s="6" t="s">
        <v>96</v>
      </c>
      <c r="K357" s="6">
        <v>1</v>
      </c>
      <c r="L357" s="6">
        <f t="shared" si="14"/>
        <v>940000</v>
      </c>
      <c r="M357" s="6">
        <v>800000</v>
      </c>
      <c r="N357" s="6" t="s">
        <v>2003</v>
      </c>
      <c r="O357" s="6" t="s">
        <v>2007</v>
      </c>
      <c r="P357" s="6">
        <v>2014</v>
      </c>
      <c r="Q357" s="6">
        <v>1</v>
      </c>
      <c r="R357" s="6" t="s">
        <v>45</v>
      </c>
      <c r="S357" s="32" t="s">
        <v>2113</v>
      </c>
      <c r="T357" s="6">
        <v>1</v>
      </c>
      <c r="U357" s="26">
        <v>700000</v>
      </c>
      <c r="V357" s="26">
        <v>700000</v>
      </c>
      <c r="W357" s="26">
        <v>700000</v>
      </c>
      <c r="X357" s="6" t="s">
        <v>2003</v>
      </c>
      <c r="Y357" s="6" t="s">
        <v>49</v>
      </c>
      <c r="Z357" s="6">
        <v>224639</v>
      </c>
    </row>
    <row r="358" spans="1:26" x14ac:dyDescent="0.3">
      <c r="A358" s="28" t="s">
        <v>42</v>
      </c>
      <c r="B358" s="6" t="s">
        <v>1326</v>
      </c>
      <c r="C358" s="6" t="s">
        <v>1985</v>
      </c>
      <c r="D358" s="6" t="s">
        <v>2292</v>
      </c>
      <c r="E358" s="6">
        <v>1</v>
      </c>
      <c r="F358" s="6" t="s">
        <v>2004</v>
      </c>
      <c r="G358" s="32" t="s">
        <v>2299</v>
      </c>
      <c r="H358" s="32" t="s">
        <v>2300</v>
      </c>
      <c r="I358" s="6" t="str">
        <f t="shared" si="13"/>
        <v>Multi Grapple</v>
      </c>
      <c r="J358" s="6" t="s">
        <v>296</v>
      </c>
      <c r="K358" s="6">
        <v>1</v>
      </c>
      <c r="L358" s="6">
        <f t="shared" si="14"/>
        <v>3410000</v>
      </c>
      <c r="M358" s="6">
        <v>2900000</v>
      </c>
      <c r="N358" s="6" t="s">
        <v>2003</v>
      </c>
      <c r="O358" s="6" t="s">
        <v>962</v>
      </c>
      <c r="P358" s="6">
        <v>2014</v>
      </c>
      <c r="Q358" s="6">
        <v>1</v>
      </c>
      <c r="R358" s="6" t="s">
        <v>45</v>
      </c>
      <c r="S358" s="32" t="s">
        <v>2113</v>
      </c>
      <c r="T358" s="6">
        <v>1</v>
      </c>
      <c r="U358" s="26">
        <v>2700000</v>
      </c>
      <c r="V358" s="26">
        <v>2700000</v>
      </c>
      <c r="W358" s="26">
        <v>2700000</v>
      </c>
      <c r="X358" s="6" t="s">
        <v>2003</v>
      </c>
      <c r="Y358" s="6" t="s">
        <v>49</v>
      </c>
      <c r="Z358" s="6">
        <v>224640</v>
      </c>
    </row>
    <row r="359" spans="1:26" x14ac:dyDescent="0.3">
      <c r="A359" s="28" t="s">
        <v>42</v>
      </c>
      <c r="B359" s="6" t="s">
        <v>2159</v>
      </c>
      <c r="C359" s="6"/>
      <c r="D359" s="6" t="s">
        <v>2292</v>
      </c>
      <c r="E359" s="6">
        <v>1</v>
      </c>
      <c r="F359" s="6" t="s">
        <v>2004</v>
      </c>
      <c r="G359" s="32" t="s">
        <v>2299</v>
      </c>
      <c r="H359" s="32" t="s">
        <v>2300</v>
      </c>
      <c r="I359" s="6" t="str">
        <f t="shared" si="13"/>
        <v>ETC</v>
      </c>
      <c r="J359" s="6" t="s">
        <v>405</v>
      </c>
      <c r="K359" s="6">
        <v>1</v>
      </c>
      <c r="L359" s="6">
        <f t="shared" si="14"/>
        <v>14700000</v>
      </c>
      <c r="M359" s="6">
        <v>12500000</v>
      </c>
      <c r="N359" s="6" t="s">
        <v>2003</v>
      </c>
      <c r="O359" s="6" t="s">
        <v>813</v>
      </c>
      <c r="P359" s="6">
        <v>2014</v>
      </c>
      <c r="Q359" s="6">
        <v>1</v>
      </c>
      <c r="R359" s="6" t="s">
        <v>45</v>
      </c>
      <c r="S359" s="32" t="s">
        <v>2113</v>
      </c>
      <c r="T359" s="6">
        <v>1</v>
      </c>
      <c r="U359" s="26">
        <v>12000000</v>
      </c>
      <c r="V359" s="26">
        <v>12000000</v>
      </c>
      <c r="W359" s="26">
        <v>12000000</v>
      </c>
      <c r="X359" s="6" t="s">
        <v>2003</v>
      </c>
      <c r="Y359" s="6" t="s">
        <v>79</v>
      </c>
      <c r="Z359" s="6">
        <v>224645</v>
      </c>
    </row>
    <row r="360" spans="1:26" x14ac:dyDescent="0.3">
      <c r="A360" s="28" t="s">
        <v>42</v>
      </c>
      <c r="B360" s="6" t="s">
        <v>2175</v>
      </c>
      <c r="C360" s="6" t="s">
        <v>2321</v>
      </c>
      <c r="D360" s="6" t="s">
        <v>2292</v>
      </c>
      <c r="E360" s="6">
        <v>1</v>
      </c>
      <c r="F360" s="6" t="s">
        <v>2004</v>
      </c>
      <c r="G360" s="32" t="s">
        <v>2299</v>
      </c>
      <c r="H360" s="32" t="s">
        <v>2300</v>
      </c>
      <c r="I360" s="6" t="str">
        <f t="shared" si="13"/>
        <v>Etc Crusher</v>
      </c>
      <c r="J360" s="6" t="s">
        <v>103</v>
      </c>
      <c r="K360" s="6">
        <v>1</v>
      </c>
      <c r="L360" s="6">
        <f t="shared" si="14"/>
        <v>13520000</v>
      </c>
      <c r="M360" s="6">
        <v>11500000</v>
      </c>
      <c r="N360" s="6" t="s">
        <v>2003</v>
      </c>
      <c r="O360" s="6" t="s">
        <v>813</v>
      </c>
      <c r="P360" s="6">
        <v>2015</v>
      </c>
      <c r="Q360" s="6">
        <v>1</v>
      </c>
      <c r="R360" s="6" t="s">
        <v>45</v>
      </c>
      <c r="S360" s="32" t="s">
        <v>2113</v>
      </c>
      <c r="T360" s="6">
        <v>1</v>
      </c>
      <c r="U360" s="26">
        <v>11000000</v>
      </c>
      <c r="V360" s="26">
        <v>11000000</v>
      </c>
      <c r="W360" s="26">
        <v>11000000</v>
      </c>
      <c r="X360" s="6" t="s">
        <v>2003</v>
      </c>
      <c r="Y360" s="6" t="s">
        <v>80</v>
      </c>
      <c r="Z360" s="6">
        <v>224646</v>
      </c>
    </row>
    <row r="361" spans="1:26" x14ac:dyDescent="0.3">
      <c r="A361" s="28" t="s">
        <v>42</v>
      </c>
      <c r="B361" s="6" t="s">
        <v>1326</v>
      </c>
      <c r="C361" s="6" t="s">
        <v>1979</v>
      </c>
      <c r="D361" s="6" t="s">
        <v>2292</v>
      </c>
      <c r="E361" s="6">
        <v>1</v>
      </c>
      <c r="F361" s="6" t="s">
        <v>2004</v>
      </c>
      <c r="G361" s="32" t="s">
        <v>2299</v>
      </c>
      <c r="H361" s="32" t="s">
        <v>2300</v>
      </c>
      <c r="I361" s="6" t="str">
        <f t="shared" si="13"/>
        <v>Thumb Grapple</v>
      </c>
      <c r="J361" s="6" t="s">
        <v>224</v>
      </c>
      <c r="K361" s="6">
        <v>1</v>
      </c>
      <c r="L361" s="6">
        <f t="shared" si="14"/>
        <v>940000</v>
      </c>
      <c r="M361" s="6">
        <v>800000</v>
      </c>
      <c r="N361" s="6" t="s">
        <v>2003</v>
      </c>
      <c r="O361" s="6" t="s">
        <v>2007</v>
      </c>
      <c r="P361" s="6">
        <v>2014</v>
      </c>
      <c r="Q361" s="6">
        <v>1</v>
      </c>
      <c r="R361" s="6" t="s">
        <v>45</v>
      </c>
      <c r="S361" s="32" t="s">
        <v>2113</v>
      </c>
      <c r="T361" s="6">
        <v>1</v>
      </c>
      <c r="U361" s="26">
        <v>700000</v>
      </c>
      <c r="V361" s="26">
        <v>700000</v>
      </c>
      <c r="W361" s="26">
        <v>700000</v>
      </c>
      <c r="X361" s="6" t="s">
        <v>2003</v>
      </c>
      <c r="Y361" s="6" t="s">
        <v>49</v>
      </c>
      <c r="Z361" s="6">
        <v>224647</v>
      </c>
    </row>
    <row r="362" spans="1:26" x14ac:dyDescent="0.3">
      <c r="A362" s="28" t="s">
        <v>42</v>
      </c>
      <c r="B362" s="6" t="s">
        <v>1327</v>
      </c>
      <c r="C362" s="6" t="s">
        <v>1976</v>
      </c>
      <c r="D362" s="6" t="s">
        <v>2292</v>
      </c>
      <c r="E362" s="6">
        <v>1</v>
      </c>
      <c r="F362" s="6" t="s">
        <v>2004</v>
      </c>
      <c r="G362" s="32" t="s">
        <v>2299</v>
      </c>
      <c r="H362" s="32" t="s">
        <v>2300</v>
      </c>
      <c r="I362" s="6" t="str">
        <f t="shared" si="13"/>
        <v>Skeleton Bucket</v>
      </c>
      <c r="J362" s="6" t="s">
        <v>556</v>
      </c>
      <c r="K362" s="6">
        <v>1</v>
      </c>
      <c r="L362" s="6">
        <f t="shared" si="14"/>
        <v>1050000</v>
      </c>
      <c r="M362" s="6">
        <v>900000</v>
      </c>
      <c r="N362" s="6" t="s">
        <v>2003</v>
      </c>
      <c r="O362" s="6" t="s">
        <v>2007</v>
      </c>
      <c r="P362" s="6">
        <v>2014</v>
      </c>
      <c r="Q362" s="6">
        <v>1</v>
      </c>
      <c r="R362" s="6" t="s">
        <v>45</v>
      </c>
      <c r="S362" s="32" t="s">
        <v>2113</v>
      </c>
      <c r="T362" s="6">
        <v>1</v>
      </c>
      <c r="U362" s="26">
        <v>800000</v>
      </c>
      <c r="V362" s="26">
        <v>800000</v>
      </c>
      <c r="W362" s="26">
        <v>800000</v>
      </c>
      <c r="X362" s="6" t="s">
        <v>2003</v>
      </c>
      <c r="Y362" s="6" t="s">
        <v>49</v>
      </c>
      <c r="Z362" s="6">
        <v>224648</v>
      </c>
    </row>
    <row r="363" spans="1:26" x14ac:dyDescent="0.3">
      <c r="A363" s="28" t="s">
        <v>42</v>
      </c>
      <c r="B363" s="6" t="s">
        <v>2190</v>
      </c>
      <c r="C363" s="6"/>
      <c r="D363" s="6" t="s">
        <v>2291</v>
      </c>
      <c r="E363" s="6">
        <v>1</v>
      </c>
      <c r="F363" s="6" t="s">
        <v>2004</v>
      </c>
      <c r="G363" s="32" t="s">
        <v>2299</v>
      </c>
      <c r="H363" s="32" t="s">
        <v>2300</v>
      </c>
      <c r="I363" s="6" t="str">
        <f t="shared" si="13"/>
        <v>Lift Fork</v>
      </c>
      <c r="J363" s="6" t="s">
        <v>132</v>
      </c>
      <c r="K363" s="6">
        <v>1</v>
      </c>
      <c r="L363" s="6">
        <f t="shared" si="14"/>
        <v>1150000</v>
      </c>
      <c r="M363" s="6">
        <v>980000</v>
      </c>
      <c r="N363" s="6" t="s">
        <v>2003</v>
      </c>
      <c r="O363" s="6" t="s">
        <v>2020</v>
      </c>
      <c r="P363" s="6">
        <v>2017</v>
      </c>
      <c r="Q363" s="6">
        <v>1</v>
      </c>
      <c r="R363" s="6" t="s">
        <v>45</v>
      </c>
      <c r="S363" s="32" t="s">
        <v>2110</v>
      </c>
      <c r="T363" s="6">
        <v>1</v>
      </c>
      <c r="U363" s="26">
        <v>880000</v>
      </c>
      <c r="V363" s="26">
        <v>880000</v>
      </c>
      <c r="W363" s="26">
        <v>880000</v>
      </c>
      <c r="X363" s="6" t="s">
        <v>2003</v>
      </c>
      <c r="Y363" s="6" t="s">
        <v>1155</v>
      </c>
      <c r="Z363" s="6">
        <v>224650</v>
      </c>
    </row>
    <row r="364" spans="1:26" x14ac:dyDescent="0.3">
      <c r="A364" s="28" t="s">
        <v>42</v>
      </c>
      <c r="B364" s="6" t="s">
        <v>2167</v>
      </c>
      <c r="C364" s="6" t="s">
        <v>1975</v>
      </c>
      <c r="D364" s="6" t="s">
        <v>2001</v>
      </c>
      <c r="E364" s="6">
        <v>1</v>
      </c>
      <c r="F364" s="6" t="s">
        <v>2004</v>
      </c>
      <c r="G364" s="32" t="s">
        <v>2299</v>
      </c>
      <c r="H364" s="32" t="s">
        <v>2300</v>
      </c>
      <c r="I364" s="6" t="str">
        <f t="shared" si="13"/>
        <v>Side Breaker</v>
      </c>
      <c r="J364" s="6" t="s">
        <v>558</v>
      </c>
      <c r="K364" s="6">
        <v>1</v>
      </c>
      <c r="L364" s="6">
        <f t="shared" si="14"/>
        <v>18230000</v>
      </c>
      <c r="M364" s="6">
        <v>15500000</v>
      </c>
      <c r="N364" s="6" t="s">
        <v>2003</v>
      </c>
      <c r="O364" s="6" t="s">
        <v>963</v>
      </c>
      <c r="P364" s="6">
        <v>2015</v>
      </c>
      <c r="Q364" s="6">
        <v>1</v>
      </c>
      <c r="R364" s="6" t="s">
        <v>45</v>
      </c>
      <c r="S364" s="32" t="s">
        <v>2110</v>
      </c>
      <c r="T364" s="6">
        <v>1</v>
      </c>
      <c r="U364" s="26">
        <v>15000000</v>
      </c>
      <c r="V364" s="26">
        <v>15000000</v>
      </c>
      <c r="W364" s="26">
        <v>15000000</v>
      </c>
      <c r="X364" s="6" t="s">
        <v>2003</v>
      </c>
      <c r="Y364" s="6" t="s">
        <v>1278</v>
      </c>
      <c r="Z364" s="6">
        <v>224653</v>
      </c>
    </row>
    <row r="365" spans="1:26" x14ac:dyDescent="0.3">
      <c r="A365" s="28" t="s">
        <v>42</v>
      </c>
      <c r="B365" s="6" t="s">
        <v>1327</v>
      </c>
      <c r="C365" s="6" t="s">
        <v>1976</v>
      </c>
      <c r="D365" s="6" t="s">
        <v>2292</v>
      </c>
      <c r="E365" s="6">
        <v>1</v>
      </c>
      <c r="F365" s="6" t="s">
        <v>2004</v>
      </c>
      <c r="G365" s="32" t="s">
        <v>2299</v>
      </c>
      <c r="H365" s="32" t="s">
        <v>2300</v>
      </c>
      <c r="I365" s="6" t="str">
        <f t="shared" si="13"/>
        <v>Skeleton Bucket</v>
      </c>
      <c r="J365" s="6" t="s">
        <v>559</v>
      </c>
      <c r="K365" s="6">
        <v>1</v>
      </c>
      <c r="L365" s="6">
        <f t="shared" si="14"/>
        <v>1110000</v>
      </c>
      <c r="M365" s="6">
        <v>950000</v>
      </c>
      <c r="N365" s="6" t="s">
        <v>2003</v>
      </c>
      <c r="O365" s="6" t="s">
        <v>2007</v>
      </c>
      <c r="P365" s="6">
        <v>2014</v>
      </c>
      <c r="Q365" s="6">
        <v>1</v>
      </c>
      <c r="R365" s="6" t="s">
        <v>45</v>
      </c>
      <c r="S365" s="32" t="s">
        <v>2113</v>
      </c>
      <c r="T365" s="6">
        <v>1</v>
      </c>
      <c r="U365" s="26">
        <v>850000</v>
      </c>
      <c r="V365" s="26">
        <v>850000</v>
      </c>
      <c r="W365" s="26">
        <v>850000</v>
      </c>
      <c r="X365" s="6" t="s">
        <v>2003</v>
      </c>
      <c r="Y365" s="6" t="s">
        <v>49</v>
      </c>
      <c r="Z365" s="6">
        <v>224655</v>
      </c>
    </row>
    <row r="366" spans="1:26" x14ac:dyDescent="0.3">
      <c r="A366" s="28" t="s">
        <v>42</v>
      </c>
      <c r="B366" s="6" t="s">
        <v>2172</v>
      </c>
      <c r="C366" s="6"/>
      <c r="D366" s="6" t="s">
        <v>2292</v>
      </c>
      <c r="E366" s="6">
        <v>1</v>
      </c>
      <c r="F366" s="6" t="s">
        <v>2004</v>
      </c>
      <c r="G366" s="32" t="s">
        <v>2299</v>
      </c>
      <c r="H366" s="32" t="s">
        <v>2300</v>
      </c>
      <c r="I366" s="6" t="str">
        <f t="shared" si="13"/>
        <v>Quick Coupler</v>
      </c>
      <c r="J366" s="6" t="s">
        <v>89</v>
      </c>
      <c r="K366" s="6">
        <v>1</v>
      </c>
      <c r="L366" s="6">
        <f t="shared" si="14"/>
        <v>1000000</v>
      </c>
      <c r="M366" s="6">
        <v>850000</v>
      </c>
      <c r="N366" s="6" t="s">
        <v>2003</v>
      </c>
      <c r="O366" s="6" t="s">
        <v>2007</v>
      </c>
      <c r="P366" s="6">
        <v>2014</v>
      </c>
      <c r="Q366" s="6">
        <v>1</v>
      </c>
      <c r="R366" s="6" t="s">
        <v>45</v>
      </c>
      <c r="S366" s="32" t="s">
        <v>2113</v>
      </c>
      <c r="T366" s="6">
        <v>1</v>
      </c>
      <c r="U366" s="26">
        <v>750000</v>
      </c>
      <c r="V366" s="26">
        <v>750000</v>
      </c>
      <c r="W366" s="26">
        <v>750000</v>
      </c>
      <c r="X366" s="6" t="s">
        <v>2003</v>
      </c>
      <c r="Y366" s="6" t="s">
        <v>49</v>
      </c>
      <c r="Z366" s="6">
        <v>224662</v>
      </c>
    </row>
    <row r="367" spans="1:26" x14ac:dyDescent="0.3">
      <c r="A367" s="28" t="s">
        <v>42</v>
      </c>
      <c r="B367" s="6" t="s">
        <v>1326</v>
      </c>
      <c r="C367" s="6" t="s">
        <v>1985</v>
      </c>
      <c r="D367" s="6" t="s">
        <v>2292</v>
      </c>
      <c r="E367" s="6">
        <v>1</v>
      </c>
      <c r="F367" s="6" t="s">
        <v>2004</v>
      </c>
      <c r="G367" s="32" t="s">
        <v>2299</v>
      </c>
      <c r="H367" s="32" t="s">
        <v>2300</v>
      </c>
      <c r="I367" s="6" t="str">
        <f t="shared" si="13"/>
        <v>Multi Grapple</v>
      </c>
      <c r="J367" s="6" t="s">
        <v>561</v>
      </c>
      <c r="K367" s="6">
        <v>1</v>
      </c>
      <c r="L367" s="6">
        <f t="shared" si="14"/>
        <v>3410000</v>
      </c>
      <c r="M367" s="6">
        <v>2900000</v>
      </c>
      <c r="N367" s="6" t="s">
        <v>2003</v>
      </c>
      <c r="O367" s="6" t="s">
        <v>823</v>
      </c>
      <c r="P367" s="6">
        <v>2014</v>
      </c>
      <c r="Q367" s="6">
        <v>1</v>
      </c>
      <c r="R367" s="6" t="s">
        <v>45</v>
      </c>
      <c r="S367" s="32" t="s">
        <v>2113</v>
      </c>
      <c r="T367" s="6">
        <v>1</v>
      </c>
      <c r="U367" s="26">
        <v>2700000</v>
      </c>
      <c r="V367" s="26">
        <v>2700000</v>
      </c>
      <c r="W367" s="26">
        <v>2700000</v>
      </c>
      <c r="X367" s="6" t="s">
        <v>2003</v>
      </c>
      <c r="Y367" s="6" t="s">
        <v>49</v>
      </c>
      <c r="Z367" s="6">
        <v>224665</v>
      </c>
    </row>
    <row r="368" spans="1:26" x14ac:dyDescent="0.3">
      <c r="A368" s="28" t="s">
        <v>42</v>
      </c>
      <c r="B368" s="6" t="s">
        <v>2167</v>
      </c>
      <c r="C368" s="6" t="s">
        <v>1975</v>
      </c>
      <c r="D368" s="6" t="s">
        <v>2290</v>
      </c>
      <c r="E368" s="6">
        <v>1</v>
      </c>
      <c r="F368" s="6" t="s">
        <v>2004</v>
      </c>
      <c r="G368" s="32" t="s">
        <v>2299</v>
      </c>
      <c r="H368" s="32" t="s">
        <v>2300</v>
      </c>
      <c r="I368" s="6" t="str">
        <f t="shared" si="13"/>
        <v>Side Breaker</v>
      </c>
      <c r="J368" s="6" t="s">
        <v>593</v>
      </c>
      <c r="K368" s="6">
        <v>1</v>
      </c>
      <c r="L368" s="6">
        <f t="shared" si="14"/>
        <v>9410000</v>
      </c>
      <c r="M368" s="6">
        <v>8000000</v>
      </c>
      <c r="N368" s="6" t="s">
        <v>2003</v>
      </c>
      <c r="O368" s="6" t="s">
        <v>810</v>
      </c>
      <c r="P368" s="6">
        <v>2015</v>
      </c>
      <c r="Q368" s="6">
        <v>5</v>
      </c>
      <c r="R368" s="6" t="s">
        <v>45</v>
      </c>
      <c r="S368" s="32" t="s">
        <v>2123</v>
      </c>
      <c r="T368" s="6">
        <v>1</v>
      </c>
      <c r="U368" s="26">
        <v>7500000</v>
      </c>
      <c r="V368" s="26">
        <v>7500000</v>
      </c>
      <c r="W368" s="26">
        <v>7500000</v>
      </c>
      <c r="X368" s="6" t="s">
        <v>2003</v>
      </c>
      <c r="Y368" s="6" t="s">
        <v>1189</v>
      </c>
      <c r="Z368" s="6">
        <v>224668</v>
      </c>
    </row>
    <row r="369" spans="1:26" x14ac:dyDescent="0.3">
      <c r="A369" s="28" t="s">
        <v>42</v>
      </c>
      <c r="B369" s="6" t="s">
        <v>1326</v>
      </c>
      <c r="C369" s="6" t="s">
        <v>1979</v>
      </c>
      <c r="D369" s="6" t="s">
        <v>2292</v>
      </c>
      <c r="E369" s="6">
        <v>1</v>
      </c>
      <c r="F369" s="6" t="s">
        <v>2004</v>
      </c>
      <c r="G369" s="32" t="s">
        <v>2299</v>
      </c>
      <c r="H369" s="32" t="s">
        <v>2300</v>
      </c>
      <c r="I369" s="6" t="str">
        <f t="shared" si="13"/>
        <v>Thumb Grapple</v>
      </c>
      <c r="J369" s="6" t="s">
        <v>61</v>
      </c>
      <c r="K369" s="6">
        <v>1</v>
      </c>
      <c r="L369" s="6">
        <f t="shared" si="14"/>
        <v>1410000</v>
      </c>
      <c r="M369" s="6">
        <v>1200000</v>
      </c>
      <c r="N369" s="6" t="s">
        <v>2003</v>
      </c>
      <c r="O369" s="6" t="s">
        <v>2012</v>
      </c>
      <c r="P369" s="6">
        <v>2013</v>
      </c>
      <c r="Q369" s="6">
        <v>1</v>
      </c>
      <c r="R369" s="6" t="s">
        <v>45</v>
      </c>
      <c r="S369" s="32" t="s">
        <v>2113</v>
      </c>
      <c r="T369" s="6">
        <v>1</v>
      </c>
      <c r="U369" s="26">
        <v>1100000</v>
      </c>
      <c r="V369" s="26">
        <v>1100000</v>
      </c>
      <c r="W369" s="26">
        <v>1100000</v>
      </c>
      <c r="X369" s="6" t="s">
        <v>2003</v>
      </c>
      <c r="Y369" s="6" t="s">
        <v>49</v>
      </c>
      <c r="Z369" s="6">
        <v>224670</v>
      </c>
    </row>
    <row r="370" spans="1:26" x14ac:dyDescent="0.3">
      <c r="A370" s="28" t="s">
        <v>42</v>
      </c>
      <c r="B370" s="6" t="s">
        <v>2159</v>
      </c>
      <c r="C370" s="6"/>
      <c r="D370" s="6" t="s">
        <v>2289</v>
      </c>
      <c r="E370" s="6">
        <v>1</v>
      </c>
      <c r="F370" s="6" t="s">
        <v>2004</v>
      </c>
      <c r="G370" s="32" t="s">
        <v>2299</v>
      </c>
      <c r="H370" s="32" t="s">
        <v>2300</v>
      </c>
      <c r="I370" s="6" t="str">
        <f t="shared" si="13"/>
        <v>ETC</v>
      </c>
      <c r="J370" s="6" t="s">
        <v>623</v>
      </c>
      <c r="K370" s="6">
        <v>1</v>
      </c>
      <c r="L370" s="6">
        <f t="shared" si="14"/>
        <v>5520000</v>
      </c>
      <c r="M370" s="6">
        <v>4700000</v>
      </c>
      <c r="N370" s="6" t="s">
        <v>2003</v>
      </c>
      <c r="O370" s="6" t="s">
        <v>1862</v>
      </c>
      <c r="P370" s="6">
        <v>2001</v>
      </c>
      <c r="Q370" s="6">
        <v>1</v>
      </c>
      <c r="R370" s="6" t="s">
        <v>45</v>
      </c>
      <c r="S370" s="32" t="s">
        <v>2118</v>
      </c>
      <c r="T370" s="6">
        <v>1</v>
      </c>
      <c r="U370" s="26">
        <v>4500000</v>
      </c>
      <c r="V370" s="26">
        <v>4500000</v>
      </c>
      <c r="W370" s="26">
        <v>4500000</v>
      </c>
      <c r="X370" s="6" t="s">
        <v>2003</v>
      </c>
      <c r="Y370" s="6" t="s">
        <v>1290</v>
      </c>
      <c r="Z370" s="6">
        <v>224673</v>
      </c>
    </row>
    <row r="371" spans="1:26" x14ac:dyDescent="0.3">
      <c r="A371" s="28" t="s">
        <v>42</v>
      </c>
      <c r="B371" s="6" t="s">
        <v>1327</v>
      </c>
      <c r="C371" s="6" t="s">
        <v>1982</v>
      </c>
      <c r="D371" s="6" t="s">
        <v>2292</v>
      </c>
      <c r="E371" s="6">
        <v>1</v>
      </c>
      <c r="F371" s="6" t="s">
        <v>2004</v>
      </c>
      <c r="G371" s="32" t="s">
        <v>2299</v>
      </c>
      <c r="H371" s="32" t="s">
        <v>2300</v>
      </c>
      <c r="I371" s="6" t="str">
        <f t="shared" si="13"/>
        <v>Standard Bucket</v>
      </c>
      <c r="J371" s="6" t="s">
        <v>563</v>
      </c>
      <c r="K371" s="6">
        <v>1</v>
      </c>
      <c r="L371" s="6">
        <f t="shared" si="14"/>
        <v>1580000</v>
      </c>
      <c r="M371" s="6">
        <v>1350000</v>
      </c>
      <c r="N371" s="6" t="s">
        <v>2003</v>
      </c>
      <c r="O371" s="6" t="s">
        <v>965</v>
      </c>
      <c r="P371" s="6">
        <v>2017</v>
      </c>
      <c r="Q371" s="6">
        <v>1</v>
      </c>
      <c r="R371" s="6" t="s">
        <v>45</v>
      </c>
      <c r="S371" s="32" t="s">
        <v>2122</v>
      </c>
      <c r="T371" s="6">
        <v>1</v>
      </c>
      <c r="U371" s="26">
        <v>1250000</v>
      </c>
      <c r="V371" s="26">
        <v>1250000</v>
      </c>
      <c r="W371" s="26">
        <v>1250000</v>
      </c>
      <c r="X371" s="6" t="s">
        <v>2003</v>
      </c>
      <c r="Y371" s="6" t="s">
        <v>1279</v>
      </c>
      <c r="Z371" s="6">
        <v>224676</v>
      </c>
    </row>
    <row r="372" spans="1:26" x14ac:dyDescent="0.3">
      <c r="A372" s="28" t="s">
        <v>42</v>
      </c>
      <c r="B372" s="6" t="s">
        <v>2159</v>
      </c>
      <c r="C372" s="6"/>
      <c r="D372" s="6" t="s">
        <v>2289</v>
      </c>
      <c r="E372" s="6">
        <v>1</v>
      </c>
      <c r="F372" s="6" t="s">
        <v>2004</v>
      </c>
      <c r="G372" s="32" t="s">
        <v>2299</v>
      </c>
      <c r="H372" s="32" t="s">
        <v>2300</v>
      </c>
      <c r="I372" s="6" t="str">
        <f t="shared" si="13"/>
        <v>ETC</v>
      </c>
      <c r="J372" s="6" t="s">
        <v>88</v>
      </c>
      <c r="K372" s="6">
        <v>1</v>
      </c>
      <c r="L372" s="6">
        <f t="shared" si="14"/>
        <v>11170000</v>
      </c>
      <c r="M372" s="6">
        <v>9500000</v>
      </c>
      <c r="N372" s="6" t="s">
        <v>2003</v>
      </c>
      <c r="O372" s="6" t="s">
        <v>966</v>
      </c>
      <c r="P372" s="6">
        <v>2011</v>
      </c>
      <c r="Q372" s="6">
        <v>6</v>
      </c>
      <c r="R372" s="6" t="s">
        <v>45</v>
      </c>
      <c r="S372" s="32" t="s">
        <v>2118</v>
      </c>
      <c r="T372" s="6">
        <v>1</v>
      </c>
      <c r="U372" s="26">
        <v>9000000</v>
      </c>
      <c r="V372" s="26">
        <v>9000000</v>
      </c>
      <c r="W372" s="26">
        <v>9000000</v>
      </c>
      <c r="X372" s="6" t="s">
        <v>2003</v>
      </c>
      <c r="Y372" s="6" t="s">
        <v>1280</v>
      </c>
      <c r="Z372" s="6">
        <v>224680</v>
      </c>
    </row>
    <row r="373" spans="1:26" x14ac:dyDescent="0.3">
      <c r="A373" s="28" t="s">
        <v>42</v>
      </c>
      <c r="B373" s="6" t="s">
        <v>2172</v>
      </c>
      <c r="C373" s="6" t="s">
        <v>1982</v>
      </c>
      <c r="D373" s="6" t="s">
        <v>2292</v>
      </c>
      <c r="E373" s="6">
        <v>1</v>
      </c>
      <c r="F373" s="6" t="s">
        <v>2004</v>
      </c>
      <c r="G373" s="32" t="s">
        <v>2299</v>
      </c>
      <c r="H373" s="32" t="s">
        <v>2300</v>
      </c>
      <c r="I373" s="6" t="str">
        <f t="shared" si="13"/>
        <v>Standard Bucket</v>
      </c>
      <c r="J373" s="6" t="s">
        <v>564</v>
      </c>
      <c r="K373" s="6">
        <v>1</v>
      </c>
      <c r="L373" s="6">
        <f t="shared" si="14"/>
        <v>940000</v>
      </c>
      <c r="M373" s="6">
        <v>800000</v>
      </c>
      <c r="N373" s="6" t="s">
        <v>2003</v>
      </c>
      <c r="O373" s="6" t="s">
        <v>823</v>
      </c>
      <c r="P373" s="6">
        <v>2014</v>
      </c>
      <c r="Q373" s="6">
        <v>1</v>
      </c>
      <c r="R373" s="6" t="s">
        <v>45</v>
      </c>
      <c r="S373" s="32" t="s">
        <v>2113</v>
      </c>
      <c r="T373" s="6">
        <v>1</v>
      </c>
      <c r="U373" s="26">
        <v>700000</v>
      </c>
      <c r="V373" s="26">
        <v>700000</v>
      </c>
      <c r="W373" s="26">
        <v>700000</v>
      </c>
      <c r="X373" s="6" t="s">
        <v>2003</v>
      </c>
      <c r="Y373" s="6" t="s">
        <v>49</v>
      </c>
      <c r="Z373" s="6">
        <v>224684</v>
      </c>
    </row>
    <row r="374" spans="1:26" x14ac:dyDescent="0.3">
      <c r="A374" s="28" t="s">
        <v>42</v>
      </c>
      <c r="B374" s="6" t="s">
        <v>1326</v>
      </c>
      <c r="C374" s="6" t="s">
        <v>1974</v>
      </c>
      <c r="D374" s="6" t="s">
        <v>2292</v>
      </c>
      <c r="E374" s="6">
        <v>1</v>
      </c>
      <c r="F374" s="6" t="s">
        <v>2004</v>
      </c>
      <c r="G374" s="32" t="s">
        <v>2299</v>
      </c>
      <c r="H374" s="32" t="s">
        <v>2300</v>
      </c>
      <c r="I374" s="6" t="str">
        <f t="shared" si="13"/>
        <v>Etc Grapple</v>
      </c>
      <c r="J374" s="6" t="s">
        <v>125</v>
      </c>
      <c r="K374" s="6">
        <v>1</v>
      </c>
      <c r="L374" s="6">
        <f t="shared" si="14"/>
        <v>6470000</v>
      </c>
      <c r="M374" s="6">
        <v>5500000</v>
      </c>
      <c r="N374" s="6" t="s">
        <v>2003</v>
      </c>
      <c r="O374" s="6" t="s">
        <v>968</v>
      </c>
      <c r="P374" s="6">
        <v>2016</v>
      </c>
      <c r="Q374" s="6">
        <v>2</v>
      </c>
      <c r="R374" s="6" t="s">
        <v>45</v>
      </c>
      <c r="S374" s="32" t="s">
        <v>2122</v>
      </c>
      <c r="T374" s="6">
        <v>1</v>
      </c>
      <c r="U374" s="26">
        <v>5000000</v>
      </c>
      <c r="V374" s="26">
        <v>5000000</v>
      </c>
      <c r="W374" s="26">
        <v>5000000</v>
      </c>
      <c r="X374" s="6" t="s">
        <v>2003</v>
      </c>
      <c r="Y374" s="6" t="s">
        <v>1281</v>
      </c>
      <c r="Z374" s="6">
        <v>224690</v>
      </c>
    </row>
    <row r="375" spans="1:26" x14ac:dyDescent="0.3">
      <c r="A375" s="28" t="s">
        <v>42</v>
      </c>
      <c r="B375" s="6" t="s">
        <v>1327</v>
      </c>
      <c r="C375" s="6" t="s">
        <v>1982</v>
      </c>
      <c r="D375" s="6" t="s">
        <v>2292</v>
      </c>
      <c r="E375" s="6">
        <v>1</v>
      </c>
      <c r="F375" s="6" t="s">
        <v>2004</v>
      </c>
      <c r="G375" s="32" t="s">
        <v>2299</v>
      </c>
      <c r="H375" s="32" t="s">
        <v>2300</v>
      </c>
      <c r="I375" s="6" t="str">
        <f t="shared" si="13"/>
        <v>Standard Bucket</v>
      </c>
      <c r="J375" s="6" t="s">
        <v>2297</v>
      </c>
      <c r="K375" s="6">
        <v>1</v>
      </c>
      <c r="L375" s="6">
        <f t="shared" si="14"/>
        <v>1290000</v>
      </c>
      <c r="M375" s="6">
        <v>1100000</v>
      </c>
      <c r="N375" s="6" t="s">
        <v>2003</v>
      </c>
      <c r="O375" s="6" t="s">
        <v>801</v>
      </c>
      <c r="P375" s="6">
        <v>2013</v>
      </c>
      <c r="Q375" s="6">
        <v>1</v>
      </c>
      <c r="R375" s="6" t="s">
        <v>45</v>
      </c>
      <c r="S375" s="32" t="s">
        <v>2110</v>
      </c>
      <c r="T375" s="6">
        <v>1</v>
      </c>
      <c r="U375" s="26">
        <v>1000000</v>
      </c>
      <c r="V375" s="26">
        <v>1000000</v>
      </c>
      <c r="W375" s="26">
        <v>1000000</v>
      </c>
      <c r="X375" s="6" t="s">
        <v>2003</v>
      </c>
      <c r="Y375" s="6" t="s">
        <v>1182</v>
      </c>
      <c r="Z375" s="6">
        <v>224694</v>
      </c>
    </row>
    <row r="376" spans="1:26" x14ac:dyDescent="0.3">
      <c r="A376" s="28" t="s">
        <v>42</v>
      </c>
      <c r="B376" s="6" t="s">
        <v>1326</v>
      </c>
      <c r="C376" s="6" t="s">
        <v>1974</v>
      </c>
      <c r="D376" s="6" t="s">
        <v>2291</v>
      </c>
      <c r="E376" s="6">
        <v>1</v>
      </c>
      <c r="F376" s="6" t="s">
        <v>2004</v>
      </c>
      <c r="G376" s="32" t="s">
        <v>2299</v>
      </c>
      <c r="H376" s="32" t="s">
        <v>2300</v>
      </c>
      <c r="I376" s="6" t="str">
        <f t="shared" si="13"/>
        <v>Etc Grapple</v>
      </c>
      <c r="J376" s="6" t="s">
        <v>136</v>
      </c>
      <c r="K376" s="6">
        <v>1</v>
      </c>
      <c r="L376" s="6">
        <f t="shared" si="14"/>
        <v>3760000</v>
      </c>
      <c r="M376" s="6">
        <v>3200000</v>
      </c>
      <c r="N376" s="6" t="s">
        <v>2003</v>
      </c>
      <c r="O376" s="6" t="s">
        <v>54</v>
      </c>
      <c r="P376" s="6">
        <v>2011</v>
      </c>
      <c r="Q376" s="6">
        <v>1</v>
      </c>
      <c r="R376" s="6" t="s">
        <v>45</v>
      </c>
      <c r="S376" s="32" t="s">
        <v>2114</v>
      </c>
      <c r="T376" s="6">
        <v>1</v>
      </c>
      <c r="U376" s="26">
        <v>3000000</v>
      </c>
      <c r="V376" s="26">
        <v>3000000</v>
      </c>
      <c r="W376" s="26">
        <v>3000000</v>
      </c>
      <c r="X376" s="6" t="s">
        <v>2003</v>
      </c>
      <c r="Y376" s="6" t="s">
        <v>54</v>
      </c>
      <c r="Z376" s="6">
        <v>224696</v>
      </c>
    </row>
    <row r="377" spans="1:26" x14ac:dyDescent="0.3">
      <c r="A377" s="28" t="s">
        <v>42</v>
      </c>
      <c r="B377" s="6" t="s">
        <v>1326</v>
      </c>
      <c r="C377" s="6" t="s">
        <v>1973</v>
      </c>
      <c r="D377" s="6" t="s">
        <v>2291</v>
      </c>
      <c r="E377" s="6">
        <v>1</v>
      </c>
      <c r="F377" s="6" t="s">
        <v>2004</v>
      </c>
      <c r="G377" s="32" t="s">
        <v>2299</v>
      </c>
      <c r="H377" s="32" t="s">
        <v>2300</v>
      </c>
      <c r="I377" s="6" t="str">
        <f t="shared" si="13"/>
        <v>Wood Grapple</v>
      </c>
      <c r="J377" s="6" t="s">
        <v>127</v>
      </c>
      <c r="K377" s="6">
        <v>1</v>
      </c>
      <c r="L377" s="6">
        <f t="shared" si="14"/>
        <v>3880000</v>
      </c>
      <c r="M377" s="6">
        <v>3300000</v>
      </c>
      <c r="N377" s="6" t="s">
        <v>2003</v>
      </c>
      <c r="O377" s="6" t="s">
        <v>2007</v>
      </c>
      <c r="P377" s="6">
        <v>2017</v>
      </c>
      <c r="Q377" s="6">
        <v>1</v>
      </c>
      <c r="R377" s="6" t="s">
        <v>45</v>
      </c>
      <c r="S377" s="32" t="s">
        <v>2113</v>
      </c>
      <c r="T377" s="6">
        <v>1</v>
      </c>
      <c r="U377" s="26">
        <v>3100000</v>
      </c>
      <c r="V377" s="26">
        <v>3100000</v>
      </c>
      <c r="W377" s="26">
        <v>3100000</v>
      </c>
      <c r="X377" s="6" t="s">
        <v>2003</v>
      </c>
      <c r="Y377" s="6" t="s">
        <v>49</v>
      </c>
      <c r="Z377" s="6">
        <v>224717</v>
      </c>
    </row>
    <row r="378" spans="1:26" x14ac:dyDescent="0.3">
      <c r="A378" s="28" t="s">
        <v>42</v>
      </c>
      <c r="B378" s="6" t="s">
        <v>2167</v>
      </c>
      <c r="C378" s="6" t="s">
        <v>1975</v>
      </c>
      <c r="D378" s="6" t="s">
        <v>2293</v>
      </c>
      <c r="E378" s="6">
        <v>1</v>
      </c>
      <c r="F378" s="6" t="s">
        <v>2004</v>
      </c>
      <c r="G378" s="32" t="s">
        <v>2299</v>
      </c>
      <c r="H378" s="32" t="s">
        <v>2300</v>
      </c>
      <c r="I378" s="6" t="str">
        <f t="shared" si="13"/>
        <v>Side Breaker</v>
      </c>
      <c r="J378" s="6" t="s">
        <v>385</v>
      </c>
      <c r="K378" s="6">
        <v>1</v>
      </c>
      <c r="L378" s="6">
        <f t="shared" si="14"/>
        <v>2000000</v>
      </c>
      <c r="M378" s="6">
        <v>1700000</v>
      </c>
      <c r="N378" s="6" t="s">
        <v>2003</v>
      </c>
      <c r="O378" s="6" t="s">
        <v>70</v>
      </c>
      <c r="P378" s="6">
        <v>2014</v>
      </c>
      <c r="Q378" s="6">
        <v>8</v>
      </c>
      <c r="R378" s="6" t="s">
        <v>45</v>
      </c>
      <c r="S378" s="32" t="s">
        <v>2113</v>
      </c>
      <c r="T378" s="6">
        <v>1</v>
      </c>
      <c r="U378" s="26">
        <v>1600000</v>
      </c>
      <c r="V378" s="26">
        <v>1600000</v>
      </c>
      <c r="W378" s="26">
        <v>1600000</v>
      </c>
      <c r="X378" s="6" t="s">
        <v>2003</v>
      </c>
      <c r="Y378" s="6" t="s">
        <v>71</v>
      </c>
      <c r="Z378" s="6">
        <v>224718</v>
      </c>
    </row>
    <row r="379" spans="1:26" x14ac:dyDescent="0.3">
      <c r="A379" s="28" t="s">
        <v>42</v>
      </c>
      <c r="B379" s="6" t="s">
        <v>2172</v>
      </c>
      <c r="C379" s="6" t="s">
        <v>1982</v>
      </c>
      <c r="D379" s="6" t="s">
        <v>2292</v>
      </c>
      <c r="E379" s="6">
        <v>1</v>
      </c>
      <c r="F379" s="6" t="s">
        <v>2004</v>
      </c>
      <c r="G379" s="32" t="s">
        <v>2299</v>
      </c>
      <c r="H379" s="32" t="s">
        <v>2300</v>
      </c>
      <c r="I379" s="6" t="str">
        <f t="shared" si="13"/>
        <v>Standard Bucket</v>
      </c>
      <c r="J379" s="6" t="s">
        <v>140</v>
      </c>
      <c r="K379" s="6">
        <v>1</v>
      </c>
      <c r="L379" s="6">
        <f t="shared" si="14"/>
        <v>1050000</v>
      </c>
      <c r="M379" s="6">
        <v>900000</v>
      </c>
      <c r="N379" s="6" t="s">
        <v>2003</v>
      </c>
      <c r="O379" s="6" t="s">
        <v>2007</v>
      </c>
      <c r="P379" s="6">
        <v>2015</v>
      </c>
      <c r="Q379" s="6">
        <v>1</v>
      </c>
      <c r="R379" s="6" t="s">
        <v>45</v>
      </c>
      <c r="S379" s="32" t="s">
        <v>2113</v>
      </c>
      <c r="T379" s="6">
        <v>1</v>
      </c>
      <c r="U379" s="26">
        <v>800000</v>
      </c>
      <c r="V379" s="26">
        <v>800000</v>
      </c>
      <c r="W379" s="26">
        <v>800000</v>
      </c>
      <c r="X379" s="6" t="s">
        <v>2003</v>
      </c>
      <c r="Y379" s="6" t="s">
        <v>49</v>
      </c>
      <c r="Z379" s="6">
        <v>224722</v>
      </c>
    </row>
    <row r="380" spans="1:26" x14ac:dyDescent="0.3">
      <c r="A380" s="28" t="s">
        <v>42</v>
      </c>
      <c r="B380" s="6" t="s">
        <v>1326</v>
      </c>
      <c r="C380" s="6" t="s">
        <v>1972</v>
      </c>
      <c r="D380" s="6" t="s">
        <v>2291</v>
      </c>
      <c r="E380" s="6">
        <v>1</v>
      </c>
      <c r="F380" s="6" t="s">
        <v>2004</v>
      </c>
      <c r="G380" s="32" t="s">
        <v>2299</v>
      </c>
      <c r="H380" s="32" t="s">
        <v>2300</v>
      </c>
      <c r="I380" s="6" t="str">
        <f t="shared" si="13"/>
        <v>Stone Grapple</v>
      </c>
      <c r="J380" s="6" t="s">
        <v>109</v>
      </c>
      <c r="K380" s="6">
        <v>1</v>
      </c>
      <c r="L380" s="6">
        <f t="shared" si="14"/>
        <v>3520000</v>
      </c>
      <c r="M380" s="6">
        <v>3000000</v>
      </c>
      <c r="N380" s="6" t="s">
        <v>2003</v>
      </c>
      <c r="O380" s="6" t="s">
        <v>2007</v>
      </c>
      <c r="P380" s="6">
        <v>2015</v>
      </c>
      <c r="Q380" s="6">
        <v>1</v>
      </c>
      <c r="R380" s="6" t="s">
        <v>45</v>
      </c>
      <c r="S380" s="32" t="s">
        <v>2113</v>
      </c>
      <c r="T380" s="6">
        <v>1</v>
      </c>
      <c r="U380" s="26">
        <v>2800000</v>
      </c>
      <c r="V380" s="26">
        <v>2800000</v>
      </c>
      <c r="W380" s="26">
        <v>2800000</v>
      </c>
      <c r="X380" s="6" t="s">
        <v>2003</v>
      </c>
      <c r="Y380" s="6" t="s">
        <v>49</v>
      </c>
      <c r="Z380" s="6">
        <v>224723</v>
      </c>
    </row>
    <row r="381" spans="1:26" x14ac:dyDescent="0.3">
      <c r="A381" s="28" t="s">
        <v>42</v>
      </c>
      <c r="B381" s="6" t="s">
        <v>1327</v>
      </c>
      <c r="C381" s="6" t="s">
        <v>1976</v>
      </c>
      <c r="D381" s="6" t="s">
        <v>2001</v>
      </c>
      <c r="E381" s="6">
        <v>1</v>
      </c>
      <c r="F381" s="6" t="s">
        <v>2004</v>
      </c>
      <c r="G381" s="32" t="s">
        <v>2299</v>
      </c>
      <c r="H381" s="32" t="s">
        <v>2300</v>
      </c>
      <c r="I381" s="6" t="str">
        <f t="shared" si="13"/>
        <v>Skeleton Bucket</v>
      </c>
      <c r="J381" s="6" t="s">
        <v>566</v>
      </c>
      <c r="K381" s="6">
        <v>1</v>
      </c>
      <c r="L381" s="6">
        <f t="shared" si="14"/>
        <v>2580000</v>
      </c>
      <c r="M381" s="6">
        <v>2200000</v>
      </c>
      <c r="N381" s="6" t="s">
        <v>2003</v>
      </c>
      <c r="O381" s="6" t="s">
        <v>793</v>
      </c>
      <c r="P381" s="6">
        <v>2015</v>
      </c>
      <c r="Q381" s="6">
        <v>1</v>
      </c>
      <c r="R381" s="6" t="s">
        <v>45</v>
      </c>
      <c r="S381" s="32" t="s">
        <v>2116</v>
      </c>
      <c r="T381" s="6">
        <v>1</v>
      </c>
      <c r="U381" s="26">
        <v>2000000</v>
      </c>
      <c r="V381" s="26">
        <v>2000000</v>
      </c>
      <c r="W381" s="26">
        <v>2000000</v>
      </c>
      <c r="X381" s="6" t="s">
        <v>2003</v>
      </c>
      <c r="Y381" s="6" t="s">
        <v>1216</v>
      </c>
      <c r="Z381" s="6">
        <v>224727</v>
      </c>
    </row>
    <row r="382" spans="1:26" x14ac:dyDescent="0.3">
      <c r="A382" s="28" t="s">
        <v>42</v>
      </c>
      <c r="B382" s="6" t="s">
        <v>1327</v>
      </c>
      <c r="C382" s="6" t="s">
        <v>1980</v>
      </c>
      <c r="D382" s="6" t="s">
        <v>2291</v>
      </c>
      <c r="E382" s="6">
        <v>1</v>
      </c>
      <c r="F382" s="6" t="s">
        <v>2004</v>
      </c>
      <c r="G382" s="32" t="s">
        <v>2299</v>
      </c>
      <c r="H382" s="32" t="s">
        <v>2300</v>
      </c>
      <c r="I382" s="6" t="str">
        <f t="shared" si="13"/>
        <v>Small Bucket</v>
      </c>
      <c r="J382" s="6" t="s">
        <v>85</v>
      </c>
      <c r="K382" s="6">
        <v>1</v>
      </c>
      <c r="L382" s="6">
        <f t="shared" si="14"/>
        <v>320000</v>
      </c>
      <c r="M382" s="6">
        <v>280000</v>
      </c>
      <c r="N382" s="6" t="s">
        <v>2003</v>
      </c>
      <c r="O382" s="6" t="s">
        <v>2007</v>
      </c>
      <c r="P382" s="6">
        <v>2014</v>
      </c>
      <c r="Q382" s="6">
        <v>1</v>
      </c>
      <c r="R382" s="6" t="s">
        <v>45</v>
      </c>
      <c r="S382" s="32" t="s">
        <v>2113</v>
      </c>
      <c r="T382" s="6">
        <v>1</v>
      </c>
      <c r="U382" s="26">
        <v>230000</v>
      </c>
      <c r="V382" s="26">
        <v>230000</v>
      </c>
      <c r="W382" s="26">
        <v>230000</v>
      </c>
      <c r="X382" s="6" t="s">
        <v>2003</v>
      </c>
      <c r="Y382" s="6" t="s">
        <v>49</v>
      </c>
      <c r="Z382" s="6">
        <v>224730</v>
      </c>
    </row>
    <row r="383" spans="1:26" x14ac:dyDescent="0.3">
      <c r="A383" s="28" t="s">
        <v>42</v>
      </c>
      <c r="B383" s="6" t="s">
        <v>1327</v>
      </c>
      <c r="C383" s="6" t="s">
        <v>1976</v>
      </c>
      <c r="D383" s="6" t="s">
        <v>2292</v>
      </c>
      <c r="E383" s="6">
        <v>1</v>
      </c>
      <c r="F383" s="6" t="s">
        <v>2004</v>
      </c>
      <c r="G383" s="32" t="s">
        <v>2299</v>
      </c>
      <c r="H383" s="32" t="s">
        <v>2300</v>
      </c>
      <c r="I383" s="6" t="str">
        <f t="shared" si="13"/>
        <v>Skeleton Bucket</v>
      </c>
      <c r="J383" s="6" t="s">
        <v>455</v>
      </c>
      <c r="K383" s="6">
        <v>1</v>
      </c>
      <c r="L383" s="6">
        <f t="shared" si="14"/>
        <v>1110000</v>
      </c>
      <c r="M383" s="6">
        <v>950000</v>
      </c>
      <c r="N383" s="6" t="s">
        <v>2003</v>
      </c>
      <c r="O383" s="6" t="s">
        <v>823</v>
      </c>
      <c r="P383" s="6">
        <v>2013</v>
      </c>
      <c r="Q383" s="6">
        <v>1</v>
      </c>
      <c r="R383" s="6" t="s">
        <v>45</v>
      </c>
      <c r="S383" s="32" t="s">
        <v>2113</v>
      </c>
      <c r="T383" s="6">
        <v>1</v>
      </c>
      <c r="U383" s="26">
        <v>850000</v>
      </c>
      <c r="V383" s="26">
        <v>850000</v>
      </c>
      <c r="W383" s="26">
        <v>850000</v>
      </c>
      <c r="X383" s="6" t="s">
        <v>2003</v>
      </c>
      <c r="Y383" s="6" t="s">
        <v>49</v>
      </c>
      <c r="Z383" s="6">
        <v>224731</v>
      </c>
    </row>
    <row r="384" spans="1:26" x14ac:dyDescent="0.3">
      <c r="A384" s="28" t="s">
        <v>42</v>
      </c>
      <c r="B384" s="6" t="s">
        <v>2175</v>
      </c>
      <c r="C384" s="19" t="s">
        <v>2321</v>
      </c>
      <c r="D384" s="6" t="s">
        <v>2292</v>
      </c>
      <c r="E384" s="6">
        <v>1</v>
      </c>
      <c r="F384" s="6" t="s">
        <v>2004</v>
      </c>
      <c r="G384" s="32" t="s">
        <v>2299</v>
      </c>
      <c r="H384" s="32" t="s">
        <v>2300</v>
      </c>
      <c r="I384" s="6" t="str">
        <f t="shared" si="13"/>
        <v>Etc Crusher</v>
      </c>
      <c r="J384" s="6" t="s">
        <v>103</v>
      </c>
      <c r="K384" s="6">
        <v>1</v>
      </c>
      <c r="L384" s="6">
        <f t="shared" si="14"/>
        <v>8820000</v>
      </c>
      <c r="M384" s="6">
        <v>7500000</v>
      </c>
      <c r="N384" s="6" t="s">
        <v>2003</v>
      </c>
      <c r="O384" s="6" t="s">
        <v>2007</v>
      </c>
      <c r="P384" s="6">
        <v>2013</v>
      </c>
      <c r="Q384" s="6">
        <v>1</v>
      </c>
      <c r="R384" s="6" t="s">
        <v>45</v>
      </c>
      <c r="S384" s="32" t="s">
        <v>2113</v>
      </c>
      <c r="T384" s="6">
        <v>1</v>
      </c>
      <c r="U384" s="26">
        <v>7000000</v>
      </c>
      <c r="V384" s="26">
        <v>7000000</v>
      </c>
      <c r="W384" s="26">
        <v>7000000</v>
      </c>
      <c r="X384" s="6" t="s">
        <v>2003</v>
      </c>
      <c r="Y384" s="6" t="s">
        <v>49</v>
      </c>
      <c r="Z384" s="6">
        <v>224732</v>
      </c>
    </row>
    <row r="385" spans="1:26" x14ac:dyDescent="0.3">
      <c r="A385" s="28" t="s">
        <v>42</v>
      </c>
      <c r="B385" s="6" t="s">
        <v>2167</v>
      </c>
      <c r="C385" s="6" t="s">
        <v>1975</v>
      </c>
      <c r="D385" s="6" t="s">
        <v>2292</v>
      </c>
      <c r="E385" s="6">
        <v>1</v>
      </c>
      <c r="F385" s="6" t="s">
        <v>2004</v>
      </c>
      <c r="G385" s="32" t="s">
        <v>2299</v>
      </c>
      <c r="H385" s="32" t="s">
        <v>2300</v>
      </c>
      <c r="I385" s="6" t="str">
        <f t="shared" si="13"/>
        <v>Side Breaker</v>
      </c>
      <c r="J385" s="6" t="s">
        <v>422</v>
      </c>
      <c r="K385" s="6">
        <v>1</v>
      </c>
      <c r="L385" s="6">
        <f t="shared" si="14"/>
        <v>4000000</v>
      </c>
      <c r="M385" s="6">
        <v>3400000</v>
      </c>
      <c r="N385" s="6" t="s">
        <v>2003</v>
      </c>
      <c r="O385" s="6" t="s">
        <v>970</v>
      </c>
      <c r="P385" s="6">
        <v>2015</v>
      </c>
      <c r="Q385" s="6">
        <v>11</v>
      </c>
      <c r="R385" s="6" t="s">
        <v>45</v>
      </c>
      <c r="S385" s="32" t="s">
        <v>2119</v>
      </c>
      <c r="T385" s="6">
        <v>1</v>
      </c>
      <c r="U385" s="26">
        <v>3200000</v>
      </c>
      <c r="V385" s="26">
        <v>3200000</v>
      </c>
      <c r="W385" s="26">
        <v>3200000</v>
      </c>
      <c r="X385" s="6" t="s">
        <v>2003</v>
      </c>
      <c r="Y385" s="6" t="s">
        <v>1194</v>
      </c>
      <c r="Z385" s="6">
        <v>224735</v>
      </c>
    </row>
    <row r="386" spans="1:26" x14ac:dyDescent="0.3">
      <c r="A386" s="28" t="s">
        <v>42</v>
      </c>
      <c r="B386" s="6" t="s">
        <v>2175</v>
      </c>
      <c r="C386" s="19" t="s">
        <v>2321</v>
      </c>
      <c r="D386" s="6" t="s">
        <v>2292</v>
      </c>
      <c r="E386" s="6">
        <v>1</v>
      </c>
      <c r="F386" s="6" t="s">
        <v>2004</v>
      </c>
      <c r="G386" s="32" t="s">
        <v>2299</v>
      </c>
      <c r="H386" s="32" t="s">
        <v>2300</v>
      </c>
      <c r="I386" s="6" t="str">
        <f t="shared" si="13"/>
        <v>Etc Crusher</v>
      </c>
      <c r="J386" s="6" t="s">
        <v>568</v>
      </c>
      <c r="K386" s="6">
        <v>1</v>
      </c>
      <c r="L386" s="6">
        <f t="shared" si="14"/>
        <v>8820000</v>
      </c>
      <c r="M386" s="6">
        <v>7500000</v>
      </c>
      <c r="N386" s="6" t="s">
        <v>2003</v>
      </c>
      <c r="O386" s="6" t="s">
        <v>2007</v>
      </c>
      <c r="P386" s="6">
        <v>2013</v>
      </c>
      <c r="Q386" s="6">
        <v>1</v>
      </c>
      <c r="R386" s="6" t="s">
        <v>45</v>
      </c>
      <c r="S386" s="32" t="s">
        <v>2113</v>
      </c>
      <c r="T386" s="6">
        <v>1</v>
      </c>
      <c r="U386" s="26">
        <v>7000000</v>
      </c>
      <c r="V386" s="26">
        <v>7000000</v>
      </c>
      <c r="W386" s="26">
        <v>7000000</v>
      </c>
      <c r="X386" s="6" t="s">
        <v>2003</v>
      </c>
      <c r="Y386" s="6" t="s">
        <v>49</v>
      </c>
      <c r="Z386" s="6">
        <v>224739</v>
      </c>
    </row>
    <row r="387" spans="1:26" x14ac:dyDescent="0.3">
      <c r="A387" s="28" t="s">
        <v>42</v>
      </c>
      <c r="B387" s="6" t="s">
        <v>1327</v>
      </c>
      <c r="C387" s="19" t="s">
        <v>1982</v>
      </c>
      <c r="D387" s="6" t="s">
        <v>2291</v>
      </c>
      <c r="E387" s="6">
        <v>1</v>
      </c>
      <c r="F387" s="6" t="s">
        <v>2004</v>
      </c>
      <c r="G387" s="32" t="s">
        <v>2299</v>
      </c>
      <c r="H387" s="32" t="s">
        <v>2300</v>
      </c>
      <c r="I387" s="6" t="str">
        <f t="shared" si="13"/>
        <v>Standard Bucket</v>
      </c>
      <c r="J387" s="6" t="s">
        <v>570</v>
      </c>
      <c r="K387" s="6">
        <v>1</v>
      </c>
      <c r="L387" s="6">
        <f t="shared" si="14"/>
        <v>350000</v>
      </c>
      <c r="M387" s="6">
        <v>300000</v>
      </c>
      <c r="N387" s="6" t="s">
        <v>2003</v>
      </c>
      <c r="O387" s="6" t="s">
        <v>793</v>
      </c>
      <c r="P387" s="6">
        <v>1998</v>
      </c>
      <c r="Q387" s="6">
        <v>1</v>
      </c>
      <c r="R387" s="6" t="s">
        <v>45</v>
      </c>
      <c r="S387" s="32" t="s">
        <v>2116</v>
      </c>
      <c r="T387" s="6">
        <v>1</v>
      </c>
      <c r="U387" s="26">
        <v>250000</v>
      </c>
      <c r="V387" s="26">
        <v>250000</v>
      </c>
      <c r="W387" s="26">
        <v>250000</v>
      </c>
      <c r="X387" s="6" t="s">
        <v>2003</v>
      </c>
      <c r="Y387" s="6" t="s">
        <v>1146</v>
      </c>
      <c r="Z387" s="6">
        <v>224743</v>
      </c>
    </row>
    <row r="388" spans="1:26" x14ac:dyDescent="0.3">
      <c r="A388" s="28" t="s">
        <v>42</v>
      </c>
      <c r="B388" s="6" t="s">
        <v>2167</v>
      </c>
      <c r="C388" s="6" t="s">
        <v>1975</v>
      </c>
      <c r="D388" s="6" t="s">
        <v>2291</v>
      </c>
      <c r="E388" s="6">
        <v>1</v>
      </c>
      <c r="F388" s="6" t="s">
        <v>2004</v>
      </c>
      <c r="G388" s="32" t="s">
        <v>2299</v>
      </c>
      <c r="H388" s="32" t="s">
        <v>2300</v>
      </c>
      <c r="I388" s="6" t="str">
        <f t="shared" si="13"/>
        <v>Side Breaker</v>
      </c>
      <c r="J388" s="6" t="s">
        <v>571</v>
      </c>
      <c r="K388" s="6">
        <v>1</v>
      </c>
      <c r="L388" s="6">
        <f t="shared" si="14"/>
        <v>2230000</v>
      </c>
      <c r="M388" s="6">
        <v>1900000</v>
      </c>
      <c r="N388" s="6" t="s">
        <v>2003</v>
      </c>
      <c r="O388" s="6" t="s">
        <v>971</v>
      </c>
      <c r="P388" s="6">
        <v>2014</v>
      </c>
      <c r="Q388" s="6">
        <v>1</v>
      </c>
      <c r="R388" s="6" t="s">
        <v>45</v>
      </c>
      <c r="S388" s="32" t="s">
        <v>2123</v>
      </c>
      <c r="T388" s="6">
        <v>1</v>
      </c>
      <c r="U388" s="26">
        <v>1800000</v>
      </c>
      <c r="V388" s="26">
        <v>1800000</v>
      </c>
      <c r="W388" s="26">
        <v>1800000</v>
      </c>
      <c r="X388" s="6" t="s">
        <v>2003</v>
      </c>
      <c r="Y388" s="6" t="s">
        <v>1181</v>
      </c>
      <c r="Z388" s="6">
        <v>224744</v>
      </c>
    </row>
    <row r="389" spans="1:26" x14ac:dyDescent="0.3">
      <c r="A389" s="28" t="s">
        <v>42</v>
      </c>
      <c r="B389" s="6" t="s">
        <v>2193</v>
      </c>
      <c r="C389" s="6"/>
      <c r="D389" s="6" t="s">
        <v>2292</v>
      </c>
      <c r="E389" s="6">
        <v>1</v>
      </c>
      <c r="F389" s="6" t="s">
        <v>2004</v>
      </c>
      <c r="G389" s="32" t="s">
        <v>2299</v>
      </c>
      <c r="H389" s="32" t="s">
        <v>2300</v>
      </c>
      <c r="I389" s="6" t="str">
        <f t="shared" si="13"/>
        <v>Ripper</v>
      </c>
      <c r="J389" s="6" t="s">
        <v>313</v>
      </c>
      <c r="K389" s="6">
        <v>1</v>
      </c>
      <c r="L389" s="6">
        <f t="shared" si="14"/>
        <v>940000</v>
      </c>
      <c r="M389" s="6">
        <v>800000</v>
      </c>
      <c r="N389" s="6" t="s">
        <v>2003</v>
      </c>
      <c r="O389" s="6" t="s">
        <v>939</v>
      </c>
      <c r="P389" s="6">
        <v>2014</v>
      </c>
      <c r="Q389" s="6">
        <v>10</v>
      </c>
      <c r="R389" s="6" t="s">
        <v>45</v>
      </c>
      <c r="S389" s="32" t="s">
        <v>2120</v>
      </c>
      <c r="T389" s="6">
        <v>1</v>
      </c>
      <c r="U389" s="26">
        <v>700000</v>
      </c>
      <c r="V389" s="26">
        <v>700000</v>
      </c>
      <c r="W389" s="26">
        <v>700000</v>
      </c>
      <c r="X389" s="6" t="s">
        <v>2003</v>
      </c>
      <c r="Y389" s="6" t="s">
        <v>939</v>
      </c>
      <c r="Z389" s="6">
        <v>224754</v>
      </c>
    </row>
    <row r="390" spans="1:26" x14ac:dyDescent="0.3">
      <c r="A390" s="28" t="s">
        <v>42</v>
      </c>
      <c r="B390" s="6" t="s">
        <v>2308</v>
      </c>
      <c r="C390" s="6" t="s">
        <v>1975</v>
      </c>
      <c r="D390" s="6" t="s">
        <v>2291</v>
      </c>
      <c r="E390" s="6">
        <v>1</v>
      </c>
      <c r="F390" s="6" t="s">
        <v>2004</v>
      </c>
      <c r="G390" s="32" t="s">
        <v>2299</v>
      </c>
      <c r="H390" s="32" t="s">
        <v>2300</v>
      </c>
      <c r="I390" s="6" t="str">
        <f t="shared" si="13"/>
        <v>Side Breaker</v>
      </c>
      <c r="J390" s="6" t="s">
        <v>171</v>
      </c>
      <c r="K390" s="6">
        <v>1</v>
      </c>
      <c r="L390" s="6">
        <f t="shared" si="14"/>
        <v>3170000</v>
      </c>
      <c r="M390" s="6">
        <v>2700000</v>
      </c>
      <c r="N390" s="6" t="s">
        <v>2003</v>
      </c>
      <c r="O390" s="6" t="s">
        <v>2007</v>
      </c>
      <c r="P390" s="6">
        <v>2017</v>
      </c>
      <c r="Q390" s="6">
        <v>1</v>
      </c>
      <c r="R390" s="6" t="s">
        <v>45</v>
      </c>
      <c r="S390" s="32" t="s">
        <v>2113</v>
      </c>
      <c r="T390" s="6">
        <v>1</v>
      </c>
      <c r="U390" s="26">
        <v>2500000</v>
      </c>
      <c r="V390" s="26">
        <v>2500000</v>
      </c>
      <c r="W390" s="26">
        <v>2500000</v>
      </c>
      <c r="X390" s="6" t="s">
        <v>2003</v>
      </c>
      <c r="Y390" s="6" t="s">
        <v>49</v>
      </c>
      <c r="Z390" s="6">
        <v>224759</v>
      </c>
    </row>
    <row r="391" spans="1:26" x14ac:dyDescent="0.3">
      <c r="A391" s="28" t="s">
        <v>42</v>
      </c>
      <c r="B391" s="6" t="s">
        <v>2313</v>
      </c>
      <c r="C391" s="6" t="s">
        <v>1977</v>
      </c>
      <c r="D391" s="6" t="s">
        <v>2291</v>
      </c>
      <c r="E391" s="6">
        <v>1</v>
      </c>
      <c r="F391" s="6" t="s">
        <v>2004</v>
      </c>
      <c r="G391" s="32" t="s">
        <v>2299</v>
      </c>
      <c r="H391" s="32" t="s">
        <v>2300</v>
      </c>
      <c r="I391" s="6" t="str">
        <f t="shared" si="13"/>
        <v>Wide Bucket</v>
      </c>
      <c r="J391" s="6" t="s">
        <v>2144</v>
      </c>
      <c r="K391" s="6">
        <v>1</v>
      </c>
      <c r="L391" s="6">
        <f t="shared" si="14"/>
        <v>520000</v>
      </c>
      <c r="M391" s="6">
        <v>450000</v>
      </c>
      <c r="N391" s="6" t="s">
        <v>2003</v>
      </c>
      <c r="O391" s="6" t="s">
        <v>822</v>
      </c>
      <c r="P391" s="6">
        <v>2014</v>
      </c>
      <c r="Q391" s="6">
        <v>7</v>
      </c>
      <c r="R391" s="6" t="s">
        <v>45</v>
      </c>
      <c r="S391" s="32" t="s">
        <v>2123</v>
      </c>
      <c r="T391" s="6">
        <v>1</v>
      </c>
      <c r="U391" s="26">
        <v>400000</v>
      </c>
      <c r="V391" s="26">
        <v>400000</v>
      </c>
      <c r="W391" s="26">
        <v>400000</v>
      </c>
      <c r="X391" s="6" t="s">
        <v>2003</v>
      </c>
      <c r="Y391" s="6" t="s">
        <v>92</v>
      </c>
      <c r="Z391" s="6">
        <v>224762</v>
      </c>
    </row>
    <row r="392" spans="1:26" x14ac:dyDescent="0.3">
      <c r="A392" s="28" t="s">
        <v>42</v>
      </c>
      <c r="B392" s="6" t="s">
        <v>2309</v>
      </c>
      <c r="C392" s="19" t="s">
        <v>1974</v>
      </c>
      <c r="D392" s="6" t="s">
        <v>2292</v>
      </c>
      <c r="E392" s="6">
        <v>1</v>
      </c>
      <c r="F392" s="6" t="s">
        <v>2004</v>
      </c>
      <c r="G392" s="32" t="s">
        <v>2299</v>
      </c>
      <c r="H392" s="32" t="s">
        <v>2300</v>
      </c>
      <c r="I392" s="6" t="str">
        <f t="shared" si="13"/>
        <v>Etc Grapple</v>
      </c>
      <c r="J392" s="6" t="s">
        <v>572</v>
      </c>
      <c r="K392" s="6">
        <v>1</v>
      </c>
      <c r="L392" s="6">
        <f t="shared" si="14"/>
        <v>2230000</v>
      </c>
      <c r="M392" s="6">
        <v>1900000</v>
      </c>
      <c r="N392" s="6" t="s">
        <v>2003</v>
      </c>
      <c r="O392" s="6" t="s">
        <v>2007</v>
      </c>
      <c r="P392" s="6">
        <v>2013</v>
      </c>
      <c r="Q392" s="6">
        <v>1</v>
      </c>
      <c r="R392" s="6" t="s">
        <v>45</v>
      </c>
      <c r="S392" s="32" t="s">
        <v>2113</v>
      </c>
      <c r="T392" s="6">
        <v>1</v>
      </c>
      <c r="U392" s="26">
        <v>1800000</v>
      </c>
      <c r="V392" s="26">
        <v>1800000</v>
      </c>
      <c r="W392" s="26">
        <v>1800000</v>
      </c>
      <c r="X392" s="6" t="s">
        <v>2003</v>
      </c>
      <c r="Y392" s="6" t="s">
        <v>49</v>
      </c>
      <c r="Z392" s="6">
        <v>224764</v>
      </c>
    </row>
    <row r="393" spans="1:26" x14ac:dyDescent="0.3">
      <c r="A393" s="28" t="s">
        <v>42</v>
      </c>
      <c r="B393" s="6" t="s">
        <v>2313</v>
      </c>
      <c r="C393" s="6" t="s">
        <v>1980</v>
      </c>
      <c r="D393" s="6" t="s">
        <v>2289</v>
      </c>
      <c r="E393" s="6">
        <v>1</v>
      </c>
      <c r="F393" s="6" t="s">
        <v>2004</v>
      </c>
      <c r="G393" s="32" t="s">
        <v>2299</v>
      </c>
      <c r="H393" s="32" t="s">
        <v>2300</v>
      </c>
      <c r="I393" s="6" t="str">
        <f t="shared" si="13"/>
        <v>Small Bucket</v>
      </c>
      <c r="J393" s="6" t="s">
        <v>635</v>
      </c>
      <c r="K393" s="6">
        <v>1</v>
      </c>
      <c r="L393" s="6">
        <f t="shared" si="14"/>
        <v>820000</v>
      </c>
      <c r="M393" s="6">
        <v>700000</v>
      </c>
      <c r="N393" s="6" t="s">
        <v>2003</v>
      </c>
      <c r="O393" s="6" t="s">
        <v>814</v>
      </c>
      <c r="P393" s="6">
        <v>2016</v>
      </c>
      <c r="Q393" s="6">
        <v>3</v>
      </c>
      <c r="R393" s="6" t="s">
        <v>45</v>
      </c>
      <c r="S393" s="32" t="s">
        <v>2119</v>
      </c>
      <c r="T393" s="6">
        <v>1</v>
      </c>
      <c r="U393" s="26">
        <v>600000</v>
      </c>
      <c r="V393" s="26">
        <v>600000</v>
      </c>
      <c r="W393" s="26">
        <v>600000</v>
      </c>
      <c r="X393" s="6" t="s">
        <v>2003</v>
      </c>
      <c r="Y393" s="6" t="s">
        <v>1194</v>
      </c>
      <c r="Z393" s="6">
        <v>224770</v>
      </c>
    </row>
    <row r="394" spans="1:26" x14ac:dyDescent="0.3">
      <c r="A394" s="28" t="s">
        <v>42</v>
      </c>
      <c r="B394" s="6" t="s">
        <v>2315</v>
      </c>
      <c r="C394" s="6"/>
      <c r="D394" s="6" t="s">
        <v>2289</v>
      </c>
      <c r="E394" s="6">
        <v>1</v>
      </c>
      <c r="F394" s="6" t="s">
        <v>2004</v>
      </c>
      <c r="G394" s="32" t="s">
        <v>2299</v>
      </c>
      <c r="H394" s="32" t="s">
        <v>2300</v>
      </c>
      <c r="I394" s="6" t="str">
        <f t="shared" si="13"/>
        <v>ETC</v>
      </c>
      <c r="J394" s="6" t="s">
        <v>126</v>
      </c>
      <c r="K394" s="6">
        <v>1</v>
      </c>
      <c r="L394" s="6">
        <f t="shared" si="14"/>
        <v>12350000</v>
      </c>
      <c r="M394" s="6">
        <v>10500000</v>
      </c>
      <c r="N394" s="6" t="s">
        <v>2003</v>
      </c>
      <c r="O394" s="6" t="s">
        <v>813</v>
      </c>
      <c r="P394" s="6">
        <v>2014</v>
      </c>
      <c r="Q394" s="6">
        <v>1</v>
      </c>
      <c r="R394" s="6" t="s">
        <v>45</v>
      </c>
      <c r="S394" s="32" t="s">
        <v>2113</v>
      </c>
      <c r="T394" s="6">
        <v>1</v>
      </c>
      <c r="U394" s="26">
        <v>10000000</v>
      </c>
      <c r="V394" s="26">
        <v>10000000</v>
      </c>
      <c r="W394" s="26">
        <v>10000000</v>
      </c>
      <c r="X394" s="6" t="s">
        <v>2003</v>
      </c>
      <c r="Y394" s="6" t="s">
        <v>79</v>
      </c>
      <c r="Z394" s="6">
        <v>224771</v>
      </c>
    </row>
    <row r="395" spans="1:26" x14ac:dyDescent="0.3">
      <c r="A395" s="28" t="s">
        <v>42</v>
      </c>
      <c r="B395" s="6" t="s">
        <v>2309</v>
      </c>
      <c r="C395" s="6" t="s">
        <v>1972</v>
      </c>
      <c r="D395" s="6" t="s">
        <v>2291</v>
      </c>
      <c r="E395" s="6">
        <v>1</v>
      </c>
      <c r="F395" s="6" t="s">
        <v>2004</v>
      </c>
      <c r="G395" s="32" t="s">
        <v>2299</v>
      </c>
      <c r="H395" s="32" t="s">
        <v>2300</v>
      </c>
      <c r="I395" s="6" t="str">
        <f t="shared" ref="I395:I458" si="15">IF(ISBLANK(C395),B395,C395)</f>
        <v>Stone Grapple</v>
      </c>
      <c r="J395" s="6" t="s">
        <v>149</v>
      </c>
      <c r="K395" s="6">
        <v>1</v>
      </c>
      <c r="L395" s="6">
        <f t="shared" ref="L395:L458" si="16">FLOOR(((M395*100)/85)/10000, 1)*10000</f>
        <v>1760000</v>
      </c>
      <c r="M395" s="6">
        <v>1500000</v>
      </c>
      <c r="N395" s="6" t="s">
        <v>2003</v>
      </c>
      <c r="O395" s="6" t="s">
        <v>2007</v>
      </c>
      <c r="P395" s="6">
        <v>2014</v>
      </c>
      <c r="Q395" s="6">
        <v>1</v>
      </c>
      <c r="R395" s="6" t="s">
        <v>45</v>
      </c>
      <c r="S395" s="32" t="s">
        <v>2113</v>
      </c>
      <c r="T395" s="6">
        <v>1</v>
      </c>
      <c r="U395" s="26">
        <v>1400000</v>
      </c>
      <c r="V395" s="26">
        <v>1400000</v>
      </c>
      <c r="W395" s="26">
        <v>1400000</v>
      </c>
      <c r="X395" s="6" t="s">
        <v>2003</v>
      </c>
      <c r="Y395" s="6" t="s">
        <v>49</v>
      </c>
      <c r="Z395" s="6">
        <v>224774</v>
      </c>
    </row>
    <row r="396" spans="1:26" x14ac:dyDescent="0.3">
      <c r="A396" s="28" t="s">
        <v>42</v>
      </c>
      <c r="B396" s="6" t="s">
        <v>2308</v>
      </c>
      <c r="C396" s="19" t="s">
        <v>1975</v>
      </c>
      <c r="D396" s="6" t="s">
        <v>2292</v>
      </c>
      <c r="E396" s="6">
        <v>1</v>
      </c>
      <c r="F396" s="6" t="s">
        <v>2004</v>
      </c>
      <c r="G396" s="32" t="s">
        <v>2299</v>
      </c>
      <c r="H396" s="32" t="s">
        <v>2300</v>
      </c>
      <c r="I396" s="6" t="str">
        <f t="shared" si="15"/>
        <v>Side Breaker</v>
      </c>
      <c r="J396" s="6" t="s">
        <v>423</v>
      </c>
      <c r="K396" s="6">
        <v>1</v>
      </c>
      <c r="L396" s="6">
        <f t="shared" si="16"/>
        <v>2940000</v>
      </c>
      <c r="M396" s="6">
        <v>2500000</v>
      </c>
      <c r="N396" s="6" t="s">
        <v>2003</v>
      </c>
      <c r="O396" s="6" t="s">
        <v>797</v>
      </c>
      <c r="P396" s="6">
        <v>2015</v>
      </c>
      <c r="Q396" s="6">
        <v>7</v>
      </c>
      <c r="R396" s="6" t="s">
        <v>45</v>
      </c>
      <c r="S396" s="32" t="s">
        <v>2120</v>
      </c>
      <c r="T396" s="6">
        <v>1</v>
      </c>
      <c r="U396" s="26">
        <v>2300000</v>
      </c>
      <c r="V396" s="26">
        <v>2300000</v>
      </c>
      <c r="W396" s="26">
        <v>2300000</v>
      </c>
      <c r="X396" s="6" t="s">
        <v>2003</v>
      </c>
      <c r="Y396" s="6" t="s">
        <v>1162</v>
      </c>
      <c r="Z396" s="6">
        <v>224776</v>
      </c>
    </row>
    <row r="397" spans="1:26" x14ac:dyDescent="0.3">
      <c r="A397" s="28" t="s">
        <v>42</v>
      </c>
      <c r="B397" s="6" t="s">
        <v>2313</v>
      </c>
      <c r="C397" s="19" t="s">
        <v>1982</v>
      </c>
      <c r="D397" s="6" t="s">
        <v>2001</v>
      </c>
      <c r="E397" s="6">
        <v>1</v>
      </c>
      <c r="F397" s="6" t="s">
        <v>2004</v>
      </c>
      <c r="G397" s="32" t="s">
        <v>2299</v>
      </c>
      <c r="H397" s="32" t="s">
        <v>2300</v>
      </c>
      <c r="I397" s="6" t="str">
        <f t="shared" si="15"/>
        <v>Standard Bucket</v>
      </c>
      <c r="J397" s="6" t="s">
        <v>574</v>
      </c>
      <c r="K397" s="6">
        <v>1</v>
      </c>
      <c r="L397" s="6">
        <f t="shared" si="16"/>
        <v>1880000</v>
      </c>
      <c r="M397" s="6">
        <v>1600000</v>
      </c>
      <c r="N397" s="6" t="s">
        <v>2003</v>
      </c>
      <c r="O397" s="6" t="s">
        <v>972</v>
      </c>
      <c r="P397" s="6">
        <v>2009</v>
      </c>
      <c r="Q397" s="6">
        <v>8</v>
      </c>
      <c r="R397" s="6" t="s">
        <v>45</v>
      </c>
      <c r="S397" s="32" t="s">
        <v>2120</v>
      </c>
      <c r="T397" s="6">
        <v>1</v>
      </c>
      <c r="U397" s="26">
        <v>1500000</v>
      </c>
      <c r="V397" s="26">
        <v>1500000</v>
      </c>
      <c r="W397" s="26">
        <v>1500000</v>
      </c>
      <c r="X397" s="6" t="s">
        <v>2003</v>
      </c>
      <c r="Y397" s="6" t="s">
        <v>1205</v>
      </c>
      <c r="Z397" s="6">
        <v>224777</v>
      </c>
    </row>
    <row r="398" spans="1:26" x14ac:dyDescent="0.3">
      <c r="A398" s="28" t="s">
        <v>42</v>
      </c>
      <c r="B398" s="6" t="s">
        <v>2313</v>
      </c>
      <c r="C398" s="19" t="s">
        <v>2209</v>
      </c>
      <c r="D398" s="6" t="s">
        <v>2289</v>
      </c>
      <c r="E398" s="6">
        <v>1</v>
      </c>
      <c r="F398" s="6" t="s">
        <v>2004</v>
      </c>
      <c r="G398" s="32" t="s">
        <v>2299</v>
      </c>
      <c r="H398" s="32" t="s">
        <v>2300</v>
      </c>
      <c r="I398" s="6" t="str">
        <f t="shared" si="15"/>
        <v>Etc Bucket</v>
      </c>
      <c r="J398" s="6" t="s">
        <v>575</v>
      </c>
      <c r="K398" s="6">
        <v>1</v>
      </c>
      <c r="L398" s="6">
        <f t="shared" si="16"/>
        <v>8230000</v>
      </c>
      <c r="M398" s="6">
        <v>7000000</v>
      </c>
      <c r="N398" s="6" t="s">
        <v>2003</v>
      </c>
      <c r="O398" s="6" t="s">
        <v>973</v>
      </c>
      <c r="P398" s="6">
        <v>2012</v>
      </c>
      <c r="Q398" s="6">
        <v>1</v>
      </c>
      <c r="R398" s="6" t="s">
        <v>45</v>
      </c>
      <c r="S398" s="32" t="s">
        <v>2112</v>
      </c>
      <c r="T398" s="6">
        <v>1</v>
      </c>
      <c r="U398" s="26">
        <v>6500000</v>
      </c>
      <c r="V398" s="26">
        <v>6500000</v>
      </c>
      <c r="W398" s="26">
        <v>6500000</v>
      </c>
      <c r="X398" s="6" t="s">
        <v>2003</v>
      </c>
      <c r="Y398" s="6" t="s">
        <v>1213</v>
      </c>
      <c r="Z398" s="6">
        <v>224782</v>
      </c>
    </row>
    <row r="399" spans="1:26" x14ac:dyDescent="0.3">
      <c r="A399" s="28" t="s">
        <v>42</v>
      </c>
      <c r="B399" s="6" t="s">
        <v>2309</v>
      </c>
      <c r="C399" s="6" t="s">
        <v>1972</v>
      </c>
      <c r="D399" s="6" t="s">
        <v>2291</v>
      </c>
      <c r="E399" s="6">
        <v>1</v>
      </c>
      <c r="F399" s="6" t="s">
        <v>2004</v>
      </c>
      <c r="G399" s="32" t="s">
        <v>2299</v>
      </c>
      <c r="H399" s="32" t="s">
        <v>2300</v>
      </c>
      <c r="I399" s="6" t="str">
        <f t="shared" si="15"/>
        <v>Stone Grapple</v>
      </c>
      <c r="J399" s="6" t="s">
        <v>109</v>
      </c>
      <c r="K399" s="6">
        <v>1</v>
      </c>
      <c r="L399" s="6">
        <f t="shared" si="16"/>
        <v>3760000</v>
      </c>
      <c r="M399" s="6">
        <v>3200000</v>
      </c>
      <c r="N399" s="6" t="s">
        <v>2003</v>
      </c>
      <c r="O399" s="6" t="s">
        <v>939</v>
      </c>
      <c r="P399" s="6">
        <v>2015</v>
      </c>
      <c r="Q399" s="6">
        <v>2</v>
      </c>
      <c r="R399" s="6" t="s">
        <v>45</v>
      </c>
      <c r="S399" s="32" t="s">
        <v>2120</v>
      </c>
      <c r="T399" s="6">
        <v>1</v>
      </c>
      <c r="U399" s="26">
        <v>3000000</v>
      </c>
      <c r="V399" s="26">
        <v>3000000</v>
      </c>
      <c r="W399" s="26">
        <v>3000000</v>
      </c>
      <c r="X399" s="6" t="s">
        <v>2003</v>
      </c>
      <c r="Y399" s="6" t="s">
        <v>939</v>
      </c>
      <c r="Z399" s="6">
        <v>224784</v>
      </c>
    </row>
    <row r="400" spans="1:26" x14ac:dyDescent="0.3">
      <c r="A400" s="28" t="s">
        <v>42</v>
      </c>
      <c r="B400" s="6" t="s">
        <v>2315</v>
      </c>
      <c r="C400" s="6"/>
      <c r="D400" s="6" t="s">
        <v>2292</v>
      </c>
      <c r="E400" s="6">
        <v>1</v>
      </c>
      <c r="F400" s="6" t="s">
        <v>2004</v>
      </c>
      <c r="G400" s="32" t="s">
        <v>2299</v>
      </c>
      <c r="H400" s="32" t="s">
        <v>2300</v>
      </c>
      <c r="I400" s="6" t="str">
        <f t="shared" si="15"/>
        <v>ETC</v>
      </c>
      <c r="J400" s="6" t="s">
        <v>405</v>
      </c>
      <c r="K400" s="6">
        <v>1</v>
      </c>
      <c r="L400" s="6">
        <f t="shared" si="16"/>
        <v>14700000</v>
      </c>
      <c r="M400" s="6">
        <v>12500000</v>
      </c>
      <c r="N400" s="6" t="s">
        <v>2003</v>
      </c>
      <c r="O400" s="6" t="s">
        <v>2007</v>
      </c>
      <c r="P400" s="6">
        <v>2014</v>
      </c>
      <c r="Q400" s="6">
        <v>1</v>
      </c>
      <c r="R400" s="6" t="s">
        <v>45</v>
      </c>
      <c r="S400" s="32" t="s">
        <v>2113</v>
      </c>
      <c r="T400" s="6">
        <v>1</v>
      </c>
      <c r="U400" s="26">
        <v>12000000</v>
      </c>
      <c r="V400" s="26">
        <v>12000000</v>
      </c>
      <c r="W400" s="26">
        <v>12000000</v>
      </c>
      <c r="X400" s="6" t="s">
        <v>2003</v>
      </c>
      <c r="Y400" s="6" t="s">
        <v>49</v>
      </c>
      <c r="Z400" s="6">
        <v>224790</v>
      </c>
    </row>
    <row r="401" spans="1:26" x14ac:dyDescent="0.3">
      <c r="A401" s="28" t="s">
        <v>42</v>
      </c>
      <c r="B401" s="6" t="s">
        <v>2316</v>
      </c>
      <c r="C401" s="6"/>
      <c r="D401" s="6" t="s">
        <v>2291</v>
      </c>
      <c r="E401" s="6">
        <v>1</v>
      </c>
      <c r="F401" s="6" t="s">
        <v>2004</v>
      </c>
      <c r="G401" s="32" t="s">
        <v>2299</v>
      </c>
      <c r="H401" s="32" t="s">
        <v>2300</v>
      </c>
      <c r="I401" s="6" t="str">
        <f t="shared" si="15"/>
        <v>Ripper</v>
      </c>
      <c r="J401" s="6" t="s">
        <v>347</v>
      </c>
      <c r="K401" s="6">
        <v>1</v>
      </c>
      <c r="L401" s="6">
        <f t="shared" si="16"/>
        <v>580000</v>
      </c>
      <c r="M401" s="6">
        <v>500000</v>
      </c>
      <c r="N401" s="6" t="s">
        <v>2003</v>
      </c>
      <c r="O401" s="6" t="s">
        <v>2051</v>
      </c>
      <c r="P401" s="6">
        <v>2017</v>
      </c>
      <c r="Q401" s="6">
        <v>1</v>
      </c>
      <c r="R401" s="6" t="s">
        <v>45</v>
      </c>
      <c r="S401" s="32" t="s">
        <v>2113</v>
      </c>
      <c r="T401" s="6">
        <v>1</v>
      </c>
      <c r="U401" s="26">
        <v>450000</v>
      </c>
      <c r="V401" s="26">
        <v>450000</v>
      </c>
      <c r="W401" s="26">
        <v>450000</v>
      </c>
      <c r="X401" s="6" t="s">
        <v>2003</v>
      </c>
      <c r="Y401" s="6" t="s">
        <v>49</v>
      </c>
      <c r="Z401" s="6">
        <v>224791</v>
      </c>
    </row>
    <row r="402" spans="1:26" x14ac:dyDescent="0.3">
      <c r="A402" s="28" t="s">
        <v>42</v>
      </c>
      <c r="B402" s="6" t="s">
        <v>2315</v>
      </c>
      <c r="C402" s="6"/>
      <c r="D402" s="6" t="s">
        <v>2292</v>
      </c>
      <c r="E402" s="6">
        <v>1</v>
      </c>
      <c r="F402" s="6" t="s">
        <v>2004</v>
      </c>
      <c r="G402" s="32" t="s">
        <v>2299</v>
      </c>
      <c r="H402" s="32" t="s">
        <v>2300</v>
      </c>
      <c r="I402" s="6" t="str">
        <f t="shared" si="15"/>
        <v>ETC</v>
      </c>
      <c r="J402" s="6" t="s">
        <v>578</v>
      </c>
      <c r="K402" s="6">
        <v>1</v>
      </c>
      <c r="L402" s="6">
        <f t="shared" si="16"/>
        <v>4940000</v>
      </c>
      <c r="M402" s="6">
        <v>4200000</v>
      </c>
      <c r="N402" s="6" t="s">
        <v>2003</v>
      </c>
      <c r="O402" s="6" t="s">
        <v>2052</v>
      </c>
      <c r="P402" s="6">
        <v>2014</v>
      </c>
      <c r="Q402" s="6">
        <v>1</v>
      </c>
      <c r="R402" s="6" t="s">
        <v>45</v>
      </c>
      <c r="S402" s="32" t="s">
        <v>2112</v>
      </c>
      <c r="T402" s="6">
        <v>1</v>
      </c>
      <c r="U402" s="26">
        <v>4000000</v>
      </c>
      <c r="V402" s="26">
        <v>4000000</v>
      </c>
      <c r="W402" s="26">
        <v>4000000</v>
      </c>
      <c r="X402" s="6" t="s">
        <v>2003</v>
      </c>
      <c r="Y402" s="6" t="s">
        <v>1223</v>
      </c>
      <c r="Z402" s="6">
        <v>224794</v>
      </c>
    </row>
    <row r="403" spans="1:26" x14ac:dyDescent="0.3">
      <c r="A403" s="28" t="s">
        <v>42</v>
      </c>
      <c r="B403" s="6" t="s">
        <v>2308</v>
      </c>
      <c r="C403" s="6" t="s">
        <v>1975</v>
      </c>
      <c r="D403" s="6" t="s">
        <v>2002</v>
      </c>
      <c r="E403" s="6">
        <v>1</v>
      </c>
      <c r="F403" s="6" t="s">
        <v>2004</v>
      </c>
      <c r="G403" s="32" t="s">
        <v>2299</v>
      </c>
      <c r="H403" s="32" t="s">
        <v>2300</v>
      </c>
      <c r="I403" s="6" t="str">
        <f t="shared" si="15"/>
        <v>Side Breaker</v>
      </c>
      <c r="J403" s="6" t="s">
        <v>135</v>
      </c>
      <c r="K403" s="6">
        <v>1</v>
      </c>
      <c r="L403" s="6">
        <f t="shared" si="16"/>
        <v>1640000</v>
      </c>
      <c r="M403" s="6">
        <v>1400000</v>
      </c>
      <c r="N403" s="6" t="s">
        <v>2003</v>
      </c>
      <c r="O403" s="6" t="s">
        <v>2007</v>
      </c>
      <c r="P403" s="6">
        <v>2014</v>
      </c>
      <c r="Q403" s="6">
        <v>1</v>
      </c>
      <c r="R403" s="6" t="s">
        <v>45</v>
      </c>
      <c r="S403" s="32" t="s">
        <v>2113</v>
      </c>
      <c r="T403" s="6">
        <v>1</v>
      </c>
      <c r="U403" s="26">
        <v>1300000</v>
      </c>
      <c r="V403" s="26">
        <v>1300000</v>
      </c>
      <c r="W403" s="26">
        <v>1300000</v>
      </c>
      <c r="X403" s="6" t="s">
        <v>2003</v>
      </c>
      <c r="Y403" s="6" t="s">
        <v>49</v>
      </c>
      <c r="Z403" s="6">
        <v>224797</v>
      </c>
    </row>
    <row r="404" spans="1:26" x14ac:dyDescent="0.3">
      <c r="A404" s="28" t="s">
        <v>42</v>
      </c>
      <c r="B404" s="6" t="s">
        <v>2309</v>
      </c>
      <c r="C404" s="6" t="s">
        <v>1974</v>
      </c>
      <c r="D404" s="6" t="s">
        <v>2292</v>
      </c>
      <c r="E404" s="6">
        <v>1</v>
      </c>
      <c r="F404" s="6" t="s">
        <v>2004</v>
      </c>
      <c r="G404" s="32" t="s">
        <v>2299</v>
      </c>
      <c r="H404" s="32" t="s">
        <v>2300</v>
      </c>
      <c r="I404" s="6" t="str">
        <f t="shared" si="15"/>
        <v>Etc Grapple</v>
      </c>
      <c r="J404" s="6" t="s">
        <v>220</v>
      </c>
      <c r="K404" s="6">
        <v>1</v>
      </c>
      <c r="L404" s="6">
        <f t="shared" si="16"/>
        <v>5640000</v>
      </c>
      <c r="M404" s="6">
        <v>4800000</v>
      </c>
      <c r="N404" s="6" t="s">
        <v>2003</v>
      </c>
      <c r="O404" s="6" t="s">
        <v>2007</v>
      </c>
      <c r="P404" s="6">
        <v>2014</v>
      </c>
      <c r="Q404" s="6">
        <v>1</v>
      </c>
      <c r="R404" s="6" t="s">
        <v>45</v>
      </c>
      <c r="S404" s="32" t="s">
        <v>2113</v>
      </c>
      <c r="T404" s="6">
        <v>1</v>
      </c>
      <c r="U404" s="26">
        <v>4600000</v>
      </c>
      <c r="V404" s="26">
        <v>4600000</v>
      </c>
      <c r="W404" s="26">
        <v>4600000</v>
      </c>
      <c r="X404" s="6" t="s">
        <v>2003</v>
      </c>
      <c r="Y404" s="6" t="s">
        <v>49</v>
      </c>
      <c r="Z404" s="6">
        <v>224801</v>
      </c>
    </row>
    <row r="405" spans="1:26" x14ac:dyDescent="0.3">
      <c r="A405" s="28" t="s">
        <v>42</v>
      </c>
      <c r="B405" s="6" t="s">
        <v>2315</v>
      </c>
      <c r="C405" s="6"/>
      <c r="D405" s="6" t="s">
        <v>2289</v>
      </c>
      <c r="E405" s="6">
        <v>1</v>
      </c>
      <c r="F405" s="6" t="s">
        <v>2004</v>
      </c>
      <c r="G405" s="32" t="s">
        <v>2299</v>
      </c>
      <c r="H405" s="32" t="s">
        <v>2300</v>
      </c>
      <c r="I405" s="6" t="str">
        <f t="shared" si="15"/>
        <v>ETC</v>
      </c>
      <c r="J405" s="6" t="s">
        <v>544</v>
      </c>
      <c r="K405" s="6">
        <v>1</v>
      </c>
      <c r="L405" s="6">
        <f t="shared" si="16"/>
        <v>3170000</v>
      </c>
      <c r="M405" s="6">
        <v>2700000</v>
      </c>
      <c r="N405" s="6" t="s">
        <v>2003</v>
      </c>
      <c r="O405" s="6" t="s">
        <v>2011</v>
      </c>
      <c r="P405" s="6">
        <v>2010</v>
      </c>
      <c r="Q405" s="6">
        <v>6</v>
      </c>
      <c r="R405" s="6" t="s">
        <v>45</v>
      </c>
      <c r="S405" s="32" t="s">
        <v>2123</v>
      </c>
      <c r="T405" s="6">
        <v>1</v>
      </c>
      <c r="U405" s="26">
        <v>2500000</v>
      </c>
      <c r="V405" s="26">
        <v>2500000</v>
      </c>
      <c r="W405" s="26">
        <v>2500000</v>
      </c>
      <c r="X405" s="6" t="s">
        <v>2003</v>
      </c>
      <c r="Y405" s="6" t="s">
        <v>1200</v>
      </c>
      <c r="Z405" s="6">
        <v>224802</v>
      </c>
    </row>
    <row r="406" spans="1:26" x14ac:dyDescent="0.3">
      <c r="A406" s="28" t="s">
        <v>42</v>
      </c>
      <c r="B406" s="6" t="s">
        <v>2309</v>
      </c>
      <c r="C406" s="6" t="s">
        <v>1974</v>
      </c>
      <c r="D406" s="6" t="s">
        <v>2292</v>
      </c>
      <c r="E406" s="6">
        <v>1</v>
      </c>
      <c r="F406" s="6" t="s">
        <v>2004</v>
      </c>
      <c r="G406" s="32" t="s">
        <v>2299</v>
      </c>
      <c r="H406" s="32" t="s">
        <v>2300</v>
      </c>
      <c r="I406" s="6" t="str">
        <f t="shared" si="15"/>
        <v>Etc Grapple</v>
      </c>
      <c r="J406" s="6" t="s">
        <v>484</v>
      </c>
      <c r="K406" s="6">
        <v>1</v>
      </c>
      <c r="L406" s="6">
        <f t="shared" si="16"/>
        <v>2580000</v>
      </c>
      <c r="M406" s="6">
        <v>2200000</v>
      </c>
      <c r="N406" s="6" t="s">
        <v>2003</v>
      </c>
      <c r="O406" s="6" t="s">
        <v>2053</v>
      </c>
      <c r="P406" s="6">
        <v>2015</v>
      </c>
      <c r="Q406" s="6">
        <v>6</v>
      </c>
      <c r="R406" s="6" t="s">
        <v>45</v>
      </c>
      <c r="S406" s="32" t="s">
        <v>2123</v>
      </c>
      <c r="T406" s="6">
        <v>1</v>
      </c>
      <c r="U406" s="26">
        <v>2000000</v>
      </c>
      <c r="V406" s="26">
        <v>2000000</v>
      </c>
      <c r="W406" s="26">
        <v>2000000</v>
      </c>
      <c r="X406" s="6" t="s">
        <v>2003</v>
      </c>
      <c r="Y406" s="6" t="s">
        <v>1151</v>
      </c>
      <c r="Z406" s="6">
        <v>224807</v>
      </c>
    </row>
    <row r="407" spans="1:26" x14ac:dyDescent="0.3">
      <c r="A407" s="28" t="s">
        <v>42</v>
      </c>
      <c r="B407" s="6" t="s">
        <v>2309</v>
      </c>
      <c r="C407" s="6" t="s">
        <v>1979</v>
      </c>
      <c r="D407" s="6" t="s">
        <v>2292</v>
      </c>
      <c r="E407" s="6">
        <v>1</v>
      </c>
      <c r="F407" s="6" t="s">
        <v>2004</v>
      </c>
      <c r="G407" s="32" t="s">
        <v>2299</v>
      </c>
      <c r="H407" s="32" t="s">
        <v>2300</v>
      </c>
      <c r="I407" s="6" t="str">
        <f t="shared" si="15"/>
        <v>Thumb Grapple</v>
      </c>
      <c r="J407" s="6" t="s">
        <v>186</v>
      </c>
      <c r="K407" s="6">
        <v>1</v>
      </c>
      <c r="L407" s="6">
        <f t="shared" si="16"/>
        <v>940000</v>
      </c>
      <c r="M407" s="6">
        <v>800000</v>
      </c>
      <c r="N407" s="6" t="s">
        <v>2003</v>
      </c>
      <c r="O407" s="6" t="s">
        <v>813</v>
      </c>
      <c r="P407" s="6">
        <v>2013</v>
      </c>
      <c r="Q407" s="6">
        <v>1</v>
      </c>
      <c r="R407" s="6" t="s">
        <v>45</v>
      </c>
      <c r="S407" s="32" t="s">
        <v>2113</v>
      </c>
      <c r="T407" s="6">
        <v>1</v>
      </c>
      <c r="U407" s="26">
        <v>700000</v>
      </c>
      <c r="V407" s="26">
        <v>700000</v>
      </c>
      <c r="W407" s="26">
        <v>700000</v>
      </c>
      <c r="X407" s="6" t="s">
        <v>2003</v>
      </c>
      <c r="Y407" s="6" t="s">
        <v>79</v>
      </c>
      <c r="Z407" s="6">
        <v>224813</v>
      </c>
    </row>
    <row r="408" spans="1:26" x14ac:dyDescent="0.3">
      <c r="A408" s="28" t="s">
        <v>42</v>
      </c>
      <c r="B408" s="6" t="s">
        <v>2309</v>
      </c>
      <c r="C408" s="6" t="s">
        <v>1974</v>
      </c>
      <c r="D408" s="6" t="s">
        <v>2291</v>
      </c>
      <c r="E408" s="6">
        <v>1</v>
      </c>
      <c r="F408" s="6" t="s">
        <v>2004</v>
      </c>
      <c r="G408" s="32" t="s">
        <v>2299</v>
      </c>
      <c r="H408" s="32" t="s">
        <v>2300</v>
      </c>
      <c r="I408" s="6" t="str">
        <f t="shared" si="15"/>
        <v>Etc Grapple</v>
      </c>
      <c r="J408" s="6" t="s">
        <v>136</v>
      </c>
      <c r="K408" s="6">
        <v>1</v>
      </c>
      <c r="L408" s="6">
        <f t="shared" si="16"/>
        <v>2230000</v>
      </c>
      <c r="M408" s="6">
        <v>1900000</v>
      </c>
      <c r="N408" s="6" t="s">
        <v>2003</v>
      </c>
      <c r="O408" s="6" t="s">
        <v>2011</v>
      </c>
      <c r="P408" s="6">
        <v>2010</v>
      </c>
      <c r="Q408" s="6">
        <v>6</v>
      </c>
      <c r="R408" s="6" t="s">
        <v>45</v>
      </c>
      <c r="S408" s="32" t="s">
        <v>2123</v>
      </c>
      <c r="T408" s="6">
        <v>1</v>
      </c>
      <c r="U408" s="26">
        <v>1800000</v>
      </c>
      <c r="V408" s="26">
        <v>1800000</v>
      </c>
      <c r="W408" s="26">
        <v>1800000</v>
      </c>
      <c r="X408" s="6" t="s">
        <v>2003</v>
      </c>
      <c r="Y408" s="6" t="s">
        <v>1200</v>
      </c>
      <c r="Z408" s="6">
        <v>224817</v>
      </c>
    </row>
    <row r="409" spans="1:26" x14ac:dyDescent="0.3">
      <c r="A409" s="28" t="s">
        <v>42</v>
      </c>
      <c r="B409" s="6" t="s">
        <v>2315</v>
      </c>
      <c r="C409" s="6"/>
      <c r="D409" s="6" t="s">
        <v>2001</v>
      </c>
      <c r="E409" s="6">
        <v>1</v>
      </c>
      <c r="F409" s="6" t="s">
        <v>2004</v>
      </c>
      <c r="G409" s="32" t="s">
        <v>2299</v>
      </c>
      <c r="H409" s="32" t="s">
        <v>2300</v>
      </c>
      <c r="I409" s="6" t="str">
        <f t="shared" si="15"/>
        <v>ETC</v>
      </c>
      <c r="J409" s="6" t="s">
        <v>580</v>
      </c>
      <c r="K409" s="6">
        <v>1</v>
      </c>
      <c r="L409" s="6">
        <f t="shared" si="16"/>
        <v>24110000</v>
      </c>
      <c r="M409" s="6">
        <v>20500000</v>
      </c>
      <c r="N409" s="6" t="s">
        <v>2003</v>
      </c>
      <c r="O409" s="6" t="s">
        <v>2054</v>
      </c>
      <c r="P409" s="6">
        <v>2010</v>
      </c>
      <c r="Q409" s="6">
        <v>1</v>
      </c>
      <c r="R409" s="6" t="s">
        <v>45</v>
      </c>
      <c r="S409" s="32" t="s">
        <v>2112</v>
      </c>
      <c r="T409" s="6">
        <v>1</v>
      </c>
      <c r="U409" s="26">
        <v>20000000</v>
      </c>
      <c r="V409" s="26">
        <v>20000000</v>
      </c>
      <c r="W409" s="26">
        <v>20000000</v>
      </c>
      <c r="X409" s="6" t="s">
        <v>2003</v>
      </c>
      <c r="Y409" s="6" t="s">
        <v>1268</v>
      </c>
      <c r="Z409" s="6">
        <v>224821</v>
      </c>
    </row>
    <row r="410" spans="1:26" x14ac:dyDescent="0.3">
      <c r="A410" s="28" t="s">
        <v>42</v>
      </c>
      <c r="B410" s="6" t="s">
        <v>2313</v>
      </c>
      <c r="C410" s="6" t="s">
        <v>1977</v>
      </c>
      <c r="D410" s="6" t="s">
        <v>2290</v>
      </c>
      <c r="E410" s="6">
        <v>1</v>
      </c>
      <c r="F410" s="6" t="s">
        <v>2004</v>
      </c>
      <c r="G410" s="32" t="s">
        <v>2299</v>
      </c>
      <c r="H410" s="32" t="s">
        <v>2300</v>
      </c>
      <c r="I410" s="6" t="str">
        <f t="shared" si="15"/>
        <v>Wide Bucket</v>
      </c>
      <c r="J410" s="6" t="s">
        <v>275</v>
      </c>
      <c r="K410" s="6">
        <v>1</v>
      </c>
      <c r="L410" s="6">
        <f t="shared" si="16"/>
        <v>3170000</v>
      </c>
      <c r="M410" s="6">
        <v>2700000</v>
      </c>
      <c r="N410" s="6" t="s">
        <v>2003</v>
      </c>
      <c r="O410" s="6" t="s">
        <v>2011</v>
      </c>
      <c r="P410" s="6">
        <v>2012</v>
      </c>
      <c r="Q410" s="6">
        <v>5</v>
      </c>
      <c r="R410" s="6" t="s">
        <v>45</v>
      </c>
      <c r="S410" s="32" t="s">
        <v>2123</v>
      </c>
      <c r="T410" s="6">
        <v>1</v>
      </c>
      <c r="U410" s="26">
        <v>2500000</v>
      </c>
      <c r="V410" s="26">
        <v>2500000</v>
      </c>
      <c r="W410" s="26">
        <v>2500000</v>
      </c>
      <c r="X410" s="6" t="s">
        <v>2003</v>
      </c>
      <c r="Y410" s="6" t="s">
        <v>1200</v>
      </c>
      <c r="Z410" s="6">
        <v>224826</v>
      </c>
    </row>
    <row r="411" spans="1:26" x14ac:dyDescent="0.3">
      <c r="A411" s="28" t="s">
        <v>42</v>
      </c>
      <c r="B411" s="6" t="s">
        <v>2308</v>
      </c>
      <c r="C411" s="6" t="s">
        <v>1975</v>
      </c>
      <c r="D411" s="6" t="s">
        <v>2290</v>
      </c>
      <c r="E411" s="6">
        <v>1</v>
      </c>
      <c r="F411" s="6" t="s">
        <v>2004</v>
      </c>
      <c r="G411" s="32" t="s">
        <v>2299</v>
      </c>
      <c r="H411" s="32" t="s">
        <v>2300</v>
      </c>
      <c r="I411" s="6" t="str">
        <f t="shared" si="15"/>
        <v>Side Breaker</v>
      </c>
      <c r="J411" s="6" t="s">
        <v>582</v>
      </c>
      <c r="K411" s="6">
        <v>1</v>
      </c>
      <c r="L411" s="6">
        <f t="shared" si="16"/>
        <v>12350000</v>
      </c>
      <c r="M411" s="6">
        <v>10500000</v>
      </c>
      <c r="N411" s="6" t="s">
        <v>2003</v>
      </c>
      <c r="O411" s="6" t="s">
        <v>978</v>
      </c>
      <c r="P411" s="6">
        <v>2015</v>
      </c>
      <c r="Q411" s="6">
        <v>6</v>
      </c>
      <c r="R411" s="6" t="s">
        <v>45</v>
      </c>
      <c r="S411" s="32" t="s">
        <v>2119</v>
      </c>
      <c r="T411" s="6">
        <v>1</v>
      </c>
      <c r="U411" s="26">
        <v>10000000</v>
      </c>
      <c r="V411" s="26">
        <v>10000000</v>
      </c>
      <c r="W411" s="26">
        <v>10000000</v>
      </c>
      <c r="X411" s="6" t="s">
        <v>2003</v>
      </c>
      <c r="Y411" s="6" t="s">
        <v>1276</v>
      </c>
      <c r="Z411" s="6">
        <v>224831</v>
      </c>
    </row>
    <row r="412" spans="1:26" x14ac:dyDescent="0.3">
      <c r="A412" s="28" t="s">
        <v>42</v>
      </c>
      <c r="B412" s="6" t="s">
        <v>2308</v>
      </c>
      <c r="C412" s="6" t="s">
        <v>1975</v>
      </c>
      <c r="D412" s="6" t="s">
        <v>2001</v>
      </c>
      <c r="E412" s="6">
        <v>1</v>
      </c>
      <c r="F412" s="6" t="s">
        <v>2004</v>
      </c>
      <c r="G412" s="32" t="s">
        <v>2299</v>
      </c>
      <c r="H412" s="32" t="s">
        <v>2300</v>
      </c>
      <c r="I412" s="6" t="str">
        <f t="shared" si="15"/>
        <v>Side Breaker</v>
      </c>
      <c r="J412" s="6" t="s">
        <v>413</v>
      </c>
      <c r="K412" s="6">
        <v>1</v>
      </c>
      <c r="L412" s="6">
        <f t="shared" si="16"/>
        <v>11170000</v>
      </c>
      <c r="M412" s="6">
        <v>9500000</v>
      </c>
      <c r="N412" s="6" t="s">
        <v>2003</v>
      </c>
      <c r="O412" s="6" t="s">
        <v>796</v>
      </c>
      <c r="P412" s="6">
        <v>2011</v>
      </c>
      <c r="Q412" s="6">
        <v>1</v>
      </c>
      <c r="R412" s="6" t="s">
        <v>45</v>
      </c>
      <c r="S412" s="32" t="s">
        <v>2112</v>
      </c>
      <c r="T412" s="6">
        <v>1</v>
      </c>
      <c r="U412" s="26">
        <v>9000000</v>
      </c>
      <c r="V412" s="26">
        <v>9000000</v>
      </c>
      <c r="W412" s="26">
        <v>9000000</v>
      </c>
      <c r="X412" s="6" t="s">
        <v>2003</v>
      </c>
      <c r="Y412" s="6" t="s">
        <v>1217</v>
      </c>
      <c r="Z412" s="6">
        <v>224833</v>
      </c>
    </row>
    <row r="413" spans="1:26" x14ac:dyDescent="0.3">
      <c r="A413" s="28" t="s">
        <v>42</v>
      </c>
      <c r="B413" s="6" t="s">
        <v>2308</v>
      </c>
      <c r="C413" s="6" t="s">
        <v>1975</v>
      </c>
      <c r="D413" s="6" t="s">
        <v>2292</v>
      </c>
      <c r="E413" s="6">
        <v>1</v>
      </c>
      <c r="F413" s="6" t="s">
        <v>2004</v>
      </c>
      <c r="G413" s="32" t="s">
        <v>2299</v>
      </c>
      <c r="H413" s="32" t="s">
        <v>2300</v>
      </c>
      <c r="I413" s="6" t="str">
        <f t="shared" si="15"/>
        <v>Side Breaker</v>
      </c>
      <c r="J413" s="6" t="s">
        <v>583</v>
      </c>
      <c r="K413" s="6">
        <v>1</v>
      </c>
      <c r="L413" s="6">
        <f t="shared" si="16"/>
        <v>4000000</v>
      </c>
      <c r="M413" s="6">
        <v>3400000</v>
      </c>
      <c r="N413" s="6" t="s">
        <v>2003</v>
      </c>
      <c r="O413" s="6" t="s">
        <v>979</v>
      </c>
      <c r="P413" s="6">
        <v>2011</v>
      </c>
      <c r="Q413" s="6">
        <v>1</v>
      </c>
      <c r="R413" s="6" t="s">
        <v>45</v>
      </c>
      <c r="S413" s="32" t="s">
        <v>2113</v>
      </c>
      <c r="T413" s="6">
        <v>1</v>
      </c>
      <c r="U413" s="26">
        <v>3200000</v>
      </c>
      <c r="V413" s="26">
        <v>3200000</v>
      </c>
      <c r="W413" s="26">
        <v>3200000</v>
      </c>
      <c r="X413" s="6" t="s">
        <v>2003</v>
      </c>
      <c r="Y413" s="6" t="s">
        <v>1241</v>
      </c>
      <c r="Z413" s="6">
        <v>224837</v>
      </c>
    </row>
    <row r="414" spans="1:26" x14ac:dyDescent="0.3">
      <c r="A414" s="28" t="s">
        <v>42</v>
      </c>
      <c r="B414" s="6" t="s">
        <v>2309</v>
      </c>
      <c r="C414" s="19" t="s">
        <v>1974</v>
      </c>
      <c r="D414" s="6" t="s">
        <v>2293</v>
      </c>
      <c r="E414" s="6">
        <v>1</v>
      </c>
      <c r="F414" s="6" t="s">
        <v>2004</v>
      </c>
      <c r="G414" s="32" t="s">
        <v>2299</v>
      </c>
      <c r="H414" s="32" t="s">
        <v>2300</v>
      </c>
      <c r="I414" s="6" t="str">
        <f t="shared" si="15"/>
        <v>Etc Grapple</v>
      </c>
      <c r="J414" s="6" t="s">
        <v>504</v>
      </c>
      <c r="K414" s="6">
        <v>1</v>
      </c>
      <c r="L414" s="6">
        <f t="shared" si="16"/>
        <v>2640000</v>
      </c>
      <c r="M414" s="6">
        <v>2250000</v>
      </c>
      <c r="N414" s="6" t="s">
        <v>2003</v>
      </c>
      <c r="O414" s="6" t="s">
        <v>2007</v>
      </c>
      <c r="P414" s="6">
        <v>2016</v>
      </c>
      <c r="Q414" s="6">
        <v>1</v>
      </c>
      <c r="R414" s="6" t="s">
        <v>45</v>
      </c>
      <c r="S414" s="32" t="s">
        <v>2113</v>
      </c>
      <c r="T414" s="6">
        <v>1</v>
      </c>
      <c r="U414" s="26">
        <v>2050000</v>
      </c>
      <c r="V414" s="26">
        <v>2050000</v>
      </c>
      <c r="W414" s="26">
        <v>2050000</v>
      </c>
      <c r="X414" s="6" t="s">
        <v>2003</v>
      </c>
      <c r="Y414" s="6" t="s">
        <v>49</v>
      </c>
      <c r="Z414" s="6">
        <v>224842</v>
      </c>
    </row>
    <row r="415" spans="1:26" x14ac:dyDescent="0.3">
      <c r="A415" s="28" t="s">
        <v>42</v>
      </c>
      <c r="B415" s="6" t="s">
        <v>2309</v>
      </c>
      <c r="C415" s="6" t="s">
        <v>1972</v>
      </c>
      <c r="D415" s="6" t="s">
        <v>2291</v>
      </c>
      <c r="E415" s="6">
        <v>1</v>
      </c>
      <c r="F415" s="6" t="s">
        <v>2004</v>
      </c>
      <c r="G415" s="32" t="s">
        <v>2299</v>
      </c>
      <c r="H415" s="32" t="s">
        <v>2300</v>
      </c>
      <c r="I415" s="6" t="str">
        <f t="shared" si="15"/>
        <v>Stone Grapple</v>
      </c>
      <c r="J415" s="6" t="s">
        <v>584</v>
      </c>
      <c r="K415" s="6">
        <v>1</v>
      </c>
      <c r="L415" s="6">
        <f t="shared" si="16"/>
        <v>1640000</v>
      </c>
      <c r="M415" s="6">
        <v>1400000</v>
      </c>
      <c r="N415" s="6" t="s">
        <v>2003</v>
      </c>
      <c r="O415" s="6" t="s">
        <v>2007</v>
      </c>
      <c r="P415" s="6">
        <v>2015</v>
      </c>
      <c r="Q415" s="6">
        <v>1</v>
      </c>
      <c r="R415" s="6" t="s">
        <v>45</v>
      </c>
      <c r="S415" s="32" t="s">
        <v>2113</v>
      </c>
      <c r="T415" s="6">
        <v>1</v>
      </c>
      <c r="U415" s="26">
        <v>1300000</v>
      </c>
      <c r="V415" s="26">
        <v>1300000</v>
      </c>
      <c r="W415" s="26">
        <v>1300000</v>
      </c>
      <c r="X415" s="6" t="s">
        <v>2003</v>
      </c>
      <c r="Y415" s="6" t="s">
        <v>49</v>
      </c>
      <c r="Z415" s="6">
        <v>224844</v>
      </c>
    </row>
    <row r="416" spans="1:26" x14ac:dyDescent="0.3">
      <c r="A416" s="28" t="s">
        <v>42</v>
      </c>
      <c r="B416" s="6" t="s">
        <v>2314</v>
      </c>
      <c r="C416" s="19" t="s">
        <v>2321</v>
      </c>
      <c r="D416" s="6" t="s">
        <v>2292</v>
      </c>
      <c r="E416" s="6">
        <v>1</v>
      </c>
      <c r="F416" s="6" t="s">
        <v>2004</v>
      </c>
      <c r="G416" s="32" t="s">
        <v>2299</v>
      </c>
      <c r="H416" s="32" t="s">
        <v>2300</v>
      </c>
      <c r="I416" s="6" t="str">
        <f t="shared" si="15"/>
        <v>Etc Crusher</v>
      </c>
      <c r="J416" s="6" t="s">
        <v>103</v>
      </c>
      <c r="K416" s="6">
        <v>1</v>
      </c>
      <c r="L416" s="6">
        <f t="shared" si="16"/>
        <v>8820000</v>
      </c>
      <c r="M416" s="6">
        <v>7500000</v>
      </c>
      <c r="N416" s="6" t="s">
        <v>2003</v>
      </c>
      <c r="O416" s="6" t="s">
        <v>813</v>
      </c>
      <c r="P416" s="6">
        <v>2014</v>
      </c>
      <c r="Q416" s="6">
        <v>1</v>
      </c>
      <c r="R416" s="6" t="s">
        <v>45</v>
      </c>
      <c r="S416" s="32" t="s">
        <v>2113</v>
      </c>
      <c r="T416" s="6">
        <v>1</v>
      </c>
      <c r="U416" s="26">
        <v>7000000</v>
      </c>
      <c r="V416" s="26">
        <v>7000000</v>
      </c>
      <c r="W416" s="26">
        <v>7000000</v>
      </c>
      <c r="X416" s="6" t="s">
        <v>2003</v>
      </c>
      <c r="Y416" s="6" t="s">
        <v>80</v>
      </c>
      <c r="Z416" s="6">
        <v>224849</v>
      </c>
    </row>
    <row r="417" spans="1:26" x14ac:dyDescent="0.3">
      <c r="A417" s="28" t="s">
        <v>42</v>
      </c>
      <c r="B417" s="6" t="s">
        <v>2309</v>
      </c>
      <c r="C417" s="6" t="s">
        <v>1972</v>
      </c>
      <c r="D417" s="6" t="s">
        <v>2001</v>
      </c>
      <c r="E417" s="6">
        <v>1</v>
      </c>
      <c r="F417" s="6" t="s">
        <v>2004</v>
      </c>
      <c r="G417" s="32" t="s">
        <v>2299</v>
      </c>
      <c r="H417" s="32" t="s">
        <v>2300</v>
      </c>
      <c r="I417" s="6" t="str">
        <f t="shared" si="15"/>
        <v>Stone Grapple</v>
      </c>
      <c r="J417" s="6" t="s">
        <v>203</v>
      </c>
      <c r="K417" s="6">
        <v>1</v>
      </c>
      <c r="L417" s="6">
        <f t="shared" si="16"/>
        <v>7640000</v>
      </c>
      <c r="M417" s="6">
        <v>6500000</v>
      </c>
      <c r="N417" s="6" t="s">
        <v>2003</v>
      </c>
      <c r="O417" s="6" t="s">
        <v>1031</v>
      </c>
      <c r="P417" s="6">
        <v>2014</v>
      </c>
      <c r="Q417" s="6">
        <v>1</v>
      </c>
      <c r="R417" s="6" t="s">
        <v>45</v>
      </c>
      <c r="S417" s="32" t="s">
        <v>2121</v>
      </c>
      <c r="T417" s="6">
        <v>1</v>
      </c>
      <c r="U417" s="26">
        <v>6000000</v>
      </c>
      <c r="V417" s="26">
        <v>6000000</v>
      </c>
      <c r="W417" s="26">
        <v>6000000</v>
      </c>
      <c r="X417" s="6" t="s">
        <v>2003</v>
      </c>
      <c r="Y417" s="6" t="s">
        <v>1265</v>
      </c>
      <c r="Z417" s="6">
        <v>224852</v>
      </c>
    </row>
    <row r="418" spans="1:26" x14ac:dyDescent="0.3">
      <c r="A418" s="28" t="s">
        <v>42</v>
      </c>
      <c r="B418" s="6" t="s">
        <v>2314</v>
      </c>
      <c r="C418" s="19" t="s">
        <v>2321</v>
      </c>
      <c r="D418" s="6" t="s">
        <v>2292</v>
      </c>
      <c r="E418" s="6">
        <v>1</v>
      </c>
      <c r="F418" s="6" t="s">
        <v>2004</v>
      </c>
      <c r="G418" s="32" t="s">
        <v>2299</v>
      </c>
      <c r="H418" s="32" t="s">
        <v>2300</v>
      </c>
      <c r="I418" s="6" t="str">
        <f t="shared" si="15"/>
        <v>Etc Crusher</v>
      </c>
      <c r="J418" s="6" t="s">
        <v>585</v>
      </c>
      <c r="K418" s="6">
        <v>1</v>
      </c>
      <c r="L418" s="6">
        <f t="shared" si="16"/>
        <v>13520000</v>
      </c>
      <c r="M418" s="6">
        <v>11500000</v>
      </c>
      <c r="N418" s="6" t="s">
        <v>2003</v>
      </c>
      <c r="O418" s="6" t="s">
        <v>813</v>
      </c>
      <c r="P418" s="6">
        <v>2014</v>
      </c>
      <c r="Q418" s="6">
        <v>1</v>
      </c>
      <c r="R418" s="6" t="s">
        <v>45</v>
      </c>
      <c r="S418" s="32" t="s">
        <v>2113</v>
      </c>
      <c r="T418" s="6">
        <v>1</v>
      </c>
      <c r="U418" s="26">
        <v>11000000</v>
      </c>
      <c r="V418" s="26">
        <v>11000000</v>
      </c>
      <c r="W418" s="26">
        <v>11000000</v>
      </c>
      <c r="X418" s="6" t="s">
        <v>2003</v>
      </c>
      <c r="Y418" s="6" t="s">
        <v>80</v>
      </c>
      <c r="Z418" s="6">
        <v>224855</v>
      </c>
    </row>
    <row r="419" spans="1:26" x14ac:dyDescent="0.3">
      <c r="A419" s="28" t="s">
        <v>42</v>
      </c>
      <c r="B419" s="6" t="s">
        <v>2309</v>
      </c>
      <c r="C419" s="6" t="s">
        <v>1972</v>
      </c>
      <c r="D419" s="6" t="s">
        <v>2292</v>
      </c>
      <c r="E419" s="6">
        <v>1</v>
      </c>
      <c r="F419" s="6" t="s">
        <v>2004</v>
      </c>
      <c r="G419" s="32" t="s">
        <v>2299</v>
      </c>
      <c r="H419" s="32" t="s">
        <v>2300</v>
      </c>
      <c r="I419" s="6" t="str">
        <f t="shared" si="15"/>
        <v>Stone Grapple</v>
      </c>
      <c r="J419" s="6" t="s">
        <v>120</v>
      </c>
      <c r="K419" s="6">
        <v>1</v>
      </c>
      <c r="L419" s="6">
        <f t="shared" si="16"/>
        <v>6470000</v>
      </c>
      <c r="M419" s="6">
        <v>5500000</v>
      </c>
      <c r="N419" s="6" t="s">
        <v>2003</v>
      </c>
      <c r="O419" s="6" t="s">
        <v>813</v>
      </c>
      <c r="P419" s="6">
        <v>2014</v>
      </c>
      <c r="Q419" s="6">
        <v>1</v>
      </c>
      <c r="R419" s="6" t="s">
        <v>45</v>
      </c>
      <c r="S419" s="32" t="s">
        <v>2113</v>
      </c>
      <c r="T419" s="6">
        <v>1</v>
      </c>
      <c r="U419" s="26">
        <v>5000000</v>
      </c>
      <c r="V419" s="26">
        <v>5000000</v>
      </c>
      <c r="W419" s="26">
        <v>5000000</v>
      </c>
      <c r="X419" s="6" t="s">
        <v>2003</v>
      </c>
      <c r="Y419" s="6" t="s">
        <v>80</v>
      </c>
      <c r="Z419" s="6">
        <v>224860</v>
      </c>
    </row>
    <row r="420" spans="1:26" x14ac:dyDescent="0.3">
      <c r="A420" s="28" t="s">
        <v>42</v>
      </c>
      <c r="B420" s="6" t="s">
        <v>2308</v>
      </c>
      <c r="C420" s="6" t="s">
        <v>1975</v>
      </c>
      <c r="D420" s="6" t="s">
        <v>2292</v>
      </c>
      <c r="E420" s="6">
        <v>1</v>
      </c>
      <c r="F420" s="6" t="s">
        <v>2004</v>
      </c>
      <c r="G420" s="32" t="s">
        <v>2299</v>
      </c>
      <c r="H420" s="32" t="s">
        <v>2300</v>
      </c>
      <c r="I420" s="6" t="str">
        <f t="shared" si="15"/>
        <v>Side Breaker</v>
      </c>
      <c r="J420" s="6" t="s">
        <v>587</v>
      </c>
      <c r="K420" s="6">
        <v>1</v>
      </c>
      <c r="L420" s="6">
        <f t="shared" si="16"/>
        <v>7050000</v>
      </c>
      <c r="M420" s="6">
        <v>6000000</v>
      </c>
      <c r="N420" s="6" t="s">
        <v>2003</v>
      </c>
      <c r="O420" s="6" t="s">
        <v>2012</v>
      </c>
      <c r="P420" s="6">
        <v>2016</v>
      </c>
      <c r="Q420" s="6">
        <v>1</v>
      </c>
      <c r="R420" s="6" t="s">
        <v>45</v>
      </c>
      <c r="S420" s="32" t="s">
        <v>2113</v>
      </c>
      <c r="T420" s="6">
        <v>1</v>
      </c>
      <c r="U420" s="26">
        <v>5500000</v>
      </c>
      <c r="V420" s="26">
        <v>5500000</v>
      </c>
      <c r="W420" s="26">
        <v>5500000</v>
      </c>
      <c r="X420" s="6" t="s">
        <v>2003</v>
      </c>
      <c r="Y420" s="6" t="s">
        <v>49</v>
      </c>
      <c r="Z420" s="6">
        <v>224869</v>
      </c>
    </row>
    <row r="421" spans="1:26" x14ac:dyDescent="0.3">
      <c r="A421" s="28" t="s">
        <v>42</v>
      </c>
      <c r="B421" s="6" t="s">
        <v>2313</v>
      </c>
      <c r="C421" s="19" t="s">
        <v>2209</v>
      </c>
      <c r="D421" s="6" t="s">
        <v>2289</v>
      </c>
      <c r="E421" s="6">
        <v>1</v>
      </c>
      <c r="F421" s="6" t="s">
        <v>2004</v>
      </c>
      <c r="G421" s="32" t="s">
        <v>2299</v>
      </c>
      <c r="H421" s="32" t="s">
        <v>2300</v>
      </c>
      <c r="I421" s="6" t="str">
        <f t="shared" si="15"/>
        <v>Etc Bucket</v>
      </c>
      <c r="J421" s="6" t="s">
        <v>591</v>
      </c>
      <c r="K421" s="6">
        <v>1</v>
      </c>
      <c r="L421" s="6">
        <f t="shared" si="16"/>
        <v>5520000</v>
      </c>
      <c r="M421" s="6">
        <v>4700000</v>
      </c>
      <c r="N421" s="6" t="s">
        <v>2003</v>
      </c>
      <c r="O421" s="6" t="s">
        <v>981</v>
      </c>
      <c r="P421" s="6">
        <v>2017</v>
      </c>
      <c r="Q421" s="6">
        <v>1</v>
      </c>
      <c r="R421" s="6" t="s">
        <v>45</v>
      </c>
      <c r="S421" s="32" t="s">
        <v>2110</v>
      </c>
      <c r="T421" s="6">
        <v>1</v>
      </c>
      <c r="U421" s="26">
        <v>4500000</v>
      </c>
      <c r="V421" s="26">
        <v>4500000</v>
      </c>
      <c r="W421" s="26">
        <v>4500000</v>
      </c>
      <c r="X421" s="6" t="s">
        <v>2003</v>
      </c>
      <c r="Y421" s="6" t="s">
        <v>1182</v>
      </c>
      <c r="Z421" s="6">
        <v>224894</v>
      </c>
    </row>
    <row r="422" spans="1:26" x14ac:dyDescent="0.3">
      <c r="A422" s="28" t="s">
        <v>42</v>
      </c>
      <c r="B422" s="6" t="s">
        <v>2313</v>
      </c>
      <c r="C422" s="6" t="s">
        <v>1977</v>
      </c>
      <c r="D422" s="6" t="s">
        <v>2292</v>
      </c>
      <c r="E422" s="6">
        <v>1</v>
      </c>
      <c r="F422" s="6" t="s">
        <v>2004</v>
      </c>
      <c r="G422" s="32" t="s">
        <v>2299</v>
      </c>
      <c r="H422" s="32" t="s">
        <v>2300</v>
      </c>
      <c r="I422" s="6" t="str">
        <f t="shared" si="15"/>
        <v>Wide Bucket</v>
      </c>
      <c r="J422" s="6" t="s">
        <v>123</v>
      </c>
      <c r="K422" s="6">
        <v>1</v>
      </c>
      <c r="L422" s="6">
        <f t="shared" si="16"/>
        <v>1470000</v>
      </c>
      <c r="M422" s="6">
        <v>1250000</v>
      </c>
      <c r="N422" s="6" t="s">
        <v>2003</v>
      </c>
      <c r="O422" s="6" t="s">
        <v>789</v>
      </c>
      <c r="P422" s="6">
        <v>2015</v>
      </c>
      <c r="Q422" s="6">
        <v>2</v>
      </c>
      <c r="R422" s="6" t="s">
        <v>45</v>
      </c>
      <c r="S422" s="32" t="s">
        <v>2122</v>
      </c>
      <c r="T422" s="6">
        <v>1</v>
      </c>
      <c r="U422" s="26">
        <v>1150000</v>
      </c>
      <c r="V422" s="26">
        <v>1150000</v>
      </c>
      <c r="W422" s="26">
        <v>1150000</v>
      </c>
      <c r="X422" s="6" t="s">
        <v>2003</v>
      </c>
      <c r="Y422" s="6" t="s">
        <v>65</v>
      </c>
      <c r="Z422" s="6">
        <v>224895</v>
      </c>
    </row>
    <row r="423" spans="1:26" x14ac:dyDescent="0.3">
      <c r="A423" s="28" t="s">
        <v>42</v>
      </c>
      <c r="B423" s="6" t="s">
        <v>2315</v>
      </c>
      <c r="C423" s="6"/>
      <c r="D423" s="6" t="s">
        <v>2291</v>
      </c>
      <c r="E423" s="6">
        <v>1</v>
      </c>
      <c r="F423" s="6" t="s">
        <v>2004</v>
      </c>
      <c r="G423" s="32" t="s">
        <v>2299</v>
      </c>
      <c r="H423" s="32" t="s">
        <v>2300</v>
      </c>
      <c r="I423" s="6" t="str">
        <f t="shared" si="15"/>
        <v>ETC</v>
      </c>
      <c r="J423" s="6" t="s">
        <v>2145</v>
      </c>
      <c r="K423" s="6">
        <v>1</v>
      </c>
      <c r="L423" s="6">
        <f t="shared" si="16"/>
        <v>1290000</v>
      </c>
      <c r="M423" s="6">
        <v>1100000</v>
      </c>
      <c r="N423" s="6" t="s">
        <v>2003</v>
      </c>
      <c r="O423" s="6" t="s">
        <v>2055</v>
      </c>
      <c r="P423" s="6">
        <v>2010</v>
      </c>
      <c r="Q423" s="6">
        <v>1</v>
      </c>
      <c r="R423" s="6" t="s">
        <v>45</v>
      </c>
      <c r="S423" s="32" t="s">
        <v>2120</v>
      </c>
      <c r="T423" s="6">
        <v>1</v>
      </c>
      <c r="U423" s="26">
        <v>1000000</v>
      </c>
      <c r="V423" s="26">
        <v>1000000</v>
      </c>
      <c r="W423" s="26">
        <v>1000000</v>
      </c>
      <c r="X423" s="6" t="s">
        <v>2003</v>
      </c>
      <c r="Y423" s="6" t="s">
        <v>1160</v>
      </c>
      <c r="Z423" s="6">
        <v>224897</v>
      </c>
    </row>
    <row r="424" spans="1:26" x14ac:dyDescent="0.3">
      <c r="A424" s="28" t="s">
        <v>42</v>
      </c>
      <c r="B424" s="6" t="s">
        <v>2314</v>
      </c>
      <c r="C424" s="19" t="s">
        <v>2321</v>
      </c>
      <c r="D424" s="6" t="s">
        <v>2292</v>
      </c>
      <c r="E424" s="6">
        <v>1</v>
      </c>
      <c r="F424" s="6" t="s">
        <v>2004</v>
      </c>
      <c r="G424" s="32" t="s">
        <v>2299</v>
      </c>
      <c r="H424" s="32" t="s">
        <v>2300</v>
      </c>
      <c r="I424" s="6" t="str">
        <f t="shared" si="15"/>
        <v>Etc Crusher</v>
      </c>
      <c r="J424" s="6" t="s">
        <v>585</v>
      </c>
      <c r="K424" s="6">
        <v>1</v>
      </c>
      <c r="L424" s="6">
        <f t="shared" si="16"/>
        <v>13520000</v>
      </c>
      <c r="M424" s="6">
        <v>11500000</v>
      </c>
      <c r="N424" s="6" t="s">
        <v>2003</v>
      </c>
      <c r="O424" s="6" t="s">
        <v>823</v>
      </c>
      <c r="P424" s="6">
        <v>2014</v>
      </c>
      <c r="Q424" s="6">
        <v>1</v>
      </c>
      <c r="R424" s="6" t="s">
        <v>45</v>
      </c>
      <c r="S424" s="32" t="s">
        <v>2113</v>
      </c>
      <c r="T424" s="6">
        <v>1</v>
      </c>
      <c r="U424" s="26">
        <v>11000000</v>
      </c>
      <c r="V424" s="26">
        <v>11000000</v>
      </c>
      <c r="W424" s="26">
        <v>11000000</v>
      </c>
      <c r="X424" s="6" t="s">
        <v>2003</v>
      </c>
      <c r="Y424" s="6" t="s">
        <v>49</v>
      </c>
      <c r="Z424" s="6">
        <v>224901</v>
      </c>
    </row>
    <row r="425" spans="1:26" x14ac:dyDescent="0.3">
      <c r="A425" s="28" t="s">
        <v>42</v>
      </c>
      <c r="B425" s="6" t="s">
        <v>2308</v>
      </c>
      <c r="C425" s="6" t="s">
        <v>1975</v>
      </c>
      <c r="D425" s="6" t="s">
        <v>2293</v>
      </c>
      <c r="E425" s="6">
        <v>1</v>
      </c>
      <c r="F425" s="6" t="s">
        <v>2004</v>
      </c>
      <c r="G425" s="32" t="s">
        <v>2299</v>
      </c>
      <c r="H425" s="32" t="s">
        <v>2300</v>
      </c>
      <c r="I425" s="6" t="str">
        <f t="shared" si="15"/>
        <v>Side Breaker</v>
      </c>
      <c r="J425" s="6" t="s">
        <v>172</v>
      </c>
      <c r="K425" s="6">
        <v>1</v>
      </c>
      <c r="L425" s="6">
        <f t="shared" si="16"/>
        <v>2000000</v>
      </c>
      <c r="M425" s="6">
        <v>1700000</v>
      </c>
      <c r="N425" s="6" t="s">
        <v>2003</v>
      </c>
      <c r="O425" s="6" t="s">
        <v>798</v>
      </c>
      <c r="P425" s="6">
        <v>2014</v>
      </c>
      <c r="Q425" s="6">
        <v>7</v>
      </c>
      <c r="R425" s="6" t="s">
        <v>45</v>
      </c>
      <c r="S425" s="32" t="s">
        <v>2113</v>
      </c>
      <c r="T425" s="6">
        <v>1</v>
      </c>
      <c r="U425" s="26">
        <v>1600000</v>
      </c>
      <c r="V425" s="26">
        <v>1600000</v>
      </c>
      <c r="W425" s="26">
        <v>1600000</v>
      </c>
      <c r="X425" s="6" t="s">
        <v>2003</v>
      </c>
      <c r="Y425" s="6" t="s">
        <v>71</v>
      </c>
      <c r="Z425" s="6">
        <v>224911</v>
      </c>
    </row>
    <row r="426" spans="1:26" x14ac:dyDescent="0.3">
      <c r="A426" s="28" t="s">
        <v>42</v>
      </c>
      <c r="B426" s="6" t="s">
        <v>2309</v>
      </c>
      <c r="C426" s="6" t="s">
        <v>1974</v>
      </c>
      <c r="D426" s="6" t="s">
        <v>2291</v>
      </c>
      <c r="E426" s="6">
        <v>1</v>
      </c>
      <c r="F426" s="6" t="s">
        <v>2004</v>
      </c>
      <c r="G426" s="32" t="s">
        <v>2299</v>
      </c>
      <c r="H426" s="32" t="s">
        <v>2300</v>
      </c>
      <c r="I426" s="6" t="str">
        <f t="shared" si="15"/>
        <v>Etc Grapple</v>
      </c>
      <c r="J426" s="6" t="s">
        <v>136</v>
      </c>
      <c r="K426" s="6">
        <v>1</v>
      </c>
      <c r="L426" s="6">
        <f t="shared" si="16"/>
        <v>2230000</v>
      </c>
      <c r="M426" s="6">
        <v>1900000</v>
      </c>
      <c r="N426" s="6" t="s">
        <v>2003</v>
      </c>
      <c r="O426" s="6" t="s">
        <v>54</v>
      </c>
      <c r="P426" s="6">
        <v>2011</v>
      </c>
      <c r="Q426" s="6">
        <v>1</v>
      </c>
      <c r="R426" s="6" t="s">
        <v>45</v>
      </c>
      <c r="S426" s="32" t="s">
        <v>2114</v>
      </c>
      <c r="T426" s="6">
        <v>1</v>
      </c>
      <c r="U426" s="26">
        <v>1800000</v>
      </c>
      <c r="V426" s="26">
        <v>1800000</v>
      </c>
      <c r="W426" s="26">
        <v>1800000</v>
      </c>
      <c r="X426" s="6" t="s">
        <v>2003</v>
      </c>
      <c r="Y426" s="6" t="s">
        <v>54</v>
      </c>
      <c r="Z426" s="6">
        <v>224913</v>
      </c>
    </row>
    <row r="427" spans="1:26" x14ac:dyDescent="0.3">
      <c r="A427" s="28" t="s">
        <v>42</v>
      </c>
      <c r="B427" s="6" t="s">
        <v>2308</v>
      </c>
      <c r="C427" s="6" t="s">
        <v>1975</v>
      </c>
      <c r="D427" s="6" t="s">
        <v>2292</v>
      </c>
      <c r="E427" s="6">
        <v>1</v>
      </c>
      <c r="F427" s="6" t="s">
        <v>2004</v>
      </c>
      <c r="G427" s="32" t="s">
        <v>2299</v>
      </c>
      <c r="H427" s="32" t="s">
        <v>2300</v>
      </c>
      <c r="I427" s="6" t="str">
        <f t="shared" si="15"/>
        <v>Side Breaker</v>
      </c>
      <c r="J427" s="6" t="s">
        <v>404</v>
      </c>
      <c r="K427" s="6">
        <v>1</v>
      </c>
      <c r="L427" s="6">
        <f t="shared" si="16"/>
        <v>5520000</v>
      </c>
      <c r="M427" s="6">
        <v>4700000</v>
      </c>
      <c r="N427" s="6" t="s">
        <v>2003</v>
      </c>
      <c r="O427" s="6" t="s">
        <v>982</v>
      </c>
      <c r="P427" s="6">
        <v>2015</v>
      </c>
      <c r="Q427" s="6">
        <v>8</v>
      </c>
      <c r="R427" s="6" t="s">
        <v>45</v>
      </c>
      <c r="S427" s="32" t="s">
        <v>2118</v>
      </c>
      <c r="T427" s="6">
        <v>1</v>
      </c>
      <c r="U427" s="26">
        <v>4500000</v>
      </c>
      <c r="V427" s="26">
        <v>4500000</v>
      </c>
      <c r="W427" s="26">
        <v>4500000</v>
      </c>
      <c r="X427" s="6" t="s">
        <v>2003</v>
      </c>
      <c r="Y427" s="6" t="s">
        <v>67</v>
      </c>
      <c r="Z427" s="6">
        <v>224915</v>
      </c>
    </row>
    <row r="428" spans="1:26" x14ac:dyDescent="0.3">
      <c r="A428" s="28" t="s">
        <v>42</v>
      </c>
      <c r="B428" s="6" t="s">
        <v>2309</v>
      </c>
      <c r="C428" s="6" t="s">
        <v>1972</v>
      </c>
      <c r="D428" s="6" t="s">
        <v>2292</v>
      </c>
      <c r="E428" s="6">
        <v>1</v>
      </c>
      <c r="F428" s="6" t="s">
        <v>2004</v>
      </c>
      <c r="G428" s="32" t="s">
        <v>2299</v>
      </c>
      <c r="H428" s="32" t="s">
        <v>2300</v>
      </c>
      <c r="I428" s="6" t="str">
        <f t="shared" si="15"/>
        <v>Stone Grapple</v>
      </c>
      <c r="J428" s="6" t="s">
        <v>194</v>
      </c>
      <c r="K428" s="6">
        <v>1</v>
      </c>
      <c r="L428" s="6">
        <f t="shared" si="16"/>
        <v>3050000</v>
      </c>
      <c r="M428" s="6">
        <v>2600000</v>
      </c>
      <c r="N428" s="6" t="s">
        <v>2003</v>
      </c>
      <c r="O428" s="6" t="s">
        <v>823</v>
      </c>
      <c r="P428" s="6">
        <v>2014</v>
      </c>
      <c r="Q428" s="6">
        <v>1</v>
      </c>
      <c r="R428" s="6" t="s">
        <v>45</v>
      </c>
      <c r="S428" s="32" t="s">
        <v>2113</v>
      </c>
      <c r="T428" s="6">
        <v>1</v>
      </c>
      <c r="U428" s="26">
        <v>2400000</v>
      </c>
      <c r="V428" s="26">
        <v>2400000</v>
      </c>
      <c r="W428" s="26">
        <v>2400000</v>
      </c>
      <c r="X428" s="6" t="s">
        <v>2003</v>
      </c>
      <c r="Y428" s="6" t="s">
        <v>49</v>
      </c>
      <c r="Z428" s="6">
        <v>224924</v>
      </c>
    </row>
    <row r="429" spans="1:26" x14ac:dyDescent="0.3">
      <c r="A429" s="28" t="s">
        <v>42</v>
      </c>
      <c r="B429" s="6" t="s">
        <v>2309</v>
      </c>
      <c r="C429" s="6" t="s">
        <v>1974</v>
      </c>
      <c r="D429" s="6" t="s">
        <v>2292</v>
      </c>
      <c r="E429" s="6">
        <v>1</v>
      </c>
      <c r="F429" s="6" t="s">
        <v>2004</v>
      </c>
      <c r="G429" s="32" t="s">
        <v>2299</v>
      </c>
      <c r="H429" s="32" t="s">
        <v>2300</v>
      </c>
      <c r="I429" s="6" t="str">
        <f t="shared" si="15"/>
        <v>Etc Grapple</v>
      </c>
      <c r="J429" s="6" t="s">
        <v>125</v>
      </c>
      <c r="K429" s="6">
        <v>1</v>
      </c>
      <c r="L429" s="6">
        <f t="shared" si="16"/>
        <v>7050000</v>
      </c>
      <c r="M429" s="6">
        <v>6000000</v>
      </c>
      <c r="N429" s="6" t="s">
        <v>2003</v>
      </c>
      <c r="O429" s="6" t="s">
        <v>800</v>
      </c>
      <c r="P429" s="6">
        <v>2009</v>
      </c>
      <c r="Q429" s="6">
        <v>1</v>
      </c>
      <c r="R429" s="6" t="s">
        <v>45</v>
      </c>
      <c r="S429" s="32" t="s">
        <v>2116</v>
      </c>
      <c r="T429" s="6">
        <v>1</v>
      </c>
      <c r="U429" s="26">
        <v>5500000</v>
      </c>
      <c r="V429" s="26">
        <v>5500000</v>
      </c>
      <c r="W429" s="26">
        <v>5500000</v>
      </c>
      <c r="X429" s="6" t="s">
        <v>2003</v>
      </c>
      <c r="Y429" s="6" t="s">
        <v>830</v>
      </c>
      <c r="Z429" s="6">
        <v>224928</v>
      </c>
    </row>
    <row r="430" spans="1:26" x14ac:dyDescent="0.3">
      <c r="A430" s="28" t="s">
        <v>42</v>
      </c>
      <c r="B430" s="6" t="s">
        <v>2312</v>
      </c>
      <c r="C430" s="6"/>
      <c r="D430" s="6" t="s">
        <v>2292</v>
      </c>
      <c r="E430" s="6">
        <v>1</v>
      </c>
      <c r="F430" s="6" t="s">
        <v>2004</v>
      </c>
      <c r="G430" s="32" t="s">
        <v>2299</v>
      </c>
      <c r="H430" s="32" t="s">
        <v>2300</v>
      </c>
      <c r="I430" s="6" t="str">
        <f t="shared" si="15"/>
        <v>Lift Fork</v>
      </c>
      <c r="J430" s="6" t="s">
        <v>529</v>
      </c>
      <c r="K430" s="6">
        <v>1</v>
      </c>
      <c r="L430" s="6">
        <f t="shared" si="16"/>
        <v>1410000</v>
      </c>
      <c r="M430" s="6">
        <v>1200000</v>
      </c>
      <c r="N430" s="6" t="s">
        <v>2003</v>
      </c>
      <c r="O430" s="6" t="s">
        <v>2056</v>
      </c>
      <c r="P430" s="6">
        <v>2017</v>
      </c>
      <c r="Q430" s="6">
        <v>1</v>
      </c>
      <c r="R430" s="6" t="s">
        <v>45</v>
      </c>
      <c r="S430" s="32" t="s">
        <v>2110</v>
      </c>
      <c r="T430" s="6">
        <v>1</v>
      </c>
      <c r="U430" s="26">
        <v>1100000</v>
      </c>
      <c r="V430" s="26">
        <v>1100000</v>
      </c>
      <c r="W430" s="26">
        <v>1100000</v>
      </c>
      <c r="X430" s="6" t="s">
        <v>2003</v>
      </c>
      <c r="Y430" s="6" t="s">
        <v>1155</v>
      </c>
      <c r="Z430" s="6">
        <v>224931</v>
      </c>
    </row>
    <row r="431" spans="1:26" x14ac:dyDescent="0.3">
      <c r="A431" s="28" t="s">
        <v>42</v>
      </c>
      <c r="B431" s="6" t="s">
        <v>2314</v>
      </c>
      <c r="C431" s="19" t="s">
        <v>2321</v>
      </c>
      <c r="D431" s="6" t="s">
        <v>2293</v>
      </c>
      <c r="E431" s="6">
        <v>1</v>
      </c>
      <c r="F431" s="6" t="s">
        <v>2004</v>
      </c>
      <c r="G431" s="32" t="s">
        <v>2299</v>
      </c>
      <c r="H431" s="32" t="s">
        <v>2300</v>
      </c>
      <c r="I431" s="6" t="str">
        <f t="shared" si="15"/>
        <v>Etc Crusher</v>
      </c>
      <c r="J431" s="6" t="s">
        <v>76</v>
      </c>
      <c r="K431" s="6">
        <v>1</v>
      </c>
      <c r="L431" s="6">
        <f t="shared" si="16"/>
        <v>5290000</v>
      </c>
      <c r="M431" s="6">
        <v>4500000</v>
      </c>
      <c r="N431" s="6" t="s">
        <v>2003</v>
      </c>
      <c r="O431" s="6" t="s">
        <v>70</v>
      </c>
      <c r="P431" s="6">
        <v>2014</v>
      </c>
      <c r="Q431" s="6">
        <v>8</v>
      </c>
      <c r="R431" s="6" t="s">
        <v>45</v>
      </c>
      <c r="S431" s="32" t="s">
        <v>2113</v>
      </c>
      <c r="T431" s="6">
        <v>1</v>
      </c>
      <c r="U431" s="26">
        <v>4300000</v>
      </c>
      <c r="V431" s="26">
        <v>4300000</v>
      </c>
      <c r="W431" s="26">
        <v>4300000</v>
      </c>
      <c r="X431" s="6" t="s">
        <v>2003</v>
      </c>
      <c r="Y431" s="6" t="s">
        <v>71</v>
      </c>
      <c r="Z431" s="6">
        <v>224934</v>
      </c>
    </row>
    <row r="432" spans="1:26" x14ac:dyDescent="0.3">
      <c r="A432" s="28" t="s">
        <v>42</v>
      </c>
      <c r="B432" s="6" t="s">
        <v>2309</v>
      </c>
      <c r="C432" s="6" t="s">
        <v>1979</v>
      </c>
      <c r="D432" s="6" t="s">
        <v>2292</v>
      </c>
      <c r="E432" s="6">
        <v>1</v>
      </c>
      <c r="F432" s="6" t="s">
        <v>2004</v>
      </c>
      <c r="G432" s="32" t="s">
        <v>2299</v>
      </c>
      <c r="H432" s="32" t="s">
        <v>2300</v>
      </c>
      <c r="I432" s="6" t="str">
        <f t="shared" si="15"/>
        <v>Thumb Grapple</v>
      </c>
      <c r="J432" s="6" t="s">
        <v>186</v>
      </c>
      <c r="K432" s="6">
        <v>1</v>
      </c>
      <c r="L432" s="6">
        <f t="shared" si="16"/>
        <v>1410000</v>
      </c>
      <c r="M432" s="6">
        <v>1200000</v>
      </c>
      <c r="N432" s="6" t="s">
        <v>2003</v>
      </c>
      <c r="O432" s="6" t="s">
        <v>823</v>
      </c>
      <c r="P432" s="6">
        <v>2014</v>
      </c>
      <c r="Q432" s="6">
        <v>1</v>
      </c>
      <c r="R432" s="6" t="s">
        <v>45</v>
      </c>
      <c r="S432" s="32" t="s">
        <v>2113</v>
      </c>
      <c r="T432" s="6">
        <v>1</v>
      </c>
      <c r="U432" s="26">
        <v>1100000</v>
      </c>
      <c r="V432" s="26">
        <v>1100000</v>
      </c>
      <c r="W432" s="26">
        <v>1100000</v>
      </c>
      <c r="X432" s="6" t="s">
        <v>2003</v>
      </c>
      <c r="Y432" s="6" t="s">
        <v>49</v>
      </c>
      <c r="Z432" s="6">
        <v>224936</v>
      </c>
    </row>
    <row r="433" spans="1:26" x14ac:dyDescent="0.3">
      <c r="A433" s="28" t="s">
        <v>42</v>
      </c>
      <c r="B433" s="6" t="s">
        <v>2308</v>
      </c>
      <c r="C433" s="6" t="s">
        <v>1975</v>
      </c>
      <c r="D433" s="6" t="s">
        <v>2001</v>
      </c>
      <c r="E433" s="6">
        <v>1</v>
      </c>
      <c r="F433" s="6" t="s">
        <v>2004</v>
      </c>
      <c r="G433" s="32" t="s">
        <v>2299</v>
      </c>
      <c r="H433" s="32" t="s">
        <v>2300</v>
      </c>
      <c r="I433" s="6" t="str">
        <f t="shared" si="15"/>
        <v>Side Breaker</v>
      </c>
      <c r="J433" s="6" t="s">
        <v>595</v>
      </c>
      <c r="K433" s="6">
        <v>1</v>
      </c>
      <c r="L433" s="6">
        <f t="shared" si="16"/>
        <v>5520000</v>
      </c>
      <c r="M433" s="6">
        <v>4700000</v>
      </c>
      <c r="N433" s="6" t="s">
        <v>2003</v>
      </c>
      <c r="O433" s="6" t="s">
        <v>66</v>
      </c>
      <c r="P433" s="6">
        <v>2008</v>
      </c>
      <c r="Q433" s="6">
        <v>1</v>
      </c>
      <c r="R433" s="6" t="s">
        <v>45</v>
      </c>
      <c r="S433" s="32" t="s">
        <v>2118</v>
      </c>
      <c r="T433" s="6">
        <v>1</v>
      </c>
      <c r="U433" s="26">
        <v>4500000</v>
      </c>
      <c r="V433" s="26">
        <v>4500000</v>
      </c>
      <c r="W433" s="26">
        <v>4500000</v>
      </c>
      <c r="X433" s="6" t="s">
        <v>2003</v>
      </c>
      <c r="Y433" s="6" t="s">
        <v>67</v>
      </c>
      <c r="Z433" s="6">
        <v>224937</v>
      </c>
    </row>
    <row r="434" spans="1:26" x14ac:dyDescent="0.3">
      <c r="A434" s="28" t="s">
        <v>42</v>
      </c>
      <c r="B434" s="6" t="s">
        <v>2309</v>
      </c>
      <c r="C434" s="6" t="s">
        <v>1979</v>
      </c>
      <c r="D434" s="6" t="s">
        <v>2292</v>
      </c>
      <c r="E434" s="6">
        <v>1</v>
      </c>
      <c r="F434" s="6" t="s">
        <v>2004</v>
      </c>
      <c r="G434" s="32" t="s">
        <v>2299</v>
      </c>
      <c r="H434" s="32" t="s">
        <v>2300</v>
      </c>
      <c r="I434" s="6" t="str">
        <f t="shared" si="15"/>
        <v>Thumb Grapple</v>
      </c>
      <c r="J434" s="6" t="s">
        <v>152</v>
      </c>
      <c r="K434" s="6">
        <v>1</v>
      </c>
      <c r="L434" s="6">
        <f t="shared" si="16"/>
        <v>940000</v>
      </c>
      <c r="M434" s="6">
        <v>800000</v>
      </c>
      <c r="N434" s="6" t="s">
        <v>2003</v>
      </c>
      <c r="O434" s="6" t="s">
        <v>823</v>
      </c>
      <c r="P434" s="6">
        <v>2013</v>
      </c>
      <c r="Q434" s="6">
        <v>1</v>
      </c>
      <c r="R434" s="6" t="s">
        <v>45</v>
      </c>
      <c r="S434" s="32" t="s">
        <v>2113</v>
      </c>
      <c r="T434" s="6">
        <v>1</v>
      </c>
      <c r="U434" s="26">
        <v>700000</v>
      </c>
      <c r="V434" s="26">
        <v>700000</v>
      </c>
      <c r="W434" s="26">
        <v>700000</v>
      </c>
      <c r="X434" s="6" t="s">
        <v>2003</v>
      </c>
      <c r="Y434" s="6" t="s">
        <v>49</v>
      </c>
      <c r="Z434" s="6">
        <v>224939</v>
      </c>
    </row>
    <row r="435" spans="1:26" x14ac:dyDescent="0.3">
      <c r="A435" s="28" t="s">
        <v>42</v>
      </c>
      <c r="B435" s="6" t="s">
        <v>2309</v>
      </c>
      <c r="C435" s="6" t="s">
        <v>1979</v>
      </c>
      <c r="D435" s="6" t="s">
        <v>2292</v>
      </c>
      <c r="E435" s="6">
        <v>1</v>
      </c>
      <c r="F435" s="6" t="s">
        <v>2004</v>
      </c>
      <c r="G435" s="32" t="s">
        <v>2299</v>
      </c>
      <c r="H435" s="32" t="s">
        <v>2300</v>
      </c>
      <c r="I435" s="6" t="str">
        <f t="shared" si="15"/>
        <v>Thumb Grapple</v>
      </c>
      <c r="J435" s="6" t="s">
        <v>251</v>
      </c>
      <c r="K435" s="6">
        <v>1</v>
      </c>
      <c r="L435" s="6">
        <f t="shared" si="16"/>
        <v>940000</v>
      </c>
      <c r="M435" s="6">
        <v>800000</v>
      </c>
      <c r="N435" s="6" t="s">
        <v>2003</v>
      </c>
      <c r="O435" s="6" t="s">
        <v>823</v>
      </c>
      <c r="P435" s="6">
        <v>2013</v>
      </c>
      <c r="Q435" s="6">
        <v>1</v>
      </c>
      <c r="R435" s="6" t="s">
        <v>45</v>
      </c>
      <c r="S435" s="32" t="s">
        <v>2113</v>
      </c>
      <c r="T435" s="6">
        <v>1</v>
      </c>
      <c r="U435" s="26">
        <v>700000</v>
      </c>
      <c r="V435" s="26">
        <v>700000</v>
      </c>
      <c r="W435" s="26">
        <v>700000</v>
      </c>
      <c r="X435" s="6" t="s">
        <v>2003</v>
      </c>
      <c r="Y435" s="6" t="s">
        <v>49</v>
      </c>
      <c r="Z435" s="6">
        <v>224942</v>
      </c>
    </row>
    <row r="436" spans="1:26" x14ac:dyDescent="0.3">
      <c r="A436" s="28" t="s">
        <v>42</v>
      </c>
      <c r="B436" s="6" t="s">
        <v>2309</v>
      </c>
      <c r="C436" s="6" t="s">
        <v>1972</v>
      </c>
      <c r="D436" s="6" t="s">
        <v>2001</v>
      </c>
      <c r="E436" s="6">
        <v>1</v>
      </c>
      <c r="F436" s="6" t="s">
        <v>2004</v>
      </c>
      <c r="G436" s="32" t="s">
        <v>2299</v>
      </c>
      <c r="H436" s="32" t="s">
        <v>2300</v>
      </c>
      <c r="I436" s="6" t="str">
        <f t="shared" si="15"/>
        <v>Stone Grapple</v>
      </c>
      <c r="J436" s="6" t="s">
        <v>203</v>
      </c>
      <c r="K436" s="6">
        <v>1</v>
      </c>
      <c r="L436" s="6">
        <f t="shared" si="16"/>
        <v>6470000</v>
      </c>
      <c r="M436" s="6">
        <v>5500000</v>
      </c>
      <c r="N436" s="6" t="s">
        <v>2003</v>
      </c>
      <c r="O436" s="6" t="s">
        <v>985</v>
      </c>
      <c r="P436" s="6">
        <v>2013</v>
      </c>
      <c r="Q436" s="6">
        <v>1</v>
      </c>
      <c r="R436" s="6" t="s">
        <v>45</v>
      </c>
      <c r="S436" s="32" t="s">
        <v>2117</v>
      </c>
      <c r="T436" s="6">
        <v>1</v>
      </c>
      <c r="U436" s="26">
        <v>5000000</v>
      </c>
      <c r="V436" s="26">
        <v>5000000</v>
      </c>
      <c r="W436" s="26">
        <v>5000000</v>
      </c>
      <c r="X436" s="6" t="s">
        <v>2003</v>
      </c>
      <c r="Y436" s="6" t="s">
        <v>1240</v>
      </c>
      <c r="Z436" s="6">
        <v>224957</v>
      </c>
    </row>
    <row r="437" spans="1:26" x14ac:dyDescent="0.3">
      <c r="A437" s="28" t="s">
        <v>42</v>
      </c>
      <c r="B437" s="6" t="s">
        <v>2308</v>
      </c>
      <c r="C437" s="6" t="s">
        <v>1975</v>
      </c>
      <c r="D437" s="6" t="s">
        <v>2292</v>
      </c>
      <c r="E437" s="6">
        <v>1</v>
      </c>
      <c r="F437" s="6" t="s">
        <v>2004</v>
      </c>
      <c r="G437" s="32" t="s">
        <v>2299</v>
      </c>
      <c r="H437" s="32" t="s">
        <v>2300</v>
      </c>
      <c r="I437" s="6" t="str">
        <f t="shared" si="15"/>
        <v>Side Breaker</v>
      </c>
      <c r="J437" s="6" t="s">
        <v>440</v>
      </c>
      <c r="K437" s="6">
        <v>1</v>
      </c>
      <c r="L437" s="6">
        <f t="shared" si="16"/>
        <v>7050000</v>
      </c>
      <c r="M437" s="6">
        <v>6000000</v>
      </c>
      <c r="N437" s="6" t="s">
        <v>2003</v>
      </c>
      <c r="O437" s="6" t="s">
        <v>823</v>
      </c>
      <c r="P437" s="6">
        <v>2016</v>
      </c>
      <c r="Q437" s="6">
        <v>1</v>
      </c>
      <c r="R437" s="6" t="s">
        <v>45</v>
      </c>
      <c r="S437" s="32" t="s">
        <v>2113</v>
      </c>
      <c r="T437" s="6">
        <v>1</v>
      </c>
      <c r="U437" s="26">
        <v>5500000</v>
      </c>
      <c r="V437" s="26">
        <v>5500000</v>
      </c>
      <c r="W437" s="26">
        <v>5500000</v>
      </c>
      <c r="X437" s="6" t="s">
        <v>2003</v>
      </c>
      <c r="Y437" s="6" t="s">
        <v>49</v>
      </c>
      <c r="Z437" s="6">
        <v>224960</v>
      </c>
    </row>
    <row r="438" spans="1:26" x14ac:dyDescent="0.3">
      <c r="A438" s="28" t="s">
        <v>42</v>
      </c>
      <c r="B438" s="6" t="s">
        <v>2314</v>
      </c>
      <c r="C438" s="6" t="s">
        <v>2156</v>
      </c>
      <c r="D438" s="6" t="s">
        <v>2290</v>
      </c>
      <c r="E438" s="6">
        <v>1</v>
      </c>
      <c r="F438" s="6" t="s">
        <v>2004</v>
      </c>
      <c r="G438" s="32" t="s">
        <v>2299</v>
      </c>
      <c r="H438" s="32" t="s">
        <v>2300</v>
      </c>
      <c r="I438" s="6" t="str">
        <f t="shared" si="15"/>
        <v>Hydraulic Crusher</v>
      </c>
      <c r="J438" s="6" t="s">
        <v>596</v>
      </c>
      <c r="K438" s="6">
        <v>1</v>
      </c>
      <c r="L438" s="6">
        <f t="shared" si="16"/>
        <v>3760000</v>
      </c>
      <c r="M438" s="6">
        <v>3200000</v>
      </c>
      <c r="N438" s="6" t="s">
        <v>2003</v>
      </c>
      <c r="O438" s="6" t="s">
        <v>986</v>
      </c>
      <c r="P438" s="6">
        <v>2017</v>
      </c>
      <c r="Q438" s="6">
        <v>12</v>
      </c>
      <c r="R438" s="6" t="s">
        <v>45</v>
      </c>
      <c r="S438" s="32" t="s">
        <v>2122</v>
      </c>
      <c r="T438" s="6">
        <v>1</v>
      </c>
      <c r="U438" s="26">
        <v>3000000</v>
      </c>
      <c r="V438" s="26">
        <v>3000000</v>
      </c>
      <c r="W438" s="26">
        <v>3000000</v>
      </c>
      <c r="X438" s="6" t="s">
        <v>2003</v>
      </c>
      <c r="Y438" s="6" t="s">
        <v>1256</v>
      </c>
      <c r="Z438" s="6">
        <v>224964</v>
      </c>
    </row>
    <row r="439" spans="1:26" x14ac:dyDescent="0.3">
      <c r="A439" s="28" t="s">
        <v>42</v>
      </c>
      <c r="B439" s="6" t="s">
        <v>2313</v>
      </c>
      <c r="C439" s="19" t="s">
        <v>1982</v>
      </c>
      <c r="D439" s="6" t="s">
        <v>2291</v>
      </c>
      <c r="E439" s="6">
        <v>1</v>
      </c>
      <c r="F439" s="6" t="s">
        <v>2004</v>
      </c>
      <c r="G439" s="32" t="s">
        <v>2299</v>
      </c>
      <c r="H439" s="32" t="s">
        <v>2300</v>
      </c>
      <c r="I439" s="6" t="str">
        <f t="shared" si="15"/>
        <v>Standard Bucket</v>
      </c>
      <c r="J439" s="6" t="s">
        <v>597</v>
      </c>
      <c r="K439" s="6">
        <v>1</v>
      </c>
      <c r="L439" s="6">
        <f t="shared" si="16"/>
        <v>760000</v>
      </c>
      <c r="M439" s="6">
        <v>650000</v>
      </c>
      <c r="N439" s="6" t="s">
        <v>2003</v>
      </c>
      <c r="O439" s="6" t="s">
        <v>988</v>
      </c>
      <c r="P439" s="6">
        <v>2015</v>
      </c>
      <c r="Q439" s="6">
        <v>1</v>
      </c>
      <c r="R439" s="6" t="s">
        <v>45</v>
      </c>
      <c r="S439" s="32" t="s">
        <v>2123</v>
      </c>
      <c r="T439" s="6">
        <v>1</v>
      </c>
      <c r="U439" s="26">
        <v>550000</v>
      </c>
      <c r="V439" s="26">
        <v>550000</v>
      </c>
      <c r="W439" s="26">
        <v>550000</v>
      </c>
      <c r="X439" s="6" t="s">
        <v>2003</v>
      </c>
      <c r="Y439" s="6" t="s">
        <v>1285</v>
      </c>
      <c r="Z439" s="6">
        <v>224973</v>
      </c>
    </row>
    <row r="440" spans="1:26" x14ac:dyDescent="0.3">
      <c r="A440" s="28" t="s">
        <v>42</v>
      </c>
      <c r="B440" s="6" t="s">
        <v>2309</v>
      </c>
      <c r="C440" s="6" t="s">
        <v>1984</v>
      </c>
      <c r="D440" s="6" t="s">
        <v>2290</v>
      </c>
      <c r="E440" s="6">
        <v>1</v>
      </c>
      <c r="F440" s="6" t="s">
        <v>2004</v>
      </c>
      <c r="G440" s="32" t="s">
        <v>2299</v>
      </c>
      <c r="H440" s="32" t="s">
        <v>2300</v>
      </c>
      <c r="I440" s="6" t="str">
        <f t="shared" si="15"/>
        <v>Scrap Grapple</v>
      </c>
      <c r="J440" s="6" t="s">
        <v>221</v>
      </c>
      <c r="K440" s="6">
        <v>1</v>
      </c>
      <c r="L440" s="6">
        <f t="shared" si="16"/>
        <v>6470000</v>
      </c>
      <c r="M440" s="6">
        <v>5500000</v>
      </c>
      <c r="N440" s="6" t="s">
        <v>2003</v>
      </c>
      <c r="O440" s="6" t="s">
        <v>789</v>
      </c>
      <c r="P440" s="6">
        <v>2009</v>
      </c>
      <c r="Q440" s="6">
        <v>1</v>
      </c>
      <c r="R440" s="6" t="s">
        <v>45</v>
      </c>
      <c r="S440" s="32" t="s">
        <v>2122</v>
      </c>
      <c r="T440" s="6">
        <v>1</v>
      </c>
      <c r="U440" s="26">
        <v>5000000</v>
      </c>
      <c r="V440" s="26">
        <v>5000000</v>
      </c>
      <c r="W440" s="26">
        <v>5000000</v>
      </c>
      <c r="X440" s="6" t="s">
        <v>2003</v>
      </c>
      <c r="Y440" s="6" t="s">
        <v>65</v>
      </c>
      <c r="Z440" s="6">
        <v>224974</v>
      </c>
    </row>
    <row r="441" spans="1:26" x14ac:dyDescent="0.3">
      <c r="A441" s="28" t="s">
        <v>42</v>
      </c>
      <c r="B441" s="6" t="s">
        <v>2308</v>
      </c>
      <c r="C441" s="6" t="s">
        <v>1975</v>
      </c>
      <c r="D441" s="6" t="s">
        <v>2001</v>
      </c>
      <c r="E441" s="6">
        <v>1</v>
      </c>
      <c r="F441" s="6" t="s">
        <v>2004</v>
      </c>
      <c r="G441" s="32" t="s">
        <v>2299</v>
      </c>
      <c r="H441" s="32" t="s">
        <v>2300</v>
      </c>
      <c r="I441" s="6" t="str">
        <f t="shared" si="15"/>
        <v>Side Breaker</v>
      </c>
      <c r="J441" s="6" t="s">
        <v>598</v>
      </c>
      <c r="K441" s="6">
        <v>1</v>
      </c>
      <c r="L441" s="6">
        <f t="shared" si="16"/>
        <v>18230000</v>
      </c>
      <c r="M441" s="6">
        <v>15500000</v>
      </c>
      <c r="N441" s="6" t="s">
        <v>2003</v>
      </c>
      <c r="O441" s="6" t="s">
        <v>963</v>
      </c>
      <c r="P441" s="6">
        <v>2015</v>
      </c>
      <c r="Q441" s="6">
        <v>1</v>
      </c>
      <c r="R441" s="6" t="s">
        <v>45</v>
      </c>
      <c r="S441" s="32" t="s">
        <v>2110</v>
      </c>
      <c r="T441" s="6">
        <v>1</v>
      </c>
      <c r="U441" s="26">
        <v>15000000</v>
      </c>
      <c r="V441" s="26">
        <v>15000000</v>
      </c>
      <c r="W441" s="26">
        <v>15000000</v>
      </c>
      <c r="X441" s="6" t="s">
        <v>2003</v>
      </c>
      <c r="Y441" s="6" t="s">
        <v>1278</v>
      </c>
      <c r="Z441" s="6">
        <v>224982</v>
      </c>
    </row>
    <row r="442" spans="1:26" x14ac:dyDescent="0.3">
      <c r="A442" s="28" t="s">
        <v>42</v>
      </c>
      <c r="B442" s="6" t="s">
        <v>2313</v>
      </c>
      <c r="C442" s="19" t="s">
        <v>1982</v>
      </c>
      <c r="D442" s="6" t="s">
        <v>2001</v>
      </c>
      <c r="E442" s="6">
        <v>1</v>
      </c>
      <c r="F442" s="6" t="s">
        <v>2004</v>
      </c>
      <c r="G442" s="32" t="s">
        <v>2299</v>
      </c>
      <c r="H442" s="32" t="s">
        <v>2300</v>
      </c>
      <c r="I442" s="6" t="str">
        <f t="shared" si="15"/>
        <v>Standard Bucket</v>
      </c>
      <c r="J442" s="6" t="s">
        <v>574</v>
      </c>
      <c r="K442" s="6">
        <v>1</v>
      </c>
      <c r="L442" s="6">
        <f t="shared" si="16"/>
        <v>1880000</v>
      </c>
      <c r="M442" s="6">
        <v>1600000</v>
      </c>
      <c r="N442" s="6" t="s">
        <v>2003</v>
      </c>
      <c r="O442" s="6" t="s">
        <v>989</v>
      </c>
      <c r="P442" s="6">
        <v>2009</v>
      </c>
      <c r="Q442" s="6">
        <v>6</v>
      </c>
      <c r="R442" s="6" t="s">
        <v>45</v>
      </c>
      <c r="S442" s="32" t="s">
        <v>2120</v>
      </c>
      <c r="T442" s="6">
        <v>1</v>
      </c>
      <c r="U442" s="26">
        <v>1500000</v>
      </c>
      <c r="V442" s="26">
        <v>1500000</v>
      </c>
      <c r="W442" s="26">
        <v>1500000</v>
      </c>
      <c r="X442" s="6" t="s">
        <v>2003</v>
      </c>
      <c r="Y442" s="6" t="s">
        <v>1205</v>
      </c>
      <c r="Z442" s="6">
        <v>224983</v>
      </c>
    </row>
    <row r="443" spans="1:26" x14ac:dyDescent="0.3">
      <c r="A443" s="28" t="s">
        <v>42</v>
      </c>
      <c r="B443" s="6" t="s">
        <v>2308</v>
      </c>
      <c r="C443" s="6" t="s">
        <v>1975</v>
      </c>
      <c r="D443" s="6" t="s">
        <v>2001</v>
      </c>
      <c r="E443" s="6">
        <v>1</v>
      </c>
      <c r="F443" s="6" t="s">
        <v>2004</v>
      </c>
      <c r="G443" s="32" t="s">
        <v>2299</v>
      </c>
      <c r="H443" s="32" t="s">
        <v>2300</v>
      </c>
      <c r="I443" s="6" t="str">
        <f t="shared" si="15"/>
        <v>Side Breaker</v>
      </c>
      <c r="J443" s="6" t="s">
        <v>599</v>
      </c>
      <c r="K443" s="6">
        <v>1</v>
      </c>
      <c r="L443" s="6">
        <f t="shared" si="16"/>
        <v>10580000</v>
      </c>
      <c r="M443" s="6">
        <v>9000000</v>
      </c>
      <c r="N443" s="6" t="s">
        <v>2003</v>
      </c>
      <c r="O443" s="6" t="s">
        <v>834</v>
      </c>
      <c r="P443" s="6">
        <v>2010</v>
      </c>
      <c r="Q443" s="6">
        <v>1</v>
      </c>
      <c r="R443" s="6" t="s">
        <v>45</v>
      </c>
      <c r="S443" s="32" t="s">
        <v>2123</v>
      </c>
      <c r="T443" s="6">
        <v>1</v>
      </c>
      <c r="U443" s="26">
        <v>8500000</v>
      </c>
      <c r="V443" s="26">
        <v>8500000</v>
      </c>
      <c r="W443" s="26">
        <v>8500000</v>
      </c>
      <c r="X443" s="6" t="s">
        <v>2003</v>
      </c>
      <c r="Y443" s="6" t="s">
        <v>1167</v>
      </c>
      <c r="Z443" s="6">
        <v>224984</v>
      </c>
    </row>
    <row r="444" spans="1:26" x14ac:dyDescent="0.3">
      <c r="A444" s="28" t="s">
        <v>42</v>
      </c>
      <c r="B444" s="6" t="s">
        <v>2309</v>
      </c>
      <c r="C444" s="6" t="s">
        <v>1972</v>
      </c>
      <c r="D444" s="6" t="s">
        <v>2292</v>
      </c>
      <c r="E444" s="6">
        <v>1</v>
      </c>
      <c r="F444" s="6" t="s">
        <v>2004</v>
      </c>
      <c r="G444" s="32" t="s">
        <v>2299</v>
      </c>
      <c r="H444" s="32" t="s">
        <v>2300</v>
      </c>
      <c r="I444" s="6" t="str">
        <f t="shared" si="15"/>
        <v>Stone Grapple</v>
      </c>
      <c r="J444" s="6" t="s">
        <v>58</v>
      </c>
      <c r="K444" s="6">
        <v>1</v>
      </c>
      <c r="L444" s="6">
        <f t="shared" si="16"/>
        <v>2940000</v>
      </c>
      <c r="M444" s="6">
        <v>2500000</v>
      </c>
      <c r="N444" s="6" t="s">
        <v>2003</v>
      </c>
      <c r="O444" s="6" t="s">
        <v>823</v>
      </c>
      <c r="P444" s="6">
        <v>2014</v>
      </c>
      <c r="Q444" s="6">
        <v>1</v>
      </c>
      <c r="R444" s="6" t="s">
        <v>45</v>
      </c>
      <c r="S444" s="32" t="s">
        <v>2113</v>
      </c>
      <c r="T444" s="6">
        <v>1</v>
      </c>
      <c r="U444" s="26">
        <v>2300000</v>
      </c>
      <c r="V444" s="26">
        <v>2300000</v>
      </c>
      <c r="W444" s="26">
        <v>2300000</v>
      </c>
      <c r="X444" s="6" t="s">
        <v>2003</v>
      </c>
      <c r="Y444" s="6" t="s">
        <v>49</v>
      </c>
      <c r="Z444" s="6">
        <v>224988</v>
      </c>
    </row>
    <row r="445" spans="1:26" x14ac:dyDescent="0.3">
      <c r="A445" s="28" t="s">
        <v>42</v>
      </c>
      <c r="B445" s="6" t="s">
        <v>2309</v>
      </c>
      <c r="C445" s="6" t="s">
        <v>1979</v>
      </c>
      <c r="D445" s="6" t="s">
        <v>2292</v>
      </c>
      <c r="E445" s="6">
        <v>1</v>
      </c>
      <c r="F445" s="6" t="s">
        <v>2004</v>
      </c>
      <c r="G445" s="32" t="s">
        <v>2299</v>
      </c>
      <c r="H445" s="32" t="s">
        <v>2300</v>
      </c>
      <c r="I445" s="6" t="str">
        <f t="shared" si="15"/>
        <v>Thumb Grapple</v>
      </c>
      <c r="J445" s="6" t="s">
        <v>117</v>
      </c>
      <c r="K445" s="6">
        <v>1</v>
      </c>
      <c r="L445" s="6">
        <f t="shared" si="16"/>
        <v>1410000</v>
      </c>
      <c r="M445" s="6">
        <v>1200000</v>
      </c>
      <c r="N445" s="6" t="s">
        <v>2003</v>
      </c>
      <c r="O445" s="6" t="s">
        <v>823</v>
      </c>
      <c r="P445" s="6">
        <v>2014</v>
      </c>
      <c r="Q445" s="6">
        <v>1</v>
      </c>
      <c r="R445" s="6" t="s">
        <v>45</v>
      </c>
      <c r="S445" s="32" t="s">
        <v>2113</v>
      </c>
      <c r="T445" s="6">
        <v>1</v>
      </c>
      <c r="U445" s="26">
        <v>1100000</v>
      </c>
      <c r="V445" s="26">
        <v>1100000</v>
      </c>
      <c r="W445" s="26">
        <v>1100000</v>
      </c>
      <c r="X445" s="6" t="s">
        <v>2003</v>
      </c>
      <c r="Y445" s="6" t="s">
        <v>49</v>
      </c>
      <c r="Z445" s="6">
        <v>224995</v>
      </c>
    </row>
    <row r="446" spans="1:26" x14ac:dyDescent="0.3">
      <c r="A446" s="28" t="s">
        <v>42</v>
      </c>
      <c r="B446" s="6" t="s">
        <v>2315</v>
      </c>
      <c r="C446" s="6"/>
      <c r="D446" s="6" t="s">
        <v>2295</v>
      </c>
      <c r="E446" s="6">
        <v>1</v>
      </c>
      <c r="F446" s="6" t="s">
        <v>2004</v>
      </c>
      <c r="G446" s="32" t="s">
        <v>2299</v>
      </c>
      <c r="H446" s="32" t="s">
        <v>2300</v>
      </c>
      <c r="I446" s="6" t="str">
        <f t="shared" si="15"/>
        <v>ETC</v>
      </c>
      <c r="J446" s="6" t="s">
        <v>378</v>
      </c>
      <c r="K446" s="6">
        <v>1</v>
      </c>
      <c r="L446" s="6">
        <f t="shared" si="16"/>
        <v>2940000</v>
      </c>
      <c r="M446" s="6">
        <v>2500000</v>
      </c>
      <c r="N446" s="6" t="s">
        <v>2003</v>
      </c>
      <c r="O446" s="6" t="s">
        <v>991</v>
      </c>
      <c r="P446" s="6">
        <v>2016</v>
      </c>
      <c r="Q446" s="6">
        <v>5</v>
      </c>
      <c r="R446" s="6" t="s">
        <v>45</v>
      </c>
      <c r="S446" s="32" t="s">
        <v>2113</v>
      </c>
      <c r="T446" s="6">
        <v>1</v>
      </c>
      <c r="U446" s="26">
        <v>2300000</v>
      </c>
      <c r="V446" s="26">
        <v>2300000</v>
      </c>
      <c r="W446" s="26">
        <v>2300000</v>
      </c>
      <c r="X446" s="6" t="s">
        <v>2003</v>
      </c>
      <c r="Y446" s="6" t="s">
        <v>71</v>
      </c>
      <c r="Z446" s="6">
        <v>225000</v>
      </c>
    </row>
    <row r="447" spans="1:26" x14ac:dyDescent="0.3">
      <c r="A447" s="28" t="s">
        <v>42</v>
      </c>
      <c r="B447" s="6" t="s">
        <v>2315</v>
      </c>
      <c r="C447" s="6"/>
      <c r="D447" s="6" t="s">
        <v>2289</v>
      </c>
      <c r="E447" s="6">
        <v>1</v>
      </c>
      <c r="F447" s="6" t="s">
        <v>2004</v>
      </c>
      <c r="G447" s="32" t="s">
        <v>2299</v>
      </c>
      <c r="H447" s="32" t="s">
        <v>2300</v>
      </c>
      <c r="I447" s="6" t="str">
        <f t="shared" si="15"/>
        <v>ETC</v>
      </c>
      <c r="J447" s="6" t="s">
        <v>126</v>
      </c>
      <c r="K447" s="6">
        <v>1</v>
      </c>
      <c r="L447" s="6">
        <f t="shared" si="16"/>
        <v>10000000</v>
      </c>
      <c r="M447" s="6">
        <v>8500000</v>
      </c>
      <c r="N447" s="6" t="s">
        <v>2003</v>
      </c>
      <c r="O447" s="6" t="s">
        <v>992</v>
      </c>
      <c r="P447" s="6">
        <v>2011</v>
      </c>
      <c r="Q447" s="6">
        <v>1</v>
      </c>
      <c r="R447" s="6" t="s">
        <v>45</v>
      </c>
      <c r="S447" s="32" t="s">
        <v>2118</v>
      </c>
      <c r="T447" s="6">
        <v>1</v>
      </c>
      <c r="U447" s="26">
        <v>8000000</v>
      </c>
      <c r="V447" s="26">
        <v>8000000</v>
      </c>
      <c r="W447" s="26">
        <v>8000000</v>
      </c>
      <c r="X447" s="6" t="s">
        <v>2003</v>
      </c>
      <c r="Y447" s="6" t="s">
        <v>63</v>
      </c>
      <c r="Z447" s="6">
        <v>225001</v>
      </c>
    </row>
    <row r="448" spans="1:26" x14ac:dyDescent="0.3">
      <c r="A448" s="28" t="s">
        <v>42</v>
      </c>
      <c r="B448" s="6" t="s">
        <v>2309</v>
      </c>
      <c r="C448" s="6" t="s">
        <v>1972</v>
      </c>
      <c r="D448" s="6" t="s">
        <v>2291</v>
      </c>
      <c r="E448" s="6">
        <v>1</v>
      </c>
      <c r="F448" s="6" t="s">
        <v>2004</v>
      </c>
      <c r="G448" s="32" t="s">
        <v>2299</v>
      </c>
      <c r="H448" s="32" t="s">
        <v>2300</v>
      </c>
      <c r="I448" s="6" t="str">
        <f t="shared" si="15"/>
        <v>Stone Grapple</v>
      </c>
      <c r="J448" s="6" t="s">
        <v>149</v>
      </c>
      <c r="K448" s="6">
        <v>1</v>
      </c>
      <c r="L448" s="6">
        <f t="shared" si="16"/>
        <v>1640000</v>
      </c>
      <c r="M448" s="6">
        <v>1400000</v>
      </c>
      <c r="N448" s="6" t="s">
        <v>2003</v>
      </c>
      <c r="O448" s="6" t="s">
        <v>2007</v>
      </c>
      <c r="P448" s="6">
        <v>2015</v>
      </c>
      <c r="Q448" s="6">
        <v>1</v>
      </c>
      <c r="R448" s="6" t="s">
        <v>45</v>
      </c>
      <c r="S448" s="32" t="s">
        <v>2113</v>
      </c>
      <c r="T448" s="6">
        <v>1</v>
      </c>
      <c r="U448" s="26">
        <v>1300000</v>
      </c>
      <c r="V448" s="26">
        <v>1300000</v>
      </c>
      <c r="W448" s="26">
        <v>1300000</v>
      </c>
      <c r="X448" s="6" t="s">
        <v>2003</v>
      </c>
      <c r="Y448" s="6" t="s">
        <v>49</v>
      </c>
      <c r="Z448" s="6">
        <v>225018</v>
      </c>
    </row>
    <row r="449" spans="1:26" x14ac:dyDescent="0.3">
      <c r="A449" s="28" t="s">
        <v>42</v>
      </c>
      <c r="B449" s="6" t="s">
        <v>2308</v>
      </c>
      <c r="C449" s="6" t="s">
        <v>1975</v>
      </c>
      <c r="D449" s="6" t="s">
        <v>2291</v>
      </c>
      <c r="E449" s="6">
        <v>1</v>
      </c>
      <c r="F449" s="6" t="s">
        <v>2004</v>
      </c>
      <c r="G449" s="32" t="s">
        <v>2299</v>
      </c>
      <c r="H449" s="32" t="s">
        <v>2300</v>
      </c>
      <c r="I449" s="6" t="str">
        <f t="shared" si="15"/>
        <v>Side Breaker</v>
      </c>
      <c r="J449" s="6" t="s">
        <v>664</v>
      </c>
      <c r="K449" s="6">
        <v>1</v>
      </c>
      <c r="L449" s="6">
        <f t="shared" si="16"/>
        <v>2230000</v>
      </c>
      <c r="M449" s="6">
        <v>1900000</v>
      </c>
      <c r="N449" s="6" t="s">
        <v>2003</v>
      </c>
      <c r="O449" s="6" t="s">
        <v>1866</v>
      </c>
      <c r="P449" s="6">
        <v>2014</v>
      </c>
      <c r="Q449" s="6">
        <v>1</v>
      </c>
      <c r="R449" s="6" t="s">
        <v>45</v>
      </c>
      <c r="S449" s="32" t="s">
        <v>2118</v>
      </c>
      <c r="T449" s="6">
        <v>1</v>
      </c>
      <c r="U449" s="26">
        <v>1800000</v>
      </c>
      <c r="V449" s="26">
        <v>1800000</v>
      </c>
      <c r="W449" s="26">
        <v>1800000</v>
      </c>
      <c r="X449" s="6" t="s">
        <v>2003</v>
      </c>
      <c r="Y449" s="6" t="s">
        <v>1211</v>
      </c>
      <c r="Z449" s="6">
        <v>225033</v>
      </c>
    </row>
    <row r="450" spans="1:26" x14ac:dyDescent="0.3">
      <c r="A450" s="28" t="s">
        <v>42</v>
      </c>
      <c r="B450" s="6" t="s">
        <v>2313</v>
      </c>
      <c r="C450" s="19" t="s">
        <v>1982</v>
      </c>
      <c r="D450" s="6" t="s">
        <v>2289</v>
      </c>
      <c r="E450" s="6">
        <v>1</v>
      </c>
      <c r="F450" s="6" t="s">
        <v>2004</v>
      </c>
      <c r="G450" s="32" t="s">
        <v>2299</v>
      </c>
      <c r="H450" s="32" t="s">
        <v>2300</v>
      </c>
      <c r="I450" s="6" t="str">
        <f t="shared" si="15"/>
        <v>Standard Bucket</v>
      </c>
      <c r="J450" s="6" t="s">
        <v>376</v>
      </c>
      <c r="K450" s="6">
        <v>1</v>
      </c>
      <c r="L450" s="6">
        <f t="shared" si="16"/>
        <v>1880000</v>
      </c>
      <c r="M450" s="6">
        <v>1600000</v>
      </c>
      <c r="N450" s="6" t="s">
        <v>2003</v>
      </c>
      <c r="O450" s="6" t="s">
        <v>813</v>
      </c>
      <c r="P450" s="6">
        <v>2013</v>
      </c>
      <c r="Q450" s="6">
        <v>1</v>
      </c>
      <c r="R450" s="6" t="s">
        <v>45</v>
      </c>
      <c r="S450" s="32" t="s">
        <v>2113</v>
      </c>
      <c r="T450" s="6">
        <v>1</v>
      </c>
      <c r="U450" s="26">
        <v>1500000</v>
      </c>
      <c r="V450" s="26">
        <v>1500000</v>
      </c>
      <c r="W450" s="26">
        <v>1500000</v>
      </c>
      <c r="X450" s="6" t="s">
        <v>2003</v>
      </c>
      <c r="Y450" s="6" t="s">
        <v>79</v>
      </c>
      <c r="Z450" s="6">
        <v>225039</v>
      </c>
    </row>
    <row r="451" spans="1:26" x14ac:dyDescent="0.3">
      <c r="A451" s="28" t="s">
        <v>42</v>
      </c>
      <c r="B451" s="6" t="s">
        <v>2308</v>
      </c>
      <c r="C451" s="6" t="s">
        <v>1975</v>
      </c>
      <c r="D451" s="6" t="s">
        <v>2292</v>
      </c>
      <c r="E451" s="6">
        <v>1</v>
      </c>
      <c r="F451" s="6" t="s">
        <v>2004</v>
      </c>
      <c r="G451" s="32" t="s">
        <v>2299</v>
      </c>
      <c r="H451" s="32" t="s">
        <v>2300</v>
      </c>
      <c r="I451" s="6" t="str">
        <f t="shared" si="15"/>
        <v>Side Breaker</v>
      </c>
      <c r="J451" s="6" t="s">
        <v>592</v>
      </c>
      <c r="K451" s="6">
        <v>1</v>
      </c>
      <c r="L451" s="6">
        <f t="shared" si="16"/>
        <v>5520000</v>
      </c>
      <c r="M451" s="6">
        <v>4700000</v>
      </c>
      <c r="N451" s="6" t="s">
        <v>2003</v>
      </c>
      <c r="O451" s="6" t="s">
        <v>70</v>
      </c>
      <c r="P451" s="6">
        <v>2015</v>
      </c>
      <c r="Q451" s="6">
        <v>1</v>
      </c>
      <c r="R451" s="6" t="s">
        <v>45</v>
      </c>
      <c r="S451" s="32" t="s">
        <v>2113</v>
      </c>
      <c r="T451" s="6">
        <v>1</v>
      </c>
      <c r="U451" s="26">
        <v>4500000</v>
      </c>
      <c r="V451" s="26">
        <v>4500000</v>
      </c>
      <c r="W451" s="26">
        <v>4500000</v>
      </c>
      <c r="X451" s="6" t="s">
        <v>2003</v>
      </c>
      <c r="Y451" s="6" t="s">
        <v>71</v>
      </c>
      <c r="Z451" s="6">
        <v>225040</v>
      </c>
    </row>
    <row r="452" spans="1:26" x14ac:dyDescent="0.3">
      <c r="A452" s="28" t="s">
        <v>42</v>
      </c>
      <c r="B452" s="6" t="s">
        <v>2319</v>
      </c>
      <c r="C452" s="6"/>
      <c r="D452" s="6" t="s">
        <v>2001</v>
      </c>
      <c r="E452" s="6">
        <v>1</v>
      </c>
      <c r="F452" s="6" t="s">
        <v>2004</v>
      </c>
      <c r="G452" s="32" t="s">
        <v>2299</v>
      </c>
      <c r="H452" s="32" t="s">
        <v>2300</v>
      </c>
      <c r="I452" s="6" t="str">
        <f t="shared" si="15"/>
        <v>Core Drill</v>
      </c>
      <c r="J452" s="6" t="s">
        <v>603</v>
      </c>
      <c r="K452" s="6">
        <v>1</v>
      </c>
      <c r="L452" s="6">
        <f t="shared" si="16"/>
        <v>8820000</v>
      </c>
      <c r="M452" s="6">
        <v>7500000</v>
      </c>
      <c r="N452" s="6" t="s">
        <v>2003</v>
      </c>
      <c r="O452" s="6" t="s">
        <v>994</v>
      </c>
      <c r="P452" s="6">
        <v>2010</v>
      </c>
      <c r="Q452" s="6">
        <v>6</v>
      </c>
      <c r="R452" s="6" t="s">
        <v>45</v>
      </c>
      <c r="S452" s="32" t="s">
        <v>2122</v>
      </c>
      <c r="T452" s="6">
        <v>1</v>
      </c>
      <c r="U452" s="26">
        <v>7000000</v>
      </c>
      <c r="V452" s="26">
        <v>7000000</v>
      </c>
      <c r="W452" s="26">
        <v>7000000</v>
      </c>
      <c r="X452" s="6" t="s">
        <v>2003</v>
      </c>
      <c r="Y452" s="6" t="s">
        <v>1227</v>
      </c>
      <c r="Z452" s="6">
        <v>225046</v>
      </c>
    </row>
    <row r="453" spans="1:26" x14ac:dyDescent="0.3">
      <c r="A453" s="28" t="s">
        <v>42</v>
      </c>
      <c r="B453" s="6" t="s">
        <v>2309</v>
      </c>
      <c r="C453" s="6" t="s">
        <v>1981</v>
      </c>
      <c r="D453" s="6" t="s">
        <v>2291</v>
      </c>
      <c r="E453" s="6">
        <v>1</v>
      </c>
      <c r="F453" s="6" t="s">
        <v>2004</v>
      </c>
      <c r="G453" s="32" t="s">
        <v>2299</v>
      </c>
      <c r="H453" s="32" t="s">
        <v>2300</v>
      </c>
      <c r="I453" s="6" t="str">
        <f t="shared" si="15"/>
        <v>Orange Grapple</v>
      </c>
      <c r="J453" s="6" t="s">
        <v>330</v>
      </c>
      <c r="K453" s="6">
        <v>1</v>
      </c>
      <c r="L453" s="6">
        <f t="shared" si="16"/>
        <v>1760000</v>
      </c>
      <c r="M453" s="6">
        <v>1500000</v>
      </c>
      <c r="N453" s="6" t="s">
        <v>2003</v>
      </c>
      <c r="O453" s="6" t="s">
        <v>797</v>
      </c>
      <c r="P453" s="6">
        <v>2015</v>
      </c>
      <c r="Q453" s="6">
        <v>7</v>
      </c>
      <c r="R453" s="6" t="s">
        <v>45</v>
      </c>
      <c r="S453" s="32" t="s">
        <v>2120</v>
      </c>
      <c r="T453" s="6">
        <v>1</v>
      </c>
      <c r="U453" s="26">
        <v>1400000</v>
      </c>
      <c r="V453" s="26">
        <v>1400000</v>
      </c>
      <c r="W453" s="26">
        <v>1400000</v>
      </c>
      <c r="X453" s="6" t="s">
        <v>2003</v>
      </c>
      <c r="Y453" s="6" t="s">
        <v>1162</v>
      </c>
      <c r="Z453" s="6">
        <v>225047</v>
      </c>
    </row>
    <row r="454" spans="1:26" x14ac:dyDescent="0.3">
      <c r="A454" s="28" t="s">
        <v>42</v>
      </c>
      <c r="B454" s="6" t="s">
        <v>2313</v>
      </c>
      <c r="C454" s="6" t="s">
        <v>1971</v>
      </c>
      <c r="D454" s="6" t="s">
        <v>2289</v>
      </c>
      <c r="E454" s="6">
        <v>1</v>
      </c>
      <c r="F454" s="6" t="s">
        <v>2004</v>
      </c>
      <c r="G454" s="32" t="s">
        <v>2299</v>
      </c>
      <c r="H454" s="32" t="s">
        <v>2300</v>
      </c>
      <c r="I454" s="6" t="str">
        <f t="shared" si="15"/>
        <v>Special Bucket</v>
      </c>
      <c r="J454" s="6" t="s">
        <v>604</v>
      </c>
      <c r="K454" s="6">
        <v>1</v>
      </c>
      <c r="L454" s="6">
        <f t="shared" si="16"/>
        <v>9410000</v>
      </c>
      <c r="M454" s="6">
        <v>8000000</v>
      </c>
      <c r="N454" s="6" t="s">
        <v>2003</v>
      </c>
      <c r="O454" s="6" t="s">
        <v>995</v>
      </c>
      <c r="P454" s="6">
        <v>2014</v>
      </c>
      <c r="Q454" s="6">
        <v>1</v>
      </c>
      <c r="R454" s="6" t="s">
        <v>45</v>
      </c>
      <c r="S454" s="32" t="s">
        <v>2112</v>
      </c>
      <c r="T454" s="6">
        <v>1</v>
      </c>
      <c r="U454" s="26">
        <v>7500000</v>
      </c>
      <c r="V454" s="26">
        <v>7500000</v>
      </c>
      <c r="W454" s="26">
        <v>7500000</v>
      </c>
      <c r="X454" s="6" t="s">
        <v>2003</v>
      </c>
      <c r="Y454" s="6" t="s">
        <v>1213</v>
      </c>
      <c r="Z454" s="6">
        <v>225048</v>
      </c>
    </row>
    <row r="455" spans="1:26" x14ac:dyDescent="0.3">
      <c r="A455" s="28" t="s">
        <v>42</v>
      </c>
      <c r="B455" s="6" t="s">
        <v>2308</v>
      </c>
      <c r="C455" s="6" t="s">
        <v>1975</v>
      </c>
      <c r="D455" s="6" t="s">
        <v>2001</v>
      </c>
      <c r="E455" s="6">
        <v>1</v>
      </c>
      <c r="F455" s="6" t="s">
        <v>2004</v>
      </c>
      <c r="G455" s="32" t="s">
        <v>2299</v>
      </c>
      <c r="H455" s="32" t="s">
        <v>2300</v>
      </c>
      <c r="I455" s="6" t="str">
        <f t="shared" si="15"/>
        <v>Side Breaker</v>
      </c>
      <c r="J455" s="6" t="s">
        <v>233</v>
      </c>
      <c r="K455" s="6">
        <v>1</v>
      </c>
      <c r="L455" s="6">
        <f t="shared" si="16"/>
        <v>13520000</v>
      </c>
      <c r="M455" s="6">
        <v>11500000</v>
      </c>
      <c r="N455" s="6" t="s">
        <v>2003</v>
      </c>
      <c r="O455" s="6" t="s">
        <v>1121</v>
      </c>
      <c r="P455" s="6">
        <v>2013</v>
      </c>
      <c r="Q455" s="6">
        <v>1</v>
      </c>
      <c r="R455" s="6" t="s">
        <v>45</v>
      </c>
      <c r="S455" s="32" t="s">
        <v>2125</v>
      </c>
      <c r="T455" s="6">
        <v>1</v>
      </c>
      <c r="U455" s="26">
        <v>11000000</v>
      </c>
      <c r="V455" s="26">
        <v>11000000</v>
      </c>
      <c r="W455" s="26">
        <v>11000000</v>
      </c>
      <c r="X455" s="6" t="s">
        <v>2003</v>
      </c>
      <c r="Y455" s="6" t="s">
        <v>1161</v>
      </c>
      <c r="Z455" s="6">
        <v>225049</v>
      </c>
    </row>
    <row r="456" spans="1:26" x14ac:dyDescent="0.3">
      <c r="A456" s="28" t="s">
        <v>42</v>
      </c>
      <c r="B456" s="6" t="s">
        <v>2313</v>
      </c>
      <c r="C456" s="19" t="s">
        <v>2209</v>
      </c>
      <c r="D456" s="6" t="s">
        <v>2289</v>
      </c>
      <c r="E456" s="6">
        <v>1</v>
      </c>
      <c r="F456" s="6" t="s">
        <v>2004</v>
      </c>
      <c r="G456" s="32" t="s">
        <v>2299</v>
      </c>
      <c r="H456" s="32" t="s">
        <v>2300</v>
      </c>
      <c r="I456" s="6" t="str">
        <f t="shared" si="15"/>
        <v>Etc Bucket</v>
      </c>
      <c r="J456" s="6" t="s">
        <v>575</v>
      </c>
      <c r="K456" s="6">
        <v>1</v>
      </c>
      <c r="L456" s="6">
        <f t="shared" si="16"/>
        <v>9410000</v>
      </c>
      <c r="M456" s="6">
        <v>8000000</v>
      </c>
      <c r="N456" s="6" t="s">
        <v>2003</v>
      </c>
      <c r="O456" s="6" t="s">
        <v>796</v>
      </c>
      <c r="P456" s="6">
        <v>2012</v>
      </c>
      <c r="Q456" s="6">
        <v>1</v>
      </c>
      <c r="R456" s="6" t="s">
        <v>45</v>
      </c>
      <c r="S456" s="32" t="s">
        <v>2112</v>
      </c>
      <c r="T456" s="6">
        <v>1</v>
      </c>
      <c r="U456" s="26">
        <v>7500000</v>
      </c>
      <c r="V456" s="26">
        <v>7500000</v>
      </c>
      <c r="W456" s="26">
        <v>7500000</v>
      </c>
      <c r="X456" s="6" t="s">
        <v>2003</v>
      </c>
      <c r="Y456" s="6" t="s">
        <v>1213</v>
      </c>
      <c r="Z456" s="6">
        <v>225053</v>
      </c>
    </row>
    <row r="457" spans="1:26" x14ac:dyDescent="0.3">
      <c r="A457" s="28" t="s">
        <v>42</v>
      </c>
      <c r="B457" s="6" t="s">
        <v>2308</v>
      </c>
      <c r="C457" s="6" t="s">
        <v>1975</v>
      </c>
      <c r="D457" s="6" t="s">
        <v>2001</v>
      </c>
      <c r="E457" s="6">
        <v>1</v>
      </c>
      <c r="F457" s="6" t="s">
        <v>2004</v>
      </c>
      <c r="G457" s="32" t="s">
        <v>2299</v>
      </c>
      <c r="H457" s="32" t="s">
        <v>2300</v>
      </c>
      <c r="I457" s="6" t="str">
        <f t="shared" si="15"/>
        <v>Side Breaker</v>
      </c>
      <c r="J457" s="6" t="s">
        <v>483</v>
      </c>
      <c r="K457" s="6">
        <v>1</v>
      </c>
      <c r="L457" s="6">
        <f t="shared" si="16"/>
        <v>7640000</v>
      </c>
      <c r="M457" s="6">
        <v>6500000</v>
      </c>
      <c r="N457" s="6" t="s">
        <v>2003</v>
      </c>
      <c r="O457" s="6" t="s">
        <v>822</v>
      </c>
      <c r="P457" s="6">
        <v>2013</v>
      </c>
      <c r="Q457" s="6">
        <v>7</v>
      </c>
      <c r="R457" s="6" t="s">
        <v>45</v>
      </c>
      <c r="S457" s="32" t="s">
        <v>2123</v>
      </c>
      <c r="T457" s="6">
        <v>1</v>
      </c>
      <c r="U457" s="26">
        <v>6000000</v>
      </c>
      <c r="V457" s="26">
        <v>6000000</v>
      </c>
      <c r="W457" s="26">
        <v>6000000</v>
      </c>
      <c r="X457" s="6" t="s">
        <v>2003</v>
      </c>
      <c r="Y457" s="6" t="s">
        <v>92</v>
      </c>
      <c r="Z457" s="6">
        <v>225055</v>
      </c>
    </row>
    <row r="458" spans="1:26" x14ac:dyDescent="0.3">
      <c r="A458" s="28" t="s">
        <v>42</v>
      </c>
      <c r="B458" s="6" t="s">
        <v>2313</v>
      </c>
      <c r="C458" s="19" t="s">
        <v>1982</v>
      </c>
      <c r="D458" s="6" t="s">
        <v>2292</v>
      </c>
      <c r="E458" s="6">
        <v>1</v>
      </c>
      <c r="F458" s="6" t="s">
        <v>2004</v>
      </c>
      <c r="G458" s="32" t="s">
        <v>2299</v>
      </c>
      <c r="H458" s="32" t="s">
        <v>2300</v>
      </c>
      <c r="I458" s="6" t="str">
        <f t="shared" si="15"/>
        <v>Standard Bucket</v>
      </c>
      <c r="J458" s="6" t="s">
        <v>308</v>
      </c>
      <c r="K458" s="6">
        <v>1</v>
      </c>
      <c r="L458" s="6">
        <f t="shared" si="16"/>
        <v>1290000</v>
      </c>
      <c r="M458" s="6">
        <v>1100000</v>
      </c>
      <c r="N458" s="6" t="s">
        <v>2003</v>
      </c>
      <c r="O458" s="6" t="s">
        <v>2057</v>
      </c>
      <c r="P458" s="6">
        <v>2017</v>
      </c>
      <c r="Q458" s="6">
        <v>2</v>
      </c>
      <c r="R458" s="6" t="s">
        <v>45</v>
      </c>
      <c r="S458" s="32" t="s">
        <v>2124</v>
      </c>
      <c r="T458" s="6">
        <v>1</v>
      </c>
      <c r="U458" s="26">
        <v>1000000</v>
      </c>
      <c r="V458" s="26">
        <v>1000000</v>
      </c>
      <c r="W458" s="26">
        <v>1000000</v>
      </c>
      <c r="X458" s="6" t="s">
        <v>2003</v>
      </c>
      <c r="Y458" s="6" t="s">
        <v>1144</v>
      </c>
      <c r="Z458" s="6">
        <v>225058</v>
      </c>
    </row>
    <row r="459" spans="1:26" x14ac:dyDescent="0.3">
      <c r="A459" s="28" t="s">
        <v>42</v>
      </c>
      <c r="B459" s="6" t="s">
        <v>2309</v>
      </c>
      <c r="C459" s="6" t="s">
        <v>1984</v>
      </c>
      <c r="D459" s="6" t="s">
        <v>2290</v>
      </c>
      <c r="E459" s="6">
        <v>1</v>
      </c>
      <c r="F459" s="6" t="s">
        <v>2004</v>
      </c>
      <c r="G459" s="32" t="s">
        <v>2299</v>
      </c>
      <c r="H459" s="32" t="s">
        <v>2300</v>
      </c>
      <c r="I459" s="6" t="str">
        <f t="shared" ref="I459:I522" si="17">IF(ISBLANK(C459),B459,C459)</f>
        <v>Scrap Grapple</v>
      </c>
      <c r="J459" s="6" t="s">
        <v>221</v>
      </c>
      <c r="K459" s="6">
        <v>1</v>
      </c>
      <c r="L459" s="6">
        <f t="shared" ref="L459:L522" si="18">FLOOR(((M459*100)/85)/10000, 1)*10000</f>
        <v>3170000</v>
      </c>
      <c r="M459" s="6">
        <v>2700000</v>
      </c>
      <c r="N459" s="6" t="s">
        <v>2003</v>
      </c>
      <c r="O459" s="6">
        <v>1</v>
      </c>
      <c r="P459" s="6">
        <v>2014</v>
      </c>
      <c r="Q459" s="6">
        <v>1</v>
      </c>
      <c r="R459" s="6" t="s">
        <v>45</v>
      </c>
      <c r="S459" s="32" t="s">
        <v>2116</v>
      </c>
      <c r="T459" s="6">
        <v>1</v>
      </c>
      <c r="U459" s="26">
        <v>2500000</v>
      </c>
      <c r="V459" s="26">
        <v>2500000</v>
      </c>
      <c r="W459" s="26">
        <v>2500000</v>
      </c>
      <c r="X459" s="6" t="s">
        <v>2003</v>
      </c>
      <c r="Y459" s="6" t="s">
        <v>1185</v>
      </c>
      <c r="Z459" s="6">
        <v>225060</v>
      </c>
    </row>
    <row r="460" spans="1:26" x14ac:dyDescent="0.3">
      <c r="A460" s="28" t="s">
        <v>42</v>
      </c>
      <c r="B460" s="6" t="s">
        <v>2309</v>
      </c>
      <c r="C460" s="6" t="s">
        <v>1984</v>
      </c>
      <c r="D460" s="6" t="s">
        <v>2292</v>
      </c>
      <c r="E460" s="6">
        <v>1</v>
      </c>
      <c r="F460" s="6" t="s">
        <v>2004</v>
      </c>
      <c r="G460" s="32" t="s">
        <v>2299</v>
      </c>
      <c r="H460" s="32" t="s">
        <v>2300</v>
      </c>
      <c r="I460" s="6" t="str">
        <f t="shared" si="17"/>
        <v>Scrap Grapple</v>
      </c>
      <c r="J460" s="6" t="s">
        <v>337</v>
      </c>
      <c r="K460" s="6">
        <v>1</v>
      </c>
      <c r="L460" s="6">
        <f t="shared" si="18"/>
        <v>2820000</v>
      </c>
      <c r="M460" s="6">
        <v>2400000</v>
      </c>
      <c r="N460" s="6" t="s">
        <v>2003</v>
      </c>
      <c r="O460" s="6">
        <v>1</v>
      </c>
      <c r="P460" s="6">
        <v>2014</v>
      </c>
      <c r="Q460" s="6">
        <v>1</v>
      </c>
      <c r="R460" s="6" t="s">
        <v>45</v>
      </c>
      <c r="S460" s="32" t="s">
        <v>2116</v>
      </c>
      <c r="T460" s="6">
        <v>1</v>
      </c>
      <c r="U460" s="26">
        <v>2200000</v>
      </c>
      <c r="V460" s="26">
        <v>2200000</v>
      </c>
      <c r="W460" s="26">
        <v>2200000</v>
      </c>
      <c r="X460" s="6" t="s">
        <v>2003</v>
      </c>
      <c r="Y460" s="6" t="s">
        <v>1185</v>
      </c>
      <c r="Z460" s="6">
        <v>225065</v>
      </c>
    </row>
    <row r="461" spans="1:26" x14ac:dyDescent="0.3">
      <c r="A461" s="28" t="s">
        <v>42</v>
      </c>
      <c r="B461" s="6" t="s">
        <v>2308</v>
      </c>
      <c r="C461" s="6" t="s">
        <v>1975</v>
      </c>
      <c r="D461" s="6" t="s">
        <v>2001</v>
      </c>
      <c r="E461" s="6">
        <v>1</v>
      </c>
      <c r="F461" s="6" t="s">
        <v>2004</v>
      </c>
      <c r="G461" s="32" t="s">
        <v>2299</v>
      </c>
      <c r="H461" s="32" t="s">
        <v>2300</v>
      </c>
      <c r="I461" s="6" t="str">
        <f t="shared" si="17"/>
        <v>Side Breaker</v>
      </c>
      <c r="J461" s="6" t="s">
        <v>150</v>
      </c>
      <c r="K461" s="6">
        <v>1</v>
      </c>
      <c r="L461" s="6">
        <f t="shared" si="18"/>
        <v>7050000</v>
      </c>
      <c r="M461" s="6">
        <v>6000000</v>
      </c>
      <c r="N461" s="6" t="s">
        <v>2003</v>
      </c>
      <c r="O461" s="6" t="s">
        <v>996</v>
      </c>
      <c r="P461" s="6">
        <v>2005</v>
      </c>
      <c r="Q461" s="6">
        <v>1</v>
      </c>
      <c r="R461" s="6" t="s">
        <v>45</v>
      </c>
      <c r="S461" s="32" t="s">
        <v>2114</v>
      </c>
      <c r="T461" s="6">
        <v>1</v>
      </c>
      <c r="U461" s="26">
        <v>5500000</v>
      </c>
      <c r="V461" s="26">
        <v>5500000</v>
      </c>
      <c r="W461" s="26">
        <v>5500000</v>
      </c>
      <c r="X461" s="6" t="s">
        <v>2003</v>
      </c>
      <c r="Y461" s="6" t="s">
        <v>830</v>
      </c>
      <c r="Z461" s="6">
        <v>225066</v>
      </c>
    </row>
    <row r="462" spans="1:26" x14ac:dyDescent="0.3">
      <c r="A462" s="28" t="s">
        <v>42</v>
      </c>
      <c r="B462" s="6" t="s">
        <v>2309</v>
      </c>
      <c r="C462" s="6" t="s">
        <v>1984</v>
      </c>
      <c r="D462" s="6" t="s">
        <v>2291</v>
      </c>
      <c r="E462" s="6">
        <v>1</v>
      </c>
      <c r="F462" s="6" t="s">
        <v>2004</v>
      </c>
      <c r="G462" s="32" t="s">
        <v>2299</v>
      </c>
      <c r="H462" s="32" t="s">
        <v>2300</v>
      </c>
      <c r="I462" s="6" t="str">
        <f t="shared" si="17"/>
        <v>Scrap Grapple</v>
      </c>
      <c r="J462" s="6" t="s">
        <v>607</v>
      </c>
      <c r="K462" s="6">
        <v>1</v>
      </c>
      <c r="L462" s="6">
        <f t="shared" si="18"/>
        <v>1520000</v>
      </c>
      <c r="M462" s="6">
        <v>1300000</v>
      </c>
      <c r="N462" s="6" t="s">
        <v>2003</v>
      </c>
      <c r="O462" s="6">
        <v>1</v>
      </c>
      <c r="P462" s="6">
        <v>2014</v>
      </c>
      <c r="Q462" s="6">
        <v>1</v>
      </c>
      <c r="R462" s="6" t="s">
        <v>45</v>
      </c>
      <c r="S462" s="32" t="s">
        <v>2116</v>
      </c>
      <c r="T462" s="6">
        <v>1</v>
      </c>
      <c r="U462" s="26">
        <v>1200000</v>
      </c>
      <c r="V462" s="26">
        <v>1200000</v>
      </c>
      <c r="W462" s="26">
        <v>1200000</v>
      </c>
      <c r="X462" s="6" t="s">
        <v>2003</v>
      </c>
      <c r="Y462" s="6" t="s">
        <v>1185</v>
      </c>
      <c r="Z462" s="6">
        <v>225073</v>
      </c>
    </row>
    <row r="463" spans="1:26" x14ac:dyDescent="0.3">
      <c r="A463" s="28" t="s">
        <v>42</v>
      </c>
      <c r="B463" s="6" t="s">
        <v>2309</v>
      </c>
      <c r="C463" s="6" t="s">
        <v>1972</v>
      </c>
      <c r="D463" s="6" t="s">
        <v>2290</v>
      </c>
      <c r="E463" s="6">
        <v>1</v>
      </c>
      <c r="F463" s="6" t="s">
        <v>2004</v>
      </c>
      <c r="G463" s="32" t="s">
        <v>2299</v>
      </c>
      <c r="H463" s="32" t="s">
        <v>2300</v>
      </c>
      <c r="I463" s="6" t="str">
        <f t="shared" si="17"/>
        <v>Stone Grapple</v>
      </c>
      <c r="J463" s="6" t="s">
        <v>608</v>
      </c>
      <c r="K463" s="6">
        <v>1</v>
      </c>
      <c r="L463" s="6">
        <f t="shared" si="18"/>
        <v>4000000</v>
      </c>
      <c r="M463" s="6">
        <v>3400000</v>
      </c>
      <c r="N463" s="6" t="s">
        <v>2003</v>
      </c>
      <c r="O463" s="6" t="s">
        <v>813</v>
      </c>
      <c r="P463" s="6">
        <v>2013</v>
      </c>
      <c r="Q463" s="6">
        <v>1</v>
      </c>
      <c r="R463" s="6" t="s">
        <v>45</v>
      </c>
      <c r="S463" s="32" t="s">
        <v>2113</v>
      </c>
      <c r="T463" s="6">
        <v>1</v>
      </c>
      <c r="U463" s="26">
        <v>3200000</v>
      </c>
      <c r="V463" s="26">
        <v>3200000</v>
      </c>
      <c r="W463" s="26">
        <v>3200000</v>
      </c>
      <c r="X463" s="6" t="s">
        <v>2003</v>
      </c>
      <c r="Y463" s="6" t="s">
        <v>80</v>
      </c>
      <c r="Z463" s="6">
        <v>225076</v>
      </c>
    </row>
    <row r="464" spans="1:26" x14ac:dyDescent="0.3">
      <c r="A464" s="28" t="s">
        <v>42</v>
      </c>
      <c r="B464" s="6" t="s">
        <v>2314</v>
      </c>
      <c r="C464" s="19" t="s">
        <v>2321</v>
      </c>
      <c r="D464" s="6" t="s">
        <v>2292</v>
      </c>
      <c r="E464" s="6">
        <v>1</v>
      </c>
      <c r="F464" s="6" t="s">
        <v>2004</v>
      </c>
      <c r="G464" s="32" t="s">
        <v>2299</v>
      </c>
      <c r="H464" s="32" t="s">
        <v>2300</v>
      </c>
      <c r="I464" s="6" t="str">
        <f t="shared" si="17"/>
        <v>Etc Crusher</v>
      </c>
      <c r="J464" s="6" t="s">
        <v>283</v>
      </c>
      <c r="K464" s="6">
        <v>1</v>
      </c>
      <c r="L464" s="6">
        <f t="shared" si="18"/>
        <v>13520000</v>
      </c>
      <c r="M464" s="6">
        <v>11500000</v>
      </c>
      <c r="N464" s="6" t="s">
        <v>2003</v>
      </c>
      <c r="O464" s="6" t="s">
        <v>2007</v>
      </c>
      <c r="P464" s="6">
        <v>2015</v>
      </c>
      <c r="Q464" s="6">
        <v>1</v>
      </c>
      <c r="R464" s="6" t="s">
        <v>45</v>
      </c>
      <c r="S464" s="32" t="s">
        <v>2113</v>
      </c>
      <c r="T464" s="6">
        <v>1</v>
      </c>
      <c r="U464" s="26">
        <v>11000000</v>
      </c>
      <c r="V464" s="26">
        <v>11000000</v>
      </c>
      <c r="W464" s="26">
        <v>11000000</v>
      </c>
      <c r="X464" s="6" t="s">
        <v>2003</v>
      </c>
      <c r="Y464" s="6" t="s">
        <v>49</v>
      </c>
      <c r="Z464" s="6">
        <v>225080</v>
      </c>
    </row>
    <row r="465" spans="1:26" x14ac:dyDescent="0.3">
      <c r="A465" s="28" t="s">
        <v>42</v>
      </c>
      <c r="B465" s="6" t="s">
        <v>2309</v>
      </c>
      <c r="C465" s="19" t="s">
        <v>1974</v>
      </c>
      <c r="D465" s="6" t="s">
        <v>2002</v>
      </c>
      <c r="E465" s="6">
        <v>1</v>
      </c>
      <c r="F465" s="6" t="s">
        <v>2004</v>
      </c>
      <c r="G465" s="32" t="s">
        <v>2299</v>
      </c>
      <c r="H465" s="32" t="s">
        <v>2300</v>
      </c>
      <c r="I465" s="6" t="str">
        <f t="shared" si="17"/>
        <v>Etc Grapple</v>
      </c>
      <c r="J465" s="6" t="s">
        <v>374</v>
      </c>
      <c r="K465" s="6">
        <v>1</v>
      </c>
      <c r="L465" s="6">
        <f t="shared" si="18"/>
        <v>2640000</v>
      </c>
      <c r="M465" s="6">
        <v>2250000</v>
      </c>
      <c r="N465" s="6" t="s">
        <v>2003</v>
      </c>
      <c r="O465" s="6" t="s">
        <v>2007</v>
      </c>
      <c r="P465" s="6">
        <v>2016</v>
      </c>
      <c r="Q465" s="6">
        <v>1</v>
      </c>
      <c r="R465" s="6" t="s">
        <v>45</v>
      </c>
      <c r="S465" s="32" t="s">
        <v>2113</v>
      </c>
      <c r="T465" s="6">
        <v>1</v>
      </c>
      <c r="U465" s="26">
        <v>2050000</v>
      </c>
      <c r="V465" s="26">
        <v>2050000</v>
      </c>
      <c r="W465" s="26">
        <v>2050000</v>
      </c>
      <c r="X465" s="6" t="s">
        <v>2003</v>
      </c>
      <c r="Y465" s="6" t="s">
        <v>49</v>
      </c>
      <c r="Z465" s="6">
        <v>225081</v>
      </c>
    </row>
    <row r="466" spans="1:26" x14ac:dyDescent="0.3">
      <c r="A466" s="28" t="s">
        <v>42</v>
      </c>
      <c r="B466" s="6" t="s">
        <v>2309</v>
      </c>
      <c r="C466" s="6" t="s">
        <v>1972</v>
      </c>
      <c r="D466" s="6" t="s">
        <v>2292</v>
      </c>
      <c r="E466" s="6">
        <v>1</v>
      </c>
      <c r="F466" s="6" t="s">
        <v>2004</v>
      </c>
      <c r="G466" s="32" t="s">
        <v>2299</v>
      </c>
      <c r="H466" s="32" t="s">
        <v>2300</v>
      </c>
      <c r="I466" s="6" t="str">
        <f t="shared" si="17"/>
        <v>Stone Grapple</v>
      </c>
      <c r="J466" s="6" t="s">
        <v>197</v>
      </c>
      <c r="K466" s="6">
        <v>1</v>
      </c>
      <c r="L466" s="6">
        <f t="shared" si="18"/>
        <v>2700000</v>
      </c>
      <c r="M466" s="6">
        <v>2300000</v>
      </c>
      <c r="N466" s="6" t="s">
        <v>2003</v>
      </c>
      <c r="O466" s="6" t="s">
        <v>2007</v>
      </c>
      <c r="P466" s="6">
        <v>2014</v>
      </c>
      <c r="Q466" s="6">
        <v>1</v>
      </c>
      <c r="R466" s="6" t="s">
        <v>45</v>
      </c>
      <c r="S466" s="32" t="s">
        <v>2113</v>
      </c>
      <c r="T466" s="6">
        <v>1</v>
      </c>
      <c r="U466" s="26">
        <v>2100000</v>
      </c>
      <c r="V466" s="26">
        <v>2100000</v>
      </c>
      <c r="W466" s="26">
        <v>2100000</v>
      </c>
      <c r="X466" s="6" t="s">
        <v>2003</v>
      </c>
      <c r="Y466" s="6" t="s">
        <v>49</v>
      </c>
      <c r="Z466" s="6">
        <v>225086</v>
      </c>
    </row>
    <row r="467" spans="1:26" x14ac:dyDescent="0.3">
      <c r="A467" s="28" t="s">
        <v>42</v>
      </c>
      <c r="B467" s="6" t="s">
        <v>2309</v>
      </c>
      <c r="C467" s="19" t="s">
        <v>1974</v>
      </c>
      <c r="D467" s="6" t="s">
        <v>2002</v>
      </c>
      <c r="E467" s="6">
        <v>1</v>
      </c>
      <c r="F467" s="6" t="s">
        <v>2004</v>
      </c>
      <c r="G467" s="32" t="s">
        <v>2299</v>
      </c>
      <c r="H467" s="32" t="s">
        <v>2300</v>
      </c>
      <c r="I467" s="6" t="str">
        <f t="shared" si="17"/>
        <v>Etc Grapple</v>
      </c>
      <c r="J467" s="6" t="s">
        <v>609</v>
      </c>
      <c r="K467" s="6">
        <v>1</v>
      </c>
      <c r="L467" s="6">
        <f t="shared" si="18"/>
        <v>2290000</v>
      </c>
      <c r="M467" s="6">
        <v>1950000</v>
      </c>
      <c r="N467" s="6" t="s">
        <v>2003</v>
      </c>
      <c r="O467" s="6" t="s">
        <v>2007</v>
      </c>
      <c r="P467" s="6">
        <v>2014</v>
      </c>
      <c r="Q467" s="6">
        <v>1</v>
      </c>
      <c r="R467" s="6" t="s">
        <v>45</v>
      </c>
      <c r="S467" s="32" t="s">
        <v>2113</v>
      </c>
      <c r="T467" s="6">
        <v>1</v>
      </c>
      <c r="U467" s="26">
        <v>1850000</v>
      </c>
      <c r="V467" s="26">
        <v>1850000</v>
      </c>
      <c r="W467" s="26">
        <v>1850000</v>
      </c>
      <c r="X467" s="6" t="s">
        <v>2003</v>
      </c>
      <c r="Y467" s="6" t="s">
        <v>49</v>
      </c>
      <c r="Z467" s="6">
        <v>225089</v>
      </c>
    </row>
    <row r="468" spans="1:26" x14ac:dyDescent="0.3">
      <c r="A468" s="28" t="s">
        <v>42</v>
      </c>
      <c r="B468" s="6" t="s">
        <v>2316</v>
      </c>
      <c r="C468" s="6"/>
      <c r="D468" s="6" t="s">
        <v>2001</v>
      </c>
      <c r="E468" s="6">
        <v>1</v>
      </c>
      <c r="F468" s="6" t="s">
        <v>2004</v>
      </c>
      <c r="G468" s="32" t="s">
        <v>2299</v>
      </c>
      <c r="H468" s="32" t="s">
        <v>2300</v>
      </c>
      <c r="I468" s="6" t="str">
        <f t="shared" si="17"/>
        <v>Ripper</v>
      </c>
      <c r="J468" s="6" t="s">
        <v>189</v>
      </c>
      <c r="K468" s="6">
        <v>1</v>
      </c>
      <c r="L468" s="6">
        <f t="shared" si="18"/>
        <v>32350000</v>
      </c>
      <c r="M468" s="6">
        <v>27500000</v>
      </c>
      <c r="N468" s="6" t="s">
        <v>2003</v>
      </c>
      <c r="O468" s="6" t="s">
        <v>997</v>
      </c>
      <c r="P468" s="6">
        <v>2015</v>
      </c>
      <c r="Q468" s="6">
        <v>7</v>
      </c>
      <c r="R468" s="6" t="s">
        <v>45</v>
      </c>
      <c r="S468" s="32" t="s">
        <v>2111</v>
      </c>
      <c r="T468" s="6">
        <v>1</v>
      </c>
      <c r="U468" s="26">
        <v>27000000</v>
      </c>
      <c r="V468" s="26">
        <v>27000000</v>
      </c>
      <c r="W468" s="26">
        <v>27000000</v>
      </c>
      <c r="X468" s="6" t="s">
        <v>2003</v>
      </c>
      <c r="Y468" s="6" t="s">
        <v>1177</v>
      </c>
      <c r="Z468" s="6">
        <v>225094</v>
      </c>
    </row>
    <row r="469" spans="1:26" x14ac:dyDescent="0.3">
      <c r="A469" s="28" t="s">
        <v>42</v>
      </c>
      <c r="B469" s="6" t="s">
        <v>2335</v>
      </c>
      <c r="C469" s="6" t="s">
        <v>1985</v>
      </c>
      <c r="D469" s="6" t="s">
        <v>2292</v>
      </c>
      <c r="E469" s="6">
        <v>1</v>
      </c>
      <c r="F469" s="6" t="s">
        <v>2004</v>
      </c>
      <c r="G469" s="32" t="s">
        <v>2299</v>
      </c>
      <c r="H469" s="32" t="s">
        <v>2300</v>
      </c>
      <c r="I469" s="6" t="str">
        <f t="shared" si="17"/>
        <v>Multi Grapple</v>
      </c>
      <c r="J469" s="6" t="s">
        <v>296</v>
      </c>
      <c r="K469" s="6">
        <v>1</v>
      </c>
      <c r="L469" s="6">
        <f t="shared" si="18"/>
        <v>3410000</v>
      </c>
      <c r="M469" s="6">
        <v>2900000</v>
      </c>
      <c r="N469" s="6" t="s">
        <v>2003</v>
      </c>
      <c r="O469" s="6" t="s">
        <v>813</v>
      </c>
      <c r="P469" s="6">
        <v>2014</v>
      </c>
      <c r="Q469" s="6">
        <v>1</v>
      </c>
      <c r="R469" s="6" t="s">
        <v>45</v>
      </c>
      <c r="S469" s="32" t="s">
        <v>2113</v>
      </c>
      <c r="T469" s="6">
        <v>1</v>
      </c>
      <c r="U469" s="26">
        <v>2700000</v>
      </c>
      <c r="V469" s="26">
        <v>2700000</v>
      </c>
      <c r="W469" s="26">
        <v>2700000</v>
      </c>
      <c r="X469" s="6" t="s">
        <v>2003</v>
      </c>
      <c r="Y469" s="6" t="s">
        <v>80</v>
      </c>
      <c r="Z469" s="6">
        <v>225098</v>
      </c>
    </row>
    <row r="470" spans="1:26" x14ac:dyDescent="0.3">
      <c r="A470" s="28" t="s">
        <v>42</v>
      </c>
      <c r="B470" s="6" t="s">
        <v>2335</v>
      </c>
      <c r="C470" s="6" t="s">
        <v>1972</v>
      </c>
      <c r="D470" s="6" t="s">
        <v>2292</v>
      </c>
      <c r="E470" s="6">
        <v>1</v>
      </c>
      <c r="F470" s="6" t="s">
        <v>2004</v>
      </c>
      <c r="G470" s="32" t="s">
        <v>2299</v>
      </c>
      <c r="H470" s="32" t="s">
        <v>2300</v>
      </c>
      <c r="I470" s="6" t="str">
        <f t="shared" si="17"/>
        <v>Stone Grapple</v>
      </c>
      <c r="J470" s="6" t="s">
        <v>232</v>
      </c>
      <c r="K470" s="6">
        <v>1</v>
      </c>
      <c r="L470" s="6">
        <f t="shared" si="18"/>
        <v>2230000</v>
      </c>
      <c r="M470" s="6">
        <v>1900000</v>
      </c>
      <c r="N470" s="6" t="s">
        <v>2003</v>
      </c>
      <c r="O470" s="6" t="s">
        <v>2007</v>
      </c>
      <c r="P470" s="6">
        <v>2010</v>
      </c>
      <c r="Q470" s="6">
        <v>1</v>
      </c>
      <c r="R470" s="6" t="s">
        <v>45</v>
      </c>
      <c r="S470" s="32" t="s">
        <v>2113</v>
      </c>
      <c r="T470" s="6">
        <v>1</v>
      </c>
      <c r="U470" s="26">
        <v>1800000</v>
      </c>
      <c r="V470" s="26">
        <v>1800000</v>
      </c>
      <c r="W470" s="26">
        <v>1800000</v>
      </c>
      <c r="X470" s="6" t="s">
        <v>2003</v>
      </c>
      <c r="Y470" s="6" t="s">
        <v>49</v>
      </c>
      <c r="Z470" s="6">
        <v>225112</v>
      </c>
    </row>
    <row r="471" spans="1:26" x14ac:dyDescent="0.3">
      <c r="A471" s="28" t="s">
        <v>42</v>
      </c>
      <c r="B471" s="6" t="s">
        <v>2335</v>
      </c>
      <c r="C471" s="6" t="s">
        <v>1972</v>
      </c>
      <c r="D471" s="6" t="s">
        <v>2001</v>
      </c>
      <c r="E471" s="6">
        <v>1</v>
      </c>
      <c r="F471" s="6" t="s">
        <v>2004</v>
      </c>
      <c r="G471" s="32" t="s">
        <v>2299</v>
      </c>
      <c r="H471" s="32" t="s">
        <v>2300</v>
      </c>
      <c r="I471" s="6" t="str">
        <f t="shared" si="17"/>
        <v>Stone Grapple</v>
      </c>
      <c r="J471" s="6" t="s">
        <v>611</v>
      </c>
      <c r="K471" s="6">
        <v>1</v>
      </c>
      <c r="L471" s="6">
        <f t="shared" si="18"/>
        <v>8000000</v>
      </c>
      <c r="M471" s="6">
        <v>6800000</v>
      </c>
      <c r="N471" s="6" t="s">
        <v>2003</v>
      </c>
      <c r="O471" s="6" t="s">
        <v>2058</v>
      </c>
      <c r="P471" s="6">
        <v>2017</v>
      </c>
      <c r="Q471" s="6">
        <v>1</v>
      </c>
      <c r="R471" s="6" t="s">
        <v>45</v>
      </c>
      <c r="S471" s="32" t="s">
        <v>2110</v>
      </c>
      <c r="T471" s="6">
        <v>1</v>
      </c>
      <c r="U471" s="26">
        <v>6300000</v>
      </c>
      <c r="V471" s="26">
        <v>6300000</v>
      </c>
      <c r="W471" s="26">
        <v>6300000</v>
      </c>
      <c r="X471" s="6" t="s">
        <v>2003</v>
      </c>
      <c r="Y471" s="6" t="s">
        <v>1155</v>
      </c>
      <c r="Z471" s="6">
        <v>225116</v>
      </c>
    </row>
    <row r="472" spans="1:26" x14ac:dyDescent="0.3">
      <c r="A472" s="28" t="s">
        <v>42</v>
      </c>
      <c r="B472" s="6" t="s">
        <v>2336</v>
      </c>
      <c r="C472" s="6" t="s">
        <v>1982</v>
      </c>
      <c r="D472" s="6" t="s">
        <v>2292</v>
      </c>
      <c r="E472" s="6">
        <v>1</v>
      </c>
      <c r="F472" s="6" t="s">
        <v>2004</v>
      </c>
      <c r="G472" s="32" t="s">
        <v>2299</v>
      </c>
      <c r="H472" s="32" t="s">
        <v>2300</v>
      </c>
      <c r="I472" s="6" t="str">
        <f t="shared" si="17"/>
        <v>Standard Bucket</v>
      </c>
      <c r="J472" s="6" t="s">
        <v>147</v>
      </c>
      <c r="K472" s="6">
        <v>1</v>
      </c>
      <c r="L472" s="6">
        <f t="shared" si="18"/>
        <v>940000</v>
      </c>
      <c r="M472" s="6">
        <v>800000</v>
      </c>
      <c r="N472" s="6" t="s">
        <v>2003</v>
      </c>
      <c r="O472" s="6" t="s">
        <v>813</v>
      </c>
      <c r="P472" s="6">
        <v>2013</v>
      </c>
      <c r="Q472" s="6">
        <v>1</v>
      </c>
      <c r="R472" s="6" t="s">
        <v>45</v>
      </c>
      <c r="S472" s="32" t="s">
        <v>2113</v>
      </c>
      <c r="T472" s="6">
        <v>1</v>
      </c>
      <c r="U472" s="26">
        <v>700000</v>
      </c>
      <c r="V472" s="26">
        <v>700000</v>
      </c>
      <c r="W472" s="26">
        <v>700000</v>
      </c>
      <c r="X472" s="6" t="s">
        <v>2003</v>
      </c>
      <c r="Y472" s="6" t="s">
        <v>80</v>
      </c>
      <c r="Z472" s="6">
        <v>225121</v>
      </c>
    </row>
    <row r="473" spans="1:26" x14ac:dyDescent="0.3">
      <c r="A473" s="28" t="s">
        <v>42</v>
      </c>
      <c r="B473" s="6" t="s">
        <v>2336</v>
      </c>
      <c r="C473" s="6"/>
      <c r="D473" s="6" t="s">
        <v>2001</v>
      </c>
      <c r="E473" s="6">
        <v>1</v>
      </c>
      <c r="F473" s="6" t="s">
        <v>2004</v>
      </c>
      <c r="G473" s="32" t="s">
        <v>2299</v>
      </c>
      <c r="H473" s="32" t="s">
        <v>2300</v>
      </c>
      <c r="I473" s="6" t="str">
        <f t="shared" si="17"/>
        <v>Quick Coupler</v>
      </c>
      <c r="J473" s="6" t="s">
        <v>95</v>
      </c>
      <c r="K473" s="6">
        <v>1</v>
      </c>
      <c r="L473" s="6">
        <f t="shared" si="18"/>
        <v>1640000</v>
      </c>
      <c r="M473" s="6">
        <v>1400000</v>
      </c>
      <c r="N473" s="6" t="s">
        <v>2003</v>
      </c>
      <c r="O473" s="6" t="s">
        <v>1867</v>
      </c>
      <c r="P473" s="6">
        <v>2014</v>
      </c>
      <c r="Q473" s="6">
        <v>1</v>
      </c>
      <c r="R473" s="6" t="s">
        <v>45</v>
      </c>
      <c r="S473" s="32" t="s">
        <v>2121</v>
      </c>
      <c r="T473" s="6">
        <v>1</v>
      </c>
      <c r="U473" s="26">
        <v>1300000</v>
      </c>
      <c r="V473" s="26">
        <v>1300000</v>
      </c>
      <c r="W473" s="26">
        <v>1300000</v>
      </c>
      <c r="X473" s="6" t="s">
        <v>2003</v>
      </c>
      <c r="Y473" s="6" t="s">
        <v>1265</v>
      </c>
      <c r="Z473" s="6">
        <v>225122</v>
      </c>
    </row>
    <row r="474" spans="1:26" x14ac:dyDescent="0.3">
      <c r="A474" s="28" t="s">
        <v>42</v>
      </c>
      <c r="B474" s="6" t="s">
        <v>2337</v>
      </c>
      <c r="C474" s="6"/>
      <c r="D474" s="6" t="s">
        <v>2001</v>
      </c>
      <c r="E474" s="6">
        <v>1</v>
      </c>
      <c r="F474" s="6" t="s">
        <v>2004</v>
      </c>
      <c r="G474" s="32" t="s">
        <v>2299</v>
      </c>
      <c r="H474" s="32" t="s">
        <v>2300</v>
      </c>
      <c r="I474" s="6" t="str">
        <f t="shared" si="17"/>
        <v>Ripper</v>
      </c>
      <c r="J474" s="6" t="s">
        <v>612</v>
      </c>
      <c r="K474" s="6">
        <v>1</v>
      </c>
      <c r="L474" s="6">
        <f t="shared" si="18"/>
        <v>2110000</v>
      </c>
      <c r="M474" s="6">
        <v>1800000</v>
      </c>
      <c r="N474" s="6" t="s">
        <v>2003</v>
      </c>
      <c r="O474" s="6" t="s">
        <v>2059</v>
      </c>
      <c r="P474" s="6">
        <v>2017</v>
      </c>
      <c r="Q474" s="6">
        <v>1</v>
      </c>
      <c r="R474" s="6" t="s">
        <v>45</v>
      </c>
      <c r="S474" s="32" t="s">
        <v>2110</v>
      </c>
      <c r="T474" s="6">
        <v>1</v>
      </c>
      <c r="U474" s="26">
        <v>1700000</v>
      </c>
      <c r="V474" s="26">
        <v>1700000</v>
      </c>
      <c r="W474" s="26">
        <v>1700000</v>
      </c>
      <c r="X474" s="6" t="s">
        <v>2003</v>
      </c>
      <c r="Y474" s="6" t="s">
        <v>1155</v>
      </c>
      <c r="Z474" s="6">
        <v>225123</v>
      </c>
    </row>
    <row r="475" spans="1:26" x14ac:dyDescent="0.3">
      <c r="A475" s="28" t="s">
        <v>42</v>
      </c>
      <c r="B475" s="6" t="s">
        <v>2338</v>
      </c>
      <c r="C475" s="6" t="s">
        <v>1975</v>
      </c>
      <c r="D475" s="6" t="s">
        <v>2002</v>
      </c>
      <c r="E475" s="6">
        <v>1</v>
      </c>
      <c r="F475" s="6" t="s">
        <v>2004</v>
      </c>
      <c r="G475" s="32" t="s">
        <v>2299</v>
      </c>
      <c r="H475" s="32" t="s">
        <v>2300</v>
      </c>
      <c r="I475" s="6" t="str">
        <f t="shared" si="17"/>
        <v>Side Breaker</v>
      </c>
      <c r="J475" s="6" t="s">
        <v>364</v>
      </c>
      <c r="K475" s="6">
        <v>1</v>
      </c>
      <c r="L475" s="6">
        <f t="shared" si="18"/>
        <v>1520000</v>
      </c>
      <c r="M475" s="6">
        <v>1300000</v>
      </c>
      <c r="N475" s="6" t="s">
        <v>2003</v>
      </c>
      <c r="O475" s="6" t="s">
        <v>2007</v>
      </c>
      <c r="P475" s="6">
        <v>2013</v>
      </c>
      <c r="Q475" s="6">
        <v>1</v>
      </c>
      <c r="R475" s="6" t="s">
        <v>45</v>
      </c>
      <c r="S475" s="32" t="s">
        <v>2113</v>
      </c>
      <c r="T475" s="6">
        <v>1</v>
      </c>
      <c r="U475" s="26">
        <v>1200000</v>
      </c>
      <c r="V475" s="26">
        <v>1200000</v>
      </c>
      <c r="W475" s="26">
        <v>1200000</v>
      </c>
      <c r="X475" s="6" t="s">
        <v>2003</v>
      </c>
      <c r="Y475" s="6" t="s">
        <v>49</v>
      </c>
      <c r="Z475" s="6">
        <v>225126</v>
      </c>
    </row>
    <row r="476" spans="1:26" x14ac:dyDescent="0.3">
      <c r="A476" s="28" t="s">
        <v>42</v>
      </c>
      <c r="B476" s="6" t="s">
        <v>2339</v>
      </c>
      <c r="C476" s="6" t="s">
        <v>1972</v>
      </c>
      <c r="D476" s="6" t="s">
        <v>2291</v>
      </c>
      <c r="E476" s="6">
        <v>1</v>
      </c>
      <c r="F476" s="6" t="s">
        <v>2004</v>
      </c>
      <c r="G476" s="32" t="s">
        <v>2299</v>
      </c>
      <c r="H476" s="32" t="s">
        <v>2300</v>
      </c>
      <c r="I476" s="6" t="str">
        <f t="shared" si="17"/>
        <v>Stone Grapple</v>
      </c>
      <c r="J476" s="6" t="s">
        <v>149</v>
      </c>
      <c r="K476" s="6">
        <v>1</v>
      </c>
      <c r="L476" s="6">
        <f t="shared" si="18"/>
        <v>1820000</v>
      </c>
      <c r="M476" s="6">
        <v>1550000</v>
      </c>
      <c r="N476" s="6" t="s">
        <v>2003</v>
      </c>
      <c r="O476" s="6" t="s">
        <v>825</v>
      </c>
      <c r="P476" s="6">
        <v>2015</v>
      </c>
      <c r="Q476" s="6">
        <v>6</v>
      </c>
      <c r="R476" s="6" t="s">
        <v>45</v>
      </c>
      <c r="S476" s="32" t="s">
        <v>2112</v>
      </c>
      <c r="T476" s="6">
        <v>1</v>
      </c>
      <c r="U476" s="26">
        <v>1450000</v>
      </c>
      <c r="V476" s="26">
        <v>1450000</v>
      </c>
      <c r="W476" s="26">
        <v>1450000</v>
      </c>
      <c r="X476" s="6" t="s">
        <v>2003</v>
      </c>
      <c r="Y476" s="6" t="s">
        <v>1286</v>
      </c>
      <c r="Z476" s="6">
        <v>225132</v>
      </c>
    </row>
    <row r="477" spans="1:26" x14ac:dyDescent="0.3">
      <c r="A477" s="28" t="s">
        <v>42</v>
      </c>
      <c r="B477" s="6" t="s">
        <v>2340</v>
      </c>
      <c r="C477" s="6" t="s">
        <v>1976</v>
      </c>
      <c r="D477" s="6" t="s">
        <v>2292</v>
      </c>
      <c r="E477" s="6">
        <v>1</v>
      </c>
      <c r="F477" s="6" t="s">
        <v>2004</v>
      </c>
      <c r="G477" s="32" t="s">
        <v>2299</v>
      </c>
      <c r="H477" s="32" t="s">
        <v>2300</v>
      </c>
      <c r="I477" s="6" t="str">
        <f t="shared" si="17"/>
        <v>Skeleton Bucket</v>
      </c>
      <c r="J477" s="6" t="s">
        <v>278</v>
      </c>
      <c r="K477" s="6">
        <v>1</v>
      </c>
      <c r="L477" s="6">
        <f t="shared" si="18"/>
        <v>1700000</v>
      </c>
      <c r="M477" s="6">
        <v>1450000</v>
      </c>
      <c r="N477" s="6" t="s">
        <v>2003</v>
      </c>
      <c r="O477" s="6" t="s">
        <v>2060</v>
      </c>
      <c r="P477" s="6">
        <v>2017</v>
      </c>
      <c r="Q477" s="6">
        <v>2</v>
      </c>
      <c r="R477" s="6" t="s">
        <v>45</v>
      </c>
      <c r="S477" s="32" t="s">
        <v>2124</v>
      </c>
      <c r="T477" s="6">
        <v>1</v>
      </c>
      <c r="U477" s="26">
        <v>1350000</v>
      </c>
      <c r="V477" s="26">
        <v>1350000</v>
      </c>
      <c r="W477" s="26">
        <v>1350000</v>
      </c>
      <c r="X477" s="6" t="s">
        <v>2003</v>
      </c>
      <c r="Y477" s="6" t="s">
        <v>1144</v>
      </c>
      <c r="Z477" s="6">
        <v>225135</v>
      </c>
    </row>
    <row r="478" spans="1:26" x14ac:dyDescent="0.3">
      <c r="A478" s="28" t="s">
        <v>42</v>
      </c>
      <c r="B478" s="6" t="s">
        <v>2341</v>
      </c>
      <c r="C478" s="19" t="s">
        <v>2321</v>
      </c>
      <c r="D478" s="6" t="s">
        <v>2001</v>
      </c>
      <c r="E478" s="6">
        <v>1</v>
      </c>
      <c r="F478" s="6" t="s">
        <v>2004</v>
      </c>
      <c r="G478" s="32" t="s">
        <v>2299</v>
      </c>
      <c r="H478" s="32" t="s">
        <v>2300</v>
      </c>
      <c r="I478" s="6" t="str">
        <f t="shared" si="17"/>
        <v>Etc Crusher</v>
      </c>
      <c r="J478" s="6" t="s">
        <v>181</v>
      </c>
      <c r="K478" s="6">
        <v>1</v>
      </c>
      <c r="L478" s="6">
        <f t="shared" si="18"/>
        <v>13520000</v>
      </c>
      <c r="M478" s="6">
        <v>11500000</v>
      </c>
      <c r="N478" s="6" t="s">
        <v>2003</v>
      </c>
      <c r="O478" s="6" t="s">
        <v>813</v>
      </c>
      <c r="P478" s="6">
        <v>2014</v>
      </c>
      <c r="Q478" s="6">
        <v>1</v>
      </c>
      <c r="R478" s="6" t="s">
        <v>45</v>
      </c>
      <c r="S478" s="32" t="s">
        <v>2113</v>
      </c>
      <c r="T478" s="6">
        <v>1</v>
      </c>
      <c r="U478" s="26">
        <v>11000000</v>
      </c>
      <c r="V478" s="26">
        <v>11000000</v>
      </c>
      <c r="W478" s="26">
        <v>11000000</v>
      </c>
      <c r="X478" s="6" t="s">
        <v>2003</v>
      </c>
      <c r="Y478" s="6" t="s">
        <v>80</v>
      </c>
      <c r="Z478" s="6">
        <v>225139</v>
      </c>
    </row>
    <row r="479" spans="1:26" x14ac:dyDescent="0.3">
      <c r="A479" s="28" t="s">
        <v>42</v>
      </c>
      <c r="B479" s="6" t="s">
        <v>2342</v>
      </c>
      <c r="C479" s="6" t="s">
        <v>1982</v>
      </c>
      <c r="D479" s="6" t="s">
        <v>2292</v>
      </c>
      <c r="E479" s="6">
        <v>1</v>
      </c>
      <c r="F479" s="6" t="s">
        <v>2004</v>
      </c>
      <c r="G479" s="32" t="s">
        <v>2299</v>
      </c>
      <c r="H479" s="32" t="s">
        <v>2300</v>
      </c>
      <c r="I479" s="6" t="str">
        <f t="shared" si="17"/>
        <v>Standard Bucket</v>
      </c>
      <c r="J479" s="6" t="s">
        <v>614</v>
      </c>
      <c r="K479" s="6">
        <v>1</v>
      </c>
      <c r="L479" s="6">
        <f t="shared" si="18"/>
        <v>940000</v>
      </c>
      <c r="M479" s="6">
        <v>800000</v>
      </c>
      <c r="N479" s="6" t="s">
        <v>2003</v>
      </c>
      <c r="O479" s="6" t="s">
        <v>823</v>
      </c>
      <c r="P479" s="6">
        <v>2014</v>
      </c>
      <c r="Q479" s="6">
        <v>1</v>
      </c>
      <c r="R479" s="6" t="s">
        <v>45</v>
      </c>
      <c r="S479" s="32" t="s">
        <v>2113</v>
      </c>
      <c r="T479" s="6">
        <v>1</v>
      </c>
      <c r="U479" s="26">
        <v>700000</v>
      </c>
      <c r="V479" s="26">
        <v>700000</v>
      </c>
      <c r="W479" s="26">
        <v>700000</v>
      </c>
      <c r="X479" s="6" t="s">
        <v>2003</v>
      </c>
      <c r="Y479" s="6" t="s">
        <v>49</v>
      </c>
      <c r="Z479" s="6">
        <v>225147</v>
      </c>
    </row>
    <row r="480" spans="1:26" x14ac:dyDescent="0.3">
      <c r="A480" s="28" t="s">
        <v>42</v>
      </c>
      <c r="B480" s="6" t="s">
        <v>2342</v>
      </c>
      <c r="C480" s="6" t="s">
        <v>1982</v>
      </c>
      <c r="D480" s="6" t="s">
        <v>2292</v>
      </c>
      <c r="E480" s="6">
        <v>1</v>
      </c>
      <c r="F480" s="6" t="s">
        <v>2004</v>
      </c>
      <c r="G480" s="32" t="s">
        <v>2299</v>
      </c>
      <c r="H480" s="32" t="s">
        <v>2300</v>
      </c>
      <c r="I480" s="6" t="str">
        <f t="shared" si="17"/>
        <v>Standard Bucket</v>
      </c>
      <c r="J480" s="6" t="s">
        <v>615</v>
      </c>
      <c r="K480" s="6">
        <v>1</v>
      </c>
      <c r="L480" s="6">
        <f t="shared" si="18"/>
        <v>1000000</v>
      </c>
      <c r="M480" s="6">
        <v>850000</v>
      </c>
      <c r="N480" s="6" t="s">
        <v>2003</v>
      </c>
      <c r="O480" s="6" t="s">
        <v>2012</v>
      </c>
      <c r="P480" s="6">
        <v>2014</v>
      </c>
      <c r="Q480" s="6">
        <v>1</v>
      </c>
      <c r="R480" s="6" t="s">
        <v>45</v>
      </c>
      <c r="S480" s="32" t="s">
        <v>2113</v>
      </c>
      <c r="T480" s="6">
        <v>1</v>
      </c>
      <c r="U480" s="26">
        <v>750000</v>
      </c>
      <c r="V480" s="26">
        <v>750000</v>
      </c>
      <c r="W480" s="26">
        <v>750000</v>
      </c>
      <c r="X480" s="6" t="s">
        <v>2003</v>
      </c>
      <c r="Y480" s="6" t="s">
        <v>49</v>
      </c>
      <c r="Z480" s="6">
        <v>225148</v>
      </c>
    </row>
    <row r="481" spans="1:26" x14ac:dyDescent="0.3">
      <c r="A481" s="28" t="s">
        <v>42</v>
      </c>
      <c r="B481" s="6" t="s">
        <v>2338</v>
      </c>
      <c r="C481" s="6" t="s">
        <v>1975</v>
      </c>
      <c r="D481" s="6" t="s">
        <v>2292</v>
      </c>
      <c r="E481" s="6">
        <v>1</v>
      </c>
      <c r="F481" s="6" t="s">
        <v>2004</v>
      </c>
      <c r="G481" s="32" t="s">
        <v>2299</v>
      </c>
      <c r="H481" s="32" t="s">
        <v>2300</v>
      </c>
      <c r="I481" s="6" t="str">
        <f t="shared" si="17"/>
        <v>Side Breaker</v>
      </c>
      <c r="J481" s="6" t="s">
        <v>218</v>
      </c>
      <c r="K481" s="6">
        <v>1</v>
      </c>
      <c r="L481" s="6">
        <f t="shared" si="18"/>
        <v>3760000</v>
      </c>
      <c r="M481" s="6">
        <v>3200000</v>
      </c>
      <c r="N481" s="6" t="s">
        <v>2003</v>
      </c>
      <c r="O481" s="6" t="s">
        <v>1001</v>
      </c>
      <c r="P481" s="6">
        <v>2010</v>
      </c>
      <c r="Q481" s="6">
        <v>1</v>
      </c>
      <c r="R481" s="6" t="s">
        <v>45</v>
      </c>
      <c r="S481" s="32" t="s">
        <v>2111</v>
      </c>
      <c r="T481" s="6">
        <v>1</v>
      </c>
      <c r="U481" s="26">
        <v>3000000</v>
      </c>
      <c r="V481" s="26">
        <v>3000000</v>
      </c>
      <c r="W481" s="26">
        <v>3000000</v>
      </c>
      <c r="X481" s="6" t="s">
        <v>2003</v>
      </c>
      <c r="Y481" s="6" t="s">
        <v>1287</v>
      </c>
      <c r="Z481" s="6">
        <v>225151</v>
      </c>
    </row>
    <row r="482" spans="1:26" x14ac:dyDescent="0.3">
      <c r="A482" s="28" t="s">
        <v>42</v>
      </c>
      <c r="B482" s="6" t="s">
        <v>2341</v>
      </c>
      <c r="C482" s="6" t="s">
        <v>2321</v>
      </c>
      <c r="D482" s="6" t="s">
        <v>2001</v>
      </c>
      <c r="E482" s="6">
        <v>1</v>
      </c>
      <c r="F482" s="6" t="s">
        <v>2004</v>
      </c>
      <c r="G482" s="32" t="s">
        <v>2299</v>
      </c>
      <c r="H482" s="32" t="s">
        <v>2300</v>
      </c>
      <c r="I482" s="6" t="str">
        <f t="shared" si="17"/>
        <v>Etc Crusher</v>
      </c>
      <c r="J482" s="6" t="s">
        <v>616</v>
      </c>
      <c r="K482" s="6">
        <v>1</v>
      </c>
      <c r="L482" s="6">
        <f t="shared" si="18"/>
        <v>14700000</v>
      </c>
      <c r="M482" s="6">
        <v>12500000</v>
      </c>
      <c r="N482" s="6" t="s">
        <v>2003</v>
      </c>
      <c r="O482" s="6" t="s">
        <v>1002</v>
      </c>
      <c r="P482" s="6">
        <v>2014</v>
      </c>
      <c r="Q482" s="6">
        <v>1</v>
      </c>
      <c r="R482" s="6" t="s">
        <v>45</v>
      </c>
      <c r="S482" s="32" t="s">
        <v>2121</v>
      </c>
      <c r="T482" s="6">
        <v>1</v>
      </c>
      <c r="U482" s="26">
        <v>12000000</v>
      </c>
      <c r="V482" s="26">
        <v>12000000</v>
      </c>
      <c r="W482" s="26">
        <v>12000000</v>
      </c>
      <c r="X482" s="6" t="s">
        <v>2003</v>
      </c>
      <c r="Y482" s="6" t="s">
        <v>1265</v>
      </c>
      <c r="Z482" s="6">
        <v>225152</v>
      </c>
    </row>
    <row r="483" spans="1:26" x14ac:dyDescent="0.3">
      <c r="A483" s="28" t="s">
        <v>42</v>
      </c>
      <c r="B483" s="6" t="s">
        <v>2343</v>
      </c>
      <c r="C483" s="6"/>
      <c r="D483" s="6" t="s">
        <v>2292</v>
      </c>
      <c r="E483" s="6">
        <v>1</v>
      </c>
      <c r="F483" s="6" t="s">
        <v>2004</v>
      </c>
      <c r="G483" s="32" t="s">
        <v>2299</v>
      </c>
      <c r="H483" s="32" t="s">
        <v>2300</v>
      </c>
      <c r="I483" s="6" t="str">
        <f t="shared" si="17"/>
        <v>Lift Fork</v>
      </c>
      <c r="J483" s="6" t="s">
        <v>618</v>
      </c>
      <c r="K483" s="6">
        <v>1</v>
      </c>
      <c r="L483" s="6">
        <f t="shared" si="18"/>
        <v>880000</v>
      </c>
      <c r="M483" s="6">
        <v>750000</v>
      </c>
      <c r="N483" s="6" t="s">
        <v>2003</v>
      </c>
      <c r="O483" s="6" t="s">
        <v>2012</v>
      </c>
      <c r="P483" s="6">
        <v>2013</v>
      </c>
      <c r="Q483" s="6">
        <v>1</v>
      </c>
      <c r="R483" s="6" t="s">
        <v>45</v>
      </c>
      <c r="S483" s="32" t="s">
        <v>2113</v>
      </c>
      <c r="T483" s="6">
        <v>1</v>
      </c>
      <c r="U483" s="26">
        <v>650000</v>
      </c>
      <c r="V483" s="26">
        <v>650000</v>
      </c>
      <c r="W483" s="26">
        <v>650000</v>
      </c>
      <c r="X483" s="6" t="s">
        <v>2003</v>
      </c>
      <c r="Y483" s="6" t="s">
        <v>49</v>
      </c>
      <c r="Z483" s="6">
        <v>225161</v>
      </c>
    </row>
    <row r="484" spans="1:26" x14ac:dyDescent="0.3">
      <c r="A484" s="28" t="s">
        <v>42</v>
      </c>
      <c r="B484" s="6" t="s">
        <v>2338</v>
      </c>
      <c r="C484" s="6" t="s">
        <v>1975</v>
      </c>
      <c r="D484" s="6" t="s">
        <v>2292</v>
      </c>
      <c r="E484" s="6">
        <v>1</v>
      </c>
      <c r="F484" s="6" t="s">
        <v>2004</v>
      </c>
      <c r="G484" s="32" t="s">
        <v>2299</v>
      </c>
      <c r="H484" s="32" t="s">
        <v>2300</v>
      </c>
      <c r="I484" s="6" t="str">
        <f t="shared" si="17"/>
        <v>Side Breaker</v>
      </c>
      <c r="J484" s="6" t="s">
        <v>619</v>
      </c>
      <c r="K484" s="6">
        <v>1</v>
      </c>
      <c r="L484" s="6">
        <f t="shared" si="18"/>
        <v>1880000</v>
      </c>
      <c r="M484" s="6">
        <v>1600000</v>
      </c>
      <c r="N484" s="6" t="s">
        <v>2003</v>
      </c>
      <c r="O484" s="6" t="s">
        <v>1003</v>
      </c>
      <c r="P484" s="6">
        <v>2011</v>
      </c>
      <c r="Q484" s="6">
        <v>1</v>
      </c>
      <c r="R484" s="6" t="s">
        <v>45</v>
      </c>
      <c r="S484" s="32" t="s">
        <v>2116</v>
      </c>
      <c r="T484" s="6">
        <v>1</v>
      </c>
      <c r="U484" s="26">
        <v>1500000</v>
      </c>
      <c r="V484" s="26">
        <v>1500000</v>
      </c>
      <c r="W484" s="26">
        <v>1500000</v>
      </c>
      <c r="X484" s="6" t="s">
        <v>2003</v>
      </c>
      <c r="Y484" s="6" t="s">
        <v>1288</v>
      </c>
      <c r="Z484" s="6">
        <v>225163</v>
      </c>
    </row>
    <row r="485" spans="1:26" x14ac:dyDescent="0.3">
      <c r="A485" s="28" t="s">
        <v>42</v>
      </c>
      <c r="B485" s="6" t="s">
        <v>2338</v>
      </c>
      <c r="C485" s="6" t="s">
        <v>1975</v>
      </c>
      <c r="D485" s="6" t="s">
        <v>2290</v>
      </c>
      <c r="E485" s="6">
        <v>1</v>
      </c>
      <c r="F485" s="6" t="s">
        <v>2004</v>
      </c>
      <c r="G485" s="32" t="s">
        <v>2299</v>
      </c>
      <c r="H485" s="32" t="s">
        <v>2300</v>
      </c>
      <c r="I485" s="6" t="str">
        <f t="shared" si="17"/>
        <v>Side Breaker</v>
      </c>
      <c r="J485" s="6" t="s">
        <v>155</v>
      </c>
      <c r="K485" s="6">
        <v>1</v>
      </c>
      <c r="L485" s="6">
        <f t="shared" si="18"/>
        <v>5520000</v>
      </c>
      <c r="M485" s="6">
        <v>4700000</v>
      </c>
      <c r="N485" s="6" t="s">
        <v>2003</v>
      </c>
      <c r="O485" s="6" t="s">
        <v>2014</v>
      </c>
      <c r="P485" s="6">
        <v>2010</v>
      </c>
      <c r="Q485" s="6">
        <v>7</v>
      </c>
      <c r="R485" s="6" t="s">
        <v>45</v>
      </c>
      <c r="S485" s="32" t="s">
        <v>2123</v>
      </c>
      <c r="T485" s="6">
        <v>1</v>
      </c>
      <c r="U485" s="26">
        <v>4500000</v>
      </c>
      <c r="V485" s="26">
        <v>4500000</v>
      </c>
      <c r="W485" s="26">
        <v>4500000</v>
      </c>
      <c r="X485" s="6" t="s">
        <v>2003</v>
      </c>
      <c r="Y485" s="6" t="s">
        <v>1166</v>
      </c>
      <c r="Z485" s="6">
        <v>225166</v>
      </c>
    </row>
    <row r="486" spans="1:26" x14ac:dyDescent="0.3">
      <c r="A486" s="28" t="s">
        <v>42</v>
      </c>
      <c r="B486" s="6" t="s">
        <v>2342</v>
      </c>
      <c r="C486" s="6"/>
      <c r="D486" s="6" t="s">
        <v>2001</v>
      </c>
      <c r="E486" s="6">
        <v>1</v>
      </c>
      <c r="F486" s="6" t="s">
        <v>2004</v>
      </c>
      <c r="G486" s="32" t="s">
        <v>2299</v>
      </c>
      <c r="H486" s="32" t="s">
        <v>2300</v>
      </c>
      <c r="I486" s="6" t="str">
        <f t="shared" si="17"/>
        <v>Quick Coupler</v>
      </c>
      <c r="J486" s="6" t="s">
        <v>620</v>
      </c>
      <c r="K486" s="6">
        <v>1</v>
      </c>
      <c r="L486" s="6">
        <f t="shared" si="18"/>
        <v>1290000</v>
      </c>
      <c r="M486" s="6">
        <v>1100000</v>
      </c>
      <c r="N486" s="6" t="s">
        <v>2003</v>
      </c>
      <c r="O486" s="6" t="s">
        <v>861</v>
      </c>
      <c r="P486" s="6">
        <v>2011</v>
      </c>
      <c r="Q486" s="6">
        <v>1</v>
      </c>
      <c r="R486" s="6" t="s">
        <v>45</v>
      </c>
      <c r="S486" s="32" t="s">
        <v>2113</v>
      </c>
      <c r="T486" s="6">
        <v>1</v>
      </c>
      <c r="U486" s="26">
        <v>1000000</v>
      </c>
      <c r="V486" s="26">
        <v>1000000</v>
      </c>
      <c r="W486" s="26">
        <v>1000000</v>
      </c>
      <c r="X486" s="6" t="s">
        <v>2003</v>
      </c>
      <c r="Y486" s="6" t="s">
        <v>49</v>
      </c>
      <c r="Z486" s="6">
        <v>225180</v>
      </c>
    </row>
    <row r="487" spans="1:26" x14ac:dyDescent="0.3">
      <c r="A487" s="28" t="s">
        <v>42</v>
      </c>
      <c r="B487" s="6" t="s">
        <v>2338</v>
      </c>
      <c r="C487" s="6" t="s">
        <v>1975</v>
      </c>
      <c r="D487" s="6" t="s">
        <v>2293</v>
      </c>
      <c r="E487" s="6">
        <v>1</v>
      </c>
      <c r="F487" s="6" t="s">
        <v>2004</v>
      </c>
      <c r="G487" s="32" t="s">
        <v>2299</v>
      </c>
      <c r="H487" s="32" t="s">
        <v>2300</v>
      </c>
      <c r="I487" s="6" t="str">
        <f t="shared" si="17"/>
        <v>Side Breaker</v>
      </c>
      <c r="J487" s="6" t="s">
        <v>295</v>
      </c>
      <c r="K487" s="6">
        <v>1</v>
      </c>
      <c r="L487" s="6">
        <f t="shared" si="18"/>
        <v>1700000</v>
      </c>
      <c r="M487" s="6">
        <v>1450000</v>
      </c>
      <c r="N487" s="6" t="s">
        <v>2003</v>
      </c>
      <c r="O487" s="6" t="s">
        <v>2007</v>
      </c>
      <c r="P487" s="6">
        <v>2014</v>
      </c>
      <c r="Q487" s="6">
        <v>1</v>
      </c>
      <c r="R487" s="6" t="s">
        <v>45</v>
      </c>
      <c r="S487" s="32" t="s">
        <v>2113</v>
      </c>
      <c r="T487" s="6">
        <v>1</v>
      </c>
      <c r="U487" s="26">
        <v>1350000</v>
      </c>
      <c r="V487" s="26">
        <v>1350000</v>
      </c>
      <c r="W487" s="26">
        <v>1350000</v>
      </c>
      <c r="X487" s="6" t="s">
        <v>2003</v>
      </c>
      <c r="Y487" s="6" t="s">
        <v>49</v>
      </c>
      <c r="Z487" s="6">
        <v>225182</v>
      </c>
    </row>
    <row r="488" spans="1:26" x14ac:dyDescent="0.3">
      <c r="A488" s="28" t="s">
        <v>42</v>
      </c>
      <c r="B488" s="6" t="s">
        <v>2341</v>
      </c>
      <c r="C488" s="19" t="s">
        <v>2321</v>
      </c>
      <c r="D488" s="6" t="s">
        <v>2292</v>
      </c>
      <c r="E488" s="6">
        <v>1</v>
      </c>
      <c r="F488" s="6" t="s">
        <v>2004</v>
      </c>
      <c r="G488" s="32" t="s">
        <v>2299</v>
      </c>
      <c r="H488" s="32" t="s">
        <v>2300</v>
      </c>
      <c r="I488" s="6" t="str">
        <f t="shared" si="17"/>
        <v>Etc Crusher</v>
      </c>
      <c r="J488" s="6" t="s">
        <v>621</v>
      </c>
      <c r="K488" s="6">
        <v>1</v>
      </c>
      <c r="L488" s="6">
        <f t="shared" si="18"/>
        <v>13520000</v>
      </c>
      <c r="M488" s="6">
        <v>11500000</v>
      </c>
      <c r="N488" s="6" t="s">
        <v>2003</v>
      </c>
      <c r="O488" s="6" t="s">
        <v>823</v>
      </c>
      <c r="P488" s="6">
        <v>2014</v>
      </c>
      <c r="Q488" s="6">
        <v>1</v>
      </c>
      <c r="R488" s="6" t="s">
        <v>45</v>
      </c>
      <c r="S488" s="32" t="s">
        <v>2113</v>
      </c>
      <c r="T488" s="6">
        <v>1</v>
      </c>
      <c r="U488" s="26">
        <v>11000000</v>
      </c>
      <c r="V488" s="26">
        <v>11000000</v>
      </c>
      <c r="W488" s="26">
        <v>11000000</v>
      </c>
      <c r="X488" s="6" t="s">
        <v>2003</v>
      </c>
      <c r="Y488" s="6" t="s">
        <v>49</v>
      </c>
      <c r="Z488" s="6">
        <v>225183</v>
      </c>
    </row>
    <row r="489" spans="1:26" x14ac:dyDescent="0.3">
      <c r="A489" s="28" t="s">
        <v>42</v>
      </c>
      <c r="B489" s="6" t="s">
        <v>2338</v>
      </c>
      <c r="C489" s="6" t="s">
        <v>1975</v>
      </c>
      <c r="D489" s="6" t="s">
        <v>2291</v>
      </c>
      <c r="E489" s="6">
        <v>1</v>
      </c>
      <c r="F489" s="6" t="s">
        <v>2004</v>
      </c>
      <c r="G489" s="32" t="s">
        <v>2299</v>
      </c>
      <c r="H489" s="32" t="s">
        <v>2300</v>
      </c>
      <c r="I489" s="6" t="str">
        <f t="shared" si="17"/>
        <v>Side Breaker</v>
      </c>
      <c r="J489" s="6" t="s">
        <v>183</v>
      </c>
      <c r="K489" s="6">
        <v>1</v>
      </c>
      <c r="L489" s="6">
        <f t="shared" si="18"/>
        <v>2350000</v>
      </c>
      <c r="M489" s="6">
        <v>2000000</v>
      </c>
      <c r="N489" s="6" t="s">
        <v>2003</v>
      </c>
      <c r="O489" s="6" t="s">
        <v>1004</v>
      </c>
      <c r="P489" s="6">
        <v>2017</v>
      </c>
      <c r="Q489" s="6">
        <v>1</v>
      </c>
      <c r="R489" s="6" t="s">
        <v>45</v>
      </c>
      <c r="S489" s="32" t="s">
        <v>2113</v>
      </c>
      <c r="T489" s="6">
        <v>1</v>
      </c>
      <c r="U489" s="26">
        <v>1900000</v>
      </c>
      <c r="V489" s="26">
        <v>1900000</v>
      </c>
      <c r="W489" s="26">
        <v>1900000</v>
      </c>
      <c r="X489" s="6" t="s">
        <v>2003</v>
      </c>
      <c r="Y489" s="6" t="s">
        <v>49</v>
      </c>
      <c r="Z489" s="6">
        <v>225186</v>
      </c>
    </row>
    <row r="490" spans="1:26" x14ac:dyDescent="0.3">
      <c r="A490" s="28" t="s">
        <v>42</v>
      </c>
      <c r="B490" s="6" t="s">
        <v>2343</v>
      </c>
      <c r="C490" s="6"/>
      <c r="D490" s="6" t="s">
        <v>2292</v>
      </c>
      <c r="E490" s="6">
        <v>1</v>
      </c>
      <c r="F490" s="6" t="s">
        <v>2004</v>
      </c>
      <c r="G490" s="32" t="s">
        <v>2299</v>
      </c>
      <c r="H490" s="32" t="s">
        <v>2300</v>
      </c>
      <c r="I490" s="6" t="str">
        <f t="shared" si="17"/>
        <v>Lift Fork</v>
      </c>
      <c r="J490" s="6" t="s">
        <v>102</v>
      </c>
      <c r="K490" s="6">
        <v>1</v>
      </c>
      <c r="L490" s="6">
        <f t="shared" si="18"/>
        <v>1050000</v>
      </c>
      <c r="M490" s="6">
        <v>900000</v>
      </c>
      <c r="N490" s="6" t="s">
        <v>2003</v>
      </c>
      <c r="O490" s="6" t="s">
        <v>1005</v>
      </c>
      <c r="P490" s="6">
        <v>2016</v>
      </c>
      <c r="Q490" s="6">
        <v>1</v>
      </c>
      <c r="R490" s="6" t="s">
        <v>45</v>
      </c>
      <c r="S490" s="32" t="s">
        <v>2116</v>
      </c>
      <c r="T490" s="6">
        <v>1</v>
      </c>
      <c r="U490" s="26">
        <v>800000</v>
      </c>
      <c r="V490" s="26">
        <v>800000</v>
      </c>
      <c r="W490" s="26">
        <v>800000</v>
      </c>
      <c r="X490" s="6" t="s">
        <v>2003</v>
      </c>
      <c r="Y490" s="6" t="s">
        <v>1289</v>
      </c>
      <c r="Z490" s="6">
        <v>225187</v>
      </c>
    </row>
    <row r="491" spans="1:26" x14ac:dyDescent="0.3">
      <c r="A491" s="28" t="s">
        <v>42</v>
      </c>
      <c r="B491" s="6" t="s">
        <v>2344</v>
      </c>
      <c r="C491" s="6" t="s">
        <v>1976</v>
      </c>
      <c r="D491" s="6" t="s">
        <v>2001</v>
      </c>
      <c r="E491" s="6">
        <v>1</v>
      </c>
      <c r="F491" s="6" t="s">
        <v>2004</v>
      </c>
      <c r="G491" s="32" t="s">
        <v>2299</v>
      </c>
      <c r="H491" s="32" t="s">
        <v>2300</v>
      </c>
      <c r="I491" s="6" t="str">
        <f t="shared" si="17"/>
        <v>Skeleton Bucket</v>
      </c>
      <c r="J491" s="6" t="s">
        <v>210</v>
      </c>
      <c r="K491" s="6">
        <v>1</v>
      </c>
      <c r="L491" s="6">
        <f t="shared" si="18"/>
        <v>3290000</v>
      </c>
      <c r="M491" s="6">
        <v>2800000</v>
      </c>
      <c r="N491" s="6" t="s">
        <v>2003</v>
      </c>
      <c r="O491" s="6" t="s">
        <v>1006</v>
      </c>
      <c r="P491" s="6">
        <v>2017</v>
      </c>
      <c r="Q491" s="6">
        <v>1</v>
      </c>
      <c r="R491" s="6" t="s">
        <v>45</v>
      </c>
      <c r="S491" s="32" t="s">
        <v>2120</v>
      </c>
      <c r="T491" s="6">
        <v>1</v>
      </c>
      <c r="U491" s="26">
        <v>2600000</v>
      </c>
      <c r="V491" s="26">
        <v>2600000</v>
      </c>
      <c r="W491" s="26">
        <v>2600000</v>
      </c>
      <c r="X491" s="6" t="s">
        <v>2003</v>
      </c>
      <c r="Y491" s="6" t="s">
        <v>74</v>
      </c>
      <c r="Z491" s="6">
        <v>225195</v>
      </c>
    </row>
    <row r="492" spans="1:26" x14ac:dyDescent="0.3">
      <c r="A492" s="28" t="s">
        <v>42</v>
      </c>
      <c r="B492" s="6" t="s">
        <v>2344</v>
      </c>
      <c r="C492" s="19" t="s">
        <v>1982</v>
      </c>
      <c r="D492" s="6" t="s">
        <v>2001</v>
      </c>
      <c r="E492" s="6">
        <v>1</v>
      </c>
      <c r="F492" s="6" t="s">
        <v>2004</v>
      </c>
      <c r="G492" s="32" t="s">
        <v>2299</v>
      </c>
      <c r="H492" s="32" t="s">
        <v>2300</v>
      </c>
      <c r="I492" s="6" t="str">
        <f t="shared" si="17"/>
        <v>Standard Bucket</v>
      </c>
      <c r="J492" s="6" t="s">
        <v>114</v>
      </c>
      <c r="K492" s="6">
        <v>1</v>
      </c>
      <c r="L492" s="6">
        <f t="shared" si="18"/>
        <v>2700000</v>
      </c>
      <c r="M492" s="6">
        <v>2300000</v>
      </c>
      <c r="N492" s="6" t="s">
        <v>2003</v>
      </c>
      <c r="O492" s="27" t="s">
        <v>2061</v>
      </c>
      <c r="P492" s="6">
        <v>2015</v>
      </c>
      <c r="Q492" s="6">
        <v>1</v>
      </c>
      <c r="R492" s="6" t="s">
        <v>45</v>
      </c>
      <c r="S492" s="32" t="s">
        <v>2116</v>
      </c>
      <c r="T492" s="6">
        <v>1</v>
      </c>
      <c r="U492" s="26">
        <v>2100000</v>
      </c>
      <c r="V492" s="26">
        <v>2100000</v>
      </c>
      <c r="W492" s="26">
        <v>2100000</v>
      </c>
      <c r="X492" s="6" t="s">
        <v>2003</v>
      </c>
      <c r="Y492" s="6" t="s">
        <v>1174</v>
      </c>
      <c r="Z492" s="6">
        <v>225197</v>
      </c>
    </row>
    <row r="493" spans="1:26" x14ac:dyDescent="0.3">
      <c r="A493" s="28" t="s">
        <v>42</v>
      </c>
      <c r="B493" s="6" t="s">
        <v>2339</v>
      </c>
      <c r="C493" s="6" t="s">
        <v>1972</v>
      </c>
      <c r="D493" s="6" t="s">
        <v>2291</v>
      </c>
      <c r="E493" s="6">
        <v>1</v>
      </c>
      <c r="F493" s="6" t="s">
        <v>2004</v>
      </c>
      <c r="G493" s="32" t="s">
        <v>2299</v>
      </c>
      <c r="H493" s="32" t="s">
        <v>2300</v>
      </c>
      <c r="I493" s="6" t="str">
        <f t="shared" si="17"/>
        <v>Stone Grapple</v>
      </c>
      <c r="J493" s="6" t="s">
        <v>624</v>
      </c>
      <c r="K493" s="6">
        <v>1</v>
      </c>
      <c r="L493" s="6">
        <f t="shared" si="18"/>
        <v>7050000</v>
      </c>
      <c r="M493" s="6">
        <v>6000000</v>
      </c>
      <c r="N493" s="6" t="s">
        <v>2003</v>
      </c>
      <c r="O493" s="6" t="s">
        <v>789</v>
      </c>
      <c r="P493" s="6">
        <v>2014</v>
      </c>
      <c r="Q493" s="6">
        <v>1</v>
      </c>
      <c r="R493" s="6" t="s">
        <v>45</v>
      </c>
      <c r="S493" s="32" t="s">
        <v>2122</v>
      </c>
      <c r="T493" s="6">
        <v>1</v>
      </c>
      <c r="U493" s="26">
        <v>5500000</v>
      </c>
      <c r="V493" s="26">
        <v>5500000</v>
      </c>
      <c r="W493" s="26">
        <v>5500000</v>
      </c>
      <c r="X493" s="6" t="s">
        <v>2003</v>
      </c>
      <c r="Y493" s="6" t="s">
        <v>65</v>
      </c>
      <c r="Z493" s="6">
        <v>225198</v>
      </c>
    </row>
    <row r="494" spans="1:26" x14ac:dyDescent="0.3">
      <c r="A494" s="28" t="s">
        <v>42</v>
      </c>
      <c r="B494" s="6" t="s">
        <v>2339</v>
      </c>
      <c r="C494" s="6" t="s">
        <v>1972</v>
      </c>
      <c r="D494" s="6" t="s">
        <v>2291</v>
      </c>
      <c r="E494" s="6">
        <v>1</v>
      </c>
      <c r="F494" s="6" t="s">
        <v>2004</v>
      </c>
      <c r="G494" s="32" t="s">
        <v>2299</v>
      </c>
      <c r="H494" s="32" t="s">
        <v>2300</v>
      </c>
      <c r="I494" s="6" t="str">
        <f t="shared" si="17"/>
        <v>Stone Grapple</v>
      </c>
      <c r="J494" s="6" t="s">
        <v>168</v>
      </c>
      <c r="K494" s="6">
        <v>1</v>
      </c>
      <c r="L494" s="6">
        <f t="shared" si="18"/>
        <v>1640000</v>
      </c>
      <c r="M494" s="6">
        <v>1400000</v>
      </c>
      <c r="N494" s="6" t="s">
        <v>2003</v>
      </c>
      <c r="O494" s="6" t="s">
        <v>51</v>
      </c>
      <c r="P494" s="6">
        <v>2015</v>
      </c>
      <c r="Q494" s="6">
        <v>1</v>
      </c>
      <c r="R494" s="6" t="s">
        <v>45</v>
      </c>
      <c r="S494" s="32" t="s">
        <v>2113</v>
      </c>
      <c r="T494" s="6">
        <v>1</v>
      </c>
      <c r="U494" s="26">
        <v>1300000</v>
      </c>
      <c r="V494" s="26">
        <v>1300000</v>
      </c>
      <c r="W494" s="26">
        <v>1300000</v>
      </c>
      <c r="X494" s="6" t="s">
        <v>2003</v>
      </c>
      <c r="Y494" s="6" t="s">
        <v>49</v>
      </c>
      <c r="Z494" s="6">
        <v>225216</v>
      </c>
    </row>
    <row r="495" spans="1:26" x14ac:dyDescent="0.3">
      <c r="A495" s="28" t="s">
        <v>42</v>
      </c>
      <c r="B495" s="6" t="s">
        <v>2339</v>
      </c>
      <c r="C495" s="6" t="s">
        <v>1979</v>
      </c>
      <c r="D495" s="6" t="s">
        <v>2292</v>
      </c>
      <c r="E495" s="6">
        <v>1</v>
      </c>
      <c r="F495" s="6" t="s">
        <v>2004</v>
      </c>
      <c r="G495" s="32" t="s">
        <v>2299</v>
      </c>
      <c r="H495" s="32" t="s">
        <v>2300</v>
      </c>
      <c r="I495" s="6" t="str">
        <f t="shared" si="17"/>
        <v>Thumb Grapple</v>
      </c>
      <c r="J495" s="6" t="s">
        <v>117</v>
      </c>
      <c r="K495" s="6">
        <v>1</v>
      </c>
      <c r="L495" s="6">
        <f t="shared" si="18"/>
        <v>940000</v>
      </c>
      <c r="M495" s="6">
        <v>800000</v>
      </c>
      <c r="N495" s="6" t="s">
        <v>2003</v>
      </c>
      <c r="O495" s="6" t="s">
        <v>2012</v>
      </c>
      <c r="P495" s="6">
        <v>2013</v>
      </c>
      <c r="Q495" s="6">
        <v>1</v>
      </c>
      <c r="R495" s="6" t="s">
        <v>45</v>
      </c>
      <c r="S495" s="32" t="s">
        <v>2113</v>
      </c>
      <c r="T495" s="6">
        <v>1</v>
      </c>
      <c r="U495" s="26">
        <v>700000</v>
      </c>
      <c r="V495" s="26">
        <v>700000</v>
      </c>
      <c r="W495" s="26">
        <v>700000</v>
      </c>
      <c r="X495" s="6" t="s">
        <v>2003</v>
      </c>
      <c r="Y495" s="6" t="s">
        <v>49</v>
      </c>
      <c r="Z495" s="6">
        <v>225218</v>
      </c>
    </row>
    <row r="496" spans="1:26" x14ac:dyDescent="0.3">
      <c r="A496" s="28" t="s">
        <v>42</v>
      </c>
      <c r="B496" s="6" t="s">
        <v>2344</v>
      </c>
      <c r="C496" s="19" t="s">
        <v>1982</v>
      </c>
      <c r="D496" s="6" t="s">
        <v>2289</v>
      </c>
      <c r="E496" s="6">
        <v>1</v>
      </c>
      <c r="F496" s="6" t="s">
        <v>2004</v>
      </c>
      <c r="G496" s="32" t="s">
        <v>2299</v>
      </c>
      <c r="H496" s="32" t="s">
        <v>2300</v>
      </c>
      <c r="I496" s="6" t="str">
        <f t="shared" si="17"/>
        <v>Standard Bucket</v>
      </c>
      <c r="J496" s="6" t="s">
        <v>112</v>
      </c>
      <c r="K496" s="6">
        <v>1</v>
      </c>
      <c r="L496" s="6">
        <f t="shared" si="18"/>
        <v>5170000</v>
      </c>
      <c r="M496" s="6">
        <v>4400000</v>
      </c>
      <c r="N496" s="6" t="s">
        <v>2003</v>
      </c>
      <c r="O496" s="6" t="s">
        <v>1008</v>
      </c>
      <c r="P496" s="6">
        <v>2016</v>
      </c>
      <c r="Q496" s="6">
        <v>1</v>
      </c>
      <c r="R496" s="6" t="s">
        <v>45</v>
      </c>
      <c r="S496" s="32" t="s">
        <v>2120</v>
      </c>
      <c r="T496" s="6">
        <v>1</v>
      </c>
      <c r="U496" s="26">
        <v>4200000</v>
      </c>
      <c r="V496" s="26">
        <v>4200000</v>
      </c>
      <c r="W496" s="26">
        <v>4200000</v>
      </c>
      <c r="X496" s="6" t="s">
        <v>2003</v>
      </c>
      <c r="Y496" s="6" t="s">
        <v>74</v>
      </c>
      <c r="Z496" s="6">
        <v>225228</v>
      </c>
    </row>
    <row r="497" spans="1:26" x14ac:dyDescent="0.3">
      <c r="A497" s="28" t="s">
        <v>42</v>
      </c>
      <c r="B497" s="6" t="s">
        <v>2344</v>
      </c>
      <c r="C497" s="19" t="s">
        <v>1982</v>
      </c>
      <c r="D497" s="6" t="s">
        <v>2001</v>
      </c>
      <c r="E497" s="6">
        <v>1</v>
      </c>
      <c r="F497" s="6" t="s">
        <v>2004</v>
      </c>
      <c r="G497" s="32" t="s">
        <v>2299</v>
      </c>
      <c r="H497" s="32" t="s">
        <v>2300</v>
      </c>
      <c r="I497" s="6" t="str">
        <f t="shared" si="17"/>
        <v>Standard Bucket</v>
      </c>
      <c r="J497" s="6" t="s">
        <v>114</v>
      </c>
      <c r="K497" s="6">
        <v>1</v>
      </c>
      <c r="L497" s="6">
        <f t="shared" si="18"/>
        <v>2940000</v>
      </c>
      <c r="M497" s="6">
        <v>2500000</v>
      </c>
      <c r="N497" s="6" t="s">
        <v>2003</v>
      </c>
      <c r="O497" s="6" t="s">
        <v>1009</v>
      </c>
      <c r="P497" s="6">
        <v>2016</v>
      </c>
      <c r="Q497" s="6">
        <v>1</v>
      </c>
      <c r="R497" s="6" t="s">
        <v>45</v>
      </c>
      <c r="S497" s="32" t="s">
        <v>2120</v>
      </c>
      <c r="T497" s="6">
        <v>1</v>
      </c>
      <c r="U497" s="26">
        <v>2300000</v>
      </c>
      <c r="V497" s="26">
        <v>2300000</v>
      </c>
      <c r="W497" s="26">
        <v>2300000</v>
      </c>
      <c r="X497" s="6" t="s">
        <v>2003</v>
      </c>
      <c r="Y497" s="6" t="s">
        <v>74</v>
      </c>
      <c r="Z497" s="6">
        <v>225235</v>
      </c>
    </row>
    <row r="498" spans="1:26" x14ac:dyDescent="0.3">
      <c r="A498" s="28" t="s">
        <v>42</v>
      </c>
      <c r="B498" s="6" t="s">
        <v>2338</v>
      </c>
      <c r="C498" s="6" t="s">
        <v>1975</v>
      </c>
      <c r="D498" s="6" t="s">
        <v>2001</v>
      </c>
      <c r="E498" s="6">
        <v>1</v>
      </c>
      <c r="F498" s="6" t="s">
        <v>2004</v>
      </c>
      <c r="G498" s="32" t="s">
        <v>2299</v>
      </c>
      <c r="H498" s="32" t="s">
        <v>2300</v>
      </c>
      <c r="I498" s="6" t="str">
        <f t="shared" si="17"/>
        <v>Side Breaker</v>
      </c>
      <c r="J498" s="6" t="s">
        <v>777</v>
      </c>
      <c r="K498" s="6">
        <v>1</v>
      </c>
      <c r="L498" s="6">
        <f t="shared" si="18"/>
        <v>14700000</v>
      </c>
      <c r="M498" s="6">
        <v>12500000</v>
      </c>
      <c r="N498" s="6" t="s">
        <v>2003</v>
      </c>
      <c r="O498" s="6" t="s">
        <v>70</v>
      </c>
      <c r="P498" s="6">
        <v>2016</v>
      </c>
      <c r="Q498" s="6">
        <v>1</v>
      </c>
      <c r="R498" s="6" t="s">
        <v>45</v>
      </c>
      <c r="S498" s="32" t="s">
        <v>2113</v>
      </c>
      <c r="T498" s="6">
        <v>1</v>
      </c>
      <c r="U498" s="26">
        <v>12000000</v>
      </c>
      <c r="V498" s="26">
        <v>12000000</v>
      </c>
      <c r="W498" s="26">
        <v>12000000</v>
      </c>
      <c r="X498" s="6" t="s">
        <v>2003</v>
      </c>
      <c r="Y498" s="6" t="s">
        <v>71</v>
      </c>
      <c r="Z498" s="6">
        <v>225245</v>
      </c>
    </row>
    <row r="499" spans="1:26" x14ac:dyDescent="0.3">
      <c r="A499" s="28" t="s">
        <v>42</v>
      </c>
      <c r="B499" s="6" t="s">
        <v>2338</v>
      </c>
      <c r="C499" s="6" t="s">
        <v>1975</v>
      </c>
      <c r="D499" s="6" t="s">
        <v>2293</v>
      </c>
      <c r="E499" s="6">
        <v>1</v>
      </c>
      <c r="F499" s="6" t="s">
        <v>2004</v>
      </c>
      <c r="G499" s="32" t="s">
        <v>2299</v>
      </c>
      <c r="H499" s="32" t="s">
        <v>2300</v>
      </c>
      <c r="I499" s="6" t="str">
        <f t="shared" si="17"/>
        <v>Side Breaker</v>
      </c>
      <c r="J499" s="6" t="s">
        <v>742</v>
      </c>
      <c r="K499" s="6">
        <v>1</v>
      </c>
      <c r="L499" s="6">
        <f t="shared" si="18"/>
        <v>2000000</v>
      </c>
      <c r="M499" s="6">
        <v>1700000</v>
      </c>
      <c r="N499" s="6" t="s">
        <v>2003</v>
      </c>
      <c r="O499" s="6" t="s">
        <v>837</v>
      </c>
      <c r="P499" s="6">
        <v>2015</v>
      </c>
      <c r="Q499" s="6">
        <v>1</v>
      </c>
      <c r="R499" s="6" t="s">
        <v>45</v>
      </c>
      <c r="S499" s="32" t="s">
        <v>2113</v>
      </c>
      <c r="T499" s="6">
        <v>1</v>
      </c>
      <c r="U499" s="26">
        <v>1600000</v>
      </c>
      <c r="V499" s="26">
        <v>1600000</v>
      </c>
      <c r="W499" s="26">
        <v>1600000</v>
      </c>
      <c r="X499" s="6" t="s">
        <v>2003</v>
      </c>
      <c r="Y499" s="6" t="s">
        <v>71</v>
      </c>
      <c r="Z499" s="6">
        <v>225246</v>
      </c>
    </row>
    <row r="500" spans="1:26" x14ac:dyDescent="0.3">
      <c r="A500" s="28" t="s">
        <v>42</v>
      </c>
      <c r="B500" s="6" t="s">
        <v>2339</v>
      </c>
      <c r="C500" s="19" t="s">
        <v>1973</v>
      </c>
      <c r="D500" s="6" t="s">
        <v>2291</v>
      </c>
      <c r="E500" s="6">
        <v>1</v>
      </c>
      <c r="F500" s="6" t="s">
        <v>2004</v>
      </c>
      <c r="G500" s="32" t="s">
        <v>2299</v>
      </c>
      <c r="H500" s="32" t="s">
        <v>2300</v>
      </c>
      <c r="I500" s="6" t="str">
        <f t="shared" si="17"/>
        <v>Wood Grapple</v>
      </c>
      <c r="J500" s="6" t="s">
        <v>398</v>
      </c>
      <c r="K500" s="6">
        <v>1</v>
      </c>
      <c r="L500" s="6">
        <f t="shared" si="18"/>
        <v>2580000</v>
      </c>
      <c r="M500" s="6">
        <v>2200000</v>
      </c>
      <c r="N500" s="6" t="s">
        <v>2003</v>
      </c>
      <c r="O500" s="6" t="s">
        <v>1010</v>
      </c>
      <c r="P500" s="6">
        <v>2010</v>
      </c>
      <c r="Q500" s="6">
        <v>1</v>
      </c>
      <c r="R500" s="6" t="s">
        <v>45</v>
      </c>
      <c r="S500" s="32" t="s">
        <v>2114</v>
      </c>
      <c r="T500" s="6">
        <v>1</v>
      </c>
      <c r="U500" s="26">
        <v>2000000</v>
      </c>
      <c r="V500" s="26">
        <v>2000000</v>
      </c>
      <c r="W500" s="26">
        <v>2000000</v>
      </c>
      <c r="X500" s="6" t="s">
        <v>2003</v>
      </c>
      <c r="Y500" s="6" t="s">
        <v>830</v>
      </c>
      <c r="Z500" s="6">
        <v>225254</v>
      </c>
    </row>
    <row r="501" spans="1:26" x14ac:dyDescent="0.3">
      <c r="A501" s="28" t="s">
        <v>42</v>
      </c>
      <c r="B501" s="6" t="s">
        <v>2344</v>
      </c>
      <c r="C501" s="6" t="s">
        <v>1980</v>
      </c>
      <c r="D501" s="6" t="s">
        <v>2001</v>
      </c>
      <c r="E501" s="6">
        <v>1</v>
      </c>
      <c r="F501" s="6" t="s">
        <v>2004</v>
      </c>
      <c r="G501" s="32" t="s">
        <v>2299</v>
      </c>
      <c r="H501" s="32" t="s">
        <v>2300</v>
      </c>
      <c r="I501" s="6" t="str">
        <f t="shared" si="17"/>
        <v>Small Bucket</v>
      </c>
      <c r="J501" s="6" t="s">
        <v>626</v>
      </c>
      <c r="K501" s="6">
        <v>1</v>
      </c>
      <c r="L501" s="6">
        <f t="shared" si="18"/>
        <v>2350000</v>
      </c>
      <c r="M501" s="6">
        <v>2000000</v>
      </c>
      <c r="N501" s="6" t="s">
        <v>2003</v>
      </c>
      <c r="O501" s="6" t="s">
        <v>1011</v>
      </c>
      <c r="P501" s="6">
        <v>2016</v>
      </c>
      <c r="Q501" s="6">
        <v>1</v>
      </c>
      <c r="R501" s="6" t="s">
        <v>45</v>
      </c>
      <c r="S501" s="32" t="s">
        <v>2120</v>
      </c>
      <c r="T501" s="6">
        <v>1</v>
      </c>
      <c r="U501" s="26">
        <v>1900000</v>
      </c>
      <c r="V501" s="26">
        <v>1900000</v>
      </c>
      <c r="W501" s="26">
        <v>1900000</v>
      </c>
      <c r="X501" s="6" t="s">
        <v>2003</v>
      </c>
      <c r="Y501" s="6" t="s">
        <v>74</v>
      </c>
      <c r="Z501" s="6">
        <v>225261</v>
      </c>
    </row>
    <row r="502" spans="1:26" x14ac:dyDescent="0.3">
      <c r="A502" s="28" t="s">
        <v>42</v>
      </c>
      <c r="B502" s="6" t="s">
        <v>2338</v>
      </c>
      <c r="C502" s="6" t="s">
        <v>1975</v>
      </c>
      <c r="D502" s="6" t="s">
        <v>2289</v>
      </c>
      <c r="E502" s="6">
        <v>1</v>
      </c>
      <c r="F502" s="6" t="s">
        <v>2004</v>
      </c>
      <c r="G502" s="32" t="s">
        <v>2299</v>
      </c>
      <c r="H502" s="32" t="s">
        <v>2300</v>
      </c>
      <c r="I502" s="6" t="str">
        <f t="shared" si="17"/>
        <v>Side Breaker</v>
      </c>
      <c r="J502" s="6" t="s">
        <v>627</v>
      </c>
      <c r="K502" s="6">
        <v>1</v>
      </c>
      <c r="L502" s="6">
        <f t="shared" si="18"/>
        <v>18230000</v>
      </c>
      <c r="M502" s="6">
        <v>15500000</v>
      </c>
      <c r="N502" s="6" t="s">
        <v>2003</v>
      </c>
      <c r="O502" s="6" t="s">
        <v>54</v>
      </c>
      <c r="P502" s="6">
        <v>2011</v>
      </c>
      <c r="Q502" s="6">
        <v>1</v>
      </c>
      <c r="R502" s="6" t="s">
        <v>45</v>
      </c>
      <c r="S502" s="32" t="s">
        <v>2114</v>
      </c>
      <c r="T502" s="6">
        <v>1</v>
      </c>
      <c r="U502" s="26">
        <v>15000000</v>
      </c>
      <c r="V502" s="26">
        <v>15000000</v>
      </c>
      <c r="W502" s="26">
        <v>15000000</v>
      </c>
      <c r="X502" s="6" t="s">
        <v>2003</v>
      </c>
      <c r="Y502" s="6" t="s">
        <v>54</v>
      </c>
      <c r="Z502" s="6">
        <v>225267</v>
      </c>
    </row>
    <row r="503" spans="1:26" x14ac:dyDescent="0.3">
      <c r="A503" s="28" t="s">
        <v>42</v>
      </c>
      <c r="B503" s="6" t="s">
        <v>2340</v>
      </c>
      <c r="C503" s="6"/>
      <c r="D503" s="6" t="s">
        <v>2292</v>
      </c>
      <c r="E503" s="6">
        <v>1</v>
      </c>
      <c r="F503" s="6" t="s">
        <v>2004</v>
      </c>
      <c r="G503" s="32" t="s">
        <v>2299</v>
      </c>
      <c r="H503" s="32" t="s">
        <v>2300</v>
      </c>
      <c r="I503" s="6" t="str">
        <f t="shared" si="17"/>
        <v>ETC</v>
      </c>
      <c r="J503" s="6" t="s">
        <v>115</v>
      </c>
      <c r="K503" s="6">
        <v>1</v>
      </c>
      <c r="L503" s="6">
        <f t="shared" si="18"/>
        <v>1760000</v>
      </c>
      <c r="M503" s="6">
        <v>1500000</v>
      </c>
      <c r="N503" s="6" t="s">
        <v>2003</v>
      </c>
      <c r="O503" s="6" t="s">
        <v>2062</v>
      </c>
      <c r="P503" s="6">
        <v>2017</v>
      </c>
      <c r="Q503" s="6">
        <v>2</v>
      </c>
      <c r="R503" s="6" t="s">
        <v>45</v>
      </c>
      <c r="S503" s="32" t="s">
        <v>2124</v>
      </c>
      <c r="T503" s="6">
        <v>1</v>
      </c>
      <c r="U503" s="26">
        <v>1400000</v>
      </c>
      <c r="V503" s="26">
        <v>1400000</v>
      </c>
      <c r="W503" s="26">
        <v>1400000</v>
      </c>
      <c r="X503" s="6" t="s">
        <v>2003</v>
      </c>
      <c r="Y503" s="6" t="s">
        <v>1144</v>
      </c>
      <c r="Z503" s="6">
        <v>225272</v>
      </c>
    </row>
    <row r="504" spans="1:26" x14ac:dyDescent="0.3">
      <c r="A504" s="28" t="s">
        <v>42</v>
      </c>
      <c r="B504" s="6" t="s">
        <v>2339</v>
      </c>
      <c r="C504" s="6" t="s">
        <v>1979</v>
      </c>
      <c r="D504" s="6" t="s">
        <v>2001</v>
      </c>
      <c r="E504" s="6">
        <v>1</v>
      </c>
      <c r="F504" s="6" t="s">
        <v>2004</v>
      </c>
      <c r="G504" s="32" t="s">
        <v>2299</v>
      </c>
      <c r="H504" s="32" t="s">
        <v>2300</v>
      </c>
      <c r="I504" s="6" t="str">
        <f t="shared" si="17"/>
        <v>Thumb Grapple</v>
      </c>
      <c r="J504" s="6" t="s">
        <v>628</v>
      </c>
      <c r="K504" s="6">
        <v>1</v>
      </c>
      <c r="L504" s="6">
        <f t="shared" si="18"/>
        <v>5520000</v>
      </c>
      <c r="M504" s="6">
        <v>4700000</v>
      </c>
      <c r="N504" s="6" t="s">
        <v>2003</v>
      </c>
      <c r="O504" s="6" t="s">
        <v>54</v>
      </c>
      <c r="P504" s="6">
        <v>2014</v>
      </c>
      <c r="Q504" s="6">
        <v>1</v>
      </c>
      <c r="R504" s="6" t="s">
        <v>45</v>
      </c>
      <c r="S504" s="32" t="s">
        <v>2114</v>
      </c>
      <c r="T504" s="6">
        <v>1</v>
      </c>
      <c r="U504" s="26">
        <v>4500000</v>
      </c>
      <c r="V504" s="26">
        <v>4500000</v>
      </c>
      <c r="W504" s="26">
        <v>4500000</v>
      </c>
      <c r="X504" s="6" t="s">
        <v>2003</v>
      </c>
      <c r="Y504" s="6" t="s">
        <v>54</v>
      </c>
      <c r="Z504" s="6">
        <v>225276</v>
      </c>
    </row>
    <row r="505" spans="1:26" x14ac:dyDescent="0.3">
      <c r="A505" s="28" t="s">
        <v>42</v>
      </c>
      <c r="B505" s="6" t="s">
        <v>2339</v>
      </c>
      <c r="C505" s="6" t="s">
        <v>1979</v>
      </c>
      <c r="D505" s="6" t="s">
        <v>2292</v>
      </c>
      <c r="E505" s="6">
        <v>1</v>
      </c>
      <c r="F505" s="6" t="s">
        <v>2004</v>
      </c>
      <c r="G505" s="32" t="s">
        <v>2299</v>
      </c>
      <c r="H505" s="32" t="s">
        <v>2300</v>
      </c>
      <c r="I505" s="6" t="str">
        <f t="shared" si="17"/>
        <v>Thumb Grapple</v>
      </c>
      <c r="J505" s="6" t="s">
        <v>117</v>
      </c>
      <c r="K505" s="6">
        <v>1</v>
      </c>
      <c r="L505" s="6">
        <f t="shared" si="18"/>
        <v>700000</v>
      </c>
      <c r="M505" s="6">
        <v>600000</v>
      </c>
      <c r="N505" s="6" t="s">
        <v>2003</v>
      </c>
      <c r="O505" s="6" t="s">
        <v>54</v>
      </c>
      <c r="P505" s="6">
        <v>2009</v>
      </c>
      <c r="Q505" s="6">
        <v>1</v>
      </c>
      <c r="R505" s="6" t="s">
        <v>45</v>
      </c>
      <c r="S505" s="32" t="s">
        <v>2114</v>
      </c>
      <c r="T505" s="6">
        <v>1</v>
      </c>
      <c r="U505" s="26">
        <v>500000</v>
      </c>
      <c r="V505" s="26">
        <v>500000</v>
      </c>
      <c r="W505" s="26">
        <v>500000</v>
      </c>
      <c r="X505" s="6" t="s">
        <v>2003</v>
      </c>
      <c r="Y505" s="6" t="s">
        <v>54</v>
      </c>
      <c r="Z505" s="6">
        <v>225283</v>
      </c>
    </row>
    <row r="506" spans="1:26" x14ac:dyDescent="0.3">
      <c r="A506" s="28" t="s">
        <v>42</v>
      </c>
      <c r="B506" s="6" t="s">
        <v>2343</v>
      </c>
      <c r="C506" s="6"/>
      <c r="D506" s="6" t="s">
        <v>2292</v>
      </c>
      <c r="E506" s="6">
        <v>1</v>
      </c>
      <c r="F506" s="6" t="s">
        <v>2004</v>
      </c>
      <c r="G506" s="32" t="s">
        <v>2299</v>
      </c>
      <c r="H506" s="32" t="s">
        <v>2300</v>
      </c>
      <c r="I506" s="6" t="str">
        <f t="shared" si="17"/>
        <v>Lift Fork</v>
      </c>
      <c r="J506" s="6" t="s">
        <v>178</v>
      </c>
      <c r="K506" s="6">
        <v>1</v>
      </c>
      <c r="L506" s="6">
        <f t="shared" si="18"/>
        <v>1050000</v>
      </c>
      <c r="M506" s="6">
        <v>900000</v>
      </c>
      <c r="N506" s="6" t="s">
        <v>2003</v>
      </c>
      <c r="O506" s="6" t="s">
        <v>794</v>
      </c>
      <c r="P506" s="6">
        <v>2015</v>
      </c>
      <c r="Q506" s="6">
        <v>1</v>
      </c>
      <c r="R506" s="6" t="s">
        <v>45</v>
      </c>
      <c r="S506" s="32" t="s">
        <v>2122</v>
      </c>
      <c r="T506" s="6">
        <v>1</v>
      </c>
      <c r="U506" s="26">
        <v>800000</v>
      </c>
      <c r="V506" s="26">
        <v>800000</v>
      </c>
      <c r="W506" s="26">
        <v>800000</v>
      </c>
      <c r="X506" s="6" t="s">
        <v>2003</v>
      </c>
      <c r="Y506" s="6" t="s">
        <v>1154</v>
      </c>
      <c r="Z506" s="6">
        <v>225284</v>
      </c>
    </row>
    <row r="507" spans="1:26" x14ac:dyDescent="0.3">
      <c r="A507" s="28" t="s">
        <v>42</v>
      </c>
      <c r="B507" s="6" t="s">
        <v>2338</v>
      </c>
      <c r="C507" s="6" t="s">
        <v>1975</v>
      </c>
      <c r="D507" s="6" t="s">
        <v>2291</v>
      </c>
      <c r="E507" s="6">
        <v>1</v>
      </c>
      <c r="F507" s="6" t="s">
        <v>2004</v>
      </c>
      <c r="G507" s="32" t="s">
        <v>2299</v>
      </c>
      <c r="H507" s="32" t="s">
        <v>2300</v>
      </c>
      <c r="I507" s="6" t="str">
        <f t="shared" si="17"/>
        <v>Side Breaker</v>
      </c>
      <c r="J507" s="6" t="s">
        <v>171</v>
      </c>
      <c r="K507" s="6">
        <v>1</v>
      </c>
      <c r="L507" s="6">
        <f t="shared" si="18"/>
        <v>2350000</v>
      </c>
      <c r="M507" s="6">
        <v>2000000</v>
      </c>
      <c r="N507" s="6" t="s">
        <v>2003</v>
      </c>
      <c r="O507" s="6" t="s">
        <v>846</v>
      </c>
      <c r="P507" s="6">
        <v>2017</v>
      </c>
      <c r="Q507" s="6">
        <v>1</v>
      </c>
      <c r="R507" s="6" t="s">
        <v>45</v>
      </c>
      <c r="S507" s="32" t="s">
        <v>2113</v>
      </c>
      <c r="T507" s="6">
        <v>1</v>
      </c>
      <c r="U507" s="26">
        <v>1900000</v>
      </c>
      <c r="V507" s="26">
        <v>1900000</v>
      </c>
      <c r="W507" s="26">
        <v>1900000</v>
      </c>
      <c r="X507" s="6" t="s">
        <v>2003</v>
      </c>
      <c r="Y507" s="6" t="s">
        <v>49</v>
      </c>
      <c r="Z507" s="6">
        <v>225285</v>
      </c>
    </row>
    <row r="508" spans="1:26" x14ac:dyDescent="0.3">
      <c r="A508" s="28" t="s">
        <v>42</v>
      </c>
      <c r="B508" s="6" t="s">
        <v>2341</v>
      </c>
      <c r="C508" s="19" t="s">
        <v>2321</v>
      </c>
      <c r="D508" s="6" t="s">
        <v>2001</v>
      </c>
      <c r="E508" s="6">
        <v>1</v>
      </c>
      <c r="F508" s="6" t="s">
        <v>2004</v>
      </c>
      <c r="G508" s="32" t="s">
        <v>2299</v>
      </c>
      <c r="H508" s="32" t="s">
        <v>2300</v>
      </c>
      <c r="I508" s="6" t="str">
        <f t="shared" si="17"/>
        <v>Etc Crusher</v>
      </c>
      <c r="J508" s="6" t="s">
        <v>273</v>
      </c>
      <c r="K508" s="6">
        <v>1</v>
      </c>
      <c r="L508" s="6">
        <f t="shared" si="18"/>
        <v>20000000</v>
      </c>
      <c r="M508" s="6">
        <v>17000000</v>
      </c>
      <c r="N508" s="6" t="s">
        <v>2003</v>
      </c>
      <c r="O508" s="6" t="s">
        <v>813</v>
      </c>
      <c r="P508" s="6">
        <v>2014</v>
      </c>
      <c r="Q508" s="6">
        <v>1</v>
      </c>
      <c r="R508" s="6" t="s">
        <v>45</v>
      </c>
      <c r="S508" s="32" t="s">
        <v>2113</v>
      </c>
      <c r="T508" s="6">
        <v>1</v>
      </c>
      <c r="U508" s="26">
        <v>16500000</v>
      </c>
      <c r="V508" s="26">
        <v>16500000</v>
      </c>
      <c r="W508" s="26">
        <v>16500000</v>
      </c>
      <c r="X508" s="6" t="s">
        <v>2003</v>
      </c>
      <c r="Y508" s="6" t="s">
        <v>79</v>
      </c>
      <c r="Z508" s="6">
        <v>225297</v>
      </c>
    </row>
    <row r="509" spans="1:26" x14ac:dyDescent="0.3">
      <c r="A509" s="28" t="s">
        <v>42</v>
      </c>
      <c r="B509" s="6" t="s">
        <v>2339</v>
      </c>
      <c r="C509" s="6" t="s">
        <v>1972</v>
      </c>
      <c r="D509" s="6" t="s">
        <v>2290</v>
      </c>
      <c r="E509" s="6">
        <v>1</v>
      </c>
      <c r="F509" s="6" t="s">
        <v>2004</v>
      </c>
      <c r="G509" s="32" t="s">
        <v>2299</v>
      </c>
      <c r="H509" s="32" t="s">
        <v>2300</v>
      </c>
      <c r="I509" s="6" t="str">
        <f t="shared" si="17"/>
        <v>Stone Grapple</v>
      </c>
      <c r="J509" s="6" t="s">
        <v>94</v>
      </c>
      <c r="K509" s="6">
        <v>1</v>
      </c>
      <c r="L509" s="6">
        <f t="shared" si="18"/>
        <v>4000000</v>
      </c>
      <c r="M509" s="6">
        <v>3400000</v>
      </c>
      <c r="N509" s="6" t="s">
        <v>2003</v>
      </c>
      <c r="O509" s="6" t="s">
        <v>813</v>
      </c>
      <c r="P509" s="6">
        <v>2013</v>
      </c>
      <c r="Q509" s="6">
        <v>1</v>
      </c>
      <c r="R509" s="6" t="s">
        <v>45</v>
      </c>
      <c r="S509" s="32" t="s">
        <v>2113</v>
      </c>
      <c r="T509" s="6">
        <v>1</v>
      </c>
      <c r="U509" s="26">
        <v>3200000</v>
      </c>
      <c r="V509" s="26">
        <v>3200000</v>
      </c>
      <c r="W509" s="26">
        <v>3200000</v>
      </c>
      <c r="X509" s="6" t="s">
        <v>2003</v>
      </c>
      <c r="Y509" s="6" t="s">
        <v>80</v>
      </c>
      <c r="Z509" s="6">
        <v>225298</v>
      </c>
    </row>
    <row r="510" spans="1:26" x14ac:dyDescent="0.3">
      <c r="A510" s="28" t="s">
        <v>42</v>
      </c>
      <c r="B510" s="6" t="s">
        <v>2339</v>
      </c>
      <c r="C510" s="6" t="s">
        <v>1979</v>
      </c>
      <c r="D510" s="6" t="s">
        <v>2290</v>
      </c>
      <c r="E510" s="6">
        <v>1</v>
      </c>
      <c r="F510" s="6" t="s">
        <v>2004</v>
      </c>
      <c r="G510" s="32" t="s">
        <v>2299</v>
      </c>
      <c r="H510" s="32" t="s">
        <v>2300</v>
      </c>
      <c r="I510" s="6" t="str">
        <f t="shared" si="17"/>
        <v>Thumb Grapple</v>
      </c>
      <c r="J510" s="6" t="s">
        <v>631</v>
      </c>
      <c r="K510" s="6">
        <v>1</v>
      </c>
      <c r="L510" s="6">
        <f t="shared" si="18"/>
        <v>2580000</v>
      </c>
      <c r="M510" s="6">
        <v>2200000</v>
      </c>
      <c r="N510" s="6" t="s">
        <v>2003</v>
      </c>
      <c r="O510" s="6" t="s">
        <v>813</v>
      </c>
      <c r="P510" s="6">
        <v>2013</v>
      </c>
      <c r="Q510" s="6">
        <v>1</v>
      </c>
      <c r="R510" s="6" t="s">
        <v>45</v>
      </c>
      <c r="S510" s="32" t="s">
        <v>2113</v>
      </c>
      <c r="T510" s="6">
        <v>1</v>
      </c>
      <c r="U510" s="26">
        <v>2000000</v>
      </c>
      <c r="V510" s="26">
        <v>2000000</v>
      </c>
      <c r="W510" s="26">
        <v>2000000</v>
      </c>
      <c r="X510" s="6" t="s">
        <v>2003</v>
      </c>
      <c r="Y510" s="6" t="s">
        <v>79</v>
      </c>
      <c r="Z510" s="6">
        <v>225303</v>
      </c>
    </row>
    <row r="511" spans="1:26" x14ac:dyDescent="0.3">
      <c r="A511" s="28" t="s">
        <v>42</v>
      </c>
      <c r="B511" s="6" t="s">
        <v>2344</v>
      </c>
      <c r="C511" s="6" t="s">
        <v>1976</v>
      </c>
      <c r="D511" s="6" t="s">
        <v>2290</v>
      </c>
      <c r="E511" s="6">
        <v>1</v>
      </c>
      <c r="F511" s="6" t="s">
        <v>2004</v>
      </c>
      <c r="G511" s="32" t="s">
        <v>2299</v>
      </c>
      <c r="H511" s="32" t="s">
        <v>2300</v>
      </c>
      <c r="I511" s="6" t="str">
        <f t="shared" si="17"/>
        <v>Skeleton Bucket</v>
      </c>
      <c r="J511" s="6" t="s">
        <v>486</v>
      </c>
      <c r="K511" s="6">
        <v>1</v>
      </c>
      <c r="L511" s="6">
        <f t="shared" si="18"/>
        <v>2940000</v>
      </c>
      <c r="M511" s="6">
        <v>2500000</v>
      </c>
      <c r="N511" s="6" t="s">
        <v>2003</v>
      </c>
      <c r="O511" s="6" t="s">
        <v>813</v>
      </c>
      <c r="P511" s="6">
        <v>2013</v>
      </c>
      <c r="Q511" s="6">
        <v>1</v>
      </c>
      <c r="R511" s="6" t="s">
        <v>45</v>
      </c>
      <c r="S511" s="32" t="s">
        <v>2113</v>
      </c>
      <c r="T511" s="6">
        <v>1</v>
      </c>
      <c r="U511" s="26">
        <v>2300000</v>
      </c>
      <c r="V511" s="26">
        <v>2300000</v>
      </c>
      <c r="W511" s="26">
        <v>2300000</v>
      </c>
      <c r="X511" s="6" t="s">
        <v>2003</v>
      </c>
      <c r="Y511" s="6" t="s">
        <v>79</v>
      </c>
      <c r="Z511" s="6">
        <v>225307</v>
      </c>
    </row>
    <row r="512" spans="1:26" x14ac:dyDescent="0.3">
      <c r="A512" s="28" t="s">
        <v>42</v>
      </c>
      <c r="B512" s="6" t="s">
        <v>2341</v>
      </c>
      <c r="C512" s="19" t="s">
        <v>2321</v>
      </c>
      <c r="D512" s="6" t="s">
        <v>2290</v>
      </c>
      <c r="E512" s="6">
        <v>1</v>
      </c>
      <c r="F512" s="6" t="s">
        <v>2004</v>
      </c>
      <c r="G512" s="32" t="s">
        <v>2299</v>
      </c>
      <c r="H512" s="32" t="s">
        <v>2300</v>
      </c>
      <c r="I512" s="6" t="str">
        <f t="shared" si="17"/>
        <v>Etc Crusher</v>
      </c>
      <c r="J512" s="6" t="s">
        <v>223</v>
      </c>
      <c r="K512" s="6">
        <v>1</v>
      </c>
      <c r="L512" s="6">
        <f t="shared" si="18"/>
        <v>12350000</v>
      </c>
      <c r="M512" s="6">
        <v>10500000</v>
      </c>
      <c r="N512" s="6" t="s">
        <v>2003</v>
      </c>
      <c r="O512" s="6" t="s">
        <v>813</v>
      </c>
      <c r="P512" s="6">
        <v>2014</v>
      </c>
      <c r="Q512" s="6">
        <v>1</v>
      </c>
      <c r="R512" s="6" t="s">
        <v>45</v>
      </c>
      <c r="S512" s="32" t="s">
        <v>2113</v>
      </c>
      <c r="T512" s="6">
        <v>1</v>
      </c>
      <c r="U512" s="26">
        <v>10000000</v>
      </c>
      <c r="V512" s="26">
        <v>10000000</v>
      </c>
      <c r="W512" s="26">
        <v>10000000</v>
      </c>
      <c r="X512" s="6" t="s">
        <v>2003</v>
      </c>
      <c r="Y512" s="6" t="s">
        <v>80</v>
      </c>
      <c r="Z512" s="6">
        <v>225308</v>
      </c>
    </row>
    <row r="513" spans="1:26" x14ac:dyDescent="0.3">
      <c r="A513" s="28" t="s">
        <v>42</v>
      </c>
      <c r="B513" s="6" t="s">
        <v>2338</v>
      </c>
      <c r="C513" s="19" t="s">
        <v>1975</v>
      </c>
      <c r="D513" s="6" t="s">
        <v>2292</v>
      </c>
      <c r="E513" s="6">
        <v>1</v>
      </c>
      <c r="F513" s="6" t="s">
        <v>2004</v>
      </c>
      <c r="G513" s="32" t="s">
        <v>2299</v>
      </c>
      <c r="H513" s="32" t="s">
        <v>2300</v>
      </c>
      <c r="I513" s="6" t="str">
        <f t="shared" si="17"/>
        <v>Side Breaker</v>
      </c>
      <c r="J513" s="6" t="s">
        <v>423</v>
      </c>
      <c r="K513" s="6">
        <v>1</v>
      </c>
      <c r="L513" s="6">
        <f t="shared" si="18"/>
        <v>5170000</v>
      </c>
      <c r="M513" s="6">
        <v>4400000</v>
      </c>
      <c r="N513" s="6" t="s">
        <v>2003</v>
      </c>
      <c r="O513" s="6" t="s">
        <v>797</v>
      </c>
      <c r="P513" s="6">
        <v>2015</v>
      </c>
      <c r="Q513" s="6">
        <v>7</v>
      </c>
      <c r="R513" s="6" t="s">
        <v>45</v>
      </c>
      <c r="S513" s="32" t="s">
        <v>2120</v>
      </c>
      <c r="T513" s="6">
        <v>1</v>
      </c>
      <c r="U513" s="26">
        <v>4200000</v>
      </c>
      <c r="V513" s="26">
        <v>4200000</v>
      </c>
      <c r="W513" s="26">
        <v>4200000</v>
      </c>
      <c r="X513" s="6" t="s">
        <v>2003</v>
      </c>
      <c r="Y513" s="6" t="s">
        <v>1162</v>
      </c>
      <c r="Z513" s="6">
        <v>225311</v>
      </c>
    </row>
    <row r="514" spans="1:26" x14ac:dyDescent="0.3">
      <c r="A514" s="28" t="s">
        <v>42</v>
      </c>
      <c r="B514" s="6" t="s">
        <v>2339</v>
      </c>
      <c r="C514" s="6" t="s">
        <v>1979</v>
      </c>
      <c r="D514" s="6" t="s">
        <v>2292</v>
      </c>
      <c r="E514" s="6">
        <v>1</v>
      </c>
      <c r="F514" s="6" t="s">
        <v>2004</v>
      </c>
      <c r="G514" s="32" t="s">
        <v>2299</v>
      </c>
      <c r="H514" s="32" t="s">
        <v>2300</v>
      </c>
      <c r="I514" s="6" t="str">
        <f t="shared" si="17"/>
        <v>Thumb Grapple</v>
      </c>
      <c r="J514" s="6" t="s">
        <v>117</v>
      </c>
      <c r="K514" s="6">
        <v>1</v>
      </c>
      <c r="L514" s="6">
        <f t="shared" si="18"/>
        <v>940000</v>
      </c>
      <c r="M514" s="6">
        <v>800000</v>
      </c>
      <c r="N514" s="6" t="s">
        <v>2003</v>
      </c>
      <c r="O514" s="6" t="s">
        <v>813</v>
      </c>
      <c r="P514" s="6">
        <v>2013</v>
      </c>
      <c r="Q514" s="6">
        <v>1</v>
      </c>
      <c r="R514" s="6" t="s">
        <v>45</v>
      </c>
      <c r="S514" s="32" t="s">
        <v>2113</v>
      </c>
      <c r="T514" s="6">
        <v>1</v>
      </c>
      <c r="U514" s="26">
        <v>700000</v>
      </c>
      <c r="V514" s="26">
        <v>700000</v>
      </c>
      <c r="W514" s="26">
        <v>700000</v>
      </c>
      <c r="X514" s="6" t="s">
        <v>2003</v>
      </c>
      <c r="Y514" s="6" t="s">
        <v>79</v>
      </c>
      <c r="Z514" s="6">
        <v>225312</v>
      </c>
    </row>
    <row r="515" spans="1:26" x14ac:dyDescent="0.3">
      <c r="A515" s="28" t="s">
        <v>42</v>
      </c>
      <c r="B515" s="6" t="s">
        <v>2339</v>
      </c>
      <c r="C515" s="6" t="s">
        <v>1979</v>
      </c>
      <c r="D515" s="6" t="s">
        <v>2292</v>
      </c>
      <c r="E515" s="6">
        <v>1</v>
      </c>
      <c r="F515" s="6" t="s">
        <v>2004</v>
      </c>
      <c r="G515" s="32" t="s">
        <v>2299</v>
      </c>
      <c r="H515" s="32" t="s">
        <v>2300</v>
      </c>
      <c r="I515" s="6" t="str">
        <f t="shared" si="17"/>
        <v>Thumb Grapple</v>
      </c>
      <c r="J515" s="6" t="s">
        <v>59</v>
      </c>
      <c r="K515" s="6">
        <v>1</v>
      </c>
      <c r="L515" s="6">
        <f t="shared" si="18"/>
        <v>940000</v>
      </c>
      <c r="M515" s="6">
        <v>800000</v>
      </c>
      <c r="N515" s="6" t="s">
        <v>2003</v>
      </c>
      <c r="O515" s="6" t="s">
        <v>813</v>
      </c>
      <c r="P515" s="6">
        <v>2013</v>
      </c>
      <c r="Q515" s="6">
        <v>1</v>
      </c>
      <c r="R515" s="6" t="s">
        <v>45</v>
      </c>
      <c r="S515" s="32" t="s">
        <v>2113</v>
      </c>
      <c r="T515" s="6">
        <v>1</v>
      </c>
      <c r="U515" s="26">
        <v>700000</v>
      </c>
      <c r="V515" s="26">
        <v>700000</v>
      </c>
      <c r="W515" s="26">
        <v>700000</v>
      </c>
      <c r="X515" s="6" t="s">
        <v>2003</v>
      </c>
      <c r="Y515" s="6" t="s">
        <v>80</v>
      </c>
      <c r="Z515" s="6">
        <v>225313</v>
      </c>
    </row>
    <row r="516" spans="1:26" x14ac:dyDescent="0.3">
      <c r="A516" s="28" t="s">
        <v>42</v>
      </c>
      <c r="B516" s="6" t="s">
        <v>2344</v>
      </c>
      <c r="C516" s="6" t="s">
        <v>1980</v>
      </c>
      <c r="D516" s="6" t="s">
        <v>2292</v>
      </c>
      <c r="E516" s="6">
        <v>1</v>
      </c>
      <c r="F516" s="6" t="s">
        <v>2004</v>
      </c>
      <c r="G516" s="32" t="s">
        <v>2299</v>
      </c>
      <c r="H516" s="32" t="s">
        <v>2300</v>
      </c>
      <c r="I516" s="6" t="str">
        <f t="shared" si="17"/>
        <v>Small Bucket</v>
      </c>
      <c r="J516" s="6" t="s">
        <v>97</v>
      </c>
      <c r="K516" s="6">
        <v>1</v>
      </c>
      <c r="L516" s="6">
        <f t="shared" si="18"/>
        <v>880000</v>
      </c>
      <c r="M516" s="6">
        <v>750000</v>
      </c>
      <c r="N516" s="6" t="s">
        <v>2003</v>
      </c>
      <c r="O516" s="6" t="s">
        <v>797</v>
      </c>
      <c r="P516" s="6">
        <v>2015</v>
      </c>
      <c r="Q516" s="6">
        <v>7</v>
      </c>
      <c r="R516" s="6" t="s">
        <v>45</v>
      </c>
      <c r="S516" s="32" t="s">
        <v>2120</v>
      </c>
      <c r="T516" s="6">
        <v>1</v>
      </c>
      <c r="U516" s="26">
        <v>650000</v>
      </c>
      <c r="V516" s="26">
        <v>650000</v>
      </c>
      <c r="W516" s="26">
        <v>650000</v>
      </c>
      <c r="X516" s="6" t="s">
        <v>2003</v>
      </c>
      <c r="Y516" s="6" t="s">
        <v>1162</v>
      </c>
      <c r="Z516" s="6">
        <v>225315</v>
      </c>
    </row>
    <row r="517" spans="1:26" x14ac:dyDescent="0.3">
      <c r="A517" s="28" t="s">
        <v>42</v>
      </c>
      <c r="B517" s="6" t="s">
        <v>2342</v>
      </c>
      <c r="C517" s="6" t="s">
        <v>1982</v>
      </c>
      <c r="D517" s="6" t="s">
        <v>2292</v>
      </c>
      <c r="E517" s="6">
        <v>1</v>
      </c>
      <c r="F517" s="6" t="s">
        <v>2004</v>
      </c>
      <c r="G517" s="32" t="s">
        <v>2299</v>
      </c>
      <c r="H517" s="32" t="s">
        <v>2300</v>
      </c>
      <c r="I517" s="6" t="str">
        <f t="shared" si="17"/>
        <v>Standard Bucket</v>
      </c>
      <c r="J517" s="6" t="s">
        <v>140</v>
      </c>
      <c r="K517" s="6">
        <v>1</v>
      </c>
      <c r="L517" s="6">
        <f t="shared" si="18"/>
        <v>940000</v>
      </c>
      <c r="M517" s="6">
        <v>800000</v>
      </c>
      <c r="N517" s="6" t="s">
        <v>2003</v>
      </c>
      <c r="O517" s="6" t="s">
        <v>813</v>
      </c>
      <c r="P517" s="6">
        <v>2014</v>
      </c>
      <c r="Q517" s="6">
        <v>1</v>
      </c>
      <c r="R517" s="6" t="s">
        <v>45</v>
      </c>
      <c r="S517" s="32" t="s">
        <v>2113</v>
      </c>
      <c r="T517" s="6">
        <v>1</v>
      </c>
      <c r="U517" s="26">
        <v>700000</v>
      </c>
      <c r="V517" s="26">
        <v>700000</v>
      </c>
      <c r="W517" s="26">
        <v>700000</v>
      </c>
      <c r="X517" s="6" t="s">
        <v>2003</v>
      </c>
      <c r="Y517" s="6" t="s">
        <v>79</v>
      </c>
      <c r="Z517" s="6">
        <v>225323</v>
      </c>
    </row>
    <row r="518" spans="1:26" x14ac:dyDescent="0.3">
      <c r="A518" s="28" t="s">
        <v>42</v>
      </c>
      <c r="B518" s="6" t="s">
        <v>2342</v>
      </c>
      <c r="C518" s="6" t="s">
        <v>1982</v>
      </c>
      <c r="D518" s="6" t="s">
        <v>2292</v>
      </c>
      <c r="E518" s="6">
        <v>1</v>
      </c>
      <c r="F518" s="6" t="s">
        <v>2004</v>
      </c>
      <c r="G518" s="32" t="s">
        <v>2299</v>
      </c>
      <c r="H518" s="32" t="s">
        <v>2300</v>
      </c>
      <c r="I518" s="6" t="str">
        <f t="shared" si="17"/>
        <v>Standard Bucket</v>
      </c>
      <c r="J518" s="6" t="s">
        <v>249</v>
      </c>
      <c r="K518" s="6">
        <v>1</v>
      </c>
      <c r="L518" s="6">
        <f t="shared" si="18"/>
        <v>1050000</v>
      </c>
      <c r="M518" s="6">
        <v>900000</v>
      </c>
      <c r="N518" s="6" t="s">
        <v>2003</v>
      </c>
      <c r="O518" s="6" t="s">
        <v>813</v>
      </c>
      <c r="P518" s="6">
        <v>2014</v>
      </c>
      <c r="Q518" s="6">
        <v>1</v>
      </c>
      <c r="R518" s="6" t="s">
        <v>45</v>
      </c>
      <c r="S518" s="32" t="s">
        <v>2113</v>
      </c>
      <c r="T518" s="6">
        <v>1</v>
      </c>
      <c r="U518" s="26">
        <v>800000</v>
      </c>
      <c r="V518" s="26">
        <v>800000</v>
      </c>
      <c r="W518" s="26">
        <v>800000</v>
      </c>
      <c r="X518" s="6" t="s">
        <v>2003</v>
      </c>
      <c r="Y518" s="6" t="s">
        <v>80</v>
      </c>
      <c r="Z518" s="6">
        <v>225324</v>
      </c>
    </row>
    <row r="519" spans="1:26" x14ac:dyDescent="0.3">
      <c r="A519" s="28" t="s">
        <v>42</v>
      </c>
      <c r="B519" s="6" t="s">
        <v>2338</v>
      </c>
      <c r="C519" s="6" t="s">
        <v>1975</v>
      </c>
      <c r="D519" s="6" t="s">
        <v>2001</v>
      </c>
      <c r="E519" s="6">
        <v>1</v>
      </c>
      <c r="F519" s="6" t="s">
        <v>2004</v>
      </c>
      <c r="G519" s="32" t="s">
        <v>2299</v>
      </c>
      <c r="H519" s="32" t="s">
        <v>2300</v>
      </c>
      <c r="I519" s="6" t="str">
        <f t="shared" si="17"/>
        <v>Side Breaker</v>
      </c>
      <c r="J519" s="6" t="s">
        <v>632</v>
      </c>
      <c r="K519" s="6">
        <v>1</v>
      </c>
      <c r="L519" s="6">
        <f t="shared" si="18"/>
        <v>7640000</v>
      </c>
      <c r="M519" s="6">
        <v>6500000</v>
      </c>
      <c r="N519" s="6" t="s">
        <v>2003</v>
      </c>
      <c r="O519" s="6" t="s">
        <v>1015</v>
      </c>
      <c r="P519" s="6">
        <v>2010</v>
      </c>
      <c r="Q519" s="6">
        <v>1</v>
      </c>
      <c r="R519" s="6" t="s">
        <v>45</v>
      </c>
      <c r="S519" s="32" t="s">
        <v>2118</v>
      </c>
      <c r="T519" s="6">
        <v>1</v>
      </c>
      <c r="U519" s="26">
        <v>6000000</v>
      </c>
      <c r="V519" s="26">
        <v>6000000</v>
      </c>
      <c r="W519" s="26">
        <v>6000000</v>
      </c>
      <c r="X519" s="6" t="s">
        <v>2003</v>
      </c>
      <c r="Y519" s="6" t="s">
        <v>1292</v>
      </c>
      <c r="Z519" s="6">
        <v>225326</v>
      </c>
    </row>
    <row r="520" spans="1:26" x14ac:dyDescent="0.3">
      <c r="A520" s="28" t="s">
        <v>42</v>
      </c>
      <c r="B520" s="6" t="s">
        <v>2339</v>
      </c>
      <c r="C520" s="6" t="s">
        <v>1974</v>
      </c>
      <c r="D520" s="6" t="s">
        <v>2001</v>
      </c>
      <c r="E520" s="6">
        <v>1</v>
      </c>
      <c r="F520" s="6" t="s">
        <v>2004</v>
      </c>
      <c r="G520" s="32" t="s">
        <v>2299</v>
      </c>
      <c r="H520" s="32" t="s">
        <v>2300</v>
      </c>
      <c r="I520" s="6" t="str">
        <f t="shared" si="17"/>
        <v>Etc Grapple</v>
      </c>
      <c r="J520" s="6" t="s">
        <v>633</v>
      </c>
      <c r="K520" s="6">
        <v>1</v>
      </c>
      <c r="L520" s="6">
        <f t="shared" si="18"/>
        <v>8820000</v>
      </c>
      <c r="M520" s="6">
        <v>7500000</v>
      </c>
      <c r="N520" s="6" t="s">
        <v>2003</v>
      </c>
      <c r="O520" s="6" t="s">
        <v>1016</v>
      </c>
      <c r="P520" s="6">
        <v>2010</v>
      </c>
      <c r="Q520" s="6">
        <v>1</v>
      </c>
      <c r="R520" s="6" t="s">
        <v>45</v>
      </c>
      <c r="S520" s="32" t="s">
        <v>2118</v>
      </c>
      <c r="T520" s="6">
        <v>1</v>
      </c>
      <c r="U520" s="26">
        <v>7000000</v>
      </c>
      <c r="V520" s="26">
        <v>7000000</v>
      </c>
      <c r="W520" s="26">
        <v>7000000</v>
      </c>
      <c r="X520" s="6" t="s">
        <v>2003</v>
      </c>
      <c r="Y520" s="6" t="s">
        <v>1292</v>
      </c>
      <c r="Z520" s="6">
        <v>225327</v>
      </c>
    </row>
    <row r="521" spans="1:26" x14ac:dyDescent="0.3">
      <c r="A521" s="28" t="s">
        <v>42</v>
      </c>
      <c r="B521" s="6" t="s">
        <v>2344</v>
      </c>
      <c r="C521" s="6" t="s">
        <v>1976</v>
      </c>
      <c r="D521" s="6" t="s">
        <v>2291</v>
      </c>
      <c r="E521" s="6">
        <v>1</v>
      </c>
      <c r="F521" s="6" t="s">
        <v>2004</v>
      </c>
      <c r="G521" s="32" t="s">
        <v>2299</v>
      </c>
      <c r="H521" s="32" t="s">
        <v>2300</v>
      </c>
      <c r="I521" s="6" t="str">
        <f t="shared" si="17"/>
        <v>Skeleton Bucket</v>
      </c>
      <c r="J521" s="6" t="s">
        <v>634</v>
      </c>
      <c r="K521" s="6">
        <v>1</v>
      </c>
      <c r="L521" s="6">
        <f t="shared" si="18"/>
        <v>820000</v>
      </c>
      <c r="M521" s="6">
        <v>700000</v>
      </c>
      <c r="N521" s="6" t="s">
        <v>2003</v>
      </c>
      <c r="O521" s="6" t="s">
        <v>2007</v>
      </c>
      <c r="P521" s="6">
        <v>2017</v>
      </c>
      <c r="Q521" s="6">
        <v>1</v>
      </c>
      <c r="R521" s="6" t="s">
        <v>45</v>
      </c>
      <c r="S521" s="32" t="s">
        <v>2113</v>
      </c>
      <c r="T521" s="6">
        <v>1</v>
      </c>
      <c r="U521" s="26">
        <v>600000</v>
      </c>
      <c r="V521" s="26">
        <v>600000</v>
      </c>
      <c r="W521" s="26">
        <v>600000</v>
      </c>
      <c r="X521" s="6" t="s">
        <v>2003</v>
      </c>
      <c r="Y521" s="6" t="s">
        <v>49</v>
      </c>
      <c r="Z521" s="6">
        <v>225330</v>
      </c>
    </row>
    <row r="522" spans="1:26" x14ac:dyDescent="0.3">
      <c r="A522" s="28" t="s">
        <v>42</v>
      </c>
      <c r="B522" s="6" t="s">
        <v>2344</v>
      </c>
      <c r="C522" s="19" t="s">
        <v>1982</v>
      </c>
      <c r="D522" s="6" t="s">
        <v>2289</v>
      </c>
      <c r="E522" s="6">
        <v>1</v>
      </c>
      <c r="F522" s="6" t="s">
        <v>2004</v>
      </c>
      <c r="G522" s="32" t="s">
        <v>2299</v>
      </c>
      <c r="H522" s="32" t="s">
        <v>2300</v>
      </c>
      <c r="I522" s="6" t="str">
        <f t="shared" si="17"/>
        <v>Standard Bucket</v>
      </c>
      <c r="J522" s="6" t="s">
        <v>236</v>
      </c>
      <c r="K522" s="6">
        <v>1</v>
      </c>
      <c r="L522" s="6">
        <f t="shared" si="18"/>
        <v>4940000</v>
      </c>
      <c r="M522" s="6">
        <v>4200000</v>
      </c>
      <c r="N522" s="6" t="s">
        <v>2003</v>
      </c>
      <c r="O522" s="6" t="s">
        <v>54</v>
      </c>
      <c r="P522" s="6">
        <v>2011</v>
      </c>
      <c r="Q522" s="6">
        <v>1</v>
      </c>
      <c r="R522" s="6" t="s">
        <v>45</v>
      </c>
      <c r="S522" s="32" t="s">
        <v>2114</v>
      </c>
      <c r="T522" s="6">
        <v>1</v>
      </c>
      <c r="U522" s="26">
        <v>4000000</v>
      </c>
      <c r="V522" s="26">
        <v>4000000</v>
      </c>
      <c r="W522" s="26">
        <v>4000000</v>
      </c>
      <c r="X522" s="6" t="s">
        <v>2003</v>
      </c>
      <c r="Y522" s="6" t="s">
        <v>54</v>
      </c>
      <c r="Z522" s="6">
        <v>225331</v>
      </c>
    </row>
    <row r="523" spans="1:26" x14ac:dyDescent="0.3">
      <c r="A523" s="28" t="s">
        <v>42</v>
      </c>
      <c r="B523" s="6" t="s">
        <v>2342</v>
      </c>
      <c r="C523" s="6" t="s">
        <v>1982</v>
      </c>
      <c r="D523" s="6" t="s">
        <v>2292</v>
      </c>
      <c r="E523" s="6">
        <v>1</v>
      </c>
      <c r="F523" s="6" t="s">
        <v>2004</v>
      </c>
      <c r="G523" s="32" t="s">
        <v>2299</v>
      </c>
      <c r="H523" s="32" t="s">
        <v>2300</v>
      </c>
      <c r="I523" s="6" t="str">
        <f t="shared" ref="I523:I586" si="19">IF(ISBLANK(C523),B523,C523)</f>
        <v>Standard Bucket</v>
      </c>
      <c r="J523" s="6" t="s">
        <v>147</v>
      </c>
      <c r="K523" s="6">
        <v>1</v>
      </c>
      <c r="L523" s="6">
        <f t="shared" ref="L523:L586" si="20">FLOOR(((M523*100)/85)/10000, 1)*10000</f>
        <v>1000000</v>
      </c>
      <c r="M523" s="6">
        <v>850000</v>
      </c>
      <c r="N523" s="6" t="s">
        <v>2003</v>
      </c>
      <c r="O523" s="6" t="s">
        <v>813</v>
      </c>
      <c r="P523" s="6">
        <v>2014</v>
      </c>
      <c r="Q523" s="6">
        <v>1</v>
      </c>
      <c r="R523" s="6" t="s">
        <v>45</v>
      </c>
      <c r="S523" s="32" t="s">
        <v>2113</v>
      </c>
      <c r="T523" s="6">
        <v>1</v>
      </c>
      <c r="U523" s="26">
        <v>750000</v>
      </c>
      <c r="V523" s="26">
        <v>750000</v>
      </c>
      <c r="W523" s="26">
        <v>750000</v>
      </c>
      <c r="X523" s="6" t="s">
        <v>2003</v>
      </c>
      <c r="Y523" s="6" t="s">
        <v>79</v>
      </c>
      <c r="Z523" s="6">
        <v>225332</v>
      </c>
    </row>
    <row r="524" spans="1:26" x14ac:dyDescent="0.3">
      <c r="A524" s="28" t="s">
        <v>42</v>
      </c>
      <c r="B524" s="6" t="s">
        <v>2340</v>
      </c>
      <c r="C524" s="6"/>
      <c r="D524" s="6" t="s">
        <v>2292</v>
      </c>
      <c r="E524" s="6">
        <v>1</v>
      </c>
      <c r="F524" s="6" t="s">
        <v>2004</v>
      </c>
      <c r="G524" s="32" t="s">
        <v>2299</v>
      </c>
      <c r="H524" s="32" t="s">
        <v>2300</v>
      </c>
      <c r="I524" s="6" t="str">
        <f t="shared" si="19"/>
        <v>ETC</v>
      </c>
      <c r="J524" s="6" t="s">
        <v>418</v>
      </c>
      <c r="K524" s="6">
        <v>1</v>
      </c>
      <c r="L524" s="6">
        <f t="shared" si="20"/>
        <v>7050000</v>
      </c>
      <c r="M524" s="6">
        <v>6000000</v>
      </c>
      <c r="N524" s="6" t="s">
        <v>2003</v>
      </c>
      <c r="O524" s="6" t="s">
        <v>813</v>
      </c>
      <c r="P524" s="6">
        <v>2016</v>
      </c>
      <c r="Q524" s="6">
        <v>1</v>
      </c>
      <c r="R524" s="6" t="s">
        <v>45</v>
      </c>
      <c r="S524" s="32" t="s">
        <v>2113</v>
      </c>
      <c r="T524" s="6">
        <v>1</v>
      </c>
      <c r="U524" s="26">
        <v>5500000</v>
      </c>
      <c r="V524" s="26">
        <v>5500000</v>
      </c>
      <c r="W524" s="26">
        <v>5500000</v>
      </c>
      <c r="X524" s="6" t="s">
        <v>2003</v>
      </c>
      <c r="Y524" s="6" t="s">
        <v>80</v>
      </c>
      <c r="Z524" s="6">
        <v>225335</v>
      </c>
    </row>
    <row r="525" spans="1:26" x14ac:dyDescent="0.3">
      <c r="A525" s="28" t="s">
        <v>42</v>
      </c>
      <c r="B525" s="6" t="s">
        <v>2344</v>
      </c>
      <c r="C525" s="19" t="s">
        <v>1982</v>
      </c>
      <c r="D525" s="6" t="s">
        <v>2001</v>
      </c>
      <c r="E525" s="6">
        <v>1</v>
      </c>
      <c r="F525" s="6" t="s">
        <v>2004</v>
      </c>
      <c r="G525" s="32" t="s">
        <v>2299</v>
      </c>
      <c r="H525" s="32" t="s">
        <v>2300</v>
      </c>
      <c r="I525" s="6" t="str">
        <f t="shared" si="19"/>
        <v>Standard Bucket</v>
      </c>
      <c r="J525" s="6" t="s">
        <v>354</v>
      </c>
      <c r="K525" s="6">
        <v>1</v>
      </c>
      <c r="L525" s="6">
        <f t="shared" si="20"/>
        <v>1880000</v>
      </c>
      <c r="M525" s="6">
        <v>1600000</v>
      </c>
      <c r="N525" s="6" t="s">
        <v>2003</v>
      </c>
      <c r="O525" s="6" t="s">
        <v>964</v>
      </c>
      <c r="P525" s="6">
        <v>2015</v>
      </c>
      <c r="Q525" s="6">
        <v>10</v>
      </c>
      <c r="R525" s="6" t="s">
        <v>45</v>
      </c>
      <c r="S525" s="32" t="s">
        <v>2122</v>
      </c>
      <c r="T525" s="6">
        <v>1</v>
      </c>
      <c r="U525" s="26">
        <v>1500000</v>
      </c>
      <c r="V525" s="26">
        <v>1500000</v>
      </c>
      <c r="W525" s="26">
        <v>1500000</v>
      </c>
      <c r="X525" s="6" t="s">
        <v>2003</v>
      </c>
      <c r="Y525" s="6" t="s">
        <v>1238</v>
      </c>
      <c r="Z525" s="6">
        <v>225336</v>
      </c>
    </row>
    <row r="526" spans="1:26" x14ac:dyDescent="0.3">
      <c r="A526" s="28" t="s">
        <v>42</v>
      </c>
      <c r="B526" s="6" t="s">
        <v>2343</v>
      </c>
      <c r="C526" s="6"/>
      <c r="D526" s="6" t="s">
        <v>2292</v>
      </c>
      <c r="E526" s="6">
        <v>1</v>
      </c>
      <c r="F526" s="6" t="s">
        <v>2004</v>
      </c>
      <c r="G526" s="32" t="s">
        <v>2299</v>
      </c>
      <c r="H526" s="32" t="s">
        <v>2300</v>
      </c>
      <c r="I526" s="6" t="str">
        <f t="shared" si="19"/>
        <v>Lift Fork</v>
      </c>
      <c r="J526" s="6" t="s">
        <v>555</v>
      </c>
      <c r="K526" s="6">
        <v>1</v>
      </c>
      <c r="L526" s="6">
        <f t="shared" si="20"/>
        <v>820000</v>
      </c>
      <c r="M526" s="6">
        <v>700000</v>
      </c>
      <c r="N526" s="6" t="s">
        <v>2003</v>
      </c>
      <c r="O526" s="6" t="s">
        <v>1017</v>
      </c>
      <c r="P526" s="6">
        <v>2013</v>
      </c>
      <c r="Q526" s="6">
        <v>1</v>
      </c>
      <c r="R526" s="6" t="s">
        <v>45</v>
      </c>
      <c r="S526" s="32" t="s">
        <v>2119</v>
      </c>
      <c r="T526" s="6">
        <v>1</v>
      </c>
      <c r="U526" s="26">
        <v>600000</v>
      </c>
      <c r="V526" s="26">
        <v>600000</v>
      </c>
      <c r="W526" s="26">
        <v>600000</v>
      </c>
      <c r="X526" s="6" t="s">
        <v>2003</v>
      </c>
      <c r="Y526" s="6" t="s">
        <v>1277</v>
      </c>
      <c r="Z526" s="6">
        <v>225337</v>
      </c>
    </row>
    <row r="527" spans="1:26" x14ac:dyDescent="0.3">
      <c r="A527" s="28" t="s">
        <v>42</v>
      </c>
      <c r="B527" s="6" t="s">
        <v>2343</v>
      </c>
      <c r="C527" s="6"/>
      <c r="D527" s="6" t="s">
        <v>2291</v>
      </c>
      <c r="E527" s="6">
        <v>1</v>
      </c>
      <c r="F527" s="6" t="s">
        <v>2004</v>
      </c>
      <c r="G527" s="32" t="s">
        <v>2299</v>
      </c>
      <c r="H527" s="32" t="s">
        <v>2300</v>
      </c>
      <c r="I527" s="6" t="str">
        <f t="shared" si="19"/>
        <v>Lift Fork</v>
      </c>
      <c r="J527" s="6" t="s">
        <v>617</v>
      </c>
      <c r="K527" s="6">
        <v>1</v>
      </c>
      <c r="L527" s="6">
        <f t="shared" si="20"/>
        <v>1050000</v>
      </c>
      <c r="M527" s="6">
        <v>900000</v>
      </c>
      <c r="N527" s="6" t="s">
        <v>2003</v>
      </c>
      <c r="O527" s="6" t="s">
        <v>2011</v>
      </c>
      <c r="P527" s="6">
        <v>2017</v>
      </c>
      <c r="Q527" s="6">
        <v>2</v>
      </c>
      <c r="R527" s="6" t="s">
        <v>45</v>
      </c>
      <c r="S527" s="32" t="s">
        <v>2123</v>
      </c>
      <c r="T527" s="6">
        <v>1</v>
      </c>
      <c r="U527" s="26">
        <v>800000</v>
      </c>
      <c r="V527" s="26">
        <v>800000</v>
      </c>
      <c r="W527" s="26">
        <v>800000</v>
      </c>
      <c r="X527" s="6" t="s">
        <v>2003</v>
      </c>
      <c r="Y527" s="6" t="s">
        <v>1200</v>
      </c>
      <c r="Z527" s="6">
        <v>225338</v>
      </c>
    </row>
    <row r="528" spans="1:26" x14ac:dyDescent="0.3">
      <c r="A528" s="28" t="s">
        <v>42</v>
      </c>
      <c r="B528" s="6" t="s">
        <v>2341</v>
      </c>
      <c r="C528" s="6" t="s">
        <v>2321</v>
      </c>
      <c r="D528" s="6" t="s">
        <v>2292</v>
      </c>
      <c r="E528" s="6">
        <v>1</v>
      </c>
      <c r="F528" s="6" t="s">
        <v>2004</v>
      </c>
      <c r="G528" s="32" t="s">
        <v>2299</v>
      </c>
      <c r="H528" s="32" t="s">
        <v>2300</v>
      </c>
      <c r="I528" s="6" t="str">
        <f t="shared" si="19"/>
        <v>Etc Crusher</v>
      </c>
      <c r="J528" s="6" t="s">
        <v>103</v>
      </c>
      <c r="K528" s="6">
        <v>1</v>
      </c>
      <c r="L528" s="6">
        <f t="shared" si="20"/>
        <v>11760000</v>
      </c>
      <c r="M528" s="6">
        <v>10000000</v>
      </c>
      <c r="N528" s="6" t="s">
        <v>2003</v>
      </c>
      <c r="O528" s="6" t="s">
        <v>814</v>
      </c>
      <c r="P528" s="6">
        <v>2016</v>
      </c>
      <c r="Q528" s="6">
        <v>4</v>
      </c>
      <c r="R528" s="6" t="s">
        <v>45</v>
      </c>
      <c r="S528" s="32" t="s">
        <v>2119</v>
      </c>
      <c r="T528" s="6">
        <v>1</v>
      </c>
      <c r="U528" s="26">
        <v>9500000</v>
      </c>
      <c r="V528" s="26">
        <v>9500000</v>
      </c>
      <c r="W528" s="26">
        <v>9500000</v>
      </c>
      <c r="X528" s="6" t="s">
        <v>2003</v>
      </c>
      <c r="Y528" s="6" t="s">
        <v>1194</v>
      </c>
      <c r="Z528" s="6">
        <v>225339</v>
      </c>
    </row>
    <row r="529" spans="1:26" x14ac:dyDescent="0.3">
      <c r="A529" s="28" t="s">
        <v>42</v>
      </c>
      <c r="B529" s="6" t="s">
        <v>2343</v>
      </c>
      <c r="C529" s="6"/>
      <c r="D529" s="6" t="s">
        <v>2292</v>
      </c>
      <c r="E529" s="6">
        <v>1</v>
      </c>
      <c r="F529" s="6" t="s">
        <v>2004</v>
      </c>
      <c r="G529" s="32" t="s">
        <v>2299</v>
      </c>
      <c r="H529" s="32" t="s">
        <v>2300</v>
      </c>
      <c r="I529" s="6" t="str">
        <f t="shared" si="19"/>
        <v>Lift Fork</v>
      </c>
      <c r="J529" s="6" t="s">
        <v>102</v>
      </c>
      <c r="K529" s="6">
        <v>1</v>
      </c>
      <c r="L529" s="6">
        <f t="shared" si="20"/>
        <v>880000</v>
      </c>
      <c r="M529" s="6">
        <v>750000</v>
      </c>
      <c r="N529" s="6" t="s">
        <v>2003</v>
      </c>
      <c r="O529" s="6" t="s">
        <v>813</v>
      </c>
      <c r="P529" s="6">
        <v>2013</v>
      </c>
      <c r="Q529" s="6">
        <v>1</v>
      </c>
      <c r="R529" s="6" t="s">
        <v>45</v>
      </c>
      <c r="S529" s="32" t="s">
        <v>2113</v>
      </c>
      <c r="T529" s="6">
        <v>1</v>
      </c>
      <c r="U529" s="26">
        <v>650000</v>
      </c>
      <c r="V529" s="26">
        <v>650000</v>
      </c>
      <c r="W529" s="26">
        <v>650000</v>
      </c>
      <c r="X529" s="6" t="s">
        <v>2003</v>
      </c>
      <c r="Y529" s="6" t="s">
        <v>80</v>
      </c>
      <c r="Z529" s="6">
        <v>225344</v>
      </c>
    </row>
    <row r="530" spans="1:26" x14ac:dyDescent="0.3">
      <c r="A530" s="28" t="s">
        <v>42</v>
      </c>
      <c r="B530" s="6" t="s">
        <v>2339</v>
      </c>
      <c r="C530" s="6" t="s">
        <v>1972</v>
      </c>
      <c r="D530" s="6" t="s">
        <v>2001</v>
      </c>
      <c r="E530" s="6">
        <v>1</v>
      </c>
      <c r="F530" s="6" t="s">
        <v>2004</v>
      </c>
      <c r="G530" s="32" t="s">
        <v>2299</v>
      </c>
      <c r="H530" s="32" t="s">
        <v>2300</v>
      </c>
      <c r="I530" s="6" t="str">
        <f t="shared" si="19"/>
        <v>Stone Grapple</v>
      </c>
      <c r="J530" s="6" t="s">
        <v>472</v>
      </c>
      <c r="K530" s="6">
        <v>1</v>
      </c>
      <c r="L530" s="6">
        <f t="shared" si="20"/>
        <v>12350000</v>
      </c>
      <c r="M530" s="6">
        <v>10500000</v>
      </c>
      <c r="N530" s="6" t="s">
        <v>2003</v>
      </c>
      <c r="O530" s="6" t="s">
        <v>814</v>
      </c>
      <c r="P530" s="6">
        <v>2016</v>
      </c>
      <c r="Q530" s="6">
        <v>5</v>
      </c>
      <c r="R530" s="6" t="s">
        <v>45</v>
      </c>
      <c r="S530" s="32" t="s">
        <v>2119</v>
      </c>
      <c r="T530" s="6">
        <v>1</v>
      </c>
      <c r="U530" s="26">
        <v>10000000</v>
      </c>
      <c r="V530" s="26">
        <v>10000000</v>
      </c>
      <c r="W530" s="26">
        <v>10000000</v>
      </c>
      <c r="X530" s="6" t="s">
        <v>2003</v>
      </c>
      <c r="Y530" s="6" t="s">
        <v>1194</v>
      </c>
      <c r="Z530" s="6">
        <v>225346</v>
      </c>
    </row>
    <row r="531" spans="1:26" x14ac:dyDescent="0.3">
      <c r="A531" s="28" t="s">
        <v>42</v>
      </c>
      <c r="B531" s="6" t="s">
        <v>2338</v>
      </c>
      <c r="C531" s="6" t="s">
        <v>1975</v>
      </c>
      <c r="D531" s="6" t="s">
        <v>2001</v>
      </c>
      <c r="E531" s="6">
        <v>1</v>
      </c>
      <c r="F531" s="6" t="s">
        <v>2004</v>
      </c>
      <c r="G531" s="32" t="s">
        <v>2299</v>
      </c>
      <c r="H531" s="32" t="s">
        <v>2300</v>
      </c>
      <c r="I531" s="6" t="str">
        <f t="shared" si="19"/>
        <v>Side Breaker</v>
      </c>
      <c r="J531" s="6" t="s">
        <v>150</v>
      </c>
      <c r="K531" s="6">
        <v>1</v>
      </c>
      <c r="L531" s="6">
        <f t="shared" si="20"/>
        <v>7050000</v>
      </c>
      <c r="M531" s="6">
        <v>6000000</v>
      </c>
      <c r="N531" s="6" t="s">
        <v>2003</v>
      </c>
      <c r="O531" s="6" t="s">
        <v>1018</v>
      </c>
      <c r="P531" s="6">
        <v>2005</v>
      </c>
      <c r="Q531" s="6">
        <v>1</v>
      </c>
      <c r="R531" s="6" t="s">
        <v>45</v>
      </c>
      <c r="S531" s="32" t="s">
        <v>2114</v>
      </c>
      <c r="T531" s="6">
        <v>1</v>
      </c>
      <c r="U531" s="26">
        <v>5500000</v>
      </c>
      <c r="V531" s="26">
        <v>5500000</v>
      </c>
      <c r="W531" s="26">
        <v>5500000</v>
      </c>
      <c r="X531" s="6" t="s">
        <v>2003</v>
      </c>
      <c r="Y531" s="6" t="s">
        <v>830</v>
      </c>
      <c r="Z531" s="6">
        <v>225348</v>
      </c>
    </row>
    <row r="532" spans="1:26" x14ac:dyDescent="0.3">
      <c r="A532" s="28" t="s">
        <v>42</v>
      </c>
      <c r="B532" s="6" t="s">
        <v>2344</v>
      </c>
      <c r="C532" s="6" t="s">
        <v>1980</v>
      </c>
      <c r="D532" s="6" t="s">
        <v>2292</v>
      </c>
      <c r="E532" s="6">
        <v>1</v>
      </c>
      <c r="F532" s="6" t="s">
        <v>2004</v>
      </c>
      <c r="G532" s="32" t="s">
        <v>2299</v>
      </c>
      <c r="H532" s="32" t="s">
        <v>2300</v>
      </c>
      <c r="I532" s="6" t="str">
        <f t="shared" si="19"/>
        <v>Small Bucket</v>
      </c>
      <c r="J532" s="6" t="s">
        <v>309</v>
      </c>
      <c r="K532" s="6">
        <v>1</v>
      </c>
      <c r="L532" s="6">
        <f t="shared" si="20"/>
        <v>880000</v>
      </c>
      <c r="M532" s="6">
        <v>750000</v>
      </c>
      <c r="N532" s="6" t="s">
        <v>2003</v>
      </c>
      <c r="O532" s="6" t="s">
        <v>2007</v>
      </c>
      <c r="P532" s="6">
        <v>2014</v>
      </c>
      <c r="Q532" s="6">
        <v>1</v>
      </c>
      <c r="R532" s="6" t="s">
        <v>45</v>
      </c>
      <c r="S532" s="32" t="s">
        <v>2113</v>
      </c>
      <c r="T532" s="6">
        <v>1</v>
      </c>
      <c r="U532" s="26">
        <v>650000</v>
      </c>
      <c r="V532" s="26">
        <v>650000</v>
      </c>
      <c r="W532" s="26">
        <v>650000</v>
      </c>
      <c r="X532" s="6" t="s">
        <v>2003</v>
      </c>
      <c r="Y532" s="6" t="s">
        <v>49</v>
      </c>
      <c r="Z532" s="6">
        <v>225355</v>
      </c>
    </row>
    <row r="533" spans="1:26" x14ac:dyDescent="0.3">
      <c r="A533" s="28" t="s">
        <v>42</v>
      </c>
      <c r="B533" s="6" t="s">
        <v>2344</v>
      </c>
      <c r="C533" s="19" t="s">
        <v>2209</v>
      </c>
      <c r="D533" s="6" t="s">
        <v>2289</v>
      </c>
      <c r="E533" s="6">
        <v>1</v>
      </c>
      <c r="F533" s="6" t="s">
        <v>2004</v>
      </c>
      <c r="G533" s="32" t="s">
        <v>2299</v>
      </c>
      <c r="H533" s="32" t="s">
        <v>2300</v>
      </c>
      <c r="I533" s="6" t="str">
        <f t="shared" si="19"/>
        <v>Etc Bucket</v>
      </c>
      <c r="J533" s="6" t="s">
        <v>372</v>
      </c>
      <c r="K533" s="6">
        <v>1</v>
      </c>
      <c r="L533" s="6">
        <f t="shared" si="20"/>
        <v>4700000</v>
      </c>
      <c r="M533" s="6">
        <v>4000000</v>
      </c>
      <c r="N533" s="6" t="s">
        <v>2003</v>
      </c>
      <c r="O533" s="6" t="s">
        <v>1044</v>
      </c>
      <c r="P533" s="6">
        <v>2015</v>
      </c>
      <c r="Q533" s="6">
        <v>10</v>
      </c>
      <c r="R533" s="6" t="s">
        <v>45</v>
      </c>
      <c r="S533" s="32" t="s">
        <v>2122</v>
      </c>
      <c r="T533" s="6">
        <v>1</v>
      </c>
      <c r="U533" s="26">
        <v>3800000</v>
      </c>
      <c r="V533" s="26">
        <v>3800000</v>
      </c>
      <c r="W533" s="26">
        <v>3800000</v>
      </c>
      <c r="X533" s="6" t="s">
        <v>2003</v>
      </c>
      <c r="Y533" s="6" t="s">
        <v>1238</v>
      </c>
      <c r="Z533" s="6">
        <v>225361</v>
      </c>
    </row>
    <row r="534" spans="1:26" x14ac:dyDescent="0.3">
      <c r="A534" s="28" t="s">
        <v>42</v>
      </c>
      <c r="B534" s="6" t="s">
        <v>2344</v>
      </c>
      <c r="C534" s="6" t="s">
        <v>1977</v>
      </c>
      <c r="D534" s="6" t="s">
        <v>2291</v>
      </c>
      <c r="E534" s="6">
        <v>1</v>
      </c>
      <c r="F534" s="6" t="s">
        <v>2004</v>
      </c>
      <c r="G534" s="32" t="s">
        <v>2299</v>
      </c>
      <c r="H534" s="32" t="s">
        <v>2300</v>
      </c>
      <c r="I534" s="6" t="str">
        <f t="shared" si="19"/>
        <v>Wide Bucket</v>
      </c>
      <c r="J534" s="6" t="s">
        <v>271</v>
      </c>
      <c r="K534" s="6">
        <v>1</v>
      </c>
      <c r="L534" s="6">
        <f t="shared" si="20"/>
        <v>410000</v>
      </c>
      <c r="M534" s="6">
        <v>350000</v>
      </c>
      <c r="N534" s="6" t="s">
        <v>2003</v>
      </c>
      <c r="O534" s="6" t="s">
        <v>1065</v>
      </c>
      <c r="P534" s="6">
        <v>2013</v>
      </c>
      <c r="Q534" s="6">
        <v>1</v>
      </c>
      <c r="R534" s="6" t="s">
        <v>45</v>
      </c>
      <c r="S534" s="32" t="s">
        <v>2122</v>
      </c>
      <c r="T534" s="6">
        <v>1</v>
      </c>
      <c r="U534" s="26">
        <v>300000</v>
      </c>
      <c r="V534" s="26">
        <v>300000</v>
      </c>
      <c r="W534" s="26">
        <v>300000</v>
      </c>
      <c r="X534" s="6" t="s">
        <v>2003</v>
      </c>
      <c r="Y534" s="6" t="s">
        <v>1305</v>
      </c>
      <c r="Z534" s="6">
        <v>225363</v>
      </c>
    </row>
    <row r="535" spans="1:26" x14ac:dyDescent="0.3">
      <c r="A535" s="28" t="s">
        <v>42</v>
      </c>
      <c r="B535" s="6" t="s">
        <v>2339</v>
      </c>
      <c r="C535" s="6" t="s">
        <v>1972</v>
      </c>
      <c r="D535" s="6" t="s">
        <v>2291</v>
      </c>
      <c r="E535" s="6">
        <v>1</v>
      </c>
      <c r="F535" s="6" t="s">
        <v>2004</v>
      </c>
      <c r="G535" s="32" t="s">
        <v>2299</v>
      </c>
      <c r="H535" s="32" t="s">
        <v>2300</v>
      </c>
      <c r="I535" s="6" t="str">
        <f t="shared" si="19"/>
        <v>Stone Grapple</v>
      </c>
      <c r="J535" s="6" t="s">
        <v>294</v>
      </c>
      <c r="K535" s="6">
        <v>1</v>
      </c>
      <c r="L535" s="6">
        <f t="shared" si="20"/>
        <v>4350000</v>
      </c>
      <c r="M535" s="6">
        <v>3700000</v>
      </c>
      <c r="N535" s="6" t="s">
        <v>2003</v>
      </c>
      <c r="O535" s="6" t="s">
        <v>2064</v>
      </c>
      <c r="P535" s="6">
        <v>2016</v>
      </c>
      <c r="Q535" s="6">
        <v>1</v>
      </c>
      <c r="R535" s="6" t="s">
        <v>45</v>
      </c>
      <c r="S535" s="32" t="s">
        <v>2113</v>
      </c>
      <c r="T535" s="6">
        <v>1</v>
      </c>
      <c r="U535" s="26">
        <v>3500000</v>
      </c>
      <c r="V535" s="26">
        <v>3500000</v>
      </c>
      <c r="W535" s="26">
        <v>3500000</v>
      </c>
      <c r="X535" s="6" t="s">
        <v>2003</v>
      </c>
      <c r="Y535" s="6" t="s">
        <v>49</v>
      </c>
      <c r="Z535" s="6">
        <v>225368</v>
      </c>
    </row>
    <row r="536" spans="1:26" x14ac:dyDescent="0.3">
      <c r="A536" s="28" t="s">
        <v>42</v>
      </c>
      <c r="B536" s="6" t="s">
        <v>2339</v>
      </c>
      <c r="C536" s="6" t="s">
        <v>1972</v>
      </c>
      <c r="D536" s="6" t="s">
        <v>2292</v>
      </c>
      <c r="E536" s="6">
        <v>1</v>
      </c>
      <c r="F536" s="6" t="s">
        <v>2004</v>
      </c>
      <c r="G536" s="32" t="s">
        <v>2299</v>
      </c>
      <c r="H536" s="32" t="s">
        <v>2300</v>
      </c>
      <c r="I536" s="6" t="str">
        <f t="shared" si="19"/>
        <v>Stone Grapple</v>
      </c>
      <c r="J536" s="6" t="s">
        <v>44</v>
      </c>
      <c r="K536" s="6">
        <v>1</v>
      </c>
      <c r="L536" s="6">
        <f t="shared" si="20"/>
        <v>2940000</v>
      </c>
      <c r="M536" s="6">
        <v>2500000</v>
      </c>
      <c r="N536" s="6" t="s">
        <v>2003</v>
      </c>
      <c r="O536" s="6" t="s">
        <v>2065</v>
      </c>
      <c r="P536" s="6">
        <v>2013</v>
      </c>
      <c r="Q536" s="6">
        <v>1</v>
      </c>
      <c r="R536" s="6" t="s">
        <v>45</v>
      </c>
      <c r="S536" s="32" t="s">
        <v>2113</v>
      </c>
      <c r="T536" s="6">
        <v>1</v>
      </c>
      <c r="U536" s="26">
        <v>2300000</v>
      </c>
      <c r="V536" s="26">
        <v>2300000</v>
      </c>
      <c r="W536" s="26">
        <v>2300000</v>
      </c>
      <c r="X536" s="6" t="s">
        <v>2003</v>
      </c>
      <c r="Y536" s="6" t="s">
        <v>49</v>
      </c>
      <c r="Z536" s="6">
        <v>225369</v>
      </c>
    </row>
    <row r="537" spans="1:26" x14ac:dyDescent="0.3">
      <c r="A537" s="28" t="s">
        <v>42</v>
      </c>
      <c r="B537" s="6" t="s">
        <v>2338</v>
      </c>
      <c r="C537" s="6" t="s">
        <v>1975</v>
      </c>
      <c r="D537" s="6" t="s">
        <v>2292</v>
      </c>
      <c r="E537" s="6">
        <v>1</v>
      </c>
      <c r="F537" s="6" t="s">
        <v>2004</v>
      </c>
      <c r="G537" s="32" t="s">
        <v>2299</v>
      </c>
      <c r="H537" s="32" t="s">
        <v>2300</v>
      </c>
      <c r="I537" s="6" t="str">
        <f t="shared" si="19"/>
        <v>Side Breaker</v>
      </c>
      <c r="J537" s="6" t="s">
        <v>119</v>
      </c>
      <c r="K537" s="6">
        <v>1</v>
      </c>
      <c r="L537" s="6">
        <f t="shared" si="20"/>
        <v>2230000</v>
      </c>
      <c r="M537" s="6">
        <v>1900000</v>
      </c>
      <c r="N537" s="6" t="s">
        <v>2003</v>
      </c>
      <c r="O537" s="6" t="s">
        <v>830</v>
      </c>
      <c r="P537" s="6">
        <v>2007</v>
      </c>
      <c r="Q537" s="6">
        <v>1</v>
      </c>
      <c r="R537" s="6" t="s">
        <v>45</v>
      </c>
      <c r="S537" s="32" t="s">
        <v>2114</v>
      </c>
      <c r="T537" s="6">
        <v>1</v>
      </c>
      <c r="U537" s="26">
        <v>1800000</v>
      </c>
      <c r="V537" s="26">
        <v>1800000</v>
      </c>
      <c r="W537" s="26">
        <v>1800000</v>
      </c>
      <c r="X537" s="6" t="s">
        <v>2003</v>
      </c>
      <c r="Y537" s="6" t="s">
        <v>830</v>
      </c>
      <c r="Z537" s="6">
        <v>225375</v>
      </c>
    </row>
    <row r="538" spans="1:26" x14ac:dyDescent="0.3">
      <c r="A538" s="28" t="s">
        <v>42</v>
      </c>
      <c r="B538" s="6" t="s">
        <v>2340</v>
      </c>
      <c r="C538" s="6"/>
      <c r="D538" s="6" t="s">
        <v>2291</v>
      </c>
      <c r="E538" s="6">
        <v>1</v>
      </c>
      <c r="F538" s="6" t="s">
        <v>2004</v>
      </c>
      <c r="G538" s="32" t="s">
        <v>2299</v>
      </c>
      <c r="H538" s="32" t="s">
        <v>2300</v>
      </c>
      <c r="I538" s="6" t="str">
        <f t="shared" si="19"/>
        <v>ETC</v>
      </c>
      <c r="J538" s="6" t="s">
        <v>640</v>
      </c>
      <c r="K538" s="6">
        <v>1</v>
      </c>
      <c r="L538" s="6">
        <f t="shared" si="20"/>
        <v>350000</v>
      </c>
      <c r="M538" s="6">
        <v>300000</v>
      </c>
      <c r="N538" s="6" t="s">
        <v>2003</v>
      </c>
      <c r="O538" s="6" t="s">
        <v>2011</v>
      </c>
      <c r="P538" s="6">
        <v>2015</v>
      </c>
      <c r="Q538" s="6">
        <v>6</v>
      </c>
      <c r="R538" s="6" t="s">
        <v>45</v>
      </c>
      <c r="S538" s="32" t="s">
        <v>2123</v>
      </c>
      <c r="T538" s="6">
        <v>1</v>
      </c>
      <c r="U538" s="26">
        <v>250000</v>
      </c>
      <c r="V538" s="26">
        <v>250000</v>
      </c>
      <c r="W538" s="26">
        <v>250000</v>
      </c>
      <c r="X538" s="6" t="s">
        <v>2003</v>
      </c>
      <c r="Y538" s="6" t="s">
        <v>1200</v>
      </c>
      <c r="Z538" s="6">
        <v>225377</v>
      </c>
    </row>
    <row r="539" spans="1:26" x14ac:dyDescent="0.3">
      <c r="A539" s="28" t="s">
        <v>42</v>
      </c>
      <c r="B539" s="6" t="s">
        <v>2345</v>
      </c>
      <c r="C539" s="6"/>
      <c r="D539" s="6" t="s">
        <v>2001</v>
      </c>
      <c r="E539" s="6">
        <v>1</v>
      </c>
      <c r="F539" s="6" t="s">
        <v>2004</v>
      </c>
      <c r="G539" s="32" t="s">
        <v>2299</v>
      </c>
      <c r="H539" s="32" t="s">
        <v>2300</v>
      </c>
      <c r="I539" s="6" t="str">
        <f t="shared" si="19"/>
        <v>Core Drill</v>
      </c>
      <c r="J539" s="6" t="s">
        <v>641</v>
      </c>
      <c r="K539" s="6">
        <v>1</v>
      </c>
      <c r="L539" s="6">
        <f t="shared" si="20"/>
        <v>8820000</v>
      </c>
      <c r="M539" s="6">
        <v>7500000</v>
      </c>
      <c r="N539" s="6" t="s">
        <v>2003</v>
      </c>
      <c r="O539" s="6" t="s">
        <v>1020</v>
      </c>
      <c r="P539" s="6">
        <v>2010</v>
      </c>
      <c r="Q539" s="6">
        <v>6</v>
      </c>
      <c r="R539" s="6" t="s">
        <v>45</v>
      </c>
      <c r="S539" s="32" t="s">
        <v>2122</v>
      </c>
      <c r="T539" s="6">
        <v>1</v>
      </c>
      <c r="U539" s="26">
        <v>7000000</v>
      </c>
      <c r="V539" s="26">
        <v>7000000</v>
      </c>
      <c r="W539" s="26">
        <v>7000000</v>
      </c>
      <c r="X539" s="6" t="s">
        <v>2003</v>
      </c>
      <c r="Y539" s="6" t="s">
        <v>1227</v>
      </c>
      <c r="Z539" s="6">
        <v>225379</v>
      </c>
    </row>
    <row r="540" spans="1:26" x14ac:dyDescent="0.3">
      <c r="A540" s="28" t="s">
        <v>42</v>
      </c>
      <c r="B540" s="6" t="s">
        <v>2340</v>
      </c>
      <c r="C540" s="6"/>
      <c r="D540" s="6" t="s">
        <v>2289</v>
      </c>
      <c r="E540" s="6">
        <v>1</v>
      </c>
      <c r="F540" s="6" t="s">
        <v>2004</v>
      </c>
      <c r="G540" s="32" t="s">
        <v>2299</v>
      </c>
      <c r="H540" s="32" t="s">
        <v>2300</v>
      </c>
      <c r="I540" s="6" t="str">
        <f t="shared" si="19"/>
        <v>ETC</v>
      </c>
      <c r="J540" s="6" t="s">
        <v>342</v>
      </c>
      <c r="K540" s="6">
        <v>1</v>
      </c>
      <c r="L540" s="6">
        <f t="shared" si="20"/>
        <v>4940000</v>
      </c>
      <c r="M540" s="6">
        <v>4200000</v>
      </c>
      <c r="N540" s="6" t="s">
        <v>2003</v>
      </c>
      <c r="O540" s="6" t="s">
        <v>1021</v>
      </c>
      <c r="P540" s="6">
        <v>2008</v>
      </c>
      <c r="Q540" s="6">
        <v>1</v>
      </c>
      <c r="R540" s="6" t="s">
        <v>45</v>
      </c>
      <c r="S540" s="32" t="s">
        <v>2118</v>
      </c>
      <c r="T540" s="6">
        <v>1</v>
      </c>
      <c r="U540" s="26">
        <v>4000000</v>
      </c>
      <c r="V540" s="26">
        <v>4000000</v>
      </c>
      <c r="W540" s="26">
        <v>4000000</v>
      </c>
      <c r="X540" s="6" t="s">
        <v>2003</v>
      </c>
      <c r="Y540" s="6" t="s">
        <v>67</v>
      </c>
      <c r="Z540" s="6">
        <v>225380</v>
      </c>
    </row>
    <row r="541" spans="1:26" x14ac:dyDescent="0.3">
      <c r="A541" s="28" t="s">
        <v>42</v>
      </c>
      <c r="B541" s="6" t="s">
        <v>2338</v>
      </c>
      <c r="C541" s="6" t="s">
        <v>1975</v>
      </c>
      <c r="D541" s="6" t="s">
        <v>2291</v>
      </c>
      <c r="E541" s="6">
        <v>1</v>
      </c>
      <c r="F541" s="6" t="s">
        <v>2004</v>
      </c>
      <c r="G541" s="32" t="s">
        <v>2299</v>
      </c>
      <c r="H541" s="32" t="s">
        <v>2300</v>
      </c>
      <c r="I541" s="6" t="str">
        <f t="shared" si="19"/>
        <v>Side Breaker</v>
      </c>
      <c r="J541" s="6" t="s">
        <v>571</v>
      </c>
      <c r="K541" s="6">
        <v>1</v>
      </c>
      <c r="L541" s="6">
        <f t="shared" si="20"/>
        <v>1640000</v>
      </c>
      <c r="M541" s="6">
        <v>1400000</v>
      </c>
      <c r="N541" s="6" t="s">
        <v>2003</v>
      </c>
      <c r="O541" s="6" t="s">
        <v>803</v>
      </c>
      <c r="P541" s="6">
        <v>2002</v>
      </c>
      <c r="Q541" s="6">
        <v>1</v>
      </c>
      <c r="R541" s="6" t="s">
        <v>45</v>
      </c>
      <c r="S541" s="32" t="s">
        <v>2123</v>
      </c>
      <c r="T541" s="6">
        <v>1</v>
      </c>
      <c r="U541" s="26">
        <v>1300000</v>
      </c>
      <c r="V541" s="26">
        <v>1300000</v>
      </c>
      <c r="W541" s="26">
        <v>1300000</v>
      </c>
      <c r="X541" s="6" t="s">
        <v>2003</v>
      </c>
      <c r="Y541" s="6" t="s">
        <v>1181</v>
      </c>
      <c r="Z541" s="6">
        <v>225381</v>
      </c>
    </row>
    <row r="542" spans="1:26" x14ac:dyDescent="0.3">
      <c r="A542" s="28" t="s">
        <v>42</v>
      </c>
      <c r="B542" s="6" t="s">
        <v>2338</v>
      </c>
      <c r="C542" s="6" t="s">
        <v>1975</v>
      </c>
      <c r="D542" s="6" t="s">
        <v>2001</v>
      </c>
      <c r="E542" s="6">
        <v>1</v>
      </c>
      <c r="F542" s="6" t="s">
        <v>2004</v>
      </c>
      <c r="G542" s="32" t="s">
        <v>2299</v>
      </c>
      <c r="H542" s="32" t="s">
        <v>2300</v>
      </c>
      <c r="I542" s="6" t="str">
        <f t="shared" si="19"/>
        <v>Side Breaker</v>
      </c>
      <c r="J542" s="6" t="s">
        <v>164</v>
      </c>
      <c r="K542" s="6">
        <v>1</v>
      </c>
      <c r="L542" s="6">
        <f t="shared" si="20"/>
        <v>7050000</v>
      </c>
      <c r="M542" s="6">
        <v>6000000</v>
      </c>
      <c r="N542" s="6" t="s">
        <v>2003</v>
      </c>
      <c r="O542" s="6" t="s">
        <v>54</v>
      </c>
      <c r="P542" s="6">
        <v>2009</v>
      </c>
      <c r="Q542" s="6">
        <v>1</v>
      </c>
      <c r="R542" s="6" t="s">
        <v>45</v>
      </c>
      <c r="S542" s="32" t="s">
        <v>2114</v>
      </c>
      <c r="T542" s="6">
        <v>1</v>
      </c>
      <c r="U542" s="26">
        <v>5500000</v>
      </c>
      <c r="V542" s="26">
        <v>5500000</v>
      </c>
      <c r="W542" s="26">
        <v>5500000</v>
      </c>
      <c r="X542" s="6" t="s">
        <v>2003</v>
      </c>
      <c r="Y542" s="6" t="s">
        <v>54</v>
      </c>
      <c r="Z542" s="6">
        <v>225382</v>
      </c>
    </row>
    <row r="543" spans="1:26" x14ac:dyDescent="0.3">
      <c r="A543" s="28" t="s">
        <v>42</v>
      </c>
      <c r="B543" s="6" t="s">
        <v>2339</v>
      </c>
      <c r="C543" s="6" t="s">
        <v>1973</v>
      </c>
      <c r="D543" s="6" t="s">
        <v>2291</v>
      </c>
      <c r="E543" s="6">
        <v>1</v>
      </c>
      <c r="F543" s="6" t="s">
        <v>2004</v>
      </c>
      <c r="G543" s="32" t="s">
        <v>2299</v>
      </c>
      <c r="H543" s="32" t="s">
        <v>2300</v>
      </c>
      <c r="I543" s="6" t="str">
        <f t="shared" si="19"/>
        <v>Wood Grapple</v>
      </c>
      <c r="J543" s="6" t="s">
        <v>127</v>
      </c>
      <c r="K543" s="6">
        <v>1</v>
      </c>
      <c r="L543" s="6">
        <f t="shared" si="20"/>
        <v>2580000</v>
      </c>
      <c r="M543" s="6">
        <v>2200000</v>
      </c>
      <c r="N543" s="6" t="s">
        <v>2003</v>
      </c>
      <c r="O543" s="6" t="s">
        <v>830</v>
      </c>
      <c r="P543" s="6">
        <v>2009</v>
      </c>
      <c r="Q543" s="6">
        <v>1</v>
      </c>
      <c r="R543" s="6" t="s">
        <v>45</v>
      </c>
      <c r="S543" s="32" t="s">
        <v>2114</v>
      </c>
      <c r="T543" s="6">
        <v>1</v>
      </c>
      <c r="U543" s="26">
        <v>2000000</v>
      </c>
      <c r="V543" s="26">
        <v>2000000</v>
      </c>
      <c r="W543" s="26">
        <v>2000000</v>
      </c>
      <c r="X543" s="6" t="s">
        <v>2003</v>
      </c>
      <c r="Y543" s="6" t="s">
        <v>830</v>
      </c>
      <c r="Z543" s="6">
        <v>225384</v>
      </c>
    </row>
    <row r="544" spans="1:26" x14ac:dyDescent="0.3">
      <c r="A544" s="28" t="s">
        <v>42</v>
      </c>
      <c r="B544" s="6" t="s">
        <v>2341</v>
      </c>
      <c r="C544" s="19" t="s">
        <v>2321</v>
      </c>
      <c r="D544" s="6" t="s">
        <v>2291</v>
      </c>
      <c r="E544" s="6">
        <v>1</v>
      </c>
      <c r="F544" s="6" t="s">
        <v>2004</v>
      </c>
      <c r="G544" s="32" t="s">
        <v>2299</v>
      </c>
      <c r="H544" s="32" t="s">
        <v>2300</v>
      </c>
      <c r="I544" s="6" t="str">
        <f t="shared" si="19"/>
        <v>Etc Crusher</v>
      </c>
      <c r="J544" s="6" t="s">
        <v>642</v>
      </c>
      <c r="K544" s="6">
        <v>1</v>
      </c>
      <c r="L544" s="6">
        <f t="shared" si="20"/>
        <v>10000000</v>
      </c>
      <c r="M544" s="6">
        <v>8500000</v>
      </c>
      <c r="N544" s="6" t="s">
        <v>2003</v>
      </c>
      <c r="O544" s="6" t="s">
        <v>1022</v>
      </c>
      <c r="P544" s="6">
        <v>2014</v>
      </c>
      <c r="Q544" s="6">
        <v>1</v>
      </c>
      <c r="R544" s="6" t="s">
        <v>45</v>
      </c>
      <c r="S544" s="32" t="s">
        <v>2111</v>
      </c>
      <c r="T544" s="6">
        <v>1</v>
      </c>
      <c r="U544" s="26">
        <v>8000000</v>
      </c>
      <c r="V544" s="26">
        <v>8000000</v>
      </c>
      <c r="W544" s="26">
        <v>8000000</v>
      </c>
      <c r="X544" s="6" t="s">
        <v>2003</v>
      </c>
      <c r="Y544" s="6" t="s">
        <v>54</v>
      </c>
      <c r="Z544" s="6">
        <v>225389</v>
      </c>
    </row>
    <row r="545" spans="1:26" x14ac:dyDescent="0.3">
      <c r="A545" s="28" t="s">
        <v>42</v>
      </c>
      <c r="B545" s="6" t="s">
        <v>2346</v>
      </c>
      <c r="C545" s="6" t="s">
        <v>1974</v>
      </c>
      <c r="D545" s="6" t="s">
        <v>2292</v>
      </c>
      <c r="E545" s="6">
        <v>1</v>
      </c>
      <c r="F545" s="6" t="s">
        <v>2004</v>
      </c>
      <c r="G545" s="32" t="s">
        <v>2299</v>
      </c>
      <c r="H545" s="32" t="s">
        <v>2300</v>
      </c>
      <c r="I545" s="6" t="str">
        <f t="shared" si="19"/>
        <v>Etc Grapple</v>
      </c>
      <c r="J545" s="6" t="s">
        <v>643</v>
      </c>
      <c r="K545" s="6">
        <v>1</v>
      </c>
      <c r="L545" s="6">
        <f t="shared" si="20"/>
        <v>880000</v>
      </c>
      <c r="M545" s="6">
        <v>750000</v>
      </c>
      <c r="N545" s="6" t="s">
        <v>2003</v>
      </c>
      <c r="O545" s="6" t="s">
        <v>2009</v>
      </c>
      <c r="P545" s="6">
        <v>2010</v>
      </c>
      <c r="Q545" s="6">
        <v>1</v>
      </c>
      <c r="R545" s="6" t="s">
        <v>45</v>
      </c>
      <c r="S545" s="32" t="s">
        <v>2110</v>
      </c>
      <c r="T545" s="6">
        <v>1</v>
      </c>
      <c r="U545" s="26">
        <v>650000</v>
      </c>
      <c r="V545" s="26">
        <v>650000</v>
      </c>
      <c r="W545" s="26">
        <v>650000</v>
      </c>
      <c r="X545" s="6" t="s">
        <v>2003</v>
      </c>
      <c r="Y545" s="6" t="s">
        <v>1152</v>
      </c>
      <c r="Z545" s="6">
        <v>225392</v>
      </c>
    </row>
    <row r="546" spans="1:26" x14ac:dyDescent="0.3">
      <c r="A546" s="28" t="s">
        <v>42</v>
      </c>
      <c r="B546" s="6" t="s">
        <v>2338</v>
      </c>
      <c r="C546" s="6" t="s">
        <v>1975</v>
      </c>
      <c r="D546" s="6" t="s">
        <v>2292</v>
      </c>
      <c r="E546" s="6">
        <v>1</v>
      </c>
      <c r="F546" s="6" t="s">
        <v>2004</v>
      </c>
      <c r="G546" s="32" t="s">
        <v>2299</v>
      </c>
      <c r="H546" s="32" t="s">
        <v>2300</v>
      </c>
      <c r="I546" s="6" t="str">
        <f t="shared" si="19"/>
        <v>Side Breaker</v>
      </c>
      <c r="J546" s="6" t="s">
        <v>644</v>
      </c>
      <c r="K546" s="6">
        <v>1</v>
      </c>
      <c r="L546" s="6">
        <f t="shared" si="20"/>
        <v>3410000</v>
      </c>
      <c r="M546" s="6">
        <v>2900000</v>
      </c>
      <c r="N546" s="6" t="s">
        <v>2003</v>
      </c>
      <c r="O546" s="6" t="s">
        <v>806</v>
      </c>
      <c r="P546" s="6">
        <v>2010</v>
      </c>
      <c r="Q546" s="6">
        <v>1</v>
      </c>
      <c r="R546" s="6" t="s">
        <v>45</v>
      </c>
      <c r="S546" s="32" t="s">
        <v>2110</v>
      </c>
      <c r="T546" s="6">
        <v>1</v>
      </c>
      <c r="U546" s="26">
        <v>2700000</v>
      </c>
      <c r="V546" s="26">
        <v>2700000</v>
      </c>
      <c r="W546" s="26">
        <v>2700000</v>
      </c>
      <c r="X546" s="6" t="s">
        <v>2003</v>
      </c>
      <c r="Y546" s="6" t="s">
        <v>1171</v>
      </c>
      <c r="Z546" s="6">
        <v>225400</v>
      </c>
    </row>
    <row r="547" spans="1:26" x14ac:dyDescent="0.3">
      <c r="A547" s="28" t="s">
        <v>42</v>
      </c>
      <c r="B547" s="6" t="s">
        <v>2344</v>
      </c>
      <c r="C547" s="6" t="s">
        <v>1982</v>
      </c>
      <c r="D547" s="6" t="s">
        <v>2292</v>
      </c>
      <c r="E547" s="6">
        <v>1</v>
      </c>
      <c r="F547" s="6" t="s">
        <v>2004</v>
      </c>
      <c r="G547" s="32" t="s">
        <v>2299</v>
      </c>
      <c r="H547" s="32" t="s">
        <v>2300</v>
      </c>
      <c r="I547" s="6" t="str">
        <f t="shared" si="19"/>
        <v>Standard Bucket</v>
      </c>
      <c r="J547" s="6" t="s">
        <v>324</v>
      </c>
      <c r="K547" s="6">
        <v>1</v>
      </c>
      <c r="L547" s="6">
        <f t="shared" si="20"/>
        <v>1290000</v>
      </c>
      <c r="M547" s="6">
        <v>1100000</v>
      </c>
      <c r="N547" s="6" t="s">
        <v>2003</v>
      </c>
      <c r="O547" s="6" t="s">
        <v>801</v>
      </c>
      <c r="P547" s="6">
        <v>2013</v>
      </c>
      <c r="Q547" s="6">
        <v>1</v>
      </c>
      <c r="R547" s="6" t="s">
        <v>45</v>
      </c>
      <c r="S547" s="32" t="s">
        <v>2110</v>
      </c>
      <c r="T547" s="6">
        <v>1</v>
      </c>
      <c r="U547" s="26">
        <v>1000000</v>
      </c>
      <c r="V547" s="26">
        <v>1000000</v>
      </c>
      <c r="W547" s="26">
        <v>1000000</v>
      </c>
      <c r="X547" s="6" t="s">
        <v>2003</v>
      </c>
      <c r="Y547" s="6" t="s">
        <v>1182</v>
      </c>
      <c r="Z547" s="6">
        <v>225405</v>
      </c>
    </row>
    <row r="548" spans="1:26" x14ac:dyDescent="0.3">
      <c r="A548" s="28" t="s">
        <v>42</v>
      </c>
      <c r="B548" s="6" t="s">
        <v>2340</v>
      </c>
      <c r="C548" s="6"/>
      <c r="D548" s="6" t="s">
        <v>2002</v>
      </c>
      <c r="E548" s="6">
        <v>1</v>
      </c>
      <c r="F548" s="6" t="s">
        <v>2004</v>
      </c>
      <c r="G548" s="32" t="s">
        <v>2299</v>
      </c>
      <c r="H548" s="32" t="s">
        <v>2300</v>
      </c>
      <c r="I548" s="6" t="str">
        <f t="shared" si="19"/>
        <v>ETC</v>
      </c>
      <c r="J548" s="6" t="s">
        <v>647</v>
      </c>
      <c r="K548" s="6">
        <v>1</v>
      </c>
      <c r="L548" s="6">
        <f t="shared" si="20"/>
        <v>410000</v>
      </c>
      <c r="M548" s="6">
        <v>350000</v>
      </c>
      <c r="N548" s="6" t="s">
        <v>2003</v>
      </c>
      <c r="O548" s="6" t="s">
        <v>1025</v>
      </c>
      <c r="P548" s="6">
        <v>2016</v>
      </c>
      <c r="Q548" s="6">
        <v>1</v>
      </c>
      <c r="R548" s="6" t="s">
        <v>45</v>
      </c>
      <c r="S548" s="32" t="s">
        <v>2123</v>
      </c>
      <c r="T548" s="6">
        <v>1</v>
      </c>
      <c r="U548" s="26">
        <v>300000</v>
      </c>
      <c r="V548" s="26">
        <v>300000</v>
      </c>
      <c r="W548" s="26">
        <v>300000</v>
      </c>
      <c r="X548" s="6" t="s">
        <v>2003</v>
      </c>
      <c r="Y548" s="6" t="s">
        <v>69</v>
      </c>
      <c r="Z548" s="6">
        <v>225407</v>
      </c>
    </row>
    <row r="549" spans="1:26" x14ac:dyDescent="0.3">
      <c r="A549" s="28" t="s">
        <v>42</v>
      </c>
      <c r="B549" s="6" t="s">
        <v>2338</v>
      </c>
      <c r="C549" s="6" t="s">
        <v>1975</v>
      </c>
      <c r="D549" s="6" t="s">
        <v>2291</v>
      </c>
      <c r="E549" s="6">
        <v>1</v>
      </c>
      <c r="F549" s="6" t="s">
        <v>2004</v>
      </c>
      <c r="G549" s="32" t="s">
        <v>2299</v>
      </c>
      <c r="H549" s="32" t="s">
        <v>2300</v>
      </c>
      <c r="I549" s="6" t="str">
        <f t="shared" si="19"/>
        <v>Side Breaker</v>
      </c>
      <c r="J549" s="6" t="s">
        <v>649</v>
      </c>
      <c r="K549" s="6">
        <v>1</v>
      </c>
      <c r="L549" s="6">
        <f t="shared" si="20"/>
        <v>21760000</v>
      </c>
      <c r="M549" s="6">
        <v>18500000</v>
      </c>
      <c r="N549" s="6" t="s">
        <v>2003</v>
      </c>
      <c r="O549" s="6" t="s">
        <v>107</v>
      </c>
      <c r="P549" s="6">
        <v>2015</v>
      </c>
      <c r="Q549" s="6">
        <v>5</v>
      </c>
      <c r="R549" s="6" t="s">
        <v>45</v>
      </c>
      <c r="S549" s="32" t="s">
        <v>2120</v>
      </c>
      <c r="T549" s="6">
        <v>1</v>
      </c>
      <c r="U549" s="26">
        <v>18000000</v>
      </c>
      <c r="V549" s="26">
        <v>18000000</v>
      </c>
      <c r="W549" s="26">
        <v>18000000</v>
      </c>
      <c r="X549" s="6" t="s">
        <v>2003</v>
      </c>
      <c r="Y549" s="6" t="s">
        <v>1294</v>
      </c>
      <c r="Z549" s="6">
        <v>225415</v>
      </c>
    </row>
    <row r="550" spans="1:26" x14ac:dyDescent="0.3">
      <c r="A550" s="28" t="s">
        <v>42</v>
      </c>
      <c r="B550" s="6" t="s">
        <v>2344</v>
      </c>
      <c r="C550" s="6" t="s">
        <v>1980</v>
      </c>
      <c r="D550" s="6" t="s">
        <v>2001</v>
      </c>
      <c r="E550" s="6">
        <v>1</v>
      </c>
      <c r="F550" s="6" t="s">
        <v>2004</v>
      </c>
      <c r="G550" s="32" t="s">
        <v>2299</v>
      </c>
      <c r="H550" s="32" t="s">
        <v>2300</v>
      </c>
      <c r="I550" s="6" t="str">
        <f t="shared" si="19"/>
        <v>Small Bucket</v>
      </c>
      <c r="J550" s="6" t="s">
        <v>650</v>
      </c>
      <c r="K550" s="6">
        <v>1</v>
      </c>
      <c r="L550" s="6">
        <f t="shared" si="20"/>
        <v>1410000</v>
      </c>
      <c r="M550" s="6">
        <v>1200000</v>
      </c>
      <c r="N550" s="6" t="s">
        <v>2003</v>
      </c>
      <c r="O550" s="6" t="s">
        <v>1027</v>
      </c>
      <c r="P550" s="6">
        <v>2010</v>
      </c>
      <c r="Q550" s="6">
        <v>1</v>
      </c>
      <c r="R550" s="6" t="s">
        <v>45</v>
      </c>
      <c r="S550" s="32" t="s">
        <v>2122</v>
      </c>
      <c r="T550" s="6">
        <v>1</v>
      </c>
      <c r="U550" s="26">
        <v>1100000</v>
      </c>
      <c r="V550" s="26">
        <v>1100000</v>
      </c>
      <c r="W550" s="26">
        <v>1100000</v>
      </c>
      <c r="X550" s="6" t="s">
        <v>2003</v>
      </c>
      <c r="Y550" s="6" t="s">
        <v>1202</v>
      </c>
      <c r="Z550" s="6">
        <v>225416</v>
      </c>
    </row>
    <row r="551" spans="1:26" x14ac:dyDescent="0.3">
      <c r="A551" s="28" t="s">
        <v>42</v>
      </c>
      <c r="B551" s="6" t="s">
        <v>2339</v>
      </c>
      <c r="C551" s="6" t="s">
        <v>1974</v>
      </c>
      <c r="D551" s="6" t="s">
        <v>2292</v>
      </c>
      <c r="E551" s="6">
        <v>1</v>
      </c>
      <c r="F551" s="6" t="s">
        <v>2004</v>
      </c>
      <c r="G551" s="32" t="s">
        <v>2299</v>
      </c>
      <c r="H551" s="32" t="s">
        <v>2300</v>
      </c>
      <c r="I551" s="6" t="str">
        <f t="shared" si="19"/>
        <v>Etc Grapple</v>
      </c>
      <c r="J551" s="6" t="s">
        <v>125</v>
      </c>
      <c r="K551" s="6">
        <v>1</v>
      </c>
      <c r="L551" s="6">
        <f t="shared" si="20"/>
        <v>6470000</v>
      </c>
      <c r="M551" s="6">
        <v>5500000</v>
      </c>
      <c r="N551" s="6" t="s">
        <v>2003</v>
      </c>
      <c r="O551" s="6" t="s">
        <v>1870</v>
      </c>
      <c r="P551" s="6">
        <v>2016</v>
      </c>
      <c r="Q551" s="6">
        <v>2</v>
      </c>
      <c r="R551" s="6" t="s">
        <v>45</v>
      </c>
      <c r="S551" s="32" t="s">
        <v>2122</v>
      </c>
      <c r="T551" s="6">
        <v>1</v>
      </c>
      <c r="U551" s="26">
        <v>5000000</v>
      </c>
      <c r="V551" s="26">
        <v>5000000</v>
      </c>
      <c r="W551" s="26">
        <v>5000000</v>
      </c>
      <c r="X551" s="6" t="s">
        <v>2003</v>
      </c>
      <c r="Y551" s="6" t="s">
        <v>1283</v>
      </c>
      <c r="Z551" s="6">
        <v>225419</v>
      </c>
    </row>
    <row r="552" spans="1:26" x14ac:dyDescent="0.3">
      <c r="A552" s="28" t="s">
        <v>42</v>
      </c>
      <c r="B552" s="6" t="s">
        <v>2339</v>
      </c>
      <c r="C552" s="6" t="s">
        <v>1979</v>
      </c>
      <c r="D552" s="6" t="s">
        <v>2292</v>
      </c>
      <c r="E552" s="6">
        <v>1</v>
      </c>
      <c r="F552" s="6" t="s">
        <v>2004</v>
      </c>
      <c r="G552" s="32" t="s">
        <v>2299</v>
      </c>
      <c r="H552" s="32" t="s">
        <v>2300</v>
      </c>
      <c r="I552" s="6" t="str">
        <f t="shared" si="19"/>
        <v>Thumb Grapple</v>
      </c>
      <c r="J552" s="6" t="s">
        <v>59</v>
      </c>
      <c r="K552" s="6">
        <v>1</v>
      </c>
      <c r="L552" s="6">
        <f t="shared" si="20"/>
        <v>940000</v>
      </c>
      <c r="M552" s="6">
        <v>800000</v>
      </c>
      <c r="N552" s="6" t="s">
        <v>2003</v>
      </c>
      <c r="O552" s="6" t="s">
        <v>2012</v>
      </c>
      <c r="P552" s="6">
        <v>2013</v>
      </c>
      <c r="Q552" s="6">
        <v>1</v>
      </c>
      <c r="R552" s="6" t="s">
        <v>45</v>
      </c>
      <c r="S552" s="32" t="s">
        <v>2113</v>
      </c>
      <c r="T552" s="6">
        <v>1</v>
      </c>
      <c r="U552" s="26">
        <v>700000</v>
      </c>
      <c r="V552" s="26">
        <v>700000</v>
      </c>
      <c r="W552" s="26">
        <v>700000</v>
      </c>
      <c r="X552" s="6" t="s">
        <v>2003</v>
      </c>
      <c r="Y552" s="6" t="s">
        <v>49</v>
      </c>
      <c r="Z552" s="6">
        <v>225430</v>
      </c>
    </row>
    <row r="553" spans="1:26" x14ac:dyDescent="0.3">
      <c r="A553" s="28" t="s">
        <v>42</v>
      </c>
      <c r="B553" s="6" t="s">
        <v>2339</v>
      </c>
      <c r="C553" s="6" t="s">
        <v>1972</v>
      </c>
      <c r="D553" s="6" t="s">
        <v>2291</v>
      </c>
      <c r="E553" s="6">
        <v>1</v>
      </c>
      <c r="F553" s="6" t="s">
        <v>2004</v>
      </c>
      <c r="G553" s="32" t="s">
        <v>2299</v>
      </c>
      <c r="H553" s="32" t="s">
        <v>2300</v>
      </c>
      <c r="I553" s="6" t="str">
        <f t="shared" si="19"/>
        <v>Stone Grapple</v>
      </c>
      <c r="J553" s="6" t="s">
        <v>252</v>
      </c>
      <c r="K553" s="6">
        <v>1</v>
      </c>
      <c r="L553" s="6">
        <f t="shared" si="20"/>
        <v>3520000</v>
      </c>
      <c r="M553" s="6">
        <v>3000000</v>
      </c>
      <c r="N553" s="6" t="s">
        <v>2003</v>
      </c>
      <c r="O553" s="6" t="s">
        <v>2007</v>
      </c>
      <c r="P553" s="6">
        <v>2014</v>
      </c>
      <c r="Q553" s="6">
        <v>1</v>
      </c>
      <c r="R553" s="6" t="s">
        <v>45</v>
      </c>
      <c r="S553" s="32" t="s">
        <v>2113</v>
      </c>
      <c r="T553" s="6">
        <v>1</v>
      </c>
      <c r="U553" s="26">
        <v>2800000</v>
      </c>
      <c r="V553" s="26">
        <v>2800000</v>
      </c>
      <c r="W553" s="26">
        <v>2800000</v>
      </c>
      <c r="X553" s="6" t="s">
        <v>2003</v>
      </c>
      <c r="Y553" s="6" t="s">
        <v>49</v>
      </c>
      <c r="Z553" s="6">
        <v>225431</v>
      </c>
    </row>
    <row r="554" spans="1:26" x14ac:dyDescent="0.3">
      <c r="A554" s="28" t="s">
        <v>42</v>
      </c>
      <c r="B554" s="6" t="s">
        <v>2339</v>
      </c>
      <c r="C554" s="6" t="s">
        <v>1979</v>
      </c>
      <c r="D554" s="6" t="s">
        <v>2292</v>
      </c>
      <c r="E554" s="6">
        <v>1</v>
      </c>
      <c r="F554" s="6" t="s">
        <v>2004</v>
      </c>
      <c r="G554" s="32" t="s">
        <v>2299</v>
      </c>
      <c r="H554" s="32" t="s">
        <v>2300</v>
      </c>
      <c r="I554" s="6" t="str">
        <f t="shared" si="19"/>
        <v>Thumb Grapple</v>
      </c>
      <c r="J554" s="6" t="s">
        <v>251</v>
      </c>
      <c r="K554" s="6">
        <v>1</v>
      </c>
      <c r="L554" s="6">
        <f t="shared" si="20"/>
        <v>1410000</v>
      </c>
      <c r="M554" s="6">
        <v>1200000</v>
      </c>
      <c r="N554" s="6" t="s">
        <v>2003</v>
      </c>
      <c r="O554" s="6" t="s">
        <v>2012</v>
      </c>
      <c r="P554" s="6">
        <v>2014</v>
      </c>
      <c r="Q554" s="6">
        <v>1</v>
      </c>
      <c r="R554" s="6" t="s">
        <v>45</v>
      </c>
      <c r="S554" s="32" t="s">
        <v>2116</v>
      </c>
      <c r="T554" s="6">
        <v>1</v>
      </c>
      <c r="U554" s="26">
        <v>1100000</v>
      </c>
      <c r="V554" s="26">
        <v>1100000</v>
      </c>
      <c r="W554" s="26">
        <v>1100000</v>
      </c>
      <c r="X554" s="6" t="s">
        <v>2003</v>
      </c>
      <c r="Y554" s="6" t="s">
        <v>49</v>
      </c>
      <c r="Z554" s="6">
        <v>225433</v>
      </c>
    </row>
    <row r="555" spans="1:26" x14ac:dyDescent="0.3">
      <c r="A555" s="28" t="s">
        <v>42</v>
      </c>
      <c r="B555" s="6" t="s">
        <v>2339</v>
      </c>
      <c r="C555" s="6" t="s">
        <v>1972</v>
      </c>
      <c r="D555" s="6" t="s">
        <v>2291</v>
      </c>
      <c r="E555" s="6">
        <v>1</v>
      </c>
      <c r="F555" s="6" t="s">
        <v>2004</v>
      </c>
      <c r="G555" s="32" t="s">
        <v>2299</v>
      </c>
      <c r="H555" s="32" t="s">
        <v>2300</v>
      </c>
      <c r="I555" s="6" t="str">
        <f t="shared" si="19"/>
        <v>Stone Grapple</v>
      </c>
      <c r="J555" s="6" t="s">
        <v>415</v>
      </c>
      <c r="K555" s="6">
        <v>1</v>
      </c>
      <c r="L555" s="6">
        <f t="shared" si="20"/>
        <v>1640000</v>
      </c>
      <c r="M555" s="6">
        <v>1400000</v>
      </c>
      <c r="N555" s="6" t="s">
        <v>2003</v>
      </c>
      <c r="O555" s="6" t="s">
        <v>2007</v>
      </c>
      <c r="P555" s="6">
        <v>2015</v>
      </c>
      <c r="Q555" s="6">
        <v>1</v>
      </c>
      <c r="R555" s="6" t="s">
        <v>45</v>
      </c>
      <c r="S555" s="32" t="s">
        <v>2113</v>
      </c>
      <c r="T555" s="6">
        <v>1</v>
      </c>
      <c r="U555" s="26">
        <v>1300000</v>
      </c>
      <c r="V555" s="26">
        <v>1300000</v>
      </c>
      <c r="W555" s="26">
        <v>1300000</v>
      </c>
      <c r="X555" s="6" t="s">
        <v>2003</v>
      </c>
      <c r="Y555" s="6" t="s">
        <v>49</v>
      </c>
      <c r="Z555" s="6">
        <v>225437</v>
      </c>
    </row>
    <row r="556" spans="1:26" x14ac:dyDescent="0.3">
      <c r="A556" s="28" t="s">
        <v>42</v>
      </c>
      <c r="B556" s="6" t="s">
        <v>2344</v>
      </c>
      <c r="C556" s="6" t="s">
        <v>1980</v>
      </c>
      <c r="D556" s="6" t="s">
        <v>2291</v>
      </c>
      <c r="E556" s="6">
        <v>1</v>
      </c>
      <c r="F556" s="6" t="s">
        <v>2004</v>
      </c>
      <c r="G556" s="32" t="s">
        <v>2299</v>
      </c>
      <c r="H556" s="32" t="s">
        <v>2300</v>
      </c>
      <c r="I556" s="6" t="str">
        <f t="shared" si="19"/>
        <v>Small Bucket</v>
      </c>
      <c r="J556" s="6" t="s">
        <v>85</v>
      </c>
      <c r="K556" s="6">
        <v>1</v>
      </c>
      <c r="L556" s="6">
        <f t="shared" si="20"/>
        <v>340000</v>
      </c>
      <c r="M556" s="6">
        <v>290000</v>
      </c>
      <c r="N556" s="6" t="s">
        <v>2003</v>
      </c>
      <c r="O556" s="6" t="s">
        <v>2007</v>
      </c>
      <c r="P556" s="6">
        <v>2013</v>
      </c>
      <c r="Q556" s="6">
        <v>1</v>
      </c>
      <c r="R556" s="6" t="s">
        <v>45</v>
      </c>
      <c r="S556" s="32" t="s">
        <v>2113</v>
      </c>
      <c r="T556" s="6">
        <v>1</v>
      </c>
      <c r="U556" s="26">
        <v>240000</v>
      </c>
      <c r="V556" s="26">
        <v>240000</v>
      </c>
      <c r="W556" s="26">
        <v>240000</v>
      </c>
      <c r="X556" s="6" t="s">
        <v>2003</v>
      </c>
      <c r="Y556" s="6" t="s">
        <v>49</v>
      </c>
      <c r="Z556" s="6">
        <v>225442</v>
      </c>
    </row>
    <row r="557" spans="1:26" x14ac:dyDescent="0.3">
      <c r="A557" s="28" t="s">
        <v>42</v>
      </c>
      <c r="B557" s="6" t="s">
        <v>2338</v>
      </c>
      <c r="C557" s="6" t="s">
        <v>1975</v>
      </c>
      <c r="D557" s="6" t="s">
        <v>2293</v>
      </c>
      <c r="E557" s="6">
        <v>1</v>
      </c>
      <c r="F557" s="6" t="s">
        <v>2004</v>
      </c>
      <c r="G557" s="32" t="s">
        <v>2299</v>
      </c>
      <c r="H557" s="32" t="s">
        <v>2300</v>
      </c>
      <c r="I557" s="6" t="str">
        <f t="shared" si="19"/>
        <v>Side Breaker</v>
      </c>
      <c r="J557" s="6" t="s">
        <v>172</v>
      </c>
      <c r="K557" s="6">
        <v>1</v>
      </c>
      <c r="L557" s="6">
        <f t="shared" si="20"/>
        <v>2000000</v>
      </c>
      <c r="M557" s="6">
        <v>1700000</v>
      </c>
      <c r="N557" s="6" t="s">
        <v>2003</v>
      </c>
      <c r="O557" s="6" t="s">
        <v>1028</v>
      </c>
      <c r="P557" s="6">
        <v>2014</v>
      </c>
      <c r="Q557" s="6">
        <v>5</v>
      </c>
      <c r="R557" s="6" t="s">
        <v>45</v>
      </c>
      <c r="S557" s="32" t="s">
        <v>2113</v>
      </c>
      <c r="T557" s="6">
        <v>1</v>
      </c>
      <c r="U557" s="26">
        <v>1600000</v>
      </c>
      <c r="V557" s="26">
        <v>1600000</v>
      </c>
      <c r="W557" s="26">
        <v>1600000</v>
      </c>
      <c r="X557" s="6" t="s">
        <v>2003</v>
      </c>
      <c r="Y557" s="6" t="s">
        <v>71</v>
      </c>
      <c r="Z557" s="6">
        <v>225450</v>
      </c>
    </row>
    <row r="558" spans="1:26" x14ac:dyDescent="0.3">
      <c r="A558" s="28" t="s">
        <v>42</v>
      </c>
      <c r="B558" s="6" t="s">
        <v>2339</v>
      </c>
      <c r="C558" s="6" t="s">
        <v>1973</v>
      </c>
      <c r="D558" s="6" t="s">
        <v>2291</v>
      </c>
      <c r="E558" s="6">
        <v>1</v>
      </c>
      <c r="F558" s="6" t="s">
        <v>2004</v>
      </c>
      <c r="G558" s="32" t="s">
        <v>2299</v>
      </c>
      <c r="H558" s="32" t="s">
        <v>2300</v>
      </c>
      <c r="I558" s="6" t="str">
        <f t="shared" si="19"/>
        <v>Wood Grapple</v>
      </c>
      <c r="J558" s="6" t="s">
        <v>127</v>
      </c>
      <c r="K558" s="6">
        <v>1</v>
      </c>
      <c r="L558" s="6">
        <f t="shared" si="20"/>
        <v>2580000</v>
      </c>
      <c r="M558" s="6">
        <v>2200000</v>
      </c>
      <c r="N558" s="6" t="s">
        <v>2003</v>
      </c>
      <c r="O558" s="6" t="s">
        <v>830</v>
      </c>
      <c r="P558" s="6">
        <v>2010</v>
      </c>
      <c r="Q558" s="6">
        <v>1</v>
      </c>
      <c r="R558" s="6" t="s">
        <v>45</v>
      </c>
      <c r="S558" s="32" t="s">
        <v>2114</v>
      </c>
      <c r="T558" s="6">
        <v>1</v>
      </c>
      <c r="U558" s="26">
        <v>2000000</v>
      </c>
      <c r="V558" s="26">
        <v>2000000</v>
      </c>
      <c r="W558" s="26">
        <v>2000000</v>
      </c>
      <c r="X558" s="6" t="s">
        <v>2003</v>
      </c>
      <c r="Y558" s="6" t="s">
        <v>830</v>
      </c>
      <c r="Z558" s="6">
        <v>225453</v>
      </c>
    </row>
    <row r="559" spans="1:26" x14ac:dyDescent="0.3">
      <c r="A559" s="28" t="s">
        <v>42</v>
      </c>
      <c r="B559" s="6" t="s">
        <v>2342</v>
      </c>
      <c r="C559" s="6" t="s">
        <v>1982</v>
      </c>
      <c r="D559" s="6" t="s">
        <v>2292</v>
      </c>
      <c r="E559" s="6">
        <v>1</v>
      </c>
      <c r="F559" s="6" t="s">
        <v>2004</v>
      </c>
      <c r="G559" s="32" t="s">
        <v>2299</v>
      </c>
      <c r="H559" s="32" t="s">
        <v>2300</v>
      </c>
      <c r="I559" s="6" t="str">
        <f t="shared" si="19"/>
        <v>Standard Bucket</v>
      </c>
      <c r="J559" s="6" t="s">
        <v>147</v>
      </c>
      <c r="K559" s="6">
        <v>1</v>
      </c>
      <c r="L559" s="6">
        <f t="shared" si="20"/>
        <v>1000000</v>
      </c>
      <c r="M559" s="6">
        <v>850000</v>
      </c>
      <c r="N559" s="6" t="s">
        <v>2003</v>
      </c>
      <c r="O559" s="6" t="s">
        <v>2012</v>
      </c>
      <c r="P559" s="6">
        <v>2014</v>
      </c>
      <c r="Q559" s="6">
        <v>1</v>
      </c>
      <c r="R559" s="6" t="s">
        <v>45</v>
      </c>
      <c r="S559" s="32" t="s">
        <v>2113</v>
      </c>
      <c r="T559" s="6">
        <v>1</v>
      </c>
      <c r="U559" s="26">
        <v>750000</v>
      </c>
      <c r="V559" s="26">
        <v>750000</v>
      </c>
      <c r="W559" s="26">
        <v>750000</v>
      </c>
      <c r="X559" s="6" t="s">
        <v>2003</v>
      </c>
      <c r="Y559" s="6" t="s">
        <v>49</v>
      </c>
      <c r="Z559" s="6">
        <v>225455</v>
      </c>
    </row>
    <row r="560" spans="1:26" x14ac:dyDescent="0.3">
      <c r="A560" s="28" t="s">
        <v>42</v>
      </c>
      <c r="B560" s="6" t="s">
        <v>2342</v>
      </c>
      <c r="C560" s="6" t="s">
        <v>1982</v>
      </c>
      <c r="D560" s="6" t="s">
        <v>2292</v>
      </c>
      <c r="E560" s="6">
        <v>1</v>
      </c>
      <c r="F560" s="6" t="s">
        <v>2004</v>
      </c>
      <c r="G560" s="32" t="s">
        <v>2299</v>
      </c>
      <c r="H560" s="32" t="s">
        <v>2300</v>
      </c>
      <c r="I560" s="6" t="str">
        <f t="shared" si="19"/>
        <v>Standard Bucket</v>
      </c>
      <c r="J560" s="6" t="s">
        <v>140</v>
      </c>
      <c r="K560" s="6">
        <v>1</v>
      </c>
      <c r="L560" s="6">
        <f t="shared" si="20"/>
        <v>940000</v>
      </c>
      <c r="M560" s="6">
        <v>800000</v>
      </c>
      <c r="N560" s="6" t="s">
        <v>2003</v>
      </c>
      <c r="O560" s="6" t="s">
        <v>823</v>
      </c>
      <c r="P560" s="6">
        <v>2014</v>
      </c>
      <c r="Q560" s="6">
        <v>1</v>
      </c>
      <c r="R560" s="6" t="s">
        <v>45</v>
      </c>
      <c r="S560" s="32" t="s">
        <v>2113</v>
      </c>
      <c r="T560" s="6">
        <v>1</v>
      </c>
      <c r="U560" s="26">
        <v>700000</v>
      </c>
      <c r="V560" s="26">
        <v>700000</v>
      </c>
      <c r="W560" s="26">
        <v>700000</v>
      </c>
      <c r="X560" s="6" t="s">
        <v>2003</v>
      </c>
      <c r="Y560" s="6" t="s">
        <v>49</v>
      </c>
      <c r="Z560" s="6">
        <v>225456</v>
      </c>
    </row>
    <row r="561" spans="1:26" x14ac:dyDescent="0.3">
      <c r="A561" s="28" t="s">
        <v>42</v>
      </c>
      <c r="B561" s="6" t="s">
        <v>2341</v>
      </c>
      <c r="C561" s="19" t="s">
        <v>2321</v>
      </c>
      <c r="D561" s="6" t="s">
        <v>2293</v>
      </c>
      <c r="E561" s="6">
        <v>1</v>
      </c>
      <c r="F561" s="6" t="s">
        <v>2004</v>
      </c>
      <c r="G561" s="32" t="s">
        <v>2299</v>
      </c>
      <c r="H561" s="32" t="s">
        <v>2300</v>
      </c>
      <c r="I561" s="6" t="str">
        <f t="shared" si="19"/>
        <v>Etc Crusher</v>
      </c>
      <c r="J561" s="6" t="s">
        <v>76</v>
      </c>
      <c r="K561" s="6">
        <v>1</v>
      </c>
      <c r="L561" s="6">
        <f t="shared" si="20"/>
        <v>6820000</v>
      </c>
      <c r="M561" s="6">
        <v>5800000</v>
      </c>
      <c r="N561" s="6" t="s">
        <v>2003</v>
      </c>
      <c r="O561" s="6" t="s">
        <v>70</v>
      </c>
      <c r="P561" s="6">
        <v>2016</v>
      </c>
      <c r="Q561" s="6">
        <v>1</v>
      </c>
      <c r="R561" s="6" t="s">
        <v>45</v>
      </c>
      <c r="S561" s="32" t="s">
        <v>2113</v>
      </c>
      <c r="T561" s="6">
        <v>1</v>
      </c>
      <c r="U561" s="26">
        <v>5300000</v>
      </c>
      <c r="V561" s="26">
        <v>5300000</v>
      </c>
      <c r="W561" s="26">
        <v>5300000</v>
      </c>
      <c r="X561" s="6" t="s">
        <v>2003</v>
      </c>
      <c r="Y561" s="6" t="s">
        <v>71</v>
      </c>
      <c r="Z561" s="6">
        <v>225457</v>
      </c>
    </row>
    <row r="562" spans="1:26" x14ac:dyDescent="0.3">
      <c r="A562" s="28" t="s">
        <v>42</v>
      </c>
      <c r="B562" s="6" t="s">
        <v>2338</v>
      </c>
      <c r="C562" s="6" t="s">
        <v>1975</v>
      </c>
      <c r="D562" s="6" t="s">
        <v>2001</v>
      </c>
      <c r="E562" s="6">
        <v>1</v>
      </c>
      <c r="F562" s="6" t="s">
        <v>2004</v>
      </c>
      <c r="G562" s="32" t="s">
        <v>2299</v>
      </c>
      <c r="H562" s="32" t="s">
        <v>2300</v>
      </c>
      <c r="I562" s="6" t="str">
        <f t="shared" si="19"/>
        <v>Side Breaker</v>
      </c>
      <c r="J562" s="6" t="s">
        <v>483</v>
      </c>
      <c r="K562" s="6">
        <v>1</v>
      </c>
      <c r="L562" s="6">
        <f t="shared" si="20"/>
        <v>7640000</v>
      </c>
      <c r="M562" s="6">
        <v>6500000</v>
      </c>
      <c r="N562" s="6" t="s">
        <v>2003</v>
      </c>
      <c r="O562" s="6" t="s">
        <v>822</v>
      </c>
      <c r="P562" s="6">
        <v>2013</v>
      </c>
      <c r="Q562" s="6">
        <v>7</v>
      </c>
      <c r="R562" s="6" t="s">
        <v>45</v>
      </c>
      <c r="S562" s="32" t="s">
        <v>2123</v>
      </c>
      <c r="T562" s="6">
        <v>1</v>
      </c>
      <c r="U562" s="26">
        <v>6000000</v>
      </c>
      <c r="V562" s="26">
        <v>6000000</v>
      </c>
      <c r="W562" s="26">
        <v>6000000</v>
      </c>
      <c r="X562" s="6" t="s">
        <v>2003</v>
      </c>
      <c r="Y562" s="6" t="s">
        <v>92</v>
      </c>
      <c r="Z562" s="6">
        <v>225459</v>
      </c>
    </row>
    <row r="563" spans="1:26" x14ac:dyDescent="0.3">
      <c r="A563" s="28" t="s">
        <v>42</v>
      </c>
      <c r="B563" s="6" t="s">
        <v>2339</v>
      </c>
      <c r="C563" s="6" t="s">
        <v>1972</v>
      </c>
      <c r="D563" s="6" t="s">
        <v>2292</v>
      </c>
      <c r="E563" s="6">
        <v>1</v>
      </c>
      <c r="F563" s="6" t="s">
        <v>2004</v>
      </c>
      <c r="G563" s="32" t="s">
        <v>2299</v>
      </c>
      <c r="H563" s="32" t="s">
        <v>2300</v>
      </c>
      <c r="I563" s="6" t="str">
        <f t="shared" si="19"/>
        <v>Stone Grapple</v>
      </c>
      <c r="J563" s="6" t="s">
        <v>197</v>
      </c>
      <c r="K563" s="6">
        <v>1</v>
      </c>
      <c r="L563" s="6">
        <f t="shared" si="20"/>
        <v>2940000</v>
      </c>
      <c r="M563" s="6">
        <v>2500000</v>
      </c>
      <c r="N563" s="6" t="s">
        <v>2003</v>
      </c>
      <c r="O563" s="6" t="s">
        <v>2007</v>
      </c>
      <c r="P563" s="6">
        <v>2014</v>
      </c>
      <c r="Q563" s="6">
        <v>1</v>
      </c>
      <c r="R563" s="6" t="s">
        <v>45</v>
      </c>
      <c r="S563" s="32" t="s">
        <v>2113</v>
      </c>
      <c r="T563" s="6">
        <v>1</v>
      </c>
      <c r="U563" s="26">
        <v>2300000</v>
      </c>
      <c r="V563" s="26">
        <v>2300000</v>
      </c>
      <c r="W563" s="26">
        <v>2300000</v>
      </c>
      <c r="X563" s="6" t="s">
        <v>2003</v>
      </c>
      <c r="Y563" s="6" t="s">
        <v>49</v>
      </c>
      <c r="Z563" s="6">
        <v>225462</v>
      </c>
    </row>
    <row r="564" spans="1:26" x14ac:dyDescent="0.3">
      <c r="A564" s="28" t="s">
        <v>42</v>
      </c>
      <c r="B564" s="6" t="s">
        <v>2341</v>
      </c>
      <c r="C564" s="19" t="s">
        <v>2321</v>
      </c>
      <c r="D564" s="6" t="s">
        <v>2293</v>
      </c>
      <c r="E564" s="6">
        <v>1</v>
      </c>
      <c r="F564" s="6" t="s">
        <v>2004</v>
      </c>
      <c r="G564" s="32" t="s">
        <v>2299</v>
      </c>
      <c r="H564" s="32" t="s">
        <v>2300</v>
      </c>
      <c r="I564" s="6" t="str">
        <f t="shared" si="19"/>
        <v>Etc Crusher</v>
      </c>
      <c r="J564" s="6" t="s">
        <v>651</v>
      </c>
      <c r="K564" s="6">
        <v>1</v>
      </c>
      <c r="L564" s="6">
        <f t="shared" si="20"/>
        <v>5290000</v>
      </c>
      <c r="M564" s="6">
        <v>4500000</v>
      </c>
      <c r="N564" s="6" t="s">
        <v>2003</v>
      </c>
      <c r="O564" s="6" t="s">
        <v>798</v>
      </c>
      <c r="P564" s="6">
        <v>2014</v>
      </c>
      <c r="Q564" s="6">
        <v>1</v>
      </c>
      <c r="R564" s="6" t="s">
        <v>45</v>
      </c>
      <c r="S564" s="32" t="s">
        <v>2113</v>
      </c>
      <c r="T564" s="6">
        <v>1</v>
      </c>
      <c r="U564" s="26">
        <v>4300000</v>
      </c>
      <c r="V564" s="26">
        <v>4300000</v>
      </c>
      <c r="W564" s="26">
        <v>4300000</v>
      </c>
      <c r="X564" s="6" t="s">
        <v>2003</v>
      </c>
      <c r="Y564" s="6" t="s">
        <v>71</v>
      </c>
      <c r="Z564" s="6">
        <v>225467</v>
      </c>
    </row>
    <row r="565" spans="1:26" x14ac:dyDescent="0.3">
      <c r="A565" s="28" t="s">
        <v>42</v>
      </c>
      <c r="B565" s="6" t="s">
        <v>2339</v>
      </c>
      <c r="C565" s="6" t="s">
        <v>1972</v>
      </c>
      <c r="D565" s="6" t="s">
        <v>2291</v>
      </c>
      <c r="E565" s="6">
        <v>1</v>
      </c>
      <c r="F565" s="6" t="s">
        <v>2004</v>
      </c>
      <c r="G565" s="32" t="s">
        <v>2299</v>
      </c>
      <c r="H565" s="32" t="s">
        <v>2300</v>
      </c>
      <c r="I565" s="6" t="str">
        <f t="shared" si="19"/>
        <v>Stone Grapple</v>
      </c>
      <c r="J565" s="6" t="s">
        <v>375</v>
      </c>
      <c r="K565" s="6">
        <v>1</v>
      </c>
      <c r="L565" s="6">
        <f t="shared" si="20"/>
        <v>2580000</v>
      </c>
      <c r="M565" s="6">
        <v>2200000</v>
      </c>
      <c r="N565" s="6" t="s">
        <v>2003</v>
      </c>
      <c r="O565" s="6" t="s">
        <v>802</v>
      </c>
      <c r="P565" s="6">
        <v>2016</v>
      </c>
      <c r="Q565" s="6">
        <v>10</v>
      </c>
      <c r="R565" s="6" t="s">
        <v>45</v>
      </c>
      <c r="S565" s="32" t="s">
        <v>2122</v>
      </c>
      <c r="T565" s="6">
        <v>1</v>
      </c>
      <c r="U565" s="26">
        <v>2000000</v>
      </c>
      <c r="V565" s="26">
        <v>2000000</v>
      </c>
      <c r="W565" s="26">
        <v>2000000</v>
      </c>
      <c r="X565" s="6" t="s">
        <v>2003</v>
      </c>
      <c r="Y565" s="6" t="s">
        <v>1172</v>
      </c>
      <c r="Z565" s="6">
        <v>225469</v>
      </c>
    </row>
    <row r="566" spans="1:26" x14ac:dyDescent="0.3">
      <c r="A566" s="28" t="s">
        <v>42</v>
      </c>
      <c r="B566" s="6" t="s">
        <v>2344</v>
      </c>
      <c r="C566" s="19" t="s">
        <v>1982</v>
      </c>
      <c r="D566" s="6" t="s">
        <v>2289</v>
      </c>
      <c r="E566" s="6">
        <v>1</v>
      </c>
      <c r="F566" s="6" t="s">
        <v>2004</v>
      </c>
      <c r="G566" s="32" t="s">
        <v>2299</v>
      </c>
      <c r="H566" s="32" t="s">
        <v>2300</v>
      </c>
      <c r="I566" s="6" t="str">
        <f t="shared" si="19"/>
        <v>Standard Bucket</v>
      </c>
      <c r="J566" s="6" t="s">
        <v>187</v>
      </c>
      <c r="K566" s="6">
        <v>1</v>
      </c>
      <c r="L566" s="6">
        <f t="shared" si="20"/>
        <v>1880000</v>
      </c>
      <c r="M566" s="6">
        <v>1600000</v>
      </c>
      <c r="N566" s="6" t="s">
        <v>2003</v>
      </c>
      <c r="O566" s="6" t="s">
        <v>813</v>
      </c>
      <c r="P566" s="6">
        <v>2013</v>
      </c>
      <c r="Q566" s="6">
        <v>1</v>
      </c>
      <c r="R566" s="6" t="s">
        <v>45</v>
      </c>
      <c r="S566" s="32" t="s">
        <v>2113</v>
      </c>
      <c r="T566" s="6">
        <v>1</v>
      </c>
      <c r="U566" s="26">
        <v>1500000</v>
      </c>
      <c r="V566" s="26">
        <v>1500000</v>
      </c>
      <c r="W566" s="26">
        <v>1500000</v>
      </c>
      <c r="X566" s="6" t="s">
        <v>2003</v>
      </c>
      <c r="Y566" s="6" t="s">
        <v>79</v>
      </c>
      <c r="Z566" s="6">
        <v>225474</v>
      </c>
    </row>
    <row r="567" spans="1:26" x14ac:dyDescent="0.3">
      <c r="A567" s="28" t="s">
        <v>42</v>
      </c>
      <c r="B567" s="6" t="s">
        <v>2339</v>
      </c>
      <c r="C567" s="6" t="s">
        <v>1972</v>
      </c>
      <c r="D567" s="6" t="s">
        <v>2292</v>
      </c>
      <c r="E567" s="6">
        <v>1</v>
      </c>
      <c r="F567" s="6" t="s">
        <v>2004</v>
      </c>
      <c r="G567" s="32" t="s">
        <v>2299</v>
      </c>
      <c r="H567" s="32" t="s">
        <v>2300</v>
      </c>
      <c r="I567" s="6" t="str">
        <f t="shared" si="19"/>
        <v>Stone Grapple</v>
      </c>
      <c r="J567" s="6" t="s">
        <v>399</v>
      </c>
      <c r="K567" s="6">
        <v>1</v>
      </c>
      <c r="L567" s="6">
        <f t="shared" si="20"/>
        <v>3050000</v>
      </c>
      <c r="M567" s="6">
        <v>2600000</v>
      </c>
      <c r="N567" s="6" t="s">
        <v>2003</v>
      </c>
      <c r="O567" s="6" t="s">
        <v>2007</v>
      </c>
      <c r="P567" s="6">
        <v>2014</v>
      </c>
      <c r="Q567" s="6">
        <v>1</v>
      </c>
      <c r="R567" s="6" t="s">
        <v>45</v>
      </c>
      <c r="S567" s="32" t="s">
        <v>2113</v>
      </c>
      <c r="T567" s="6">
        <v>1</v>
      </c>
      <c r="U567" s="26">
        <v>2400000</v>
      </c>
      <c r="V567" s="26">
        <v>2400000</v>
      </c>
      <c r="W567" s="26">
        <v>2400000</v>
      </c>
      <c r="X567" s="6" t="s">
        <v>2003</v>
      </c>
      <c r="Y567" s="6" t="s">
        <v>49</v>
      </c>
      <c r="Z567" s="6">
        <v>225480</v>
      </c>
    </row>
    <row r="568" spans="1:26" x14ac:dyDescent="0.3">
      <c r="A568" s="28" t="s">
        <v>42</v>
      </c>
      <c r="B568" s="6" t="s">
        <v>2344</v>
      </c>
      <c r="C568" s="6" t="s">
        <v>1976</v>
      </c>
      <c r="D568" s="6" t="s">
        <v>2001</v>
      </c>
      <c r="E568" s="6">
        <v>1</v>
      </c>
      <c r="F568" s="6" t="s">
        <v>2004</v>
      </c>
      <c r="G568" s="32" t="s">
        <v>2299</v>
      </c>
      <c r="H568" s="32" t="s">
        <v>2300</v>
      </c>
      <c r="I568" s="6" t="str">
        <f t="shared" si="19"/>
        <v>Skeleton Bucket</v>
      </c>
      <c r="J568" s="6" t="s">
        <v>124</v>
      </c>
      <c r="K568" s="6">
        <v>1</v>
      </c>
      <c r="L568" s="6">
        <f t="shared" si="20"/>
        <v>1880000</v>
      </c>
      <c r="M568" s="6">
        <v>1600000</v>
      </c>
      <c r="N568" s="6" t="s">
        <v>2003</v>
      </c>
      <c r="O568" s="6" t="s">
        <v>813</v>
      </c>
      <c r="P568" s="6">
        <v>2013</v>
      </c>
      <c r="Q568" s="6">
        <v>1</v>
      </c>
      <c r="R568" s="6" t="s">
        <v>45</v>
      </c>
      <c r="S568" s="32" t="s">
        <v>2113</v>
      </c>
      <c r="T568" s="6">
        <v>1</v>
      </c>
      <c r="U568" s="26">
        <v>1500000</v>
      </c>
      <c r="V568" s="26">
        <v>1500000</v>
      </c>
      <c r="W568" s="26">
        <v>1500000</v>
      </c>
      <c r="X568" s="6" t="s">
        <v>2003</v>
      </c>
      <c r="Y568" s="6" t="s">
        <v>79</v>
      </c>
      <c r="Z568" s="6">
        <v>225482</v>
      </c>
    </row>
    <row r="569" spans="1:26" x14ac:dyDescent="0.3">
      <c r="A569" s="28" t="s">
        <v>42</v>
      </c>
      <c r="B569" s="6" t="s">
        <v>2342</v>
      </c>
      <c r="C569" s="6" t="s">
        <v>1982</v>
      </c>
      <c r="D569" s="6" t="s">
        <v>2001</v>
      </c>
      <c r="E569" s="6">
        <v>1</v>
      </c>
      <c r="F569" s="6" t="s">
        <v>2004</v>
      </c>
      <c r="G569" s="32" t="s">
        <v>2299</v>
      </c>
      <c r="H569" s="32" t="s">
        <v>2300</v>
      </c>
      <c r="I569" s="6" t="str">
        <f t="shared" si="19"/>
        <v>Standard Bucket</v>
      </c>
      <c r="J569" s="6" t="s">
        <v>290</v>
      </c>
      <c r="K569" s="6">
        <v>1</v>
      </c>
      <c r="L569" s="6">
        <f t="shared" si="20"/>
        <v>1410000</v>
      </c>
      <c r="M569" s="6">
        <v>1200000</v>
      </c>
      <c r="N569" s="6" t="s">
        <v>2003</v>
      </c>
      <c r="O569" s="6" t="s">
        <v>813</v>
      </c>
      <c r="P569" s="6">
        <v>2013</v>
      </c>
      <c r="Q569" s="6">
        <v>1</v>
      </c>
      <c r="R569" s="6" t="s">
        <v>45</v>
      </c>
      <c r="S569" s="32" t="s">
        <v>2113</v>
      </c>
      <c r="T569" s="6">
        <v>1</v>
      </c>
      <c r="U569" s="26">
        <v>1100000</v>
      </c>
      <c r="V569" s="26">
        <v>1100000</v>
      </c>
      <c r="W569" s="26">
        <v>1100000</v>
      </c>
      <c r="X569" s="6" t="s">
        <v>2003</v>
      </c>
      <c r="Y569" s="6" t="s">
        <v>49</v>
      </c>
      <c r="Z569" s="6">
        <v>225483</v>
      </c>
    </row>
    <row r="570" spans="1:26" x14ac:dyDescent="0.3">
      <c r="A570" s="28" t="s">
        <v>42</v>
      </c>
      <c r="B570" s="6" t="s">
        <v>2340</v>
      </c>
      <c r="C570" s="6"/>
      <c r="D570" s="6" t="s">
        <v>2289</v>
      </c>
      <c r="E570" s="6">
        <v>1</v>
      </c>
      <c r="F570" s="6" t="s">
        <v>2004</v>
      </c>
      <c r="G570" s="32" t="s">
        <v>2299</v>
      </c>
      <c r="H570" s="32" t="s">
        <v>2300</v>
      </c>
      <c r="I570" s="6" t="str">
        <f t="shared" si="19"/>
        <v>ETC</v>
      </c>
      <c r="J570" s="6" t="s">
        <v>126</v>
      </c>
      <c r="K570" s="6">
        <v>1</v>
      </c>
      <c r="L570" s="6">
        <f t="shared" si="20"/>
        <v>12350000</v>
      </c>
      <c r="M570" s="6">
        <v>10500000</v>
      </c>
      <c r="N570" s="6" t="s">
        <v>2003</v>
      </c>
      <c r="O570" s="6" t="s">
        <v>813</v>
      </c>
      <c r="P570" s="6">
        <v>2013</v>
      </c>
      <c r="Q570" s="6">
        <v>1</v>
      </c>
      <c r="R570" s="6" t="s">
        <v>45</v>
      </c>
      <c r="S570" s="32" t="s">
        <v>2113</v>
      </c>
      <c r="T570" s="6">
        <v>1</v>
      </c>
      <c r="U570" s="26">
        <v>10000000</v>
      </c>
      <c r="V570" s="26">
        <v>10000000</v>
      </c>
      <c r="W570" s="26">
        <v>10000000</v>
      </c>
      <c r="X570" s="6" t="s">
        <v>2003</v>
      </c>
      <c r="Y570" s="6" t="s">
        <v>49</v>
      </c>
      <c r="Z570" s="6">
        <v>225491</v>
      </c>
    </row>
    <row r="571" spans="1:26" x14ac:dyDescent="0.3">
      <c r="A571" s="28" t="s">
        <v>42</v>
      </c>
      <c r="B571" s="6" t="s">
        <v>2339</v>
      </c>
      <c r="C571" s="6" t="s">
        <v>1974</v>
      </c>
      <c r="D571" s="6" t="s">
        <v>2292</v>
      </c>
      <c r="E571" s="6">
        <v>1</v>
      </c>
      <c r="F571" s="6" t="s">
        <v>2004</v>
      </c>
      <c r="G571" s="32" t="s">
        <v>2299</v>
      </c>
      <c r="H571" s="32" t="s">
        <v>2300</v>
      </c>
      <c r="I571" s="6" t="str">
        <f t="shared" si="19"/>
        <v>Etc Grapple</v>
      </c>
      <c r="J571" s="6" t="s">
        <v>125</v>
      </c>
      <c r="K571" s="6">
        <v>1</v>
      </c>
      <c r="L571" s="6">
        <f t="shared" si="20"/>
        <v>5520000</v>
      </c>
      <c r="M571" s="6">
        <v>4700000</v>
      </c>
      <c r="N571" s="6" t="s">
        <v>2003</v>
      </c>
      <c r="O571" s="6" t="s">
        <v>54</v>
      </c>
      <c r="P571" s="6">
        <v>2010</v>
      </c>
      <c r="Q571" s="6">
        <v>1</v>
      </c>
      <c r="R571" s="6" t="s">
        <v>45</v>
      </c>
      <c r="S571" s="32" t="s">
        <v>2114</v>
      </c>
      <c r="T571" s="6">
        <v>1</v>
      </c>
      <c r="U571" s="26">
        <v>4500000</v>
      </c>
      <c r="V571" s="26">
        <v>4500000</v>
      </c>
      <c r="W571" s="26">
        <v>4500000</v>
      </c>
      <c r="X571" s="6" t="s">
        <v>2003</v>
      </c>
      <c r="Y571" s="6" t="s">
        <v>54</v>
      </c>
      <c r="Z571" s="6">
        <v>225495</v>
      </c>
    </row>
    <row r="572" spans="1:26" x14ac:dyDescent="0.3">
      <c r="A572" s="28" t="s">
        <v>42</v>
      </c>
      <c r="B572" s="6" t="s">
        <v>2341</v>
      </c>
      <c r="C572" s="6" t="s">
        <v>2321</v>
      </c>
      <c r="D572" s="6" t="s">
        <v>2292</v>
      </c>
      <c r="E572" s="6">
        <v>1</v>
      </c>
      <c r="F572" s="6" t="s">
        <v>2004</v>
      </c>
      <c r="G572" s="32" t="s">
        <v>2299</v>
      </c>
      <c r="H572" s="32" t="s">
        <v>2300</v>
      </c>
      <c r="I572" s="6" t="str">
        <f t="shared" si="19"/>
        <v>Etc Crusher</v>
      </c>
      <c r="J572" s="6" t="s">
        <v>192</v>
      </c>
      <c r="K572" s="6">
        <v>1</v>
      </c>
      <c r="L572" s="6">
        <f t="shared" si="20"/>
        <v>13520000</v>
      </c>
      <c r="M572" s="6">
        <v>11500000</v>
      </c>
      <c r="N572" s="6" t="s">
        <v>2003</v>
      </c>
      <c r="O572" s="6" t="s">
        <v>2007</v>
      </c>
      <c r="P572" s="6">
        <v>2015</v>
      </c>
      <c r="Q572" s="6">
        <v>1</v>
      </c>
      <c r="R572" s="6" t="s">
        <v>45</v>
      </c>
      <c r="S572" s="32" t="s">
        <v>2113</v>
      </c>
      <c r="T572" s="6">
        <v>1</v>
      </c>
      <c r="U572" s="26">
        <v>11000000</v>
      </c>
      <c r="V572" s="26">
        <v>11000000</v>
      </c>
      <c r="W572" s="26">
        <v>11000000</v>
      </c>
      <c r="X572" s="6" t="s">
        <v>2003</v>
      </c>
      <c r="Y572" s="6" t="s">
        <v>49</v>
      </c>
      <c r="Z572" s="6">
        <v>225496</v>
      </c>
    </row>
    <row r="573" spans="1:26" x14ac:dyDescent="0.3">
      <c r="A573" s="28" t="s">
        <v>42</v>
      </c>
      <c r="B573" s="6" t="s">
        <v>2339</v>
      </c>
      <c r="C573" s="6" t="s">
        <v>1974</v>
      </c>
      <c r="D573" s="6" t="s">
        <v>2293</v>
      </c>
      <c r="E573" s="6">
        <v>1</v>
      </c>
      <c r="F573" s="6" t="s">
        <v>2004</v>
      </c>
      <c r="G573" s="32" t="s">
        <v>2299</v>
      </c>
      <c r="H573" s="32" t="s">
        <v>2300</v>
      </c>
      <c r="I573" s="6" t="str">
        <f t="shared" si="19"/>
        <v>Etc Grapple</v>
      </c>
      <c r="J573" s="6" t="s">
        <v>368</v>
      </c>
      <c r="K573" s="6">
        <v>1</v>
      </c>
      <c r="L573" s="6">
        <f t="shared" si="20"/>
        <v>2640000</v>
      </c>
      <c r="M573" s="6">
        <v>2250000</v>
      </c>
      <c r="N573" s="6" t="s">
        <v>2003</v>
      </c>
      <c r="O573" s="6" t="s">
        <v>2007</v>
      </c>
      <c r="P573" s="6">
        <v>2016</v>
      </c>
      <c r="Q573" s="6">
        <v>1</v>
      </c>
      <c r="R573" s="6" t="s">
        <v>45</v>
      </c>
      <c r="S573" s="32" t="s">
        <v>2113</v>
      </c>
      <c r="T573" s="6">
        <v>1</v>
      </c>
      <c r="U573" s="26">
        <v>2050000</v>
      </c>
      <c r="V573" s="26">
        <v>2050000</v>
      </c>
      <c r="W573" s="26">
        <v>2050000</v>
      </c>
      <c r="X573" s="6" t="s">
        <v>2003</v>
      </c>
      <c r="Y573" s="6" t="s">
        <v>49</v>
      </c>
      <c r="Z573" s="6">
        <v>225498</v>
      </c>
    </row>
    <row r="574" spans="1:26" x14ac:dyDescent="0.3">
      <c r="A574" s="28" t="s">
        <v>42</v>
      </c>
      <c r="B574" s="6" t="s">
        <v>2344</v>
      </c>
      <c r="C574" s="6" t="s">
        <v>1977</v>
      </c>
      <c r="D574" s="6" t="s">
        <v>2292</v>
      </c>
      <c r="E574" s="6">
        <v>1</v>
      </c>
      <c r="F574" s="6" t="s">
        <v>2004</v>
      </c>
      <c r="G574" s="32" t="s">
        <v>2299</v>
      </c>
      <c r="H574" s="32" t="s">
        <v>2300</v>
      </c>
      <c r="I574" s="6" t="str">
        <f t="shared" si="19"/>
        <v>Wide Bucket</v>
      </c>
      <c r="J574" s="6" t="s">
        <v>123</v>
      </c>
      <c r="K574" s="6">
        <v>1</v>
      </c>
      <c r="L574" s="6">
        <f t="shared" si="20"/>
        <v>1170000</v>
      </c>
      <c r="M574" s="6">
        <v>1000000</v>
      </c>
      <c r="N574" s="6" t="s">
        <v>2003</v>
      </c>
      <c r="O574" s="6" t="s">
        <v>797</v>
      </c>
      <c r="P574" s="6">
        <v>2015</v>
      </c>
      <c r="Q574" s="6">
        <v>7</v>
      </c>
      <c r="R574" s="6" t="s">
        <v>45</v>
      </c>
      <c r="S574" s="32" t="s">
        <v>2120</v>
      </c>
      <c r="T574" s="6">
        <v>1</v>
      </c>
      <c r="U574" s="26">
        <v>900000</v>
      </c>
      <c r="V574" s="26">
        <v>900000</v>
      </c>
      <c r="W574" s="26">
        <v>900000</v>
      </c>
      <c r="X574" s="6" t="s">
        <v>2003</v>
      </c>
      <c r="Y574" s="6" t="s">
        <v>1162</v>
      </c>
      <c r="Z574" s="6">
        <v>225499</v>
      </c>
    </row>
    <row r="575" spans="1:26" x14ac:dyDescent="0.3">
      <c r="A575" s="28" t="s">
        <v>42</v>
      </c>
      <c r="B575" s="6" t="s">
        <v>2341</v>
      </c>
      <c r="C575" s="19" t="s">
        <v>2321</v>
      </c>
      <c r="D575" s="6" t="s">
        <v>2001</v>
      </c>
      <c r="E575" s="6">
        <v>1</v>
      </c>
      <c r="F575" s="6" t="s">
        <v>2004</v>
      </c>
      <c r="G575" s="32" t="s">
        <v>2299</v>
      </c>
      <c r="H575" s="32" t="s">
        <v>2300</v>
      </c>
      <c r="I575" s="6" t="str">
        <f t="shared" si="19"/>
        <v>Etc Crusher</v>
      </c>
      <c r="J575" s="6" t="s">
        <v>525</v>
      </c>
      <c r="K575" s="6">
        <v>1</v>
      </c>
      <c r="L575" s="6">
        <f t="shared" si="20"/>
        <v>20000000</v>
      </c>
      <c r="M575" s="6">
        <v>17000000</v>
      </c>
      <c r="N575" s="6" t="s">
        <v>2003</v>
      </c>
      <c r="O575" s="6" t="s">
        <v>813</v>
      </c>
      <c r="P575" s="6">
        <v>2014</v>
      </c>
      <c r="Q575" s="6">
        <v>1</v>
      </c>
      <c r="R575" s="6" t="s">
        <v>45</v>
      </c>
      <c r="S575" s="32" t="s">
        <v>2113</v>
      </c>
      <c r="T575" s="6">
        <v>1</v>
      </c>
      <c r="U575" s="26">
        <v>16500000</v>
      </c>
      <c r="V575" s="26">
        <v>16500000</v>
      </c>
      <c r="W575" s="26">
        <v>16500000</v>
      </c>
      <c r="X575" s="6" t="s">
        <v>2003</v>
      </c>
      <c r="Y575" s="6" t="s">
        <v>49</v>
      </c>
      <c r="Z575" s="6">
        <v>225502</v>
      </c>
    </row>
    <row r="576" spans="1:26" x14ac:dyDescent="0.3">
      <c r="A576" s="28" t="s">
        <v>42</v>
      </c>
      <c r="B576" s="6" t="s">
        <v>2341</v>
      </c>
      <c r="C576" s="19" t="s">
        <v>2321</v>
      </c>
      <c r="D576" s="6" t="s">
        <v>2292</v>
      </c>
      <c r="E576" s="6">
        <v>1</v>
      </c>
      <c r="F576" s="6" t="s">
        <v>2004</v>
      </c>
      <c r="G576" s="32" t="s">
        <v>2299</v>
      </c>
      <c r="H576" s="32" t="s">
        <v>2300</v>
      </c>
      <c r="I576" s="6" t="str">
        <f t="shared" si="19"/>
        <v>Etc Crusher</v>
      </c>
      <c r="J576" s="6" t="s">
        <v>653</v>
      </c>
      <c r="K576" s="6">
        <v>1</v>
      </c>
      <c r="L576" s="6">
        <f t="shared" si="20"/>
        <v>8820000</v>
      </c>
      <c r="M576" s="6">
        <v>7500000</v>
      </c>
      <c r="N576" s="6" t="s">
        <v>2003</v>
      </c>
      <c r="O576" s="6" t="s">
        <v>2007</v>
      </c>
      <c r="P576" s="6">
        <v>2012</v>
      </c>
      <c r="Q576" s="6">
        <v>1</v>
      </c>
      <c r="R576" s="6" t="s">
        <v>45</v>
      </c>
      <c r="S576" s="32" t="s">
        <v>2113</v>
      </c>
      <c r="T576" s="6">
        <v>1</v>
      </c>
      <c r="U576" s="26">
        <v>7000000</v>
      </c>
      <c r="V576" s="26">
        <v>7000000</v>
      </c>
      <c r="W576" s="26">
        <v>7000000</v>
      </c>
      <c r="X576" s="6" t="s">
        <v>2003</v>
      </c>
      <c r="Y576" s="6" t="s">
        <v>49</v>
      </c>
      <c r="Z576" s="6">
        <v>225505</v>
      </c>
    </row>
    <row r="577" spans="1:26" x14ac:dyDescent="0.3">
      <c r="A577" s="28" t="s">
        <v>42</v>
      </c>
      <c r="B577" s="6" t="s">
        <v>2339</v>
      </c>
      <c r="C577" s="6" t="s">
        <v>1979</v>
      </c>
      <c r="D577" s="6" t="s">
        <v>2290</v>
      </c>
      <c r="E577" s="6">
        <v>1</v>
      </c>
      <c r="F577" s="6" t="s">
        <v>2004</v>
      </c>
      <c r="G577" s="32" t="s">
        <v>2299</v>
      </c>
      <c r="H577" s="32" t="s">
        <v>2300</v>
      </c>
      <c r="I577" s="6" t="str">
        <f t="shared" si="19"/>
        <v>Thumb Grapple</v>
      </c>
      <c r="J577" s="6" t="s">
        <v>654</v>
      </c>
      <c r="K577" s="6">
        <v>1</v>
      </c>
      <c r="L577" s="6">
        <f t="shared" si="20"/>
        <v>2580000</v>
      </c>
      <c r="M577" s="6">
        <v>2200000</v>
      </c>
      <c r="N577" s="6" t="s">
        <v>2003</v>
      </c>
      <c r="O577" s="6" t="s">
        <v>813</v>
      </c>
      <c r="P577" s="6">
        <v>2014</v>
      </c>
      <c r="Q577" s="6">
        <v>1</v>
      </c>
      <c r="R577" s="6" t="s">
        <v>45</v>
      </c>
      <c r="S577" s="32" t="s">
        <v>2113</v>
      </c>
      <c r="T577" s="6">
        <v>1</v>
      </c>
      <c r="U577" s="26">
        <v>2000000</v>
      </c>
      <c r="V577" s="26">
        <v>2000000</v>
      </c>
      <c r="W577" s="26">
        <v>2000000</v>
      </c>
      <c r="X577" s="6" t="s">
        <v>2003</v>
      </c>
      <c r="Y577" s="6" t="s">
        <v>49</v>
      </c>
      <c r="Z577" s="6">
        <v>225508</v>
      </c>
    </row>
    <row r="578" spans="1:26" x14ac:dyDescent="0.3">
      <c r="A578" s="28" t="s">
        <v>42</v>
      </c>
      <c r="B578" s="6" t="s">
        <v>2341</v>
      </c>
      <c r="C578" s="6" t="s">
        <v>1978</v>
      </c>
      <c r="D578" s="6" t="s">
        <v>2290</v>
      </c>
      <c r="E578" s="6">
        <v>1</v>
      </c>
      <c r="F578" s="6" t="s">
        <v>2004</v>
      </c>
      <c r="G578" s="32" t="s">
        <v>2299</v>
      </c>
      <c r="H578" s="32" t="s">
        <v>2300</v>
      </c>
      <c r="I578" s="6" t="str">
        <f t="shared" si="19"/>
        <v>Hydraulic Pulverizer</v>
      </c>
      <c r="J578" s="6" t="s">
        <v>409</v>
      </c>
      <c r="K578" s="6">
        <v>1</v>
      </c>
      <c r="L578" s="6">
        <f t="shared" si="20"/>
        <v>7640000</v>
      </c>
      <c r="M578" s="6">
        <v>6500000</v>
      </c>
      <c r="N578" s="6" t="s">
        <v>2003</v>
      </c>
      <c r="O578" s="6" t="s">
        <v>813</v>
      </c>
      <c r="P578" s="6">
        <v>2013</v>
      </c>
      <c r="Q578" s="6">
        <v>1</v>
      </c>
      <c r="R578" s="6" t="s">
        <v>45</v>
      </c>
      <c r="S578" s="32" t="s">
        <v>2113</v>
      </c>
      <c r="T578" s="6">
        <v>1</v>
      </c>
      <c r="U578" s="26">
        <v>6000000</v>
      </c>
      <c r="V578" s="26">
        <v>6000000</v>
      </c>
      <c r="W578" s="26">
        <v>6000000</v>
      </c>
      <c r="X578" s="6" t="s">
        <v>2003</v>
      </c>
      <c r="Y578" s="6" t="s">
        <v>49</v>
      </c>
      <c r="Z578" s="6">
        <v>225512</v>
      </c>
    </row>
    <row r="579" spans="1:26" x14ac:dyDescent="0.3">
      <c r="A579" s="28" t="s">
        <v>42</v>
      </c>
      <c r="B579" s="6" t="s">
        <v>2338</v>
      </c>
      <c r="C579" s="6" t="s">
        <v>1975</v>
      </c>
      <c r="D579" s="6" t="s">
        <v>2290</v>
      </c>
      <c r="E579" s="6">
        <v>1</v>
      </c>
      <c r="F579" s="6" t="s">
        <v>2004</v>
      </c>
      <c r="G579" s="32" t="s">
        <v>2299</v>
      </c>
      <c r="H579" s="32" t="s">
        <v>2300</v>
      </c>
      <c r="I579" s="6" t="str">
        <f t="shared" si="19"/>
        <v>Side Breaker</v>
      </c>
      <c r="J579" s="6" t="s">
        <v>655</v>
      </c>
      <c r="K579" s="6">
        <v>1</v>
      </c>
      <c r="L579" s="6">
        <f t="shared" si="20"/>
        <v>7640000</v>
      </c>
      <c r="M579" s="6">
        <v>6500000</v>
      </c>
      <c r="N579" s="6" t="s">
        <v>2003</v>
      </c>
      <c r="O579" s="6" t="s">
        <v>1029</v>
      </c>
      <c r="P579" s="6">
        <v>2013</v>
      </c>
      <c r="Q579" s="6">
        <v>1</v>
      </c>
      <c r="R579" s="6" t="s">
        <v>45</v>
      </c>
      <c r="S579" s="32" t="s">
        <v>2119</v>
      </c>
      <c r="T579" s="6">
        <v>1</v>
      </c>
      <c r="U579" s="26">
        <v>6000000</v>
      </c>
      <c r="V579" s="26">
        <v>6000000</v>
      </c>
      <c r="W579" s="26">
        <v>6000000</v>
      </c>
      <c r="X579" s="6" t="s">
        <v>2003</v>
      </c>
      <c r="Y579" s="6" t="s">
        <v>1277</v>
      </c>
      <c r="Z579" s="6">
        <v>225515</v>
      </c>
    </row>
    <row r="580" spans="1:26" x14ac:dyDescent="0.3">
      <c r="A580" s="28" t="s">
        <v>42</v>
      </c>
      <c r="B580" s="6" t="s">
        <v>2339</v>
      </c>
      <c r="C580" s="19" t="s">
        <v>1974</v>
      </c>
      <c r="D580" s="6" t="s">
        <v>2001</v>
      </c>
      <c r="E580" s="6">
        <v>1</v>
      </c>
      <c r="F580" s="6" t="s">
        <v>2004</v>
      </c>
      <c r="G580" s="32" t="s">
        <v>2299</v>
      </c>
      <c r="H580" s="32" t="s">
        <v>2300</v>
      </c>
      <c r="I580" s="6" t="str">
        <f t="shared" si="19"/>
        <v>Etc Grapple</v>
      </c>
      <c r="J580" s="6" t="s">
        <v>656</v>
      </c>
      <c r="K580" s="6">
        <v>1</v>
      </c>
      <c r="L580" s="6">
        <f t="shared" si="20"/>
        <v>4940000</v>
      </c>
      <c r="M580" s="6">
        <v>4200000</v>
      </c>
      <c r="N580" s="6" t="s">
        <v>2003</v>
      </c>
      <c r="O580" s="6" t="s">
        <v>54</v>
      </c>
      <c r="P580" s="6">
        <v>2012</v>
      </c>
      <c r="Q580" s="6">
        <v>1</v>
      </c>
      <c r="R580" s="6" t="s">
        <v>45</v>
      </c>
      <c r="S580" s="32" t="s">
        <v>2114</v>
      </c>
      <c r="T580" s="6">
        <v>1</v>
      </c>
      <c r="U580" s="26">
        <v>4000000</v>
      </c>
      <c r="V580" s="26">
        <v>4000000</v>
      </c>
      <c r="W580" s="26">
        <v>4000000</v>
      </c>
      <c r="X580" s="6" t="s">
        <v>2003</v>
      </c>
      <c r="Y580" s="6" t="s">
        <v>54</v>
      </c>
      <c r="Z580" s="6">
        <v>225516</v>
      </c>
    </row>
    <row r="581" spans="1:26" x14ac:dyDescent="0.3">
      <c r="A581" s="28" t="s">
        <v>42</v>
      </c>
      <c r="B581" s="6" t="s">
        <v>2341</v>
      </c>
      <c r="C581" s="19" t="s">
        <v>2321</v>
      </c>
      <c r="D581" s="6" t="s">
        <v>2290</v>
      </c>
      <c r="E581" s="6">
        <v>1</v>
      </c>
      <c r="F581" s="6" t="s">
        <v>2004</v>
      </c>
      <c r="G581" s="32" t="s">
        <v>2299</v>
      </c>
      <c r="H581" s="32" t="s">
        <v>2300</v>
      </c>
      <c r="I581" s="6" t="str">
        <f t="shared" si="19"/>
        <v>Etc Crusher</v>
      </c>
      <c r="J581" s="6" t="s">
        <v>223</v>
      </c>
      <c r="K581" s="6">
        <v>1</v>
      </c>
      <c r="L581" s="6">
        <f t="shared" si="20"/>
        <v>12350000</v>
      </c>
      <c r="M581" s="6">
        <v>10500000</v>
      </c>
      <c r="N581" s="6" t="s">
        <v>2003</v>
      </c>
      <c r="O581" s="6" t="s">
        <v>813</v>
      </c>
      <c r="P581" s="6">
        <v>2014</v>
      </c>
      <c r="Q581" s="6">
        <v>1</v>
      </c>
      <c r="R581" s="6" t="s">
        <v>45</v>
      </c>
      <c r="S581" s="32" t="s">
        <v>2113</v>
      </c>
      <c r="T581" s="6">
        <v>1</v>
      </c>
      <c r="U581" s="26">
        <v>10000000</v>
      </c>
      <c r="V581" s="26">
        <v>10000000</v>
      </c>
      <c r="W581" s="26">
        <v>10000000</v>
      </c>
      <c r="X581" s="6" t="s">
        <v>2003</v>
      </c>
      <c r="Y581" s="6" t="s">
        <v>49</v>
      </c>
      <c r="Z581" s="6">
        <v>225519</v>
      </c>
    </row>
    <row r="582" spans="1:26" x14ac:dyDescent="0.3">
      <c r="A582" s="28" t="s">
        <v>42</v>
      </c>
      <c r="B582" s="6" t="s">
        <v>2339</v>
      </c>
      <c r="C582" s="6" t="s">
        <v>1979</v>
      </c>
      <c r="D582" s="6" t="s">
        <v>2292</v>
      </c>
      <c r="E582" s="6">
        <v>1</v>
      </c>
      <c r="F582" s="6" t="s">
        <v>2004</v>
      </c>
      <c r="G582" s="32" t="s">
        <v>2299</v>
      </c>
      <c r="H582" s="32" t="s">
        <v>2300</v>
      </c>
      <c r="I582" s="6" t="str">
        <f t="shared" si="19"/>
        <v>Thumb Grapple</v>
      </c>
      <c r="J582" s="6" t="s">
        <v>176</v>
      </c>
      <c r="K582" s="6">
        <v>1</v>
      </c>
      <c r="L582" s="6">
        <f t="shared" si="20"/>
        <v>940000</v>
      </c>
      <c r="M582" s="6">
        <v>800000</v>
      </c>
      <c r="N582" s="6" t="s">
        <v>2003</v>
      </c>
      <c r="O582" s="6" t="s">
        <v>813</v>
      </c>
      <c r="P582" s="6">
        <v>2013</v>
      </c>
      <c r="Q582" s="6">
        <v>1</v>
      </c>
      <c r="R582" s="6" t="s">
        <v>45</v>
      </c>
      <c r="S582" s="32" t="s">
        <v>2113</v>
      </c>
      <c r="T582" s="6">
        <v>1</v>
      </c>
      <c r="U582" s="26">
        <v>700000</v>
      </c>
      <c r="V582" s="26">
        <v>700000</v>
      </c>
      <c r="W582" s="26">
        <v>700000</v>
      </c>
      <c r="X582" s="6" t="s">
        <v>2003</v>
      </c>
      <c r="Y582" s="6" t="s">
        <v>79</v>
      </c>
      <c r="Z582" s="6">
        <v>225521</v>
      </c>
    </row>
    <row r="583" spans="1:26" x14ac:dyDescent="0.3">
      <c r="A583" s="28" t="s">
        <v>42</v>
      </c>
      <c r="B583" s="6" t="s">
        <v>2339</v>
      </c>
      <c r="C583" s="19" t="s">
        <v>1974</v>
      </c>
      <c r="D583" s="6" t="s">
        <v>2292</v>
      </c>
      <c r="E583" s="6">
        <v>1</v>
      </c>
      <c r="F583" s="6" t="s">
        <v>2004</v>
      </c>
      <c r="G583" s="32" t="s">
        <v>2299</v>
      </c>
      <c r="H583" s="32" t="s">
        <v>2300</v>
      </c>
      <c r="I583" s="6" t="str">
        <f t="shared" si="19"/>
        <v>Etc Grapple</v>
      </c>
      <c r="J583" s="6" t="s">
        <v>657</v>
      </c>
      <c r="K583" s="6">
        <v>1</v>
      </c>
      <c r="L583" s="6">
        <f t="shared" si="20"/>
        <v>5640000</v>
      </c>
      <c r="M583" s="6">
        <v>4800000</v>
      </c>
      <c r="N583" s="6" t="s">
        <v>2003</v>
      </c>
      <c r="O583" s="6" t="s">
        <v>2007</v>
      </c>
      <c r="P583" s="6">
        <v>2014</v>
      </c>
      <c r="Q583" s="6">
        <v>1</v>
      </c>
      <c r="R583" s="6" t="s">
        <v>45</v>
      </c>
      <c r="S583" s="32" t="s">
        <v>2113</v>
      </c>
      <c r="T583" s="6">
        <v>1</v>
      </c>
      <c r="U583" s="26">
        <v>4600000</v>
      </c>
      <c r="V583" s="26">
        <v>4600000</v>
      </c>
      <c r="W583" s="26">
        <v>4600000</v>
      </c>
      <c r="X583" s="6" t="s">
        <v>2003</v>
      </c>
      <c r="Y583" s="6" t="s">
        <v>49</v>
      </c>
      <c r="Z583" s="6">
        <v>225527</v>
      </c>
    </row>
    <row r="584" spans="1:26" x14ac:dyDescent="0.3">
      <c r="A584" s="28" t="s">
        <v>42</v>
      </c>
      <c r="B584" s="6" t="s">
        <v>2338</v>
      </c>
      <c r="C584" s="6" t="s">
        <v>1975</v>
      </c>
      <c r="D584" s="6" t="s">
        <v>2293</v>
      </c>
      <c r="E584" s="6">
        <v>1</v>
      </c>
      <c r="F584" s="6" t="s">
        <v>2004</v>
      </c>
      <c r="G584" s="32" t="s">
        <v>2299</v>
      </c>
      <c r="H584" s="32" t="s">
        <v>2300</v>
      </c>
      <c r="I584" s="6" t="str">
        <f t="shared" si="19"/>
        <v>Side Breaker</v>
      </c>
      <c r="J584" s="6" t="s">
        <v>205</v>
      </c>
      <c r="K584" s="6">
        <v>1</v>
      </c>
      <c r="L584" s="6">
        <f t="shared" si="20"/>
        <v>1700000</v>
      </c>
      <c r="M584" s="6">
        <v>1450000</v>
      </c>
      <c r="N584" s="6" t="s">
        <v>2003</v>
      </c>
      <c r="O584" s="6" t="s">
        <v>2007</v>
      </c>
      <c r="P584" s="6">
        <v>2014</v>
      </c>
      <c r="Q584" s="6">
        <v>1</v>
      </c>
      <c r="R584" s="6" t="s">
        <v>45</v>
      </c>
      <c r="S584" s="32" t="s">
        <v>2113</v>
      </c>
      <c r="T584" s="6">
        <v>1</v>
      </c>
      <c r="U584" s="26">
        <v>1350000</v>
      </c>
      <c r="V584" s="26">
        <v>1350000</v>
      </c>
      <c r="W584" s="26">
        <v>1350000</v>
      </c>
      <c r="X584" s="6" t="s">
        <v>2003</v>
      </c>
      <c r="Y584" s="6" t="s">
        <v>49</v>
      </c>
      <c r="Z584" s="6">
        <v>225528</v>
      </c>
    </row>
    <row r="585" spans="1:26" x14ac:dyDescent="0.3">
      <c r="A585" s="28" t="s">
        <v>42</v>
      </c>
      <c r="B585" s="6" t="s">
        <v>2338</v>
      </c>
      <c r="C585" s="6" t="s">
        <v>1975</v>
      </c>
      <c r="D585" s="6" t="s">
        <v>2292</v>
      </c>
      <c r="E585" s="6">
        <v>1</v>
      </c>
      <c r="F585" s="6" t="s">
        <v>2004</v>
      </c>
      <c r="G585" s="32" t="s">
        <v>2299</v>
      </c>
      <c r="H585" s="32" t="s">
        <v>2300</v>
      </c>
      <c r="I585" s="6" t="str">
        <f t="shared" si="19"/>
        <v>Side Breaker</v>
      </c>
      <c r="J585" s="6" t="s">
        <v>119</v>
      </c>
      <c r="K585" s="6">
        <v>1</v>
      </c>
      <c r="L585" s="6">
        <f t="shared" si="20"/>
        <v>5290000</v>
      </c>
      <c r="M585" s="6">
        <v>4500000</v>
      </c>
      <c r="N585" s="6" t="s">
        <v>2003</v>
      </c>
      <c r="O585" s="6" t="s">
        <v>862</v>
      </c>
      <c r="P585" s="6">
        <v>2015</v>
      </c>
      <c r="Q585" s="6">
        <v>8</v>
      </c>
      <c r="R585" s="6" t="s">
        <v>45</v>
      </c>
      <c r="S585" s="32" t="s">
        <v>2118</v>
      </c>
      <c r="T585" s="6">
        <v>1</v>
      </c>
      <c r="U585" s="26">
        <v>4300000</v>
      </c>
      <c r="V585" s="26">
        <v>4300000</v>
      </c>
      <c r="W585" s="26">
        <v>4300000</v>
      </c>
      <c r="X585" s="6" t="s">
        <v>2003</v>
      </c>
      <c r="Y585" s="6" t="s">
        <v>67</v>
      </c>
      <c r="Z585" s="6">
        <v>225529</v>
      </c>
    </row>
    <row r="586" spans="1:26" x14ac:dyDescent="0.3">
      <c r="A586" s="28" t="s">
        <v>42</v>
      </c>
      <c r="B586" s="6" t="s">
        <v>2342</v>
      </c>
      <c r="C586" s="6" t="s">
        <v>1982</v>
      </c>
      <c r="D586" s="6" t="s">
        <v>2292</v>
      </c>
      <c r="E586" s="6">
        <v>1</v>
      </c>
      <c r="F586" s="6" t="s">
        <v>2004</v>
      </c>
      <c r="G586" s="32" t="s">
        <v>2299</v>
      </c>
      <c r="H586" s="32" t="s">
        <v>2300</v>
      </c>
      <c r="I586" s="6" t="str">
        <f t="shared" si="19"/>
        <v>Standard Bucket</v>
      </c>
      <c r="J586" s="6" t="s">
        <v>147</v>
      </c>
      <c r="K586" s="6">
        <v>1</v>
      </c>
      <c r="L586" s="6">
        <f t="shared" si="20"/>
        <v>1000000</v>
      </c>
      <c r="M586" s="6">
        <v>850000</v>
      </c>
      <c r="N586" s="6" t="s">
        <v>2003</v>
      </c>
      <c r="O586" s="6" t="s">
        <v>813</v>
      </c>
      <c r="P586" s="6">
        <v>2014</v>
      </c>
      <c r="Q586" s="6">
        <v>1</v>
      </c>
      <c r="R586" s="6" t="s">
        <v>45</v>
      </c>
      <c r="S586" s="32" t="s">
        <v>2113</v>
      </c>
      <c r="T586" s="6">
        <v>1</v>
      </c>
      <c r="U586" s="26">
        <v>750000</v>
      </c>
      <c r="V586" s="26">
        <v>750000</v>
      </c>
      <c r="W586" s="26">
        <v>750000</v>
      </c>
      <c r="X586" s="6" t="s">
        <v>2003</v>
      </c>
      <c r="Y586" s="6" t="s">
        <v>80</v>
      </c>
      <c r="Z586" s="6">
        <v>225533</v>
      </c>
    </row>
    <row r="587" spans="1:26" x14ac:dyDescent="0.3">
      <c r="A587" s="28" t="s">
        <v>42</v>
      </c>
      <c r="B587" s="6" t="s">
        <v>2340</v>
      </c>
      <c r="C587" s="6"/>
      <c r="D587" s="6" t="s">
        <v>2001</v>
      </c>
      <c r="E587" s="6">
        <v>1</v>
      </c>
      <c r="F587" s="6" t="s">
        <v>2004</v>
      </c>
      <c r="G587" s="32" t="s">
        <v>2299</v>
      </c>
      <c r="H587" s="32" t="s">
        <v>2300</v>
      </c>
      <c r="I587" s="6" t="str">
        <f t="shared" ref="I587:I650" si="21">IF(ISBLANK(C587),B587,C587)</f>
        <v>ETC</v>
      </c>
      <c r="J587" s="6" t="s">
        <v>639</v>
      </c>
      <c r="K587" s="6">
        <v>1</v>
      </c>
      <c r="L587" s="6">
        <f t="shared" ref="L587:L650" si="22">FLOOR(((M587*100)/85)/10000, 1)*10000</f>
        <v>11170000</v>
      </c>
      <c r="M587" s="6">
        <v>9500000</v>
      </c>
      <c r="N587" s="6" t="s">
        <v>2003</v>
      </c>
      <c r="O587" s="6" t="s">
        <v>1873</v>
      </c>
      <c r="P587" s="6">
        <v>2014</v>
      </c>
      <c r="Q587" s="6">
        <v>1</v>
      </c>
      <c r="R587" s="6" t="s">
        <v>45</v>
      </c>
      <c r="S587" s="32" t="s">
        <v>2121</v>
      </c>
      <c r="T587" s="6">
        <v>1</v>
      </c>
      <c r="U587" s="26">
        <v>9000000</v>
      </c>
      <c r="V587" s="26">
        <v>9000000</v>
      </c>
      <c r="W587" s="26">
        <v>9000000</v>
      </c>
      <c r="X587" s="6" t="s">
        <v>2003</v>
      </c>
      <c r="Y587" s="6" t="s">
        <v>1265</v>
      </c>
      <c r="Z587" s="6">
        <v>225534</v>
      </c>
    </row>
    <row r="588" spans="1:26" x14ac:dyDescent="0.3">
      <c r="A588" s="28" t="s">
        <v>42</v>
      </c>
      <c r="B588" s="6" t="s">
        <v>2339</v>
      </c>
      <c r="C588" s="6" t="s">
        <v>1979</v>
      </c>
      <c r="D588" s="6" t="s">
        <v>2292</v>
      </c>
      <c r="E588" s="6">
        <v>1</v>
      </c>
      <c r="F588" s="6" t="s">
        <v>2004</v>
      </c>
      <c r="G588" s="32" t="s">
        <v>2299</v>
      </c>
      <c r="H588" s="32" t="s">
        <v>2300</v>
      </c>
      <c r="I588" s="6" t="str">
        <f t="shared" si="21"/>
        <v>Thumb Grapple</v>
      </c>
      <c r="J588" s="6" t="s">
        <v>195</v>
      </c>
      <c r="K588" s="6">
        <v>1</v>
      </c>
      <c r="L588" s="6">
        <f t="shared" si="22"/>
        <v>940000</v>
      </c>
      <c r="M588" s="6">
        <v>800000</v>
      </c>
      <c r="N588" s="6" t="s">
        <v>2003</v>
      </c>
      <c r="O588" s="6" t="s">
        <v>2007</v>
      </c>
      <c r="P588" s="6">
        <v>2014</v>
      </c>
      <c r="Q588" s="6">
        <v>1</v>
      </c>
      <c r="R588" s="6" t="s">
        <v>45</v>
      </c>
      <c r="S588" s="32" t="s">
        <v>2113</v>
      </c>
      <c r="T588" s="6">
        <v>1</v>
      </c>
      <c r="U588" s="26">
        <v>700000</v>
      </c>
      <c r="V588" s="26">
        <v>700000</v>
      </c>
      <c r="W588" s="26">
        <v>700000</v>
      </c>
      <c r="X588" s="6" t="s">
        <v>2003</v>
      </c>
      <c r="Y588" s="6" t="s">
        <v>49</v>
      </c>
      <c r="Z588" s="6">
        <v>225537</v>
      </c>
    </row>
    <row r="589" spans="1:26" x14ac:dyDescent="0.3">
      <c r="A589" s="28" t="s">
        <v>42</v>
      </c>
      <c r="B589" s="6" t="s">
        <v>2338</v>
      </c>
      <c r="C589" s="6" t="s">
        <v>1975</v>
      </c>
      <c r="D589" s="6" t="s">
        <v>2291</v>
      </c>
      <c r="E589" s="6">
        <v>1</v>
      </c>
      <c r="F589" s="6" t="s">
        <v>2004</v>
      </c>
      <c r="G589" s="32" t="s">
        <v>2299</v>
      </c>
      <c r="H589" s="32" t="s">
        <v>2300</v>
      </c>
      <c r="I589" s="6" t="str">
        <f t="shared" si="21"/>
        <v>Side Breaker</v>
      </c>
      <c r="J589" s="6" t="s">
        <v>266</v>
      </c>
      <c r="K589" s="6">
        <v>1</v>
      </c>
      <c r="L589" s="6">
        <f t="shared" si="22"/>
        <v>2820000</v>
      </c>
      <c r="M589" s="6">
        <v>2400000</v>
      </c>
      <c r="N589" s="6" t="s">
        <v>2003</v>
      </c>
      <c r="O589" s="6" t="s">
        <v>2011</v>
      </c>
      <c r="P589" s="6">
        <v>2016</v>
      </c>
      <c r="Q589" s="6">
        <v>6</v>
      </c>
      <c r="R589" s="6" t="s">
        <v>45</v>
      </c>
      <c r="S589" s="32" t="s">
        <v>2123</v>
      </c>
      <c r="T589" s="6">
        <v>1</v>
      </c>
      <c r="U589" s="26">
        <v>2200000</v>
      </c>
      <c r="V589" s="26">
        <v>2200000</v>
      </c>
      <c r="W589" s="26">
        <v>2200000</v>
      </c>
      <c r="X589" s="6" t="s">
        <v>2003</v>
      </c>
      <c r="Y589" s="6" t="s">
        <v>1200</v>
      </c>
      <c r="Z589" s="6">
        <v>225540</v>
      </c>
    </row>
    <row r="590" spans="1:26" x14ac:dyDescent="0.3">
      <c r="A590" s="28" t="s">
        <v>42</v>
      </c>
      <c r="B590" s="6" t="s">
        <v>2340</v>
      </c>
      <c r="C590" s="6"/>
      <c r="D590" s="6" t="s">
        <v>2290</v>
      </c>
      <c r="E590" s="6">
        <v>1</v>
      </c>
      <c r="F590" s="6" t="s">
        <v>2004</v>
      </c>
      <c r="G590" s="32" t="s">
        <v>2299</v>
      </c>
      <c r="H590" s="32" t="s">
        <v>2300</v>
      </c>
      <c r="I590" s="6" t="str">
        <f t="shared" si="21"/>
        <v>ETC</v>
      </c>
      <c r="J590" s="6" t="s">
        <v>658</v>
      </c>
      <c r="K590" s="6">
        <v>1</v>
      </c>
      <c r="L590" s="6">
        <f t="shared" si="22"/>
        <v>10000000</v>
      </c>
      <c r="M590" s="6">
        <v>8500000</v>
      </c>
      <c r="N590" s="6" t="s">
        <v>2003</v>
      </c>
      <c r="O590" s="6" t="s">
        <v>1030</v>
      </c>
      <c r="P590" s="6">
        <v>2002</v>
      </c>
      <c r="Q590" s="6">
        <v>1</v>
      </c>
      <c r="R590" s="6" t="s">
        <v>45</v>
      </c>
      <c r="S590" s="32" t="s">
        <v>2125</v>
      </c>
      <c r="T590" s="6">
        <v>1</v>
      </c>
      <c r="U590" s="26">
        <v>8000000</v>
      </c>
      <c r="V590" s="26">
        <v>8000000</v>
      </c>
      <c r="W590" s="26">
        <v>8000000</v>
      </c>
      <c r="X590" s="6" t="s">
        <v>2003</v>
      </c>
      <c r="Y590" s="6" t="s">
        <v>105</v>
      </c>
      <c r="Z590" s="6">
        <v>225544</v>
      </c>
    </row>
    <row r="591" spans="1:26" x14ac:dyDescent="0.3">
      <c r="A591" s="28" t="s">
        <v>42</v>
      </c>
      <c r="B591" s="6" t="s">
        <v>2340</v>
      </c>
      <c r="C591" s="6"/>
      <c r="D591" s="6" t="s">
        <v>2292</v>
      </c>
      <c r="E591" s="6">
        <v>1</v>
      </c>
      <c r="F591" s="6" t="s">
        <v>2004</v>
      </c>
      <c r="G591" s="32" t="s">
        <v>2299</v>
      </c>
      <c r="H591" s="32" t="s">
        <v>2300</v>
      </c>
      <c r="I591" s="6" t="str">
        <f t="shared" si="21"/>
        <v>ETC</v>
      </c>
      <c r="J591" s="6" t="s">
        <v>530</v>
      </c>
      <c r="K591" s="6">
        <v>1</v>
      </c>
      <c r="L591" s="6">
        <f t="shared" si="22"/>
        <v>4000000</v>
      </c>
      <c r="M591" s="6">
        <v>3400000</v>
      </c>
      <c r="N591" s="6" t="s">
        <v>2003</v>
      </c>
      <c r="O591" s="6" t="s">
        <v>813</v>
      </c>
      <c r="P591" s="6">
        <v>2014</v>
      </c>
      <c r="Q591" s="6">
        <v>1</v>
      </c>
      <c r="R591" s="6" t="s">
        <v>45</v>
      </c>
      <c r="S591" s="32" t="s">
        <v>2113</v>
      </c>
      <c r="T591" s="6">
        <v>1</v>
      </c>
      <c r="U591" s="26">
        <v>3200000</v>
      </c>
      <c r="V591" s="26">
        <v>3200000</v>
      </c>
      <c r="W591" s="26">
        <v>3200000</v>
      </c>
      <c r="X591" s="6" t="s">
        <v>2003</v>
      </c>
      <c r="Y591" s="6" t="s">
        <v>79</v>
      </c>
      <c r="Z591" s="6">
        <v>225547</v>
      </c>
    </row>
    <row r="592" spans="1:26" x14ac:dyDescent="0.3">
      <c r="A592" s="28" t="s">
        <v>42</v>
      </c>
      <c r="B592" s="6" t="s">
        <v>2338</v>
      </c>
      <c r="C592" s="6" t="s">
        <v>1975</v>
      </c>
      <c r="D592" s="6" t="s">
        <v>2291</v>
      </c>
      <c r="E592" s="6">
        <v>1</v>
      </c>
      <c r="F592" s="6" t="s">
        <v>2004</v>
      </c>
      <c r="G592" s="32" t="s">
        <v>2299</v>
      </c>
      <c r="H592" s="32" t="s">
        <v>2300</v>
      </c>
      <c r="I592" s="6" t="str">
        <f t="shared" si="21"/>
        <v>Side Breaker</v>
      </c>
      <c r="J592" s="6" t="s">
        <v>160</v>
      </c>
      <c r="K592" s="6">
        <v>1</v>
      </c>
      <c r="L592" s="6">
        <f t="shared" si="22"/>
        <v>1640000</v>
      </c>
      <c r="M592" s="6">
        <v>1400000</v>
      </c>
      <c r="N592" s="6" t="s">
        <v>2003</v>
      </c>
      <c r="O592" s="6" t="s">
        <v>842</v>
      </c>
      <c r="P592" s="6">
        <v>2012</v>
      </c>
      <c r="Q592" s="6">
        <v>1</v>
      </c>
      <c r="R592" s="6" t="s">
        <v>45</v>
      </c>
      <c r="S592" s="32" t="s">
        <v>2118</v>
      </c>
      <c r="T592" s="6">
        <v>1</v>
      </c>
      <c r="U592" s="26">
        <v>1300000</v>
      </c>
      <c r="V592" s="26">
        <v>1300000</v>
      </c>
      <c r="W592" s="26">
        <v>1300000</v>
      </c>
      <c r="X592" s="6" t="s">
        <v>2003</v>
      </c>
      <c r="Y592" s="6" t="s">
        <v>63</v>
      </c>
      <c r="Z592" s="6">
        <v>225548</v>
      </c>
    </row>
    <row r="593" spans="1:26" x14ac:dyDescent="0.3">
      <c r="A593" s="28" t="s">
        <v>42</v>
      </c>
      <c r="B593" s="6" t="s">
        <v>2344</v>
      </c>
      <c r="C593" s="6" t="s">
        <v>1980</v>
      </c>
      <c r="D593" s="6" t="s">
        <v>2292</v>
      </c>
      <c r="E593" s="6">
        <v>1</v>
      </c>
      <c r="F593" s="6" t="s">
        <v>2004</v>
      </c>
      <c r="G593" s="32" t="s">
        <v>2299</v>
      </c>
      <c r="H593" s="32" t="s">
        <v>2300</v>
      </c>
      <c r="I593" s="6" t="str">
        <f t="shared" si="21"/>
        <v>Small Bucket</v>
      </c>
      <c r="J593" s="6" t="s">
        <v>636</v>
      </c>
      <c r="K593" s="6">
        <v>1</v>
      </c>
      <c r="L593" s="6">
        <f t="shared" si="22"/>
        <v>880000</v>
      </c>
      <c r="M593" s="6">
        <v>750000</v>
      </c>
      <c r="N593" s="6" t="s">
        <v>2003</v>
      </c>
      <c r="O593" s="6" t="s">
        <v>813</v>
      </c>
      <c r="P593" s="6">
        <v>2013</v>
      </c>
      <c r="Q593" s="6">
        <v>1</v>
      </c>
      <c r="R593" s="6" t="s">
        <v>45</v>
      </c>
      <c r="S593" s="32" t="s">
        <v>2113</v>
      </c>
      <c r="T593" s="6">
        <v>1</v>
      </c>
      <c r="U593" s="26">
        <v>650000</v>
      </c>
      <c r="V593" s="26">
        <v>650000</v>
      </c>
      <c r="W593" s="26">
        <v>650000</v>
      </c>
      <c r="X593" s="6" t="s">
        <v>2003</v>
      </c>
      <c r="Y593" s="6" t="s">
        <v>80</v>
      </c>
      <c r="Z593" s="6">
        <v>225551</v>
      </c>
    </row>
    <row r="594" spans="1:26" x14ac:dyDescent="0.3">
      <c r="A594" s="28" t="s">
        <v>42</v>
      </c>
      <c r="B594" s="6" t="s">
        <v>2344</v>
      </c>
      <c r="C594" s="6" t="s">
        <v>1976</v>
      </c>
      <c r="D594" s="6" t="s">
        <v>2291</v>
      </c>
      <c r="E594" s="6">
        <v>1</v>
      </c>
      <c r="F594" s="6" t="s">
        <v>2004</v>
      </c>
      <c r="G594" s="32" t="s">
        <v>2299</v>
      </c>
      <c r="H594" s="32" t="s">
        <v>2300</v>
      </c>
      <c r="I594" s="6" t="str">
        <f t="shared" si="21"/>
        <v>Skeleton Bucket</v>
      </c>
      <c r="J594" s="6" t="s">
        <v>557</v>
      </c>
      <c r="K594" s="6">
        <v>1</v>
      </c>
      <c r="L594" s="6">
        <f t="shared" si="22"/>
        <v>820000</v>
      </c>
      <c r="M594" s="6">
        <v>700000</v>
      </c>
      <c r="N594" s="6" t="s">
        <v>2003</v>
      </c>
      <c r="O594" s="6" t="s">
        <v>2011</v>
      </c>
      <c r="P594" s="6">
        <v>2017</v>
      </c>
      <c r="Q594" s="6">
        <v>2</v>
      </c>
      <c r="R594" s="6" t="s">
        <v>45</v>
      </c>
      <c r="S594" s="32" t="s">
        <v>2123</v>
      </c>
      <c r="T594" s="6">
        <v>1</v>
      </c>
      <c r="U594" s="26">
        <v>600000</v>
      </c>
      <c r="V594" s="26">
        <v>600000</v>
      </c>
      <c r="W594" s="26">
        <v>600000</v>
      </c>
      <c r="X594" s="6" t="s">
        <v>2003</v>
      </c>
      <c r="Y594" s="6" t="s">
        <v>1200</v>
      </c>
      <c r="Z594" s="6">
        <v>225555</v>
      </c>
    </row>
    <row r="595" spans="1:26" x14ac:dyDescent="0.3">
      <c r="A595" s="28" t="s">
        <v>42</v>
      </c>
      <c r="B595" s="6" t="s">
        <v>2341</v>
      </c>
      <c r="C595" s="19" t="s">
        <v>2321</v>
      </c>
      <c r="D595" s="6" t="s">
        <v>2292</v>
      </c>
      <c r="E595" s="6">
        <v>1</v>
      </c>
      <c r="F595" s="6" t="s">
        <v>2004</v>
      </c>
      <c r="G595" s="32" t="s">
        <v>2299</v>
      </c>
      <c r="H595" s="32" t="s">
        <v>2300</v>
      </c>
      <c r="I595" s="6" t="str">
        <f t="shared" si="21"/>
        <v>Etc Crusher</v>
      </c>
      <c r="J595" s="6" t="s">
        <v>103</v>
      </c>
      <c r="K595" s="6">
        <v>1</v>
      </c>
      <c r="L595" s="6">
        <f t="shared" si="22"/>
        <v>14700000</v>
      </c>
      <c r="M595" s="6">
        <v>12500000</v>
      </c>
      <c r="N595" s="6" t="s">
        <v>2003</v>
      </c>
      <c r="O595" s="6" t="s">
        <v>813</v>
      </c>
      <c r="P595" s="6">
        <v>2013</v>
      </c>
      <c r="Q595" s="6">
        <v>1</v>
      </c>
      <c r="R595" s="6" t="s">
        <v>45</v>
      </c>
      <c r="S595" s="32" t="s">
        <v>2113</v>
      </c>
      <c r="T595" s="6">
        <v>1</v>
      </c>
      <c r="U595" s="26">
        <v>12000000</v>
      </c>
      <c r="V595" s="26">
        <v>12000000</v>
      </c>
      <c r="W595" s="26">
        <v>12000000</v>
      </c>
      <c r="X595" s="6" t="s">
        <v>2003</v>
      </c>
      <c r="Y595" s="6" t="s">
        <v>79</v>
      </c>
      <c r="Z595" s="6">
        <v>225561</v>
      </c>
    </row>
    <row r="596" spans="1:26" x14ac:dyDescent="0.3">
      <c r="A596" s="28" t="s">
        <v>42</v>
      </c>
      <c r="B596" s="6" t="s">
        <v>2339</v>
      </c>
      <c r="C596" s="6" t="s">
        <v>1979</v>
      </c>
      <c r="D596" s="6" t="s">
        <v>2292</v>
      </c>
      <c r="E596" s="6">
        <v>1</v>
      </c>
      <c r="F596" s="6" t="s">
        <v>2004</v>
      </c>
      <c r="G596" s="32" t="s">
        <v>2299</v>
      </c>
      <c r="H596" s="32" t="s">
        <v>2300</v>
      </c>
      <c r="I596" s="6" t="str">
        <f t="shared" si="21"/>
        <v>Thumb Grapple</v>
      </c>
      <c r="J596" s="6" t="s">
        <v>659</v>
      </c>
      <c r="K596" s="6">
        <v>1</v>
      </c>
      <c r="L596" s="6">
        <f t="shared" si="22"/>
        <v>940000</v>
      </c>
      <c r="M596" s="6">
        <v>800000</v>
      </c>
      <c r="N596" s="6" t="s">
        <v>2003</v>
      </c>
      <c r="O596" s="6" t="s">
        <v>2007</v>
      </c>
      <c r="P596" s="6">
        <v>2013</v>
      </c>
      <c r="Q596" s="6">
        <v>1</v>
      </c>
      <c r="R596" s="6" t="s">
        <v>45</v>
      </c>
      <c r="S596" s="32" t="s">
        <v>2113</v>
      </c>
      <c r="T596" s="6">
        <v>1</v>
      </c>
      <c r="U596" s="26">
        <v>700000</v>
      </c>
      <c r="V596" s="26">
        <v>700000</v>
      </c>
      <c r="W596" s="26">
        <v>700000</v>
      </c>
      <c r="X596" s="6" t="s">
        <v>2003</v>
      </c>
      <c r="Y596" s="6" t="s">
        <v>49</v>
      </c>
      <c r="Z596" s="6">
        <v>225562</v>
      </c>
    </row>
    <row r="597" spans="1:26" x14ac:dyDescent="0.3">
      <c r="A597" s="28" t="s">
        <v>42</v>
      </c>
      <c r="B597" s="6" t="s">
        <v>2339</v>
      </c>
      <c r="C597" s="6" t="s">
        <v>1972</v>
      </c>
      <c r="D597" s="6" t="s">
        <v>2292</v>
      </c>
      <c r="E597" s="6">
        <v>1</v>
      </c>
      <c r="F597" s="6" t="s">
        <v>2004</v>
      </c>
      <c r="G597" s="32" t="s">
        <v>2299</v>
      </c>
      <c r="H597" s="32" t="s">
        <v>2300</v>
      </c>
      <c r="I597" s="6" t="str">
        <f t="shared" si="21"/>
        <v>Stone Grapple</v>
      </c>
      <c r="J597" s="6" t="s">
        <v>120</v>
      </c>
      <c r="K597" s="6">
        <v>1</v>
      </c>
      <c r="L597" s="6">
        <f t="shared" si="22"/>
        <v>6470000</v>
      </c>
      <c r="M597" s="6">
        <v>5500000</v>
      </c>
      <c r="N597" s="6" t="s">
        <v>2003</v>
      </c>
      <c r="O597" s="6" t="s">
        <v>813</v>
      </c>
      <c r="P597" s="6">
        <v>2014</v>
      </c>
      <c r="Q597" s="6">
        <v>1</v>
      </c>
      <c r="R597" s="6" t="s">
        <v>45</v>
      </c>
      <c r="S597" s="32" t="s">
        <v>2113</v>
      </c>
      <c r="T597" s="6">
        <v>1</v>
      </c>
      <c r="U597" s="26">
        <v>5000000</v>
      </c>
      <c r="V597" s="26">
        <v>5000000</v>
      </c>
      <c r="W597" s="26">
        <v>5000000</v>
      </c>
      <c r="X597" s="6" t="s">
        <v>2003</v>
      </c>
      <c r="Y597" s="6" t="s">
        <v>79</v>
      </c>
      <c r="Z597" s="6">
        <v>225565</v>
      </c>
    </row>
    <row r="598" spans="1:26" x14ac:dyDescent="0.3">
      <c r="A598" s="28" t="s">
        <v>42</v>
      </c>
      <c r="B598" s="6" t="s">
        <v>2339</v>
      </c>
      <c r="C598" s="6" t="s">
        <v>1972</v>
      </c>
      <c r="D598" s="6" t="s">
        <v>2292</v>
      </c>
      <c r="E598" s="6">
        <v>1</v>
      </c>
      <c r="F598" s="6" t="s">
        <v>2004</v>
      </c>
      <c r="G598" s="32" t="s">
        <v>2299</v>
      </c>
      <c r="H598" s="32" t="s">
        <v>2300</v>
      </c>
      <c r="I598" s="6" t="str">
        <f t="shared" si="21"/>
        <v>Stone Grapple</v>
      </c>
      <c r="J598" s="6" t="s">
        <v>106</v>
      </c>
      <c r="K598" s="6">
        <v>1</v>
      </c>
      <c r="L598" s="6">
        <f t="shared" si="22"/>
        <v>6470000</v>
      </c>
      <c r="M598" s="6">
        <v>5500000</v>
      </c>
      <c r="N598" s="6" t="s">
        <v>2003</v>
      </c>
      <c r="O598" s="6" t="s">
        <v>813</v>
      </c>
      <c r="P598" s="6">
        <v>2014</v>
      </c>
      <c r="Q598" s="6">
        <v>1</v>
      </c>
      <c r="R598" s="6" t="s">
        <v>45</v>
      </c>
      <c r="S598" s="32" t="s">
        <v>2113</v>
      </c>
      <c r="T598" s="6">
        <v>1</v>
      </c>
      <c r="U598" s="26">
        <v>5000000</v>
      </c>
      <c r="V598" s="26">
        <v>5000000</v>
      </c>
      <c r="W598" s="26">
        <v>5000000</v>
      </c>
      <c r="X598" s="6" t="s">
        <v>2003</v>
      </c>
      <c r="Y598" s="6" t="s">
        <v>79</v>
      </c>
      <c r="Z598" s="6">
        <v>225569</v>
      </c>
    </row>
    <row r="599" spans="1:26" x14ac:dyDescent="0.3">
      <c r="A599" s="28" t="s">
        <v>42</v>
      </c>
      <c r="B599" s="6" t="s">
        <v>2343</v>
      </c>
      <c r="C599" s="6"/>
      <c r="D599" s="6" t="s">
        <v>2291</v>
      </c>
      <c r="E599" s="6">
        <v>1</v>
      </c>
      <c r="F599" s="6" t="s">
        <v>2004</v>
      </c>
      <c r="G599" s="32" t="s">
        <v>2299</v>
      </c>
      <c r="H599" s="32" t="s">
        <v>2300</v>
      </c>
      <c r="I599" s="6" t="str">
        <f t="shared" si="21"/>
        <v>Lift Fork</v>
      </c>
      <c r="J599" s="6" t="s">
        <v>661</v>
      </c>
      <c r="K599" s="6">
        <v>1</v>
      </c>
      <c r="L599" s="6">
        <f t="shared" si="22"/>
        <v>1050000</v>
      </c>
      <c r="M599" s="6">
        <v>900000</v>
      </c>
      <c r="N599" s="6" t="s">
        <v>2003</v>
      </c>
      <c r="O599" s="6" t="s">
        <v>2011</v>
      </c>
      <c r="P599" s="6">
        <v>2017</v>
      </c>
      <c r="Q599" s="6">
        <v>2</v>
      </c>
      <c r="R599" s="6" t="s">
        <v>45</v>
      </c>
      <c r="S599" s="32" t="s">
        <v>2123</v>
      </c>
      <c r="T599" s="6">
        <v>1</v>
      </c>
      <c r="U599" s="26">
        <v>800000</v>
      </c>
      <c r="V599" s="26">
        <v>800000</v>
      </c>
      <c r="W599" s="26">
        <v>800000</v>
      </c>
      <c r="X599" s="6" t="s">
        <v>2003</v>
      </c>
      <c r="Y599" s="6" t="s">
        <v>1200</v>
      </c>
      <c r="Z599" s="6">
        <v>225571</v>
      </c>
    </row>
    <row r="600" spans="1:26" x14ac:dyDescent="0.3">
      <c r="A600" s="28" t="s">
        <v>42</v>
      </c>
      <c r="B600" s="6" t="s">
        <v>2338</v>
      </c>
      <c r="C600" s="6" t="s">
        <v>1975</v>
      </c>
      <c r="D600" s="6" t="s">
        <v>2001</v>
      </c>
      <c r="E600" s="6">
        <v>1</v>
      </c>
      <c r="F600" s="6" t="s">
        <v>2004</v>
      </c>
      <c r="G600" s="32" t="s">
        <v>2299</v>
      </c>
      <c r="H600" s="32" t="s">
        <v>2300</v>
      </c>
      <c r="I600" s="6" t="str">
        <f t="shared" si="21"/>
        <v>Side Breaker</v>
      </c>
      <c r="J600" s="6" t="s">
        <v>306</v>
      </c>
      <c r="K600" s="6">
        <v>1</v>
      </c>
      <c r="L600" s="6">
        <f t="shared" si="22"/>
        <v>7050000</v>
      </c>
      <c r="M600" s="6">
        <v>6000000</v>
      </c>
      <c r="N600" s="6" t="s">
        <v>2003</v>
      </c>
      <c r="O600" s="6" t="s">
        <v>2033</v>
      </c>
      <c r="P600" s="6">
        <v>2009</v>
      </c>
      <c r="Q600" s="6">
        <v>1</v>
      </c>
      <c r="R600" s="6" t="s">
        <v>45</v>
      </c>
      <c r="S600" s="32" t="s">
        <v>2121</v>
      </c>
      <c r="T600" s="6">
        <v>1</v>
      </c>
      <c r="U600" s="26">
        <v>5500000</v>
      </c>
      <c r="V600" s="26">
        <v>5500000</v>
      </c>
      <c r="W600" s="26">
        <v>5500000</v>
      </c>
      <c r="X600" s="6" t="s">
        <v>2003</v>
      </c>
      <c r="Y600" s="6" t="s">
        <v>1219</v>
      </c>
      <c r="Z600" s="6">
        <v>225573</v>
      </c>
    </row>
    <row r="601" spans="1:26" x14ac:dyDescent="0.3">
      <c r="A601" s="28" t="s">
        <v>42</v>
      </c>
      <c r="B601" s="6" t="s">
        <v>2339</v>
      </c>
      <c r="C601" s="6" t="s">
        <v>1972</v>
      </c>
      <c r="D601" s="6" t="s">
        <v>2001</v>
      </c>
      <c r="E601" s="6">
        <v>1</v>
      </c>
      <c r="F601" s="6" t="s">
        <v>2004</v>
      </c>
      <c r="G601" s="32" t="s">
        <v>2299</v>
      </c>
      <c r="H601" s="32" t="s">
        <v>2300</v>
      </c>
      <c r="I601" s="6" t="str">
        <f t="shared" si="21"/>
        <v>Stone Grapple</v>
      </c>
      <c r="J601" s="6" t="s">
        <v>191</v>
      </c>
      <c r="K601" s="6">
        <v>1</v>
      </c>
      <c r="L601" s="6">
        <f t="shared" si="22"/>
        <v>8000000</v>
      </c>
      <c r="M601" s="6">
        <v>6800000</v>
      </c>
      <c r="N601" s="6" t="s">
        <v>2003</v>
      </c>
      <c r="O601" s="6" t="s">
        <v>2058</v>
      </c>
      <c r="P601" s="6">
        <v>2017</v>
      </c>
      <c r="Q601" s="6">
        <v>1</v>
      </c>
      <c r="R601" s="6" t="s">
        <v>45</v>
      </c>
      <c r="S601" s="32" t="s">
        <v>2110</v>
      </c>
      <c r="T601" s="6">
        <v>1</v>
      </c>
      <c r="U601" s="26">
        <v>6300000</v>
      </c>
      <c r="V601" s="26">
        <v>6300000</v>
      </c>
      <c r="W601" s="26">
        <v>6300000</v>
      </c>
      <c r="X601" s="6" t="s">
        <v>2003</v>
      </c>
      <c r="Y601" s="6" t="s">
        <v>1155</v>
      </c>
      <c r="Z601" s="6">
        <v>225576</v>
      </c>
    </row>
    <row r="602" spans="1:26" x14ac:dyDescent="0.3">
      <c r="A602" s="28" t="s">
        <v>42</v>
      </c>
      <c r="B602" s="6" t="s">
        <v>2339</v>
      </c>
      <c r="C602" s="6" t="s">
        <v>1972</v>
      </c>
      <c r="D602" s="6" t="s">
        <v>2291</v>
      </c>
      <c r="E602" s="6">
        <v>1</v>
      </c>
      <c r="F602" s="6" t="s">
        <v>2004</v>
      </c>
      <c r="G602" s="32" t="s">
        <v>2299</v>
      </c>
      <c r="H602" s="32" t="s">
        <v>2300</v>
      </c>
      <c r="I602" s="6" t="str">
        <f t="shared" si="21"/>
        <v>Stone Grapple</v>
      </c>
      <c r="J602" s="6" t="s">
        <v>470</v>
      </c>
      <c r="K602" s="6">
        <v>1</v>
      </c>
      <c r="L602" s="6">
        <f t="shared" si="22"/>
        <v>2000000</v>
      </c>
      <c r="M602" s="6">
        <v>1700000</v>
      </c>
      <c r="N602" s="6" t="s">
        <v>2003</v>
      </c>
      <c r="O602" s="6" t="s">
        <v>2033</v>
      </c>
      <c r="P602" s="6">
        <v>2010</v>
      </c>
      <c r="Q602" s="6">
        <v>5</v>
      </c>
      <c r="R602" s="6" t="s">
        <v>45</v>
      </c>
      <c r="S602" s="32" t="s">
        <v>2122</v>
      </c>
      <c r="T602" s="6">
        <v>1</v>
      </c>
      <c r="U602" s="26">
        <v>1600000</v>
      </c>
      <c r="V602" s="26">
        <v>1600000</v>
      </c>
      <c r="W602" s="26">
        <v>1600000</v>
      </c>
      <c r="X602" s="6" t="s">
        <v>2003</v>
      </c>
      <c r="Y602" s="6" t="s">
        <v>1219</v>
      </c>
      <c r="Z602" s="6">
        <v>225577</v>
      </c>
    </row>
    <row r="603" spans="1:26" x14ac:dyDescent="0.3">
      <c r="A603" s="28" t="s">
        <v>42</v>
      </c>
      <c r="B603" s="6" t="s">
        <v>2342</v>
      </c>
      <c r="C603" s="6" t="s">
        <v>1982</v>
      </c>
      <c r="D603" s="6" t="s">
        <v>2001</v>
      </c>
      <c r="E603" s="6">
        <v>1</v>
      </c>
      <c r="F603" s="6" t="s">
        <v>2004</v>
      </c>
      <c r="G603" s="32" t="s">
        <v>2299</v>
      </c>
      <c r="H603" s="32" t="s">
        <v>2300</v>
      </c>
      <c r="I603" s="6" t="str">
        <f t="shared" si="21"/>
        <v>Standard Bucket</v>
      </c>
      <c r="J603" s="6" t="s">
        <v>219</v>
      </c>
      <c r="K603" s="6">
        <v>1</v>
      </c>
      <c r="L603" s="6">
        <f t="shared" si="22"/>
        <v>1410000</v>
      </c>
      <c r="M603" s="6">
        <v>1200000</v>
      </c>
      <c r="N603" s="6" t="s">
        <v>2003</v>
      </c>
      <c r="O603" s="6" t="s">
        <v>813</v>
      </c>
      <c r="P603" s="6">
        <v>2013</v>
      </c>
      <c r="Q603" s="6">
        <v>1</v>
      </c>
      <c r="R603" s="6" t="s">
        <v>45</v>
      </c>
      <c r="S603" s="32" t="s">
        <v>2113</v>
      </c>
      <c r="T603" s="6">
        <v>1</v>
      </c>
      <c r="U603" s="26">
        <v>1100000</v>
      </c>
      <c r="V603" s="26">
        <v>1100000</v>
      </c>
      <c r="W603" s="26">
        <v>1100000</v>
      </c>
      <c r="X603" s="6" t="s">
        <v>2003</v>
      </c>
      <c r="Y603" s="6" t="s">
        <v>79</v>
      </c>
      <c r="Z603" s="6">
        <v>225578</v>
      </c>
    </row>
    <row r="604" spans="1:26" x14ac:dyDescent="0.3">
      <c r="A604" s="28" t="s">
        <v>42</v>
      </c>
      <c r="B604" s="6" t="s">
        <v>2343</v>
      </c>
      <c r="C604" s="6"/>
      <c r="D604" s="6" t="s">
        <v>2292</v>
      </c>
      <c r="E604" s="6">
        <v>1</v>
      </c>
      <c r="F604" s="6" t="s">
        <v>2004</v>
      </c>
      <c r="G604" s="32" t="s">
        <v>2299</v>
      </c>
      <c r="H604" s="32" t="s">
        <v>2300</v>
      </c>
      <c r="I604" s="6" t="str">
        <f t="shared" si="21"/>
        <v>Lift Fork</v>
      </c>
      <c r="J604" s="6" t="s">
        <v>449</v>
      </c>
      <c r="K604" s="6">
        <v>1</v>
      </c>
      <c r="L604" s="6">
        <f t="shared" si="22"/>
        <v>470000</v>
      </c>
      <c r="M604" s="6">
        <v>400000</v>
      </c>
      <c r="N604" s="6" t="s">
        <v>2003</v>
      </c>
      <c r="O604" s="6" t="s">
        <v>2012</v>
      </c>
      <c r="P604" s="6">
        <v>2013</v>
      </c>
      <c r="Q604" s="6">
        <v>1</v>
      </c>
      <c r="R604" s="6" t="s">
        <v>45</v>
      </c>
      <c r="S604" s="32" t="s">
        <v>2113</v>
      </c>
      <c r="T604" s="6">
        <v>1</v>
      </c>
      <c r="U604" s="26">
        <v>350000</v>
      </c>
      <c r="V604" s="26">
        <v>350000</v>
      </c>
      <c r="W604" s="26">
        <v>350000</v>
      </c>
      <c r="X604" s="6" t="s">
        <v>2003</v>
      </c>
      <c r="Y604" s="6" t="s">
        <v>49</v>
      </c>
      <c r="Z604" s="6">
        <v>225579</v>
      </c>
    </row>
    <row r="605" spans="1:26" x14ac:dyDescent="0.3">
      <c r="A605" s="28" t="s">
        <v>42</v>
      </c>
      <c r="B605" s="6" t="s">
        <v>2339</v>
      </c>
      <c r="C605" s="6" t="s">
        <v>1972</v>
      </c>
      <c r="D605" s="6" t="s">
        <v>2291</v>
      </c>
      <c r="E605" s="6">
        <v>1</v>
      </c>
      <c r="F605" s="6" t="s">
        <v>2004</v>
      </c>
      <c r="G605" s="32" t="s">
        <v>2299</v>
      </c>
      <c r="H605" s="32" t="s">
        <v>2300</v>
      </c>
      <c r="I605" s="6" t="str">
        <f t="shared" si="21"/>
        <v>Stone Grapple</v>
      </c>
      <c r="J605" s="6" t="s">
        <v>302</v>
      </c>
      <c r="K605" s="6">
        <v>1</v>
      </c>
      <c r="L605" s="6">
        <f t="shared" si="22"/>
        <v>4350000</v>
      </c>
      <c r="M605" s="6">
        <v>3700000</v>
      </c>
      <c r="N605" s="6" t="s">
        <v>2003</v>
      </c>
      <c r="O605" s="6" t="s">
        <v>2068</v>
      </c>
      <c r="P605" s="6">
        <v>2016</v>
      </c>
      <c r="Q605" s="6">
        <v>1</v>
      </c>
      <c r="R605" s="6" t="s">
        <v>45</v>
      </c>
      <c r="S605" s="32" t="s">
        <v>2113</v>
      </c>
      <c r="T605" s="6">
        <v>1</v>
      </c>
      <c r="U605" s="26">
        <v>3500000</v>
      </c>
      <c r="V605" s="26">
        <v>3500000</v>
      </c>
      <c r="W605" s="26">
        <v>3500000</v>
      </c>
      <c r="X605" s="6" t="s">
        <v>2003</v>
      </c>
      <c r="Y605" s="6" t="s">
        <v>49</v>
      </c>
      <c r="Z605" s="6">
        <v>225582</v>
      </c>
    </row>
    <row r="606" spans="1:26" x14ac:dyDescent="0.3">
      <c r="A606" s="28" t="s">
        <v>42</v>
      </c>
      <c r="B606" s="6" t="s">
        <v>2339</v>
      </c>
      <c r="C606" s="6" t="s">
        <v>1972</v>
      </c>
      <c r="D606" s="6" t="s">
        <v>2292</v>
      </c>
      <c r="E606" s="6">
        <v>1</v>
      </c>
      <c r="F606" s="6" t="s">
        <v>2004</v>
      </c>
      <c r="G606" s="32" t="s">
        <v>2299</v>
      </c>
      <c r="H606" s="32" t="s">
        <v>2300</v>
      </c>
      <c r="I606" s="6" t="str">
        <f t="shared" si="21"/>
        <v>Stone Grapple</v>
      </c>
      <c r="J606" s="6" t="s">
        <v>207</v>
      </c>
      <c r="K606" s="6">
        <v>1</v>
      </c>
      <c r="L606" s="6">
        <f t="shared" si="22"/>
        <v>3760000</v>
      </c>
      <c r="M606" s="6">
        <v>3200000</v>
      </c>
      <c r="N606" s="6" t="s">
        <v>2003</v>
      </c>
      <c r="O606" s="6" t="s">
        <v>794</v>
      </c>
      <c r="P606" s="6">
        <v>2015</v>
      </c>
      <c r="Q606" s="6">
        <v>1</v>
      </c>
      <c r="R606" s="6" t="s">
        <v>45</v>
      </c>
      <c r="S606" s="32" t="s">
        <v>2122</v>
      </c>
      <c r="T606" s="6">
        <v>1</v>
      </c>
      <c r="U606" s="26">
        <v>3000000</v>
      </c>
      <c r="V606" s="26">
        <v>3000000</v>
      </c>
      <c r="W606" s="26">
        <v>3000000</v>
      </c>
      <c r="X606" s="6" t="s">
        <v>2003</v>
      </c>
      <c r="Y606" s="6" t="s">
        <v>1154</v>
      </c>
      <c r="Z606" s="6">
        <v>225586</v>
      </c>
    </row>
    <row r="607" spans="1:26" x14ac:dyDescent="0.3">
      <c r="A607" s="28" t="s">
        <v>42</v>
      </c>
      <c r="B607" s="6" t="s">
        <v>2339</v>
      </c>
      <c r="C607" s="6" t="s">
        <v>1972</v>
      </c>
      <c r="D607" s="6" t="s">
        <v>2291</v>
      </c>
      <c r="E607" s="6">
        <v>1</v>
      </c>
      <c r="F607" s="6" t="s">
        <v>2004</v>
      </c>
      <c r="G607" s="32" t="s">
        <v>2299</v>
      </c>
      <c r="H607" s="32" t="s">
        <v>2300</v>
      </c>
      <c r="I607" s="6" t="str">
        <f t="shared" si="21"/>
        <v>Stone Grapple</v>
      </c>
      <c r="J607" s="6" t="s">
        <v>252</v>
      </c>
      <c r="K607" s="6">
        <v>1</v>
      </c>
      <c r="L607" s="6">
        <f t="shared" si="22"/>
        <v>3640000</v>
      </c>
      <c r="M607" s="6">
        <v>3100000</v>
      </c>
      <c r="N607" s="6" t="s">
        <v>2003</v>
      </c>
      <c r="O607" s="6" t="s">
        <v>54</v>
      </c>
      <c r="P607" s="6">
        <v>2010</v>
      </c>
      <c r="Q607" s="6">
        <v>1</v>
      </c>
      <c r="R607" s="6" t="s">
        <v>45</v>
      </c>
      <c r="S607" s="32" t="s">
        <v>2114</v>
      </c>
      <c r="T607" s="6">
        <v>1</v>
      </c>
      <c r="U607" s="26">
        <v>2900000</v>
      </c>
      <c r="V607" s="26">
        <v>2900000</v>
      </c>
      <c r="W607" s="26">
        <v>2900000</v>
      </c>
      <c r="X607" s="6" t="s">
        <v>2003</v>
      </c>
      <c r="Y607" s="6" t="s">
        <v>54</v>
      </c>
      <c r="Z607" s="6">
        <v>225591</v>
      </c>
    </row>
    <row r="608" spans="1:26" x14ac:dyDescent="0.3">
      <c r="A608" s="28" t="s">
        <v>42</v>
      </c>
      <c r="B608" s="6" t="s">
        <v>2347</v>
      </c>
      <c r="C608" s="6"/>
      <c r="D608" s="6" t="s">
        <v>2001</v>
      </c>
      <c r="E608" s="6">
        <v>1</v>
      </c>
      <c r="F608" s="6" t="s">
        <v>2004</v>
      </c>
      <c r="G608" s="32" t="s">
        <v>2299</v>
      </c>
      <c r="H608" s="32" t="s">
        <v>2300</v>
      </c>
      <c r="I608" s="6" t="str">
        <f t="shared" si="21"/>
        <v>Shear&amp;Cutter</v>
      </c>
      <c r="J608" s="6" t="s">
        <v>663</v>
      </c>
      <c r="K608" s="6">
        <v>1</v>
      </c>
      <c r="L608" s="6">
        <f t="shared" si="22"/>
        <v>12350000</v>
      </c>
      <c r="M608" s="6">
        <v>10500000</v>
      </c>
      <c r="N608" s="6" t="s">
        <v>2003</v>
      </c>
      <c r="O608" s="6" t="s">
        <v>1034</v>
      </c>
      <c r="P608" s="6">
        <v>2012</v>
      </c>
      <c r="Q608" s="6">
        <v>1</v>
      </c>
      <c r="R608" s="6" t="s">
        <v>45</v>
      </c>
      <c r="S608" s="32" t="s">
        <v>2125</v>
      </c>
      <c r="T608" s="6">
        <v>1</v>
      </c>
      <c r="U608" s="26">
        <v>10000000</v>
      </c>
      <c r="V608" s="26">
        <v>10000000</v>
      </c>
      <c r="W608" s="26">
        <v>10000000</v>
      </c>
      <c r="X608" s="6" t="s">
        <v>2003</v>
      </c>
      <c r="Y608" s="6" t="s">
        <v>105</v>
      </c>
      <c r="Z608" s="6">
        <v>225594</v>
      </c>
    </row>
    <row r="609" spans="1:26" x14ac:dyDescent="0.3">
      <c r="A609" s="28" t="s">
        <v>42</v>
      </c>
      <c r="B609" s="6" t="s">
        <v>2339</v>
      </c>
      <c r="C609" s="19" t="s">
        <v>1974</v>
      </c>
      <c r="D609" s="6" t="s">
        <v>2292</v>
      </c>
      <c r="E609" s="6">
        <v>1</v>
      </c>
      <c r="F609" s="6" t="s">
        <v>2004</v>
      </c>
      <c r="G609" s="32" t="s">
        <v>2299</v>
      </c>
      <c r="H609" s="32" t="s">
        <v>2300</v>
      </c>
      <c r="I609" s="6" t="str">
        <f t="shared" si="21"/>
        <v>Etc Grapple</v>
      </c>
      <c r="J609" s="6" t="s">
        <v>196</v>
      </c>
      <c r="K609" s="6">
        <v>1</v>
      </c>
      <c r="L609" s="6">
        <f t="shared" si="22"/>
        <v>3170000</v>
      </c>
      <c r="M609" s="6">
        <v>2700000</v>
      </c>
      <c r="N609" s="6" t="s">
        <v>2003</v>
      </c>
      <c r="O609" s="6" t="s">
        <v>789</v>
      </c>
      <c r="P609" s="6">
        <v>2012</v>
      </c>
      <c r="Q609" s="6">
        <v>5</v>
      </c>
      <c r="R609" s="6" t="s">
        <v>45</v>
      </c>
      <c r="S609" s="32" t="s">
        <v>2122</v>
      </c>
      <c r="T609" s="6">
        <v>1</v>
      </c>
      <c r="U609" s="26">
        <v>2500000</v>
      </c>
      <c r="V609" s="26">
        <v>2500000</v>
      </c>
      <c r="W609" s="26">
        <v>2500000</v>
      </c>
      <c r="X609" s="6" t="s">
        <v>2003</v>
      </c>
      <c r="Y609" s="6" t="s">
        <v>65</v>
      </c>
      <c r="Z609" s="6">
        <v>225597</v>
      </c>
    </row>
    <row r="610" spans="1:26" x14ac:dyDescent="0.3">
      <c r="A610" s="28" t="s">
        <v>42</v>
      </c>
      <c r="B610" s="6" t="s">
        <v>2339</v>
      </c>
      <c r="C610" s="6" t="s">
        <v>1974</v>
      </c>
      <c r="D610" s="6" t="s">
        <v>2292</v>
      </c>
      <c r="E610" s="6">
        <v>1</v>
      </c>
      <c r="F610" s="6" t="s">
        <v>2004</v>
      </c>
      <c r="G610" s="32" t="s">
        <v>2299</v>
      </c>
      <c r="H610" s="32" t="s">
        <v>2300</v>
      </c>
      <c r="I610" s="6" t="str">
        <f t="shared" si="21"/>
        <v>Etc Grapple</v>
      </c>
      <c r="J610" s="6" t="s">
        <v>125</v>
      </c>
      <c r="K610" s="6">
        <v>1</v>
      </c>
      <c r="L610" s="6">
        <f t="shared" si="22"/>
        <v>5760000</v>
      </c>
      <c r="M610" s="6">
        <v>4900000</v>
      </c>
      <c r="N610" s="6" t="s">
        <v>2003</v>
      </c>
      <c r="O610" s="6" t="s">
        <v>1035</v>
      </c>
      <c r="P610" s="6">
        <v>2016</v>
      </c>
      <c r="Q610" s="6">
        <v>2</v>
      </c>
      <c r="R610" s="6" t="s">
        <v>45</v>
      </c>
      <c r="S610" s="32" t="s">
        <v>2122</v>
      </c>
      <c r="T610" s="6">
        <v>1</v>
      </c>
      <c r="U610" s="26">
        <v>4700000</v>
      </c>
      <c r="V610" s="26">
        <v>4700000</v>
      </c>
      <c r="W610" s="26">
        <v>4700000</v>
      </c>
      <c r="X610" s="6" t="s">
        <v>2003</v>
      </c>
      <c r="Y610" s="6" t="s">
        <v>1283</v>
      </c>
      <c r="Z610" s="6">
        <v>225605</v>
      </c>
    </row>
    <row r="611" spans="1:26" x14ac:dyDescent="0.3">
      <c r="A611" s="28" t="s">
        <v>42</v>
      </c>
      <c r="B611" s="6" t="s">
        <v>2340</v>
      </c>
      <c r="C611" s="6"/>
      <c r="D611" s="6" t="s">
        <v>2001</v>
      </c>
      <c r="E611" s="6">
        <v>1</v>
      </c>
      <c r="F611" s="6" t="s">
        <v>2004</v>
      </c>
      <c r="G611" s="32" t="s">
        <v>2299</v>
      </c>
      <c r="H611" s="32" t="s">
        <v>2300</v>
      </c>
      <c r="I611" s="6" t="str">
        <f t="shared" si="21"/>
        <v>ETC</v>
      </c>
      <c r="J611" s="6" t="s">
        <v>678</v>
      </c>
      <c r="K611" s="6">
        <v>1</v>
      </c>
      <c r="L611" s="6">
        <f t="shared" si="22"/>
        <v>15880000</v>
      </c>
      <c r="M611" s="6">
        <v>13500000</v>
      </c>
      <c r="N611" s="6" t="s">
        <v>2003</v>
      </c>
      <c r="O611" s="6" t="s">
        <v>2069</v>
      </c>
      <c r="P611" s="6">
        <v>2012</v>
      </c>
      <c r="Q611" s="6">
        <v>1</v>
      </c>
      <c r="R611" s="6" t="s">
        <v>45</v>
      </c>
      <c r="S611" s="32" t="s">
        <v>2122</v>
      </c>
      <c r="T611" s="6">
        <v>1</v>
      </c>
      <c r="U611" s="26">
        <v>13000000</v>
      </c>
      <c r="V611" s="26">
        <v>13000000</v>
      </c>
      <c r="W611" s="26">
        <v>13000000</v>
      </c>
      <c r="X611" s="6" t="s">
        <v>2003</v>
      </c>
      <c r="Y611" s="6" t="s">
        <v>1167</v>
      </c>
      <c r="Z611" s="6">
        <v>225610</v>
      </c>
    </row>
    <row r="612" spans="1:26" x14ac:dyDescent="0.3">
      <c r="A612" s="28" t="s">
        <v>42</v>
      </c>
      <c r="B612" s="6" t="s">
        <v>2339</v>
      </c>
      <c r="C612" s="6" t="s">
        <v>1985</v>
      </c>
      <c r="D612" s="6" t="s">
        <v>2292</v>
      </c>
      <c r="E612" s="6">
        <v>1</v>
      </c>
      <c r="F612" s="6" t="s">
        <v>2004</v>
      </c>
      <c r="G612" s="32" t="s">
        <v>2299</v>
      </c>
      <c r="H612" s="32" t="s">
        <v>2300</v>
      </c>
      <c r="I612" s="6" t="str">
        <f t="shared" si="21"/>
        <v>Multi Grapple</v>
      </c>
      <c r="J612" s="6" t="s">
        <v>296</v>
      </c>
      <c r="K612" s="6">
        <v>1</v>
      </c>
      <c r="L612" s="6">
        <f t="shared" si="22"/>
        <v>3410000</v>
      </c>
      <c r="M612" s="6">
        <v>2900000</v>
      </c>
      <c r="N612" s="6" t="s">
        <v>2003</v>
      </c>
      <c r="O612" s="6" t="s">
        <v>823</v>
      </c>
      <c r="P612" s="6">
        <v>2014</v>
      </c>
      <c r="Q612" s="6">
        <v>1</v>
      </c>
      <c r="R612" s="6" t="s">
        <v>45</v>
      </c>
      <c r="S612" s="32" t="s">
        <v>2113</v>
      </c>
      <c r="T612" s="6">
        <v>1</v>
      </c>
      <c r="U612" s="26">
        <v>2700000</v>
      </c>
      <c r="V612" s="26">
        <v>2700000</v>
      </c>
      <c r="W612" s="26">
        <v>2700000</v>
      </c>
      <c r="X612" s="6" t="s">
        <v>2003</v>
      </c>
      <c r="Y612" s="6" t="s">
        <v>49</v>
      </c>
      <c r="Z612" s="6">
        <v>225616</v>
      </c>
    </row>
    <row r="613" spans="1:26" x14ac:dyDescent="0.3">
      <c r="A613" s="28" t="s">
        <v>42</v>
      </c>
      <c r="B613" s="6" t="s">
        <v>2339</v>
      </c>
      <c r="C613" s="6" t="s">
        <v>1972</v>
      </c>
      <c r="D613" s="6" t="s">
        <v>2292</v>
      </c>
      <c r="E613" s="6">
        <v>1</v>
      </c>
      <c r="F613" s="6" t="s">
        <v>2004</v>
      </c>
      <c r="G613" s="32" t="s">
        <v>2299</v>
      </c>
      <c r="H613" s="32" t="s">
        <v>2300</v>
      </c>
      <c r="I613" s="6" t="str">
        <f t="shared" si="21"/>
        <v>Stone Grapple</v>
      </c>
      <c r="J613" s="6" t="s">
        <v>120</v>
      </c>
      <c r="K613" s="6">
        <v>1</v>
      </c>
      <c r="L613" s="6">
        <f t="shared" si="22"/>
        <v>8470000</v>
      </c>
      <c r="M613" s="6">
        <v>7200000</v>
      </c>
      <c r="N613" s="6" t="s">
        <v>2003</v>
      </c>
      <c r="O613" s="6" t="s">
        <v>1037</v>
      </c>
      <c r="P613" s="6">
        <v>2017</v>
      </c>
      <c r="Q613" s="6">
        <v>1</v>
      </c>
      <c r="R613" s="6" t="s">
        <v>45</v>
      </c>
      <c r="S613" s="32" t="s">
        <v>2110</v>
      </c>
      <c r="T613" s="6">
        <v>1</v>
      </c>
      <c r="U613" s="26">
        <v>6700000</v>
      </c>
      <c r="V613" s="26">
        <v>6700000</v>
      </c>
      <c r="W613" s="26">
        <v>6700000</v>
      </c>
      <c r="X613" s="6" t="s">
        <v>2003</v>
      </c>
      <c r="Y613" s="6" t="s">
        <v>1284</v>
      </c>
      <c r="Z613" s="6">
        <v>225625</v>
      </c>
    </row>
    <row r="614" spans="1:26" x14ac:dyDescent="0.3">
      <c r="A614" s="28" t="s">
        <v>42</v>
      </c>
      <c r="B614" s="6" t="s">
        <v>2341</v>
      </c>
      <c r="C614" s="19" t="s">
        <v>2321</v>
      </c>
      <c r="D614" s="6" t="s">
        <v>2293</v>
      </c>
      <c r="E614" s="6">
        <v>1</v>
      </c>
      <c r="F614" s="6" t="s">
        <v>2004</v>
      </c>
      <c r="G614" s="32" t="s">
        <v>2299</v>
      </c>
      <c r="H614" s="32" t="s">
        <v>2300</v>
      </c>
      <c r="I614" s="6" t="str">
        <f t="shared" si="21"/>
        <v>Etc Crusher</v>
      </c>
      <c r="J614" s="6" t="s">
        <v>651</v>
      </c>
      <c r="K614" s="6">
        <v>1</v>
      </c>
      <c r="L614" s="6">
        <f t="shared" si="22"/>
        <v>6820000</v>
      </c>
      <c r="M614" s="6">
        <v>5800000</v>
      </c>
      <c r="N614" s="6" t="s">
        <v>2003</v>
      </c>
      <c r="O614" s="6" t="s">
        <v>70</v>
      </c>
      <c r="P614" s="6">
        <v>2016</v>
      </c>
      <c r="Q614" s="6">
        <v>1</v>
      </c>
      <c r="R614" s="6" t="s">
        <v>45</v>
      </c>
      <c r="S614" s="32" t="s">
        <v>2113</v>
      </c>
      <c r="T614" s="6">
        <v>1</v>
      </c>
      <c r="U614" s="26">
        <v>5300000</v>
      </c>
      <c r="V614" s="26">
        <v>5300000</v>
      </c>
      <c r="W614" s="26">
        <v>5300000</v>
      </c>
      <c r="X614" s="6" t="s">
        <v>2003</v>
      </c>
      <c r="Y614" s="6" t="s">
        <v>71</v>
      </c>
      <c r="Z614" s="6">
        <v>225626</v>
      </c>
    </row>
    <row r="615" spans="1:26" x14ac:dyDescent="0.3">
      <c r="A615" s="28" t="s">
        <v>42</v>
      </c>
      <c r="B615" s="6" t="s">
        <v>2339</v>
      </c>
      <c r="C615" s="6" t="s">
        <v>1979</v>
      </c>
      <c r="D615" s="6" t="s">
        <v>2292</v>
      </c>
      <c r="E615" s="6">
        <v>1</v>
      </c>
      <c r="F615" s="6" t="s">
        <v>2004</v>
      </c>
      <c r="G615" s="32" t="s">
        <v>2299</v>
      </c>
      <c r="H615" s="32" t="s">
        <v>2300</v>
      </c>
      <c r="I615" s="6" t="str">
        <f t="shared" si="21"/>
        <v>Thumb Grapple</v>
      </c>
      <c r="J615" s="6" t="s">
        <v>59</v>
      </c>
      <c r="K615" s="6">
        <v>1</v>
      </c>
      <c r="L615" s="6">
        <f t="shared" si="22"/>
        <v>1410000</v>
      </c>
      <c r="M615" s="6">
        <v>1200000</v>
      </c>
      <c r="N615" s="6" t="s">
        <v>2003</v>
      </c>
      <c r="O615" s="6" t="s">
        <v>2012</v>
      </c>
      <c r="P615" s="6">
        <v>2014</v>
      </c>
      <c r="Q615" s="6">
        <v>1</v>
      </c>
      <c r="R615" s="6" t="s">
        <v>45</v>
      </c>
      <c r="S615" s="32" t="s">
        <v>2113</v>
      </c>
      <c r="T615" s="6">
        <v>1</v>
      </c>
      <c r="U615" s="26">
        <v>1100000</v>
      </c>
      <c r="V615" s="26">
        <v>1100000</v>
      </c>
      <c r="W615" s="26">
        <v>1100000</v>
      </c>
      <c r="X615" s="6" t="s">
        <v>2003</v>
      </c>
      <c r="Y615" s="6" t="s">
        <v>49</v>
      </c>
      <c r="Z615" s="6">
        <v>225627</v>
      </c>
    </row>
    <row r="616" spans="1:26" x14ac:dyDescent="0.3">
      <c r="A616" s="28" t="s">
        <v>42</v>
      </c>
      <c r="B616" s="6" t="s">
        <v>2340</v>
      </c>
      <c r="C616" s="6" t="s">
        <v>2209</v>
      </c>
      <c r="D616" s="6" t="s">
        <v>2289</v>
      </c>
      <c r="E616" s="6">
        <v>1</v>
      </c>
      <c r="F616" s="6" t="s">
        <v>2004</v>
      </c>
      <c r="G616" s="32" t="s">
        <v>2299</v>
      </c>
      <c r="H616" s="32" t="s">
        <v>2300</v>
      </c>
      <c r="I616" s="6" t="str">
        <f t="shared" si="21"/>
        <v>Etc Bucket</v>
      </c>
      <c r="J616" s="6" t="s">
        <v>116</v>
      </c>
      <c r="K616" s="6">
        <v>1</v>
      </c>
      <c r="L616" s="6">
        <f t="shared" si="22"/>
        <v>10000000</v>
      </c>
      <c r="M616" s="6">
        <v>8500000</v>
      </c>
      <c r="N616" s="6" t="s">
        <v>2003</v>
      </c>
      <c r="O616" s="6" t="s">
        <v>792</v>
      </c>
      <c r="P616" s="6">
        <v>2007</v>
      </c>
      <c r="Q616" s="6">
        <v>1</v>
      </c>
      <c r="R616" s="6" t="s">
        <v>45</v>
      </c>
      <c r="S616" s="32" t="s">
        <v>2117</v>
      </c>
      <c r="T616" s="6">
        <v>1</v>
      </c>
      <c r="U616" s="26">
        <v>8000000</v>
      </c>
      <c r="V616" s="26">
        <v>8000000</v>
      </c>
      <c r="W616" s="26">
        <v>8000000</v>
      </c>
      <c r="X616" s="6" t="s">
        <v>2003</v>
      </c>
      <c r="Y616" s="6" t="s">
        <v>1145</v>
      </c>
      <c r="Z616" s="6">
        <v>225634</v>
      </c>
    </row>
    <row r="617" spans="1:26" x14ac:dyDescent="0.3">
      <c r="A617" s="28" t="s">
        <v>42</v>
      </c>
      <c r="B617" s="6" t="s">
        <v>2341</v>
      </c>
      <c r="C617" s="19" t="s">
        <v>2321</v>
      </c>
      <c r="D617" s="6" t="s">
        <v>2293</v>
      </c>
      <c r="E617" s="6">
        <v>1</v>
      </c>
      <c r="F617" s="6" t="s">
        <v>2004</v>
      </c>
      <c r="G617" s="32" t="s">
        <v>2299</v>
      </c>
      <c r="H617" s="32" t="s">
        <v>2300</v>
      </c>
      <c r="I617" s="6" t="str">
        <f t="shared" si="21"/>
        <v>Etc Crusher</v>
      </c>
      <c r="J617" s="6" t="s">
        <v>651</v>
      </c>
      <c r="K617" s="6">
        <v>1</v>
      </c>
      <c r="L617" s="6">
        <f t="shared" si="22"/>
        <v>5290000</v>
      </c>
      <c r="M617" s="6">
        <v>4500000</v>
      </c>
      <c r="N617" s="6" t="s">
        <v>2003</v>
      </c>
      <c r="O617" s="6" t="s">
        <v>798</v>
      </c>
      <c r="P617" s="6">
        <v>2014</v>
      </c>
      <c r="Q617" s="6">
        <v>1</v>
      </c>
      <c r="R617" s="6" t="s">
        <v>45</v>
      </c>
      <c r="S617" s="32" t="s">
        <v>2113</v>
      </c>
      <c r="T617" s="6">
        <v>1</v>
      </c>
      <c r="U617" s="26">
        <v>4300000</v>
      </c>
      <c r="V617" s="26">
        <v>4300000</v>
      </c>
      <c r="W617" s="26">
        <v>4300000</v>
      </c>
      <c r="X617" s="6" t="s">
        <v>2003</v>
      </c>
      <c r="Y617" s="6" t="s">
        <v>71</v>
      </c>
      <c r="Z617" s="6">
        <v>225638</v>
      </c>
    </row>
    <row r="618" spans="1:26" x14ac:dyDescent="0.3">
      <c r="A618" s="28" t="s">
        <v>42</v>
      </c>
      <c r="B618" s="6" t="s">
        <v>2342</v>
      </c>
      <c r="C618" s="6" t="s">
        <v>1982</v>
      </c>
      <c r="D618" s="6" t="s">
        <v>2292</v>
      </c>
      <c r="E618" s="6">
        <v>1</v>
      </c>
      <c r="F618" s="6" t="s">
        <v>2004</v>
      </c>
      <c r="G618" s="32" t="s">
        <v>2299</v>
      </c>
      <c r="H618" s="32" t="s">
        <v>2300</v>
      </c>
      <c r="I618" s="6" t="str">
        <f t="shared" si="21"/>
        <v>Standard Bucket</v>
      </c>
      <c r="J618" s="6" t="s">
        <v>147</v>
      </c>
      <c r="K618" s="6">
        <v>1</v>
      </c>
      <c r="L618" s="6">
        <f t="shared" si="22"/>
        <v>940000</v>
      </c>
      <c r="M618" s="6">
        <v>800000</v>
      </c>
      <c r="N618" s="6" t="s">
        <v>2003</v>
      </c>
      <c r="O618" s="6" t="s">
        <v>2012</v>
      </c>
      <c r="P618" s="6">
        <v>2014</v>
      </c>
      <c r="Q618" s="6">
        <v>1</v>
      </c>
      <c r="R618" s="6" t="s">
        <v>45</v>
      </c>
      <c r="S618" s="32" t="s">
        <v>2113</v>
      </c>
      <c r="T618" s="6">
        <v>1</v>
      </c>
      <c r="U618" s="26">
        <v>700000</v>
      </c>
      <c r="V618" s="26">
        <v>700000</v>
      </c>
      <c r="W618" s="26">
        <v>700000</v>
      </c>
      <c r="X618" s="6" t="s">
        <v>2003</v>
      </c>
      <c r="Y618" s="6" t="s">
        <v>49</v>
      </c>
      <c r="Z618" s="6">
        <v>225640</v>
      </c>
    </row>
    <row r="619" spans="1:26" x14ac:dyDescent="0.3">
      <c r="A619" s="28" t="s">
        <v>42</v>
      </c>
      <c r="B619" s="6" t="s">
        <v>2338</v>
      </c>
      <c r="C619" s="6" t="s">
        <v>1975</v>
      </c>
      <c r="D619" s="6" t="s">
        <v>2290</v>
      </c>
      <c r="E619" s="6">
        <v>1</v>
      </c>
      <c r="F619" s="6" t="s">
        <v>2004</v>
      </c>
      <c r="G619" s="32" t="s">
        <v>2299</v>
      </c>
      <c r="H619" s="32" t="s">
        <v>2300</v>
      </c>
      <c r="I619" s="6" t="str">
        <f t="shared" si="21"/>
        <v>Side Breaker</v>
      </c>
      <c r="J619" s="6" t="s">
        <v>229</v>
      </c>
      <c r="K619" s="6">
        <v>1</v>
      </c>
      <c r="L619" s="6">
        <f t="shared" si="22"/>
        <v>6470000</v>
      </c>
      <c r="M619" s="6">
        <v>5500000</v>
      </c>
      <c r="N619" s="6" t="s">
        <v>2003</v>
      </c>
      <c r="O619" s="6" t="s">
        <v>2070</v>
      </c>
      <c r="P619" s="6">
        <v>2011</v>
      </c>
      <c r="Q619" s="6">
        <v>1</v>
      </c>
      <c r="R619" s="6" t="s">
        <v>45</v>
      </c>
      <c r="S619" s="32" t="s">
        <v>2111</v>
      </c>
      <c r="T619" s="6">
        <v>1</v>
      </c>
      <c r="U619" s="26">
        <v>5000000</v>
      </c>
      <c r="V619" s="26">
        <v>5000000</v>
      </c>
      <c r="W619" s="26">
        <v>5000000</v>
      </c>
      <c r="X619" s="6" t="s">
        <v>2003</v>
      </c>
      <c r="Y619" s="6" t="s">
        <v>1277</v>
      </c>
      <c r="Z619" s="6">
        <v>225644</v>
      </c>
    </row>
    <row r="620" spans="1:26" x14ac:dyDescent="0.3">
      <c r="A620" s="28" t="s">
        <v>42</v>
      </c>
      <c r="B620" s="6" t="s">
        <v>2347</v>
      </c>
      <c r="C620" s="6"/>
      <c r="D620" s="6" t="s">
        <v>2001</v>
      </c>
      <c r="E620" s="6">
        <v>1</v>
      </c>
      <c r="F620" s="6" t="s">
        <v>2004</v>
      </c>
      <c r="G620" s="32" t="s">
        <v>2299</v>
      </c>
      <c r="H620" s="32" t="s">
        <v>2300</v>
      </c>
      <c r="I620" s="6" t="str">
        <f t="shared" si="21"/>
        <v>Shear&amp;Cutter</v>
      </c>
      <c r="J620" s="6" t="s">
        <v>665</v>
      </c>
      <c r="K620" s="6">
        <v>1</v>
      </c>
      <c r="L620" s="6">
        <f t="shared" si="22"/>
        <v>8820000</v>
      </c>
      <c r="M620" s="6">
        <v>7500000</v>
      </c>
      <c r="N620" s="6" t="s">
        <v>2003</v>
      </c>
      <c r="O620" s="6" t="s">
        <v>1038</v>
      </c>
      <c r="P620" s="6">
        <v>2010</v>
      </c>
      <c r="Q620" s="6">
        <v>6</v>
      </c>
      <c r="R620" s="6" t="s">
        <v>45</v>
      </c>
      <c r="S620" s="32" t="s">
        <v>2122</v>
      </c>
      <c r="T620" s="6">
        <v>1</v>
      </c>
      <c r="U620" s="26">
        <v>7000000</v>
      </c>
      <c r="V620" s="26">
        <v>7000000</v>
      </c>
      <c r="W620" s="26">
        <v>7000000</v>
      </c>
      <c r="X620" s="6" t="s">
        <v>2003</v>
      </c>
      <c r="Y620" s="6" t="s">
        <v>1227</v>
      </c>
      <c r="Z620" s="6">
        <v>225648</v>
      </c>
    </row>
    <row r="621" spans="1:26" x14ac:dyDescent="0.3">
      <c r="A621" s="28" t="s">
        <v>42</v>
      </c>
      <c r="B621" s="6" t="s">
        <v>2339</v>
      </c>
      <c r="C621" s="6" t="s">
        <v>1972</v>
      </c>
      <c r="D621" s="6" t="s">
        <v>2292</v>
      </c>
      <c r="E621" s="6">
        <v>1</v>
      </c>
      <c r="F621" s="6" t="s">
        <v>2004</v>
      </c>
      <c r="G621" s="32" t="s">
        <v>2299</v>
      </c>
      <c r="H621" s="32" t="s">
        <v>2300</v>
      </c>
      <c r="I621" s="6" t="str">
        <f t="shared" si="21"/>
        <v>Stone Grapple</v>
      </c>
      <c r="J621" s="6" t="s">
        <v>44</v>
      </c>
      <c r="K621" s="6">
        <v>1</v>
      </c>
      <c r="L621" s="6">
        <f t="shared" si="22"/>
        <v>3520000</v>
      </c>
      <c r="M621" s="6">
        <v>3000000</v>
      </c>
      <c r="N621" s="6" t="s">
        <v>2003</v>
      </c>
      <c r="O621" s="6" t="s">
        <v>1039</v>
      </c>
      <c r="P621" s="6">
        <v>2016</v>
      </c>
      <c r="Q621" s="6">
        <v>1</v>
      </c>
      <c r="R621" s="6" t="s">
        <v>45</v>
      </c>
      <c r="S621" s="32" t="s">
        <v>2110</v>
      </c>
      <c r="T621" s="6">
        <v>1</v>
      </c>
      <c r="U621" s="26">
        <v>2800000</v>
      </c>
      <c r="V621" s="26">
        <v>2800000</v>
      </c>
      <c r="W621" s="26">
        <v>2800000</v>
      </c>
      <c r="X621" s="6" t="s">
        <v>2003</v>
      </c>
      <c r="Y621" s="6" t="s">
        <v>1150</v>
      </c>
      <c r="Z621" s="6">
        <v>225651</v>
      </c>
    </row>
    <row r="622" spans="1:26" x14ac:dyDescent="0.3">
      <c r="A622" s="28" t="s">
        <v>42</v>
      </c>
      <c r="B622" s="6" t="s">
        <v>2339</v>
      </c>
      <c r="C622" s="19" t="s">
        <v>1974</v>
      </c>
      <c r="D622" s="6" t="s">
        <v>2002</v>
      </c>
      <c r="E622" s="6">
        <v>1</v>
      </c>
      <c r="F622" s="6" t="s">
        <v>2004</v>
      </c>
      <c r="G622" s="32" t="s">
        <v>2299</v>
      </c>
      <c r="H622" s="32" t="s">
        <v>2300</v>
      </c>
      <c r="I622" s="6" t="str">
        <f t="shared" si="21"/>
        <v>Etc Grapple</v>
      </c>
      <c r="J622" s="6" t="s">
        <v>374</v>
      </c>
      <c r="K622" s="6">
        <v>1</v>
      </c>
      <c r="L622" s="6">
        <f t="shared" si="22"/>
        <v>2290000</v>
      </c>
      <c r="M622" s="6">
        <v>1950000</v>
      </c>
      <c r="N622" s="6" t="s">
        <v>2003</v>
      </c>
      <c r="O622" s="6" t="s">
        <v>2007</v>
      </c>
      <c r="P622" s="6">
        <v>2014</v>
      </c>
      <c r="Q622" s="6">
        <v>1</v>
      </c>
      <c r="R622" s="6" t="s">
        <v>45</v>
      </c>
      <c r="S622" s="32" t="s">
        <v>2113</v>
      </c>
      <c r="T622" s="6">
        <v>1</v>
      </c>
      <c r="U622" s="26">
        <v>1850000</v>
      </c>
      <c r="V622" s="26">
        <v>1850000</v>
      </c>
      <c r="W622" s="26">
        <v>1850000</v>
      </c>
      <c r="X622" s="6" t="s">
        <v>2003</v>
      </c>
      <c r="Y622" s="6" t="s">
        <v>49</v>
      </c>
      <c r="Z622" s="6">
        <v>225653</v>
      </c>
    </row>
    <row r="623" spans="1:26" x14ac:dyDescent="0.3">
      <c r="A623" s="28" t="s">
        <v>42</v>
      </c>
      <c r="B623" s="6" t="s">
        <v>2340</v>
      </c>
      <c r="C623" s="6"/>
      <c r="D623" s="6" t="s">
        <v>2292</v>
      </c>
      <c r="E623" s="6">
        <v>1</v>
      </c>
      <c r="F623" s="6" t="s">
        <v>2004</v>
      </c>
      <c r="G623" s="32" t="s">
        <v>2299</v>
      </c>
      <c r="H623" s="32" t="s">
        <v>2300</v>
      </c>
      <c r="I623" s="6" t="str">
        <f t="shared" si="21"/>
        <v>ETC</v>
      </c>
      <c r="J623" s="6" t="s">
        <v>418</v>
      </c>
      <c r="K623" s="6">
        <v>1</v>
      </c>
      <c r="L623" s="6">
        <f t="shared" si="22"/>
        <v>7050000</v>
      </c>
      <c r="M623" s="6">
        <v>6000000</v>
      </c>
      <c r="N623" s="6" t="s">
        <v>2003</v>
      </c>
      <c r="O623" s="6" t="s">
        <v>823</v>
      </c>
      <c r="P623" s="6">
        <v>2016</v>
      </c>
      <c r="Q623" s="6">
        <v>1</v>
      </c>
      <c r="R623" s="6" t="s">
        <v>45</v>
      </c>
      <c r="S623" s="32" t="s">
        <v>2113</v>
      </c>
      <c r="T623" s="6">
        <v>1</v>
      </c>
      <c r="U623" s="26">
        <v>5500000</v>
      </c>
      <c r="V623" s="26">
        <v>5500000</v>
      </c>
      <c r="W623" s="26">
        <v>5500000</v>
      </c>
      <c r="X623" s="6" t="s">
        <v>2003</v>
      </c>
      <c r="Y623" s="6" t="s">
        <v>49</v>
      </c>
      <c r="Z623" s="6">
        <v>225655</v>
      </c>
    </row>
    <row r="624" spans="1:26" x14ac:dyDescent="0.3">
      <c r="A624" s="28" t="s">
        <v>42</v>
      </c>
      <c r="B624" s="6" t="s">
        <v>2340</v>
      </c>
      <c r="C624" s="6"/>
      <c r="D624" s="6" t="s">
        <v>2292</v>
      </c>
      <c r="E624" s="6">
        <v>1</v>
      </c>
      <c r="F624" s="6" t="s">
        <v>2004</v>
      </c>
      <c r="G624" s="32" t="s">
        <v>2299</v>
      </c>
      <c r="H624" s="32" t="s">
        <v>2300</v>
      </c>
      <c r="I624" s="6" t="str">
        <f t="shared" si="21"/>
        <v>ETC</v>
      </c>
      <c r="J624" s="6" t="s">
        <v>530</v>
      </c>
      <c r="K624" s="6">
        <v>1</v>
      </c>
      <c r="L624" s="6">
        <f t="shared" si="22"/>
        <v>4000000</v>
      </c>
      <c r="M624" s="6">
        <v>3400000</v>
      </c>
      <c r="N624" s="6" t="s">
        <v>2003</v>
      </c>
      <c r="O624" s="6" t="s">
        <v>2012</v>
      </c>
      <c r="P624" s="6">
        <v>2014</v>
      </c>
      <c r="Q624" s="6">
        <v>1</v>
      </c>
      <c r="R624" s="6" t="s">
        <v>45</v>
      </c>
      <c r="S624" s="32" t="s">
        <v>2113</v>
      </c>
      <c r="T624" s="6">
        <v>1</v>
      </c>
      <c r="U624" s="26">
        <v>3200000</v>
      </c>
      <c r="V624" s="26">
        <v>3200000</v>
      </c>
      <c r="W624" s="26">
        <v>3200000</v>
      </c>
      <c r="X624" s="6" t="s">
        <v>2003</v>
      </c>
      <c r="Y624" s="6" t="s">
        <v>49</v>
      </c>
      <c r="Z624" s="6">
        <v>225656</v>
      </c>
    </row>
    <row r="625" spans="1:26" x14ac:dyDescent="0.3">
      <c r="A625" s="28" t="s">
        <v>42</v>
      </c>
      <c r="B625" s="6" t="s">
        <v>2338</v>
      </c>
      <c r="C625" s="6" t="s">
        <v>1975</v>
      </c>
      <c r="D625" s="6" t="s">
        <v>2289</v>
      </c>
      <c r="E625" s="6">
        <v>1</v>
      </c>
      <c r="F625" s="6" t="s">
        <v>2004</v>
      </c>
      <c r="G625" s="32" t="s">
        <v>2299</v>
      </c>
      <c r="H625" s="32" t="s">
        <v>2300</v>
      </c>
      <c r="I625" s="6" t="str">
        <f t="shared" si="21"/>
        <v>Side Breaker</v>
      </c>
      <c r="J625" s="6" t="s">
        <v>199</v>
      </c>
      <c r="K625" s="6">
        <v>1</v>
      </c>
      <c r="L625" s="6">
        <f t="shared" si="22"/>
        <v>9410000</v>
      </c>
      <c r="M625" s="6">
        <v>8000000</v>
      </c>
      <c r="N625" s="6" t="s">
        <v>2003</v>
      </c>
      <c r="O625" s="6" t="s">
        <v>810</v>
      </c>
      <c r="P625" s="6">
        <v>2015</v>
      </c>
      <c r="Q625" s="6">
        <v>5</v>
      </c>
      <c r="R625" s="6" t="s">
        <v>45</v>
      </c>
      <c r="S625" s="32" t="s">
        <v>2123</v>
      </c>
      <c r="T625" s="6">
        <v>1</v>
      </c>
      <c r="U625" s="26">
        <v>7500000</v>
      </c>
      <c r="V625" s="26">
        <v>7500000</v>
      </c>
      <c r="W625" s="26">
        <v>7500000</v>
      </c>
      <c r="X625" s="6" t="s">
        <v>2003</v>
      </c>
      <c r="Y625" s="6" t="s">
        <v>1189</v>
      </c>
      <c r="Z625" s="6">
        <v>225657</v>
      </c>
    </row>
    <row r="626" spans="1:26" x14ac:dyDescent="0.3">
      <c r="A626" s="28" t="s">
        <v>42</v>
      </c>
      <c r="B626" s="6" t="s">
        <v>2338</v>
      </c>
      <c r="C626" s="6" t="s">
        <v>1975</v>
      </c>
      <c r="D626" s="6" t="s">
        <v>2291</v>
      </c>
      <c r="E626" s="6">
        <v>1</v>
      </c>
      <c r="F626" s="6" t="s">
        <v>2004</v>
      </c>
      <c r="G626" s="32" t="s">
        <v>2299</v>
      </c>
      <c r="H626" s="32" t="s">
        <v>2300</v>
      </c>
      <c r="I626" s="6" t="str">
        <f t="shared" si="21"/>
        <v>Side Breaker</v>
      </c>
      <c r="J626" s="6" t="s">
        <v>649</v>
      </c>
      <c r="K626" s="6">
        <v>1</v>
      </c>
      <c r="L626" s="6">
        <f t="shared" si="22"/>
        <v>2230000</v>
      </c>
      <c r="M626" s="6">
        <v>1900000</v>
      </c>
      <c r="N626" s="6" t="s">
        <v>2003</v>
      </c>
      <c r="O626" s="6" t="s">
        <v>1040</v>
      </c>
      <c r="P626" s="6">
        <v>2016</v>
      </c>
      <c r="Q626" s="6">
        <v>1</v>
      </c>
      <c r="R626" s="6" t="s">
        <v>45</v>
      </c>
      <c r="S626" s="32" t="s">
        <v>2120</v>
      </c>
      <c r="T626" s="6">
        <v>1</v>
      </c>
      <c r="U626" s="26">
        <v>1800000</v>
      </c>
      <c r="V626" s="26">
        <v>1800000</v>
      </c>
      <c r="W626" s="26">
        <v>1800000</v>
      </c>
      <c r="X626" s="6" t="s">
        <v>2003</v>
      </c>
      <c r="Y626" s="6" t="s">
        <v>1294</v>
      </c>
      <c r="Z626" s="6">
        <v>225663</v>
      </c>
    </row>
    <row r="627" spans="1:26" x14ac:dyDescent="0.3">
      <c r="A627" s="28" t="s">
        <v>42</v>
      </c>
      <c r="B627" s="6" t="s">
        <v>2341</v>
      </c>
      <c r="C627" s="6" t="s">
        <v>1978</v>
      </c>
      <c r="D627" s="6" t="s">
        <v>2001</v>
      </c>
      <c r="E627" s="6">
        <v>1</v>
      </c>
      <c r="F627" s="6" t="s">
        <v>2004</v>
      </c>
      <c r="G627" s="32" t="s">
        <v>2299</v>
      </c>
      <c r="H627" s="32" t="s">
        <v>2300</v>
      </c>
      <c r="I627" s="6" t="str">
        <f t="shared" si="21"/>
        <v>Hydraulic Pulverizer</v>
      </c>
      <c r="J627" s="6" t="s">
        <v>667</v>
      </c>
      <c r="K627" s="6">
        <v>1</v>
      </c>
      <c r="L627" s="6">
        <f t="shared" si="22"/>
        <v>19410000</v>
      </c>
      <c r="M627" s="6">
        <v>16500000</v>
      </c>
      <c r="N627" s="6" t="s">
        <v>2003</v>
      </c>
      <c r="O627" s="6" t="s">
        <v>813</v>
      </c>
      <c r="P627" s="6">
        <v>2014</v>
      </c>
      <c r="Q627" s="6">
        <v>1</v>
      </c>
      <c r="R627" s="6" t="s">
        <v>45</v>
      </c>
      <c r="S627" s="32" t="s">
        <v>2113</v>
      </c>
      <c r="T627" s="6">
        <v>1</v>
      </c>
      <c r="U627" s="26">
        <v>16000000</v>
      </c>
      <c r="V627" s="26">
        <v>16000000</v>
      </c>
      <c r="W627" s="26">
        <v>16000000</v>
      </c>
      <c r="X627" s="6" t="s">
        <v>2003</v>
      </c>
      <c r="Y627" s="6" t="s">
        <v>80</v>
      </c>
      <c r="Z627" s="6">
        <v>225684</v>
      </c>
    </row>
    <row r="628" spans="1:26" x14ac:dyDescent="0.3">
      <c r="A628" s="28" t="s">
        <v>42</v>
      </c>
      <c r="B628" s="6" t="s">
        <v>2338</v>
      </c>
      <c r="C628" s="6" t="s">
        <v>1975</v>
      </c>
      <c r="D628" s="6" t="s">
        <v>2001</v>
      </c>
      <c r="E628" s="6">
        <v>1</v>
      </c>
      <c r="F628" s="6" t="s">
        <v>2004</v>
      </c>
      <c r="G628" s="32" t="s">
        <v>2299</v>
      </c>
      <c r="H628" s="32" t="s">
        <v>2300</v>
      </c>
      <c r="I628" s="6" t="str">
        <f t="shared" si="21"/>
        <v>Side Breaker</v>
      </c>
      <c r="J628" s="6" t="s">
        <v>668</v>
      </c>
      <c r="K628" s="6">
        <v>1</v>
      </c>
      <c r="L628" s="6">
        <f t="shared" si="22"/>
        <v>11170000</v>
      </c>
      <c r="M628" s="6">
        <v>9500000</v>
      </c>
      <c r="N628" s="6" t="s">
        <v>2003</v>
      </c>
      <c r="O628" s="6" t="s">
        <v>814</v>
      </c>
      <c r="P628" s="6">
        <v>2015</v>
      </c>
      <c r="Q628" s="6">
        <v>10</v>
      </c>
      <c r="R628" s="6" t="s">
        <v>45</v>
      </c>
      <c r="S628" s="32" t="s">
        <v>2119</v>
      </c>
      <c r="T628" s="6">
        <v>1</v>
      </c>
      <c r="U628" s="26">
        <v>9000000</v>
      </c>
      <c r="V628" s="26">
        <v>9000000</v>
      </c>
      <c r="W628" s="26">
        <v>9000000</v>
      </c>
      <c r="X628" s="6" t="s">
        <v>2003</v>
      </c>
      <c r="Y628" s="6" t="s">
        <v>1194</v>
      </c>
      <c r="Z628" s="6">
        <v>225688</v>
      </c>
    </row>
    <row r="629" spans="1:26" x14ac:dyDescent="0.3">
      <c r="A629" s="28" t="s">
        <v>42</v>
      </c>
      <c r="B629" s="6" t="s">
        <v>2341</v>
      </c>
      <c r="C629" s="19" t="s">
        <v>2321</v>
      </c>
      <c r="D629" s="6" t="s">
        <v>2001</v>
      </c>
      <c r="E629" s="6">
        <v>1</v>
      </c>
      <c r="F629" s="6" t="s">
        <v>2004</v>
      </c>
      <c r="G629" s="32" t="s">
        <v>2299</v>
      </c>
      <c r="H629" s="32" t="s">
        <v>2300</v>
      </c>
      <c r="I629" s="6" t="str">
        <f t="shared" si="21"/>
        <v>Etc Crusher</v>
      </c>
      <c r="J629" s="6" t="s">
        <v>181</v>
      </c>
      <c r="K629" s="6">
        <v>1</v>
      </c>
      <c r="L629" s="6">
        <f t="shared" si="22"/>
        <v>20000000</v>
      </c>
      <c r="M629" s="6">
        <v>17000000</v>
      </c>
      <c r="N629" s="6" t="s">
        <v>2003</v>
      </c>
      <c r="O629" s="6" t="s">
        <v>813</v>
      </c>
      <c r="P629" s="6">
        <v>2014</v>
      </c>
      <c r="Q629" s="6">
        <v>1</v>
      </c>
      <c r="R629" s="6" t="s">
        <v>45</v>
      </c>
      <c r="S629" s="32" t="s">
        <v>2113</v>
      </c>
      <c r="T629" s="6">
        <v>1</v>
      </c>
      <c r="U629" s="26">
        <v>16500000</v>
      </c>
      <c r="V629" s="26">
        <v>16500000</v>
      </c>
      <c r="W629" s="26">
        <v>16500000</v>
      </c>
      <c r="X629" s="6" t="s">
        <v>2003</v>
      </c>
      <c r="Y629" s="6" t="s">
        <v>80</v>
      </c>
      <c r="Z629" s="6">
        <v>225689</v>
      </c>
    </row>
    <row r="630" spans="1:26" x14ac:dyDescent="0.3">
      <c r="A630" s="28" t="s">
        <v>42</v>
      </c>
      <c r="B630" s="6" t="s">
        <v>2340</v>
      </c>
      <c r="C630" s="6"/>
      <c r="D630" s="6" t="s">
        <v>2001</v>
      </c>
      <c r="E630" s="6">
        <v>1</v>
      </c>
      <c r="F630" s="6" t="s">
        <v>2004</v>
      </c>
      <c r="G630" s="32" t="s">
        <v>2299</v>
      </c>
      <c r="H630" s="32" t="s">
        <v>2300</v>
      </c>
      <c r="I630" s="6" t="str">
        <f t="shared" si="21"/>
        <v>ETC</v>
      </c>
      <c r="J630" s="6" t="s">
        <v>400</v>
      </c>
      <c r="K630" s="6">
        <v>1</v>
      </c>
      <c r="L630" s="6">
        <f t="shared" si="22"/>
        <v>12940000</v>
      </c>
      <c r="M630" s="6">
        <v>11000000</v>
      </c>
      <c r="N630" s="6" t="s">
        <v>2003</v>
      </c>
      <c r="O630" s="6" t="s">
        <v>813</v>
      </c>
      <c r="P630" s="6">
        <v>2014</v>
      </c>
      <c r="Q630" s="6">
        <v>1</v>
      </c>
      <c r="R630" s="6" t="s">
        <v>45</v>
      </c>
      <c r="S630" s="32" t="s">
        <v>2113</v>
      </c>
      <c r="T630" s="6">
        <v>1</v>
      </c>
      <c r="U630" s="26">
        <v>10500000</v>
      </c>
      <c r="V630" s="26">
        <v>10500000</v>
      </c>
      <c r="W630" s="26">
        <v>10500000</v>
      </c>
      <c r="X630" s="6" t="s">
        <v>2003</v>
      </c>
      <c r="Y630" s="6" t="s">
        <v>80</v>
      </c>
      <c r="Z630" s="6">
        <v>225692</v>
      </c>
    </row>
    <row r="631" spans="1:26" x14ac:dyDescent="0.3">
      <c r="A631" s="28" t="s">
        <v>42</v>
      </c>
      <c r="B631" s="6" t="s">
        <v>2339</v>
      </c>
      <c r="C631" s="6" t="s">
        <v>1972</v>
      </c>
      <c r="D631" s="6" t="s">
        <v>2001</v>
      </c>
      <c r="E631" s="6">
        <v>1</v>
      </c>
      <c r="F631" s="6" t="s">
        <v>2004</v>
      </c>
      <c r="G631" s="32" t="s">
        <v>2299</v>
      </c>
      <c r="H631" s="32" t="s">
        <v>2300</v>
      </c>
      <c r="I631" s="6" t="str">
        <f t="shared" si="21"/>
        <v>Stone Grapple</v>
      </c>
      <c r="J631" s="6" t="s">
        <v>174</v>
      </c>
      <c r="K631" s="6">
        <v>1</v>
      </c>
      <c r="L631" s="6">
        <f t="shared" si="22"/>
        <v>8820000</v>
      </c>
      <c r="M631" s="6">
        <v>7500000</v>
      </c>
      <c r="N631" s="6" t="s">
        <v>2003</v>
      </c>
      <c r="O631" s="6" t="s">
        <v>2033</v>
      </c>
      <c r="P631" s="6">
        <v>2015</v>
      </c>
      <c r="Q631" s="6">
        <v>5</v>
      </c>
      <c r="R631" s="6" t="s">
        <v>45</v>
      </c>
      <c r="S631" s="32" t="s">
        <v>2123</v>
      </c>
      <c r="T631" s="6">
        <v>1</v>
      </c>
      <c r="U631" s="26">
        <v>7000000</v>
      </c>
      <c r="V631" s="26">
        <v>7000000</v>
      </c>
      <c r="W631" s="26">
        <v>7000000</v>
      </c>
      <c r="X631" s="6" t="s">
        <v>2003</v>
      </c>
      <c r="Y631" s="6" t="s">
        <v>1219</v>
      </c>
      <c r="Z631" s="6">
        <v>225694</v>
      </c>
    </row>
    <row r="632" spans="1:26" x14ac:dyDescent="0.3">
      <c r="A632" s="28" t="s">
        <v>42</v>
      </c>
      <c r="B632" s="6" t="s">
        <v>2339</v>
      </c>
      <c r="C632" s="6" t="s">
        <v>1973</v>
      </c>
      <c r="D632" s="6" t="s">
        <v>2292</v>
      </c>
      <c r="E632" s="6">
        <v>1</v>
      </c>
      <c r="F632" s="6" t="s">
        <v>2004</v>
      </c>
      <c r="G632" s="32" t="s">
        <v>2299</v>
      </c>
      <c r="H632" s="32" t="s">
        <v>2300</v>
      </c>
      <c r="I632" s="6" t="str">
        <f t="shared" si="21"/>
        <v>Wood Grapple</v>
      </c>
      <c r="J632" s="6" t="s">
        <v>669</v>
      </c>
      <c r="K632" s="6">
        <v>1</v>
      </c>
      <c r="L632" s="6">
        <f t="shared" si="22"/>
        <v>5640000</v>
      </c>
      <c r="M632" s="6">
        <v>4800000</v>
      </c>
      <c r="N632" s="6" t="s">
        <v>2003</v>
      </c>
      <c r="O632" s="6" t="s">
        <v>2007</v>
      </c>
      <c r="P632" s="6">
        <v>2014</v>
      </c>
      <c r="Q632" s="6">
        <v>1</v>
      </c>
      <c r="R632" s="6" t="s">
        <v>45</v>
      </c>
      <c r="S632" s="32" t="s">
        <v>2113</v>
      </c>
      <c r="T632" s="6">
        <v>1</v>
      </c>
      <c r="U632" s="26">
        <v>4600000</v>
      </c>
      <c r="V632" s="26">
        <v>4600000</v>
      </c>
      <c r="W632" s="26">
        <v>4600000</v>
      </c>
      <c r="X632" s="6" t="s">
        <v>2003</v>
      </c>
      <c r="Y632" s="6" t="s">
        <v>49</v>
      </c>
      <c r="Z632" s="6">
        <v>225695</v>
      </c>
    </row>
    <row r="633" spans="1:26" x14ac:dyDescent="0.3">
      <c r="A633" s="28" t="s">
        <v>42</v>
      </c>
      <c r="B633" s="6" t="s">
        <v>2339</v>
      </c>
      <c r="C633" s="6" t="s">
        <v>1979</v>
      </c>
      <c r="D633" s="6" t="s">
        <v>2290</v>
      </c>
      <c r="E633" s="6">
        <v>1</v>
      </c>
      <c r="F633" s="6" t="s">
        <v>2004</v>
      </c>
      <c r="G633" s="32" t="s">
        <v>2299</v>
      </c>
      <c r="H633" s="32" t="s">
        <v>2300</v>
      </c>
      <c r="I633" s="6" t="str">
        <f t="shared" si="21"/>
        <v>Thumb Grapple</v>
      </c>
      <c r="J633" s="6" t="s">
        <v>654</v>
      </c>
      <c r="K633" s="6">
        <v>1</v>
      </c>
      <c r="L633" s="6">
        <f t="shared" si="22"/>
        <v>2580000</v>
      </c>
      <c r="M633" s="6">
        <v>2200000</v>
      </c>
      <c r="N633" s="6" t="s">
        <v>2003</v>
      </c>
      <c r="O633" s="6" t="s">
        <v>813</v>
      </c>
      <c r="P633" s="6">
        <v>2014</v>
      </c>
      <c r="Q633" s="6">
        <v>1</v>
      </c>
      <c r="R633" s="6" t="s">
        <v>45</v>
      </c>
      <c r="S633" s="32" t="s">
        <v>2113</v>
      </c>
      <c r="T633" s="6">
        <v>1</v>
      </c>
      <c r="U633" s="26">
        <v>2000000</v>
      </c>
      <c r="V633" s="26">
        <v>2000000</v>
      </c>
      <c r="W633" s="26">
        <v>2000000</v>
      </c>
      <c r="X633" s="6" t="s">
        <v>2003</v>
      </c>
      <c r="Y633" s="6" t="s">
        <v>80</v>
      </c>
      <c r="Z633" s="6">
        <v>225696</v>
      </c>
    </row>
    <row r="634" spans="1:26" x14ac:dyDescent="0.3">
      <c r="A634" s="28" t="s">
        <v>42</v>
      </c>
      <c r="B634" s="6" t="s">
        <v>2339</v>
      </c>
      <c r="C634" s="6" t="s">
        <v>1972</v>
      </c>
      <c r="D634" s="6" t="s">
        <v>2291</v>
      </c>
      <c r="E634" s="6">
        <v>1</v>
      </c>
      <c r="F634" s="6" t="s">
        <v>2004</v>
      </c>
      <c r="G634" s="32" t="s">
        <v>2299</v>
      </c>
      <c r="H634" s="32" t="s">
        <v>2300</v>
      </c>
      <c r="I634" s="6" t="str">
        <f t="shared" si="21"/>
        <v>Stone Grapple</v>
      </c>
      <c r="J634" s="6" t="s">
        <v>252</v>
      </c>
      <c r="K634" s="6">
        <v>1</v>
      </c>
      <c r="L634" s="6">
        <f t="shared" si="22"/>
        <v>4350000</v>
      </c>
      <c r="M634" s="6">
        <v>3700000</v>
      </c>
      <c r="N634" s="6" t="s">
        <v>2003</v>
      </c>
      <c r="O634" s="6" t="s">
        <v>2071</v>
      </c>
      <c r="P634" s="6">
        <v>2016</v>
      </c>
      <c r="Q634" s="6">
        <v>1</v>
      </c>
      <c r="R634" s="6" t="s">
        <v>45</v>
      </c>
      <c r="S634" s="32" t="s">
        <v>2113</v>
      </c>
      <c r="T634" s="6">
        <v>1</v>
      </c>
      <c r="U634" s="26">
        <v>3500000</v>
      </c>
      <c r="V634" s="26">
        <v>3500000</v>
      </c>
      <c r="W634" s="26">
        <v>3500000</v>
      </c>
      <c r="X634" s="6" t="s">
        <v>2003</v>
      </c>
      <c r="Y634" s="6" t="s">
        <v>49</v>
      </c>
      <c r="Z634" s="6">
        <v>225698</v>
      </c>
    </row>
    <row r="635" spans="1:26" x14ac:dyDescent="0.3">
      <c r="A635" s="28" t="s">
        <v>42</v>
      </c>
      <c r="B635" s="6" t="s">
        <v>2340</v>
      </c>
      <c r="C635" s="6"/>
      <c r="D635" s="6" t="s">
        <v>2292</v>
      </c>
      <c r="E635" s="6">
        <v>1</v>
      </c>
      <c r="F635" s="6" t="s">
        <v>2004</v>
      </c>
      <c r="G635" s="32" t="s">
        <v>2299</v>
      </c>
      <c r="H635" s="32" t="s">
        <v>2300</v>
      </c>
      <c r="I635" s="6" t="str">
        <f t="shared" si="21"/>
        <v>ETC</v>
      </c>
      <c r="J635" s="6" t="s">
        <v>476</v>
      </c>
      <c r="K635" s="6">
        <v>1</v>
      </c>
      <c r="L635" s="6">
        <f t="shared" si="22"/>
        <v>13520000</v>
      </c>
      <c r="M635" s="6">
        <v>11500000</v>
      </c>
      <c r="N635" s="6" t="s">
        <v>2003</v>
      </c>
      <c r="O635" s="6" t="s">
        <v>2033</v>
      </c>
      <c r="P635" s="6">
        <v>2014</v>
      </c>
      <c r="Q635" s="6">
        <v>9</v>
      </c>
      <c r="R635" s="6" t="s">
        <v>45</v>
      </c>
      <c r="S635" s="32" t="s">
        <v>2121</v>
      </c>
      <c r="T635" s="6">
        <v>1</v>
      </c>
      <c r="U635" s="26">
        <v>11000000</v>
      </c>
      <c r="V635" s="26">
        <v>11000000</v>
      </c>
      <c r="W635" s="26">
        <v>11000000</v>
      </c>
      <c r="X635" s="6" t="s">
        <v>2003</v>
      </c>
      <c r="Y635" s="6" t="s">
        <v>1218</v>
      </c>
      <c r="Z635" s="6">
        <v>225699</v>
      </c>
    </row>
    <row r="636" spans="1:26" x14ac:dyDescent="0.3">
      <c r="A636" s="28" t="s">
        <v>42</v>
      </c>
      <c r="B636" s="6" t="s">
        <v>2341</v>
      </c>
      <c r="C636" s="6" t="s">
        <v>1978</v>
      </c>
      <c r="D636" s="6" t="s">
        <v>2290</v>
      </c>
      <c r="E636" s="6">
        <v>1</v>
      </c>
      <c r="F636" s="6" t="s">
        <v>2004</v>
      </c>
      <c r="G636" s="32" t="s">
        <v>2299</v>
      </c>
      <c r="H636" s="32" t="s">
        <v>2300</v>
      </c>
      <c r="I636" s="6" t="str">
        <f t="shared" si="21"/>
        <v>Hydraulic Pulverizer</v>
      </c>
      <c r="J636" s="6" t="s">
        <v>409</v>
      </c>
      <c r="K636" s="6">
        <v>1</v>
      </c>
      <c r="L636" s="6">
        <f t="shared" si="22"/>
        <v>7640000</v>
      </c>
      <c r="M636" s="6">
        <v>6500000</v>
      </c>
      <c r="N636" s="6" t="s">
        <v>2003</v>
      </c>
      <c r="O636" s="6" t="s">
        <v>813</v>
      </c>
      <c r="P636" s="6">
        <v>2014</v>
      </c>
      <c r="Q636" s="6">
        <v>1</v>
      </c>
      <c r="R636" s="6" t="s">
        <v>45</v>
      </c>
      <c r="S636" s="32" t="s">
        <v>2113</v>
      </c>
      <c r="T636" s="6">
        <v>1</v>
      </c>
      <c r="U636" s="26">
        <v>6000000</v>
      </c>
      <c r="V636" s="26">
        <v>6000000</v>
      </c>
      <c r="W636" s="26">
        <v>6000000</v>
      </c>
      <c r="X636" s="6" t="s">
        <v>2003</v>
      </c>
      <c r="Y636" s="6" t="s">
        <v>80</v>
      </c>
      <c r="Z636" s="6">
        <v>225700</v>
      </c>
    </row>
    <row r="637" spans="1:26" x14ac:dyDescent="0.3">
      <c r="A637" s="28" t="s">
        <v>42</v>
      </c>
      <c r="B637" s="6" t="s">
        <v>2339</v>
      </c>
      <c r="C637" s="6" t="s">
        <v>1972</v>
      </c>
      <c r="D637" s="6" t="s">
        <v>2291</v>
      </c>
      <c r="E637" s="6">
        <v>1</v>
      </c>
      <c r="F637" s="6" t="s">
        <v>2004</v>
      </c>
      <c r="G637" s="32" t="s">
        <v>2299</v>
      </c>
      <c r="H637" s="32" t="s">
        <v>2300</v>
      </c>
      <c r="I637" s="6" t="str">
        <f t="shared" si="21"/>
        <v>Stone Grapple</v>
      </c>
      <c r="J637" s="6" t="s">
        <v>109</v>
      </c>
      <c r="K637" s="6">
        <v>1</v>
      </c>
      <c r="L637" s="6">
        <f t="shared" si="22"/>
        <v>4350000</v>
      </c>
      <c r="M637" s="6">
        <v>3700000</v>
      </c>
      <c r="N637" s="6" t="s">
        <v>2003</v>
      </c>
      <c r="O637" s="6" t="s">
        <v>2007</v>
      </c>
      <c r="P637" s="6">
        <v>2016</v>
      </c>
      <c r="Q637" s="6">
        <v>1</v>
      </c>
      <c r="R637" s="6" t="s">
        <v>45</v>
      </c>
      <c r="S637" s="32" t="s">
        <v>2113</v>
      </c>
      <c r="T637" s="6">
        <v>1</v>
      </c>
      <c r="U637" s="26">
        <v>3500000</v>
      </c>
      <c r="V637" s="26">
        <v>3500000</v>
      </c>
      <c r="W637" s="26">
        <v>3500000</v>
      </c>
      <c r="X637" s="6" t="s">
        <v>2003</v>
      </c>
      <c r="Y637" s="6" t="s">
        <v>49</v>
      </c>
      <c r="Z637" s="6">
        <v>225702</v>
      </c>
    </row>
    <row r="638" spans="1:26" x14ac:dyDescent="0.3">
      <c r="A638" s="28" t="s">
        <v>42</v>
      </c>
      <c r="B638" s="6" t="s">
        <v>2338</v>
      </c>
      <c r="C638" s="6" t="s">
        <v>1975</v>
      </c>
      <c r="D638" s="6" t="s">
        <v>2291</v>
      </c>
      <c r="E638" s="6">
        <v>1</v>
      </c>
      <c r="F638" s="6" t="s">
        <v>2004</v>
      </c>
      <c r="G638" s="32" t="s">
        <v>2299</v>
      </c>
      <c r="H638" s="32" t="s">
        <v>2300</v>
      </c>
      <c r="I638" s="6" t="str">
        <f t="shared" si="21"/>
        <v>Side Breaker</v>
      </c>
      <c r="J638" s="6" t="s">
        <v>266</v>
      </c>
      <c r="K638" s="6">
        <v>1</v>
      </c>
      <c r="L638" s="6">
        <f t="shared" si="22"/>
        <v>2820000</v>
      </c>
      <c r="M638" s="6">
        <v>2400000</v>
      </c>
      <c r="N638" s="6" t="s">
        <v>2003</v>
      </c>
      <c r="O638" s="6" t="s">
        <v>2011</v>
      </c>
      <c r="P638" s="6">
        <v>2016</v>
      </c>
      <c r="Q638" s="6">
        <v>6</v>
      </c>
      <c r="R638" s="6" t="s">
        <v>45</v>
      </c>
      <c r="S638" s="32" t="s">
        <v>2123</v>
      </c>
      <c r="T638" s="6">
        <v>1</v>
      </c>
      <c r="U638" s="26">
        <v>2200000</v>
      </c>
      <c r="V638" s="26">
        <v>2200000</v>
      </c>
      <c r="W638" s="26">
        <v>2200000</v>
      </c>
      <c r="X638" s="6" t="s">
        <v>2003</v>
      </c>
      <c r="Y638" s="6" t="s">
        <v>1200</v>
      </c>
      <c r="Z638" s="6">
        <v>225709</v>
      </c>
    </row>
    <row r="639" spans="1:26" x14ac:dyDescent="0.3">
      <c r="A639" s="28" t="s">
        <v>42</v>
      </c>
      <c r="B639" s="6" t="s">
        <v>2341</v>
      </c>
      <c r="C639" s="19" t="s">
        <v>2321</v>
      </c>
      <c r="D639" s="6" t="s">
        <v>2292</v>
      </c>
      <c r="E639" s="6">
        <v>1</v>
      </c>
      <c r="F639" s="6" t="s">
        <v>2004</v>
      </c>
      <c r="G639" s="32" t="s">
        <v>2299</v>
      </c>
      <c r="H639" s="32" t="s">
        <v>2300</v>
      </c>
      <c r="I639" s="6" t="str">
        <f t="shared" si="21"/>
        <v>Etc Crusher</v>
      </c>
      <c r="J639" s="6" t="s">
        <v>192</v>
      </c>
      <c r="K639" s="6">
        <v>1</v>
      </c>
      <c r="L639" s="6">
        <f t="shared" si="22"/>
        <v>8820000</v>
      </c>
      <c r="M639" s="6">
        <v>7500000</v>
      </c>
      <c r="N639" s="6" t="s">
        <v>2003</v>
      </c>
      <c r="O639" s="6" t="s">
        <v>2007</v>
      </c>
      <c r="P639" s="6">
        <v>2012</v>
      </c>
      <c r="Q639" s="6">
        <v>1</v>
      </c>
      <c r="R639" s="6" t="s">
        <v>45</v>
      </c>
      <c r="S639" s="32" t="s">
        <v>2113</v>
      </c>
      <c r="T639" s="6">
        <v>1</v>
      </c>
      <c r="U639" s="26">
        <v>7000000</v>
      </c>
      <c r="V639" s="26">
        <v>7000000</v>
      </c>
      <c r="W639" s="26">
        <v>7000000</v>
      </c>
      <c r="X639" s="6" t="s">
        <v>2003</v>
      </c>
      <c r="Y639" s="6" t="s">
        <v>49</v>
      </c>
      <c r="Z639" s="6">
        <v>225713</v>
      </c>
    </row>
    <row r="640" spans="1:26" x14ac:dyDescent="0.3">
      <c r="A640" s="28" t="s">
        <v>42</v>
      </c>
      <c r="B640" s="6" t="s">
        <v>2339</v>
      </c>
      <c r="C640" s="6" t="s">
        <v>1979</v>
      </c>
      <c r="D640" s="6" t="s">
        <v>2292</v>
      </c>
      <c r="E640" s="6">
        <v>1</v>
      </c>
      <c r="F640" s="6" t="s">
        <v>2004</v>
      </c>
      <c r="G640" s="32" t="s">
        <v>2299</v>
      </c>
      <c r="H640" s="32" t="s">
        <v>2300</v>
      </c>
      <c r="I640" s="6" t="str">
        <f t="shared" si="21"/>
        <v>Thumb Grapple</v>
      </c>
      <c r="J640" s="6" t="s">
        <v>59</v>
      </c>
      <c r="K640" s="6">
        <v>1</v>
      </c>
      <c r="L640" s="6">
        <f t="shared" si="22"/>
        <v>940000</v>
      </c>
      <c r="M640" s="6">
        <v>800000</v>
      </c>
      <c r="N640" s="6" t="s">
        <v>2003</v>
      </c>
      <c r="O640" s="6" t="s">
        <v>813</v>
      </c>
      <c r="P640" s="6">
        <v>2013</v>
      </c>
      <c r="Q640" s="6">
        <v>1</v>
      </c>
      <c r="R640" s="6" t="s">
        <v>45</v>
      </c>
      <c r="S640" s="32" t="s">
        <v>2113</v>
      </c>
      <c r="T640" s="6">
        <v>1</v>
      </c>
      <c r="U640" s="26">
        <v>700000</v>
      </c>
      <c r="V640" s="26">
        <v>700000</v>
      </c>
      <c r="W640" s="26">
        <v>700000</v>
      </c>
      <c r="X640" s="6" t="s">
        <v>2003</v>
      </c>
      <c r="Y640" s="6" t="s">
        <v>79</v>
      </c>
      <c r="Z640" s="6">
        <v>225715</v>
      </c>
    </row>
    <row r="641" spans="1:26" x14ac:dyDescent="0.3">
      <c r="A641" s="28" t="s">
        <v>42</v>
      </c>
      <c r="B641" s="6" t="s">
        <v>2339</v>
      </c>
      <c r="C641" s="6" t="s">
        <v>1974</v>
      </c>
      <c r="D641" s="6" t="s">
        <v>2291</v>
      </c>
      <c r="E641" s="6">
        <v>1</v>
      </c>
      <c r="F641" s="6" t="s">
        <v>2004</v>
      </c>
      <c r="G641" s="32" t="s">
        <v>2299</v>
      </c>
      <c r="H641" s="32" t="s">
        <v>2300</v>
      </c>
      <c r="I641" s="6" t="str">
        <f t="shared" si="21"/>
        <v>Etc Grapple</v>
      </c>
      <c r="J641" s="6" t="s">
        <v>136</v>
      </c>
      <c r="K641" s="6">
        <v>1</v>
      </c>
      <c r="L641" s="6">
        <f t="shared" si="22"/>
        <v>3170000</v>
      </c>
      <c r="M641" s="6">
        <v>2700000</v>
      </c>
      <c r="N641" s="6" t="s">
        <v>2003</v>
      </c>
      <c r="O641" s="6" t="s">
        <v>1041</v>
      </c>
      <c r="P641" s="6">
        <v>2010</v>
      </c>
      <c r="Q641" s="6">
        <v>1</v>
      </c>
      <c r="R641" s="6" t="s">
        <v>45</v>
      </c>
      <c r="S641" s="32" t="s">
        <v>2120</v>
      </c>
      <c r="T641" s="6">
        <v>1</v>
      </c>
      <c r="U641" s="26">
        <v>2500000</v>
      </c>
      <c r="V641" s="26">
        <v>2500000</v>
      </c>
      <c r="W641" s="26">
        <v>2500000</v>
      </c>
      <c r="X641" s="6" t="s">
        <v>2003</v>
      </c>
      <c r="Y641" s="6" t="s">
        <v>1299</v>
      </c>
      <c r="Z641" s="6">
        <v>225717</v>
      </c>
    </row>
    <row r="642" spans="1:26" x14ac:dyDescent="0.3">
      <c r="A642" s="28" t="s">
        <v>42</v>
      </c>
      <c r="B642" s="6" t="s">
        <v>2338</v>
      </c>
      <c r="C642" s="6" t="s">
        <v>1975</v>
      </c>
      <c r="D642" s="6" t="s">
        <v>2290</v>
      </c>
      <c r="E642" s="6">
        <v>1</v>
      </c>
      <c r="F642" s="6" t="s">
        <v>2004</v>
      </c>
      <c r="G642" s="32" t="s">
        <v>2299</v>
      </c>
      <c r="H642" s="32" t="s">
        <v>2300</v>
      </c>
      <c r="I642" s="6" t="str">
        <f t="shared" si="21"/>
        <v>Side Breaker</v>
      </c>
      <c r="J642" s="6" t="s">
        <v>671</v>
      </c>
      <c r="K642" s="6">
        <v>1</v>
      </c>
      <c r="L642" s="6">
        <f t="shared" si="22"/>
        <v>3050000</v>
      </c>
      <c r="M642" s="6">
        <v>2600000</v>
      </c>
      <c r="N642" s="6" t="s">
        <v>2003</v>
      </c>
      <c r="O642" s="6" t="s">
        <v>1042</v>
      </c>
      <c r="P642" s="6">
        <v>2017</v>
      </c>
      <c r="Q642" s="6">
        <v>1</v>
      </c>
      <c r="R642" s="6" t="s">
        <v>45</v>
      </c>
      <c r="S642" s="32" t="s">
        <v>2119</v>
      </c>
      <c r="T642" s="6">
        <v>1</v>
      </c>
      <c r="U642" s="26">
        <v>2400000</v>
      </c>
      <c r="V642" s="26">
        <v>2400000</v>
      </c>
      <c r="W642" s="26">
        <v>2400000</v>
      </c>
      <c r="X642" s="6" t="s">
        <v>2003</v>
      </c>
      <c r="Y642" s="6" t="s">
        <v>1277</v>
      </c>
      <c r="Z642" s="6">
        <v>225718</v>
      </c>
    </row>
    <row r="643" spans="1:26" x14ac:dyDescent="0.3">
      <c r="A643" s="28" t="s">
        <v>42</v>
      </c>
      <c r="B643" s="6" t="s">
        <v>2342</v>
      </c>
      <c r="C643" s="6" t="s">
        <v>1982</v>
      </c>
      <c r="D643" s="6" t="s">
        <v>2292</v>
      </c>
      <c r="E643" s="6">
        <v>1</v>
      </c>
      <c r="F643" s="6" t="s">
        <v>2004</v>
      </c>
      <c r="G643" s="32" t="s">
        <v>2299</v>
      </c>
      <c r="H643" s="32" t="s">
        <v>2300</v>
      </c>
      <c r="I643" s="6" t="str">
        <f t="shared" si="21"/>
        <v>Standard Bucket</v>
      </c>
      <c r="J643" s="6" t="s">
        <v>259</v>
      </c>
      <c r="K643" s="6">
        <v>1</v>
      </c>
      <c r="L643" s="6">
        <f t="shared" si="22"/>
        <v>1050000</v>
      </c>
      <c r="M643" s="6">
        <v>900000</v>
      </c>
      <c r="N643" s="6" t="s">
        <v>2003</v>
      </c>
      <c r="O643" s="6" t="s">
        <v>2007</v>
      </c>
      <c r="P643" s="6">
        <v>2014</v>
      </c>
      <c r="Q643" s="6">
        <v>1</v>
      </c>
      <c r="R643" s="6" t="s">
        <v>45</v>
      </c>
      <c r="S643" s="32" t="s">
        <v>2113</v>
      </c>
      <c r="T643" s="6">
        <v>1</v>
      </c>
      <c r="U643" s="26">
        <v>800000</v>
      </c>
      <c r="V643" s="26">
        <v>800000</v>
      </c>
      <c r="W643" s="26">
        <v>800000</v>
      </c>
      <c r="X643" s="6" t="s">
        <v>2003</v>
      </c>
      <c r="Y643" s="6" t="s">
        <v>49</v>
      </c>
      <c r="Z643" s="6">
        <v>225722</v>
      </c>
    </row>
    <row r="644" spans="1:26" x14ac:dyDescent="0.3">
      <c r="A644" s="28" t="s">
        <v>42</v>
      </c>
      <c r="B644" s="6" t="s">
        <v>2339</v>
      </c>
      <c r="C644" s="6" t="s">
        <v>1972</v>
      </c>
      <c r="D644" s="6" t="s">
        <v>2292</v>
      </c>
      <c r="E644" s="6">
        <v>1</v>
      </c>
      <c r="F644" s="6" t="s">
        <v>2004</v>
      </c>
      <c r="G644" s="32" t="s">
        <v>2299</v>
      </c>
      <c r="H644" s="32" t="s">
        <v>2300</v>
      </c>
      <c r="I644" s="6" t="str">
        <f t="shared" si="21"/>
        <v>Stone Grapple</v>
      </c>
      <c r="J644" s="6" t="s">
        <v>197</v>
      </c>
      <c r="K644" s="6">
        <v>1</v>
      </c>
      <c r="L644" s="6">
        <f t="shared" si="22"/>
        <v>4350000</v>
      </c>
      <c r="M644" s="6">
        <v>3700000</v>
      </c>
      <c r="N644" s="6" t="s">
        <v>2003</v>
      </c>
      <c r="O644" s="6" t="s">
        <v>2046</v>
      </c>
      <c r="P644" s="6">
        <v>2017</v>
      </c>
      <c r="Q644" s="6">
        <v>1</v>
      </c>
      <c r="R644" s="6" t="s">
        <v>45</v>
      </c>
      <c r="S644" s="32" t="s">
        <v>2110</v>
      </c>
      <c r="T644" s="6">
        <v>1</v>
      </c>
      <c r="U644" s="26">
        <v>3500000</v>
      </c>
      <c r="V644" s="26">
        <v>3500000</v>
      </c>
      <c r="W644" s="26">
        <v>3500000</v>
      </c>
      <c r="X644" s="6" t="s">
        <v>2003</v>
      </c>
      <c r="Y644" s="6" t="s">
        <v>1155</v>
      </c>
      <c r="Z644" s="6">
        <v>225729</v>
      </c>
    </row>
    <row r="645" spans="1:26" x14ac:dyDescent="0.3">
      <c r="A645" s="28" t="s">
        <v>42</v>
      </c>
      <c r="B645" s="6" t="s">
        <v>2339</v>
      </c>
      <c r="C645" s="6" t="s">
        <v>1972</v>
      </c>
      <c r="D645" s="6" t="s">
        <v>2290</v>
      </c>
      <c r="E645" s="6">
        <v>1</v>
      </c>
      <c r="F645" s="6" t="s">
        <v>2004</v>
      </c>
      <c r="G645" s="32" t="s">
        <v>2299</v>
      </c>
      <c r="H645" s="32" t="s">
        <v>2300</v>
      </c>
      <c r="I645" s="6" t="str">
        <f t="shared" si="21"/>
        <v>Stone Grapple</v>
      </c>
      <c r="J645" s="6" t="s">
        <v>94</v>
      </c>
      <c r="K645" s="6">
        <v>1</v>
      </c>
      <c r="L645" s="6">
        <f t="shared" si="22"/>
        <v>3760000</v>
      </c>
      <c r="M645" s="6">
        <v>3200000</v>
      </c>
      <c r="N645" s="6" t="s">
        <v>2003</v>
      </c>
      <c r="O645" s="6" t="s">
        <v>1043</v>
      </c>
      <c r="P645" s="6">
        <v>2015</v>
      </c>
      <c r="Q645" s="6">
        <v>6</v>
      </c>
      <c r="R645" s="6" t="s">
        <v>45</v>
      </c>
      <c r="S645" s="32" t="s">
        <v>2123</v>
      </c>
      <c r="T645" s="6">
        <v>1</v>
      </c>
      <c r="U645" s="26">
        <v>3000000</v>
      </c>
      <c r="V645" s="26">
        <v>3000000</v>
      </c>
      <c r="W645" s="26">
        <v>3000000</v>
      </c>
      <c r="X645" s="6" t="s">
        <v>2003</v>
      </c>
      <c r="Y645" s="6" t="s">
        <v>1187</v>
      </c>
      <c r="Z645" s="6">
        <v>225732</v>
      </c>
    </row>
    <row r="646" spans="1:26" x14ac:dyDescent="0.3">
      <c r="A646" s="28" t="s">
        <v>42</v>
      </c>
      <c r="B646" s="6" t="s">
        <v>2343</v>
      </c>
      <c r="C646" s="6"/>
      <c r="D646" s="6" t="s">
        <v>2291</v>
      </c>
      <c r="E646" s="6">
        <v>1</v>
      </c>
      <c r="F646" s="6" t="s">
        <v>2004</v>
      </c>
      <c r="G646" s="32" t="s">
        <v>2299</v>
      </c>
      <c r="H646" s="32" t="s">
        <v>2300</v>
      </c>
      <c r="I646" s="6" t="str">
        <f t="shared" si="21"/>
        <v>Lift Fork</v>
      </c>
      <c r="J646" s="6" t="s">
        <v>673</v>
      </c>
      <c r="K646" s="6">
        <v>1</v>
      </c>
      <c r="L646" s="6">
        <f t="shared" si="22"/>
        <v>470000</v>
      </c>
      <c r="M646" s="6">
        <v>400000</v>
      </c>
      <c r="N646" s="6" t="s">
        <v>2003</v>
      </c>
      <c r="O646" s="6" t="s">
        <v>2007</v>
      </c>
      <c r="P646" s="6">
        <v>2013</v>
      </c>
      <c r="Q646" s="6">
        <v>1</v>
      </c>
      <c r="R646" s="6" t="s">
        <v>45</v>
      </c>
      <c r="S646" s="32" t="s">
        <v>2113</v>
      </c>
      <c r="T646" s="6">
        <v>1</v>
      </c>
      <c r="U646" s="26">
        <v>350000</v>
      </c>
      <c r="V646" s="26">
        <v>350000</v>
      </c>
      <c r="W646" s="26">
        <v>350000</v>
      </c>
      <c r="X646" s="6" t="s">
        <v>2003</v>
      </c>
      <c r="Y646" s="6" t="s">
        <v>49</v>
      </c>
      <c r="Z646" s="6">
        <v>225733</v>
      </c>
    </row>
    <row r="647" spans="1:26" x14ac:dyDescent="0.3">
      <c r="A647" s="28" t="s">
        <v>42</v>
      </c>
      <c r="B647" s="6" t="s">
        <v>2344</v>
      </c>
      <c r="C647" s="6" t="s">
        <v>1980</v>
      </c>
      <c r="D647" s="6" t="s">
        <v>2292</v>
      </c>
      <c r="E647" s="6">
        <v>1</v>
      </c>
      <c r="F647" s="6" t="s">
        <v>2004</v>
      </c>
      <c r="G647" s="32" t="s">
        <v>2299</v>
      </c>
      <c r="H647" s="32" t="s">
        <v>2300</v>
      </c>
      <c r="I647" s="6" t="str">
        <f t="shared" si="21"/>
        <v>Small Bucket</v>
      </c>
      <c r="J647" s="6" t="s">
        <v>636</v>
      </c>
      <c r="K647" s="6">
        <v>1</v>
      </c>
      <c r="L647" s="6">
        <f t="shared" si="22"/>
        <v>880000</v>
      </c>
      <c r="M647" s="6">
        <v>750000</v>
      </c>
      <c r="N647" s="6" t="s">
        <v>2003</v>
      </c>
      <c r="O647" s="6" t="s">
        <v>813</v>
      </c>
      <c r="P647" s="6">
        <v>2013</v>
      </c>
      <c r="Q647" s="6">
        <v>1</v>
      </c>
      <c r="R647" s="6" t="s">
        <v>45</v>
      </c>
      <c r="S647" s="32" t="s">
        <v>2113</v>
      </c>
      <c r="T647" s="6">
        <v>1</v>
      </c>
      <c r="U647" s="26">
        <v>650000</v>
      </c>
      <c r="V647" s="26">
        <v>650000</v>
      </c>
      <c r="W647" s="26">
        <v>650000</v>
      </c>
      <c r="X647" s="6" t="s">
        <v>2003</v>
      </c>
      <c r="Y647" s="6" t="s">
        <v>79</v>
      </c>
      <c r="Z647" s="6">
        <v>225735</v>
      </c>
    </row>
    <row r="648" spans="1:26" x14ac:dyDescent="0.3">
      <c r="A648" s="28" t="s">
        <v>42</v>
      </c>
      <c r="B648" s="6" t="s">
        <v>2341</v>
      </c>
      <c r="C648" s="19" t="s">
        <v>2321</v>
      </c>
      <c r="D648" s="6" t="s">
        <v>2292</v>
      </c>
      <c r="E648" s="6">
        <v>1</v>
      </c>
      <c r="F648" s="6" t="s">
        <v>2004</v>
      </c>
      <c r="G648" s="32" t="s">
        <v>2299</v>
      </c>
      <c r="H648" s="32" t="s">
        <v>2300</v>
      </c>
      <c r="I648" s="6" t="str">
        <f t="shared" si="21"/>
        <v>Etc Crusher</v>
      </c>
      <c r="J648" s="6" t="s">
        <v>192</v>
      </c>
      <c r="K648" s="6">
        <v>1</v>
      </c>
      <c r="L648" s="6">
        <f t="shared" si="22"/>
        <v>8820000</v>
      </c>
      <c r="M648" s="6">
        <v>7500000</v>
      </c>
      <c r="N648" s="6" t="s">
        <v>2003</v>
      </c>
      <c r="O648" s="6" t="s">
        <v>813</v>
      </c>
      <c r="P648" s="6">
        <v>2014</v>
      </c>
      <c r="Q648" s="6">
        <v>1</v>
      </c>
      <c r="R648" s="6" t="s">
        <v>45</v>
      </c>
      <c r="S648" s="32" t="s">
        <v>2113</v>
      </c>
      <c r="T648" s="6">
        <v>1</v>
      </c>
      <c r="U648" s="26">
        <v>7000000</v>
      </c>
      <c r="V648" s="26">
        <v>7000000</v>
      </c>
      <c r="W648" s="26">
        <v>7000000</v>
      </c>
      <c r="X648" s="6" t="s">
        <v>2003</v>
      </c>
      <c r="Y648" s="6" t="s">
        <v>80</v>
      </c>
      <c r="Z648" s="6">
        <v>225736</v>
      </c>
    </row>
    <row r="649" spans="1:26" x14ac:dyDescent="0.3">
      <c r="A649" s="28" t="s">
        <v>42</v>
      </c>
      <c r="B649" s="6" t="s">
        <v>2344</v>
      </c>
      <c r="C649" s="6" t="s">
        <v>1976</v>
      </c>
      <c r="D649" s="6" t="s">
        <v>2292</v>
      </c>
      <c r="E649" s="6">
        <v>1</v>
      </c>
      <c r="F649" s="6" t="s">
        <v>2004</v>
      </c>
      <c r="G649" s="32" t="s">
        <v>2299</v>
      </c>
      <c r="H649" s="32" t="s">
        <v>2300</v>
      </c>
      <c r="I649" s="6" t="str">
        <f t="shared" si="21"/>
        <v>Skeleton Bucket</v>
      </c>
      <c r="J649" s="6" t="s">
        <v>110</v>
      </c>
      <c r="K649" s="6">
        <v>1</v>
      </c>
      <c r="L649" s="6">
        <f t="shared" si="22"/>
        <v>1050000</v>
      </c>
      <c r="M649" s="6">
        <v>900000</v>
      </c>
      <c r="N649" s="6" t="s">
        <v>2003</v>
      </c>
      <c r="O649" s="6" t="s">
        <v>2007</v>
      </c>
      <c r="P649" s="6">
        <v>2013</v>
      </c>
      <c r="Q649" s="6">
        <v>1</v>
      </c>
      <c r="R649" s="6" t="s">
        <v>45</v>
      </c>
      <c r="S649" s="32" t="s">
        <v>2113</v>
      </c>
      <c r="T649" s="6">
        <v>1</v>
      </c>
      <c r="U649" s="26">
        <v>800000</v>
      </c>
      <c r="V649" s="26">
        <v>800000</v>
      </c>
      <c r="W649" s="26">
        <v>800000</v>
      </c>
      <c r="X649" s="6" t="s">
        <v>2003</v>
      </c>
      <c r="Y649" s="6" t="s">
        <v>49</v>
      </c>
      <c r="Z649" s="6">
        <v>225737</v>
      </c>
    </row>
    <row r="650" spans="1:26" x14ac:dyDescent="0.3">
      <c r="A650" s="28" t="s">
        <v>42</v>
      </c>
      <c r="B650" s="6" t="s">
        <v>2338</v>
      </c>
      <c r="C650" s="6" t="s">
        <v>1975</v>
      </c>
      <c r="D650" s="6" t="s">
        <v>2291</v>
      </c>
      <c r="E650" s="6">
        <v>1</v>
      </c>
      <c r="F650" s="6" t="s">
        <v>2004</v>
      </c>
      <c r="G650" s="32" t="s">
        <v>2299</v>
      </c>
      <c r="H650" s="32" t="s">
        <v>2300</v>
      </c>
      <c r="I650" s="6" t="str">
        <f t="shared" si="21"/>
        <v>Side Breaker</v>
      </c>
      <c r="J650" s="6" t="s">
        <v>751</v>
      </c>
      <c r="K650" s="6">
        <v>1</v>
      </c>
      <c r="L650" s="6">
        <f t="shared" si="22"/>
        <v>1700000</v>
      </c>
      <c r="M650" s="6">
        <v>1450000</v>
      </c>
      <c r="N650" s="6" t="s">
        <v>2003</v>
      </c>
      <c r="O650" s="6" t="s">
        <v>822</v>
      </c>
      <c r="P650" s="6">
        <v>2013</v>
      </c>
      <c r="Q650" s="6">
        <v>6</v>
      </c>
      <c r="R650" s="6" t="s">
        <v>45</v>
      </c>
      <c r="S650" s="32" t="s">
        <v>2123</v>
      </c>
      <c r="T650" s="6">
        <v>1</v>
      </c>
      <c r="U650" s="26">
        <v>1350000</v>
      </c>
      <c r="V650" s="26">
        <v>1350000</v>
      </c>
      <c r="W650" s="26">
        <v>1350000</v>
      </c>
      <c r="X650" s="6" t="s">
        <v>2003</v>
      </c>
      <c r="Y650" s="6" t="s">
        <v>92</v>
      </c>
      <c r="Z650" s="6">
        <v>225738</v>
      </c>
    </row>
    <row r="651" spans="1:26" x14ac:dyDescent="0.3">
      <c r="A651" s="28" t="s">
        <v>42</v>
      </c>
      <c r="B651" s="6" t="s">
        <v>2344</v>
      </c>
      <c r="C651" s="6" t="s">
        <v>1971</v>
      </c>
      <c r="D651" s="6" t="s">
        <v>2289</v>
      </c>
      <c r="E651" s="6">
        <v>1</v>
      </c>
      <c r="F651" s="6" t="s">
        <v>2004</v>
      </c>
      <c r="G651" s="32" t="s">
        <v>2299</v>
      </c>
      <c r="H651" s="32" t="s">
        <v>2300</v>
      </c>
      <c r="I651" s="6" t="str">
        <f t="shared" ref="I651:I714" si="23">IF(ISBLANK(C651),B651,C651)</f>
        <v>Special Bucket</v>
      </c>
      <c r="J651" s="6" t="s">
        <v>674</v>
      </c>
      <c r="K651" s="6">
        <v>1</v>
      </c>
      <c r="L651" s="6">
        <f t="shared" ref="L651:L714" si="24">FLOOR(((M651*100)/85)/10000, 1)*10000</f>
        <v>5520000</v>
      </c>
      <c r="M651" s="6">
        <v>4700000</v>
      </c>
      <c r="N651" s="6" t="s">
        <v>2003</v>
      </c>
      <c r="O651" s="6" t="s">
        <v>1045</v>
      </c>
      <c r="P651" s="6">
        <v>2013</v>
      </c>
      <c r="Q651" s="6">
        <v>6</v>
      </c>
      <c r="R651" s="6" t="s">
        <v>45</v>
      </c>
      <c r="S651" s="32" t="s">
        <v>2120</v>
      </c>
      <c r="T651" s="6">
        <v>1</v>
      </c>
      <c r="U651" s="26">
        <v>4500000</v>
      </c>
      <c r="V651" s="26">
        <v>4500000</v>
      </c>
      <c r="W651" s="26">
        <v>4500000</v>
      </c>
      <c r="X651" s="6" t="s">
        <v>2003</v>
      </c>
      <c r="Y651" s="6" t="s">
        <v>1205</v>
      </c>
      <c r="Z651" s="6">
        <v>225741</v>
      </c>
    </row>
    <row r="652" spans="1:26" x14ac:dyDescent="0.3">
      <c r="A652" s="28" t="s">
        <v>42</v>
      </c>
      <c r="B652" s="6" t="s">
        <v>2340</v>
      </c>
      <c r="C652" s="6"/>
      <c r="D652" s="6" t="s">
        <v>2289</v>
      </c>
      <c r="E652" s="6">
        <v>1</v>
      </c>
      <c r="F652" s="6" t="s">
        <v>2004</v>
      </c>
      <c r="G652" s="32" t="s">
        <v>2299</v>
      </c>
      <c r="H652" s="32" t="s">
        <v>2300</v>
      </c>
      <c r="I652" s="6" t="str">
        <f t="shared" si="23"/>
        <v>ETC</v>
      </c>
      <c r="J652" s="6" t="s">
        <v>675</v>
      </c>
      <c r="K652" s="6">
        <v>1</v>
      </c>
      <c r="L652" s="6">
        <f t="shared" si="24"/>
        <v>4110000</v>
      </c>
      <c r="M652" s="6">
        <v>3500000</v>
      </c>
      <c r="N652" s="6" t="s">
        <v>2003</v>
      </c>
      <c r="O652" s="6" t="s">
        <v>1046</v>
      </c>
      <c r="P652" s="6">
        <v>2005</v>
      </c>
      <c r="Q652" s="6">
        <v>12</v>
      </c>
      <c r="R652" s="6" t="s">
        <v>45</v>
      </c>
      <c r="S652" s="32" t="s">
        <v>2117</v>
      </c>
      <c r="T652" s="6">
        <v>1</v>
      </c>
      <c r="U652" s="26">
        <v>3300000</v>
      </c>
      <c r="V652" s="26">
        <v>3300000</v>
      </c>
      <c r="W652" s="26">
        <v>3300000</v>
      </c>
      <c r="X652" s="6" t="s">
        <v>2003</v>
      </c>
      <c r="Y652" s="6" t="s">
        <v>1300</v>
      </c>
      <c r="Z652" s="6">
        <v>225744</v>
      </c>
    </row>
    <row r="653" spans="1:26" x14ac:dyDescent="0.3">
      <c r="A653" s="28" t="s">
        <v>42</v>
      </c>
      <c r="B653" s="6" t="s">
        <v>2344</v>
      </c>
      <c r="C653" s="6" t="s">
        <v>1980</v>
      </c>
      <c r="D653" s="6" t="s">
        <v>2292</v>
      </c>
      <c r="E653" s="6">
        <v>1</v>
      </c>
      <c r="F653" s="6" t="s">
        <v>2004</v>
      </c>
      <c r="G653" s="32" t="s">
        <v>2299</v>
      </c>
      <c r="H653" s="32" t="s">
        <v>2300</v>
      </c>
      <c r="I653" s="6" t="str">
        <f t="shared" si="23"/>
        <v>Small Bucket</v>
      </c>
      <c r="J653" s="6" t="s">
        <v>676</v>
      </c>
      <c r="K653" s="6">
        <v>1</v>
      </c>
      <c r="L653" s="6">
        <f t="shared" si="24"/>
        <v>700000</v>
      </c>
      <c r="M653" s="6">
        <v>600000</v>
      </c>
      <c r="N653" s="6" t="s">
        <v>2003</v>
      </c>
      <c r="O653" s="6" t="s">
        <v>2012</v>
      </c>
      <c r="P653" s="6">
        <v>2013</v>
      </c>
      <c r="Q653" s="6">
        <v>1</v>
      </c>
      <c r="R653" s="6" t="s">
        <v>45</v>
      </c>
      <c r="S653" s="32" t="s">
        <v>2113</v>
      </c>
      <c r="T653" s="6">
        <v>1</v>
      </c>
      <c r="U653" s="26">
        <v>500000</v>
      </c>
      <c r="V653" s="26">
        <v>500000</v>
      </c>
      <c r="W653" s="26">
        <v>500000</v>
      </c>
      <c r="X653" s="6" t="s">
        <v>2003</v>
      </c>
      <c r="Y653" s="6" t="s">
        <v>49</v>
      </c>
      <c r="Z653" s="6">
        <v>225747</v>
      </c>
    </row>
    <row r="654" spans="1:26" x14ac:dyDescent="0.3">
      <c r="A654" s="28" t="s">
        <v>42</v>
      </c>
      <c r="B654" s="6" t="s">
        <v>2344</v>
      </c>
      <c r="C654" s="6" t="s">
        <v>1980</v>
      </c>
      <c r="D654" s="6" t="s">
        <v>2292</v>
      </c>
      <c r="E654" s="6">
        <v>1</v>
      </c>
      <c r="F654" s="6" t="s">
        <v>2004</v>
      </c>
      <c r="G654" s="32" t="s">
        <v>2299</v>
      </c>
      <c r="H654" s="32" t="s">
        <v>2300</v>
      </c>
      <c r="I654" s="6" t="str">
        <f t="shared" si="23"/>
        <v>Small Bucket</v>
      </c>
      <c r="J654" s="6" t="s">
        <v>636</v>
      </c>
      <c r="K654" s="6">
        <v>1</v>
      </c>
      <c r="L654" s="6">
        <f t="shared" si="24"/>
        <v>880000</v>
      </c>
      <c r="M654" s="6">
        <v>750000</v>
      </c>
      <c r="N654" s="6" t="s">
        <v>2003</v>
      </c>
      <c r="O654" s="6" t="s">
        <v>2012</v>
      </c>
      <c r="P654" s="6">
        <v>2013</v>
      </c>
      <c r="Q654" s="6">
        <v>1</v>
      </c>
      <c r="R654" s="6" t="s">
        <v>45</v>
      </c>
      <c r="S654" s="32" t="s">
        <v>2113</v>
      </c>
      <c r="T654" s="6">
        <v>1</v>
      </c>
      <c r="U654" s="26">
        <v>650000</v>
      </c>
      <c r="V654" s="26">
        <v>650000</v>
      </c>
      <c r="W654" s="26">
        <v>650000</v>
      </c>
      <c r="X654" s="6" t="s">
        <v>2003</v>
      </c>
      <c r="Y654" s="6" t="s">
        <v>49</v>
      </c>
      <c r="Z654" s="6">
        <v>225751</v>
      </c>
    </row>
    <row r="655" spans="1:26" x14ac:dyDescent="0.3">
      <c r="A655" s="28" t="s">
        <v>42</v>
      </c>
      <c r="B655" s="6" t="s">
        <v>2340</v>
      </c>
      <c r="C655" s="6"/>
      <c r="D655" s="6" t="s">
        <v>2289</v>
      </c>
      <c r="E655" s="6">
        <v>1</v>
      </c>
      <c r="F655" s="6" t="s">
        <v>2004</v>
      </c>
      <c r="G655" s="32" t="s">
        <v>2299</v>
      </c>
      <c r="H655" s="32" t="s">
        <v>2300</v>
      </c>
      <c r="I655" s="6" t="str">
        <f t="shared" si="23"/>
        <v>ETC</v>
      </c>
      <c r="J655" s="6" t="s">
        <v>677</v>
      </c>
      <c r="K655" s="6">
        <v>1</v>
      </c>
      <c r="L655" s="6">
        <f t="shared" si="24"/>
        <v>2580000</v>
      </c>
      <c r="M655" s="6">
        <v>2200000</v>
      </c>
      <c r="N655" s="6" t="s">
        <v>2003</v>
      </c>
      <c r="O655" s="6">
        <v>1</v>
      </c>
      <c r="P655" s="6">
        <v>2015</v>
      </c>
      <c r="Q655" s="6">
        <v>1</v>
      </c>
      <c r="R655" s="6" t="s">
        <v>45</v>
      </c>
      <c r="S655" s="32" t="s">
        <v>2116</v>
      </c>
      <c r="T655" s="6">
        <v>1</v>
      </c>
      <c r="U655" s="26">
        <v>2000000</v>
      </c>
      <c r="V655" s="26">
        <v>2000000</v>
      </c>
      <c r="W655" s="26">
        <v>2000000</v>
      </c>
      <c r="X655" s="6" t="s">
        <v>2003</v>
      </c>
      <c r="Y655" s="6" t="s">
        <v>1185</v>
      </c>
      <c r="Z655" s="6">
        <v>225753</v>
      </c>
    </row>
    <row r="656" spans="1:26" x14ac:dyDescent="0.3">
      <c r="A656" s="28" t="s">
        <v>42</v>
      </c>
      <c r="B656" s="6" t="s">
        <v>2339</v>
      </c>
      <c r="C656" s="6" t="s">
        <v>1979</v>
      </c>
      <c r="D656" s="6" t="s">
        <v>2292</v>
      </c>
      <c r="E656" s="6">
        <v>1</v>
      </c>
      <c r="F656" s="6" t="s">
        <v>2004</v>
      </c>
      <c r="G656" s="32" t="s">
        <v>2299</v>
      </c>
      <c r="H656" s="32" t="s">
        <v>2300</v>
      </c>
      <c r="I656" s="6" t="str">
        <f t="shared" si="23"/>
        <v>Thumb Grapple</v>
      </c>
      <c r="J656" s="6" t="s">
        <v>137</v>
      </c>
      <c r="K656" s="6">
        <v>1</v>
      </c>
      <c r="L656" s="6">
        <f t="shared" si="24"/>
        <v>940000</v>
      </c>
      <c r="M656" s="6">
        <v>800000</v>
      </c>
      <c r="N656" s="6" t="s">
        <v>2003</v>
      </c>
      <c r="O656" s="6" t="s">
        <v>2007</v>
      </c>
      <c r="P656" s="6">
        <v>2013</v>
      </c>
      <c r="Q656" s="6">
        <v>1</v>
      </c>
      <c r="R656" s="6" t="s">
        <v>45</v>
      </c>
      <c r="S656" s="32" t="s">
        <v>2113</v>
      </c>
      <c r="T656" s="6">
        <v>1</v>
      </c>
      <c r="U656" s="26">
        <v>700000</v>
      </c>
      <c r="V656" s="26">
        <v>700000</v>
      </c>
      <c r="W656" s="26">
        <v>700000</v>
      </c>
      <c r="X656" s="6" t="s">
        <v>2003</v>
      </c>
      <c r="Y656" s="6" t="s">
        <v>49</v>
      </c>
      <c r="Z656" s="6">
        <v>225755</v>
      </c>
    </row>
    <row r="657" spans="1:26" x14ac:dyDescent="0.3">
      <c r="A657" s="28" t="s">
        <v>42</v>
      </c>
      <c r="B657" s="6" t="s">
        <v>2344</v>
      </c>
      <c r="C657" s="6" t="s">
        <v>1976</v>
      </c>
      <c r="D657" s="6" t="s">
        <v>2290</v>
      </c>
      <c r="E657" s="6">
        <v>1</v>
      </c>
      <c r="F657" s="6" t="s">
        <v>2004</v>
      </c>
      <c r="G657" s="32" t="s">
        <v>2299</v>
      </c>
      <c r="H657" s="32" t="s">
        <v>2300</v>
      </c>
      <c r="I657" s="6" t="str">
        <f t="shared" si="23"/>
        <v>Skeleton Bucket</v>
      </c>
      <c r="J657" s="6" t="s">
        <v>284</v>
      </c>
      <c r="K657" s="6">
        <v>1</v>
      </c>
      <c r="L657" s="6">
        <f t="shared" si="24"/>
        <v>1640000</v>
      </c>
      <c r="M657" s="6">
        <v>1400000</v>
      </c>
      <c r="N657" s="6" t="s">
        <v>2003</v>
      </c>
      <c r="O657" s="6" t="s">
        <v>844</v>
      </c>
      <c r="P657" s="6">
        <v>2010</v>
      </c>
      <c r="Q657" s="6">
        <v>1</v>
      </c>
      <c r="R657" s="6" t="s">
        <v>45</v>
      </c>
      <c r="S657" s="32" t="s">
        <v>2123</v>
      </c>
      <c r="T657" s="6">
        <v>1</v>
      </c>
      <c r="U657" s="26">
        <v>1300000</v>
      </c>
      <c r="V657" s="26">
        <v>1300000</v>
      </c>
      <c r="W657" s="26">
        <v>1300000</v>
      </c>
      <c r="X657" s="6" t="s">
        <v>2003</v>
      </c>
      <c r="Y657" s="6" t="s">
        <v>1167</v>
      </c>
      <c r="Z657" s="6">
        <v>225760</v>
      </c>
    </row>
    <row r="658" spans="1:26" x14ac:dyDescent="0.3">
      <c r="A658" s="28" t="s">
        <v>42</v>
      </c>
      <c r="B658" s="6" t="s">
        <v>2344</v>
      </c>
      <c r="C658" s="6" t="s">
        <v>1976</v>
      </c>
      <c r="D658" s="6" t="s">
        <v>2292</v>
      </c>
      <c r="E658" s="6">
        <v>1</v>
      </c>
      <c r="F658" s="6" t="s">
        <v>2004</v>
      </c>
      <c r="G658" s="32" t="s">
        <v>2299</v>
      </c>
      <c r="H658" s="32" t="s">
        <v>2300</v>
      </c>
      <c r="I658" s="6" t="str">
        <f t="shared" si="23"/>
        <v>Skeleton Bucket</v>
      </c>
      <c r="J658" s="6" t="s">
        <v>118</v>
      </c>
      <c r="K658" s="6">
        <v>1</v>
      </c>
      <c r="L658" s="6">
        <f t="shared" si="24"/>
        <v>940000</v>
      </c>
      <c r="M658" s="6">
        <v>800000</v>
      </c>
      <c r="N658" s="6" t="s">
        <v>2003</v>
      </c>
      <c r="O658" s="6" t="s">
        <v>1024</v>
      </c>
      <c r="P658" s="6">
        <v>2012</v>
      </c>
      <c r="Q658" s="6">
        <v>5</v>
      </c>
      <c r="R658" s="6" t="s">
        <v>45</v>
      </c>
      <c r="S658" s="32" t="s">
        <v>2111</v>
      </c>
      <c r="T658" s="6">
        <v>1</v>
      </c>
      <c r="U658" s="26">
        <v>700000</v>
      </c>
      <c r="V658" s="26">
        <v>700000</v>
      </c>
      <c r="W658" s="26">
        <v>700000</v>
      </c>
      <c r="X658" s="6" t="s">
        <v>2003</v>
      </c>
      <c r="Y658" s="6" t="s">
        <v>1301</v>
      </c>
      <c r="Z658" s="6">
        <v>225763</v>
      </c>
    </row>
    <row r="659" spans="1:26" x14ac:dyDescent="0.3">
      <c r="A659" s="28" t="s">
        <v>42</v>
      </c>
      <c r="B659" s="6" t="s">
        <v>2338</v>
      </c>
      <c r="C659" s="6" t="s">
        <v>1975</v>
      </c>
      <c r="D659" s="6" t="s">
        <v>2292</v>
      </c>
      <c r="E659" s="6">
        <v>1</v>
      </c>
      <c r="F659" s="6" t="s">
        <v>2004</v>
      </c>
      <c r="G659" s="32" t="s">
        <v>2299</v>
      </c>
      <c r="H659" s="32" t="s">
        <v>2300</v>
      </c>
      <c r="I659" s="6" t="str">
        <f t="shared" si="23"/>
        <v>Side Breaker</v>
      </c>
      <c r="J659" s="6" t="s">
        <v>177</v>
      </c>
      <c r="K659" s="6">
        <v>1</v>
      </c>
      <c r="L659" s="6">
        <f t="shared" si="24"/>
        <v>4350000</v>
      </c>
      <c r="M659" s="6">
        <v>3700000</v>
      </c>
      <c r="N659" s="6" t="s">
        <v>2003</v>
      </c>
      <c r="O659" s="6" t="s">
        <v>1047</v>
      </c>
      <c r="P659" s="6">
        <v>2012</v>
      </c>
      <c r="Q659" s="6">
        <v>5</v>
      </c>
      <c r="R659" s="6" t="s">
        <v>45</v>
      </c>
      <c r="S659" s="32" t="s">
        <v>2111</v>
      </c>
      <c r="T659" s="6">
        <v>1</v>
      </c>
      <c r="U659" s="26">
        <v>3500000</v>
      </c>
      <c r="V659" s="26">
        <v>3500000</v>
      </c>
      <c r="W659" s="26">
        <v>3500000</v>
      </c>
      <c r="X659" s="6" t="s">
        <v>2003</v>
      </c>
      <c r="Y659" s="6" t="s">
        <v>1301</v>
      </c>
      <c r="Z659" s="6">
        <v>225766</v>
      </c>
    </row>
    <row r="660" spans="1:26" x14ac:dyDescent="0.3">
      <c r="A660" s="28" t="s">
        <v>42</v>
      </c>
      <c r="B660" s="6" t="s">
        <v>2339</v>
      </c>
      <c r="C660" s="6" t="s">
        <v>1972</v>
      </c>
      <c r="D660" s="6" t="s">
        <v>2291</v>
      </c>
      <c r="E660" s="6">
        <v>1</v>
      </c>
      <c r="F660" s="6" t="s">
        <v>2004</v>
      </c>
      <c r="G660" s="32" t="s">
        <v>2299</v>
      </c>
      <c r="H660" s="32" t="s">
        <v>2300</v>
      </c>
      <c r="I660" s="6" t="str">
        <f t="shared" si="23"/>
        <v>Stone Grapple</v>
      </c>
      <c r="J660" s="6" t="s">
        <v>109</v>
      </c>
      <c r="K660" s="6">
        <v>1</v>
      </c>
      <c r="L660" s="6">
        <f t="shared" si="24"/>
        <v>3880000</v>
      </c>
      <c r="M660" s="6">
        <v>3300000</v>
      </c>
      <c r="N660" s="6" t="s">
        <v>2003</v>
      </c>
      <c r="O660" s="6" t="s">
        <v>830</v>
      </c>
      <c r="P660" s="6">
        <v>2010</v>
      </c>
      <c r="Q660" s="6">
        <v>1</v>
      </c>
      <c r="R660" s="6" t="s">
        <v>45</v>
      </c>
      <c r="S660" s="32" t="s">
        <v>2114</v>
      </c>
      <c r="T660" s="6">
        <v>1</v>
      </c>
      <c r="U660" s="26">
        <v>3100000</v>
      </c>
      <c r="V660" s="26">
        <v>3100000</v>
      </c>
      <c r="W660" s="26">
        <v>3100000</v>
      </c>
      <c r="X660" s="6" t="s">
        <v>2003</v>
      </c>
      <c r="Y660" s="6" t="s">
        <v>830</v>
      </c>
      <c r="Z660" s="6">
        <v>225769</v>
      </c>
    </row>
    <row r="661" spans="1:26" x14ac:dyDescent="0.3">
      <c r="A661" s="28" t="s">
        <v>42</v>
      </c>
      <c r="B661" s="6" t="s">
        <v>2340</v>
      </c>
      <c r="C661" s="6"/>
      <c r="D661" s="6" t="s">
        <v>2289</v>
      </c>
      <c r="E661" s="6">
        <v>1</v>
      </c>
      <c r="F661" s="6" t="s">
        <v>2004</v>
      </c>
      <c r="G661" s="32" t="s">
        <v>2299</v>
      </c>
      <c r="H661" s="32" t="s">
        <v>2300</v>
      </c>
      <c r="I661" s="6" t="str">
        <f t="shared" si="23"/>
        <v>ETC</v>
      </c>
      <c r="J661" s="6" t="s">
        <v>77</v>
      </c>
      <c r="K661" s="6">
        <v>1</v>
      </c>
      <c r="L661" s="6">
        <f t="shared" si="24"/>
        <v>32350000</v>
      </c>
      <c r="M661" s="6">
        <v>27500000</v>
      </c>
      <c r="N661" s="6" t="s">
        <v>2003</v>
      </c>
      <c r="O661" s="6" t="s">
        <v>54</v>
      </c>
      <c r="P661" s="6">
        <v>2015</v>
      </c>
      <c r="Q661" s="6">
        <v>1</v>
      </c>
      <c r="R661" s="6" t="s">
        <v>45</v>
      </c>
      <c r="S661" s="32" t="s">
        <v>2114</v>
      </c>
      <c r="T661" s="6">
        <v>1</v>
      </c>
      <c r="U661" s="26">
        <v>27000000</v>
      </c>
      <c r="V661" s="26">
        <v>27000000</v>
      </c>
      <c r="W661" s="26">
        <v>27000000</v>
      </c>
      <c r="X661" s="6" t="s">
        <v>2003</v>
      </c>
      <c r="Y661" s="6" t="s">
        <v>54</v>
      </c>
      <c r="Z661" s="6">
        <v>225772</v>
      </c>
    </row>
    <row r="662" spans="1:26" x14ac:dyDescent="0.3">
      <c r="A662" s="28" t="s">
        <v>42</v>
      </c>
      <c r="B662" s="6" t="s">
        <v>2339</v>
      </c>
      <c r="C662" s="6" t="s">
        <v>1972</v>
      </c>
      <c r="D662" s="6" t="s">
        <v>2292</v>
      </c>
      <c r="E662" s="6">
        <v>1</v>
      </c>
      <c r="F662" s="6" t="s">
        <v>2004</v>
      </c>
      <c r="G662" s="32" t="s">
        <v>2299</v>
      </c>
      <c r="H662" s="32" t="s">
        <v>2300</v>
      </c>
      <c r="I662" s="6" t="str">
        <f t="shared" si="23"/>
        <v>Stone Grapple</v>
      </c>
      <c r="J662" s="6" t="s">
        <v>44</v>
      </c>
      <c r="K662" s="6">
        <v>1</v>
      </c>
      <c r="L662" s="6">
        <f t="shared" si="24"/>
        <v>3050000</v>
      </c>
      <c r="M662" s="6">
        <v>2600000</v>
      </c>
      <c r="N662" s="6" t="s">
        <v>2003</v>
      </c>
      <c r="O662" s="6" t="s">
        <v>1048</v>
      </c>
      <c r="P662" s="6">
        <v>2014</v>
      </c>
      <c r="Q662" s="6">
        <v>1</v>
      </c>
      <c r="R662" s="6" t="s">
        <v>45</v>
      </c>
      <c r="S662" s="32" t="s">
        <v>2112</v>
      </c>
      <c r="T662" s="6">
        <v>1</v>
      </c>
      <c r="U662" s="26">
        <v>2400000</v>
      </c>
      <c r="V662" s="26">
        <v>2400000</v>
      </c>
      <c r="W662" s="26">
        <v>2400000</v>
      </c>
      <c r="X662" s="6" t="s">
        <v>2003</v>
      </c>
      <c r="Y662" s="6" t="s">
        <v>1192</v>
      </c>
      <c r="Z662" s="6">
        <v>225775</v>
      </c>
    </row>
    <row r="663" spans="1:26" x14ac:dyDescent="0.3">
      <c r="A663" s="28" t="s">
        <v>42</v>
      </c>
      <c r="B663" s="6" t="s">
        <v>2339</v>
      </c>
      <c r="C663" s="6" t="s">
        <v>1972</v>
      </c>
      <c r="D663" s="6" t="s">
        <v>2291</v>
      </c>
      <c r="E663" s="6">
        <v>1</v>
      </c>
      <c r="F663" s="6" t="s">
        <v>2004</v>
      </c>
      <c r="G663" s="32" t="s">
        <v>2299</v>
      </c>
      <c r="H663" s="32" t="s">
        <v>2300</v>
      </c>
      <c r="I663" s="6" t="str">
        <f t="shared" si="23"/>
        <v>Stone Grapple</v>
      </c>
      <c r="J663" s="6" t="s">
        <v>624</v>
      </c>
      <c r="K663" s="6">
        <v>1</v>
      </c>
      <c r="L663" s="6">
        <f t="shared" si="24"/>
        <v>4000000</v>
      </c>
      <c r="M663" s="6">
        <v>3400000</v>
      </c>
      <c r="N663" s="6" t="s">
        <v>2003</v>
      </c>
      <c r="O663" s="6" t="s">
        <v>789</v>
      </c>
      <c r="P663" s="6">
        <v>2016</v>
      </c>
      <c r="Q663" s="6">
        <v>5</v>
      </c>
      <c r="R663" s="6" t="s">
        <v>45</v>
      </c>
      <c r="S663" s="32" t="s">
        <v>2122</v>
      </c>
      <c r="T663" s="6">
        <v>1</v>
      </c>
      <c r="U663" s="26">
        <v>3200000</v>
      </c>
      <c r="V663" s="26">
        <v>3200000</v>
      </c>
      <c r="W663" s="26">
        <v>3200000</v>
      </c>
      <c r="X663" s="6" t="s">
        <v>2003</v>
      </c>
      <c r="Y663" s="6" t="s">
        <v>65</v>
      </c>
      <c r="Z663" s="6">
        <v>225781</v>
      </c>
    </row>
    <row r="664" spans="1:26" x14ac:dyDescent="0.3">
      <c r="A664" s="28" t="s">
        <v>42</v>
      </c>
      <c r="B664" s="6" t="s">
        <v>2344</v>
      </c>
      <c r="C664" s="6" t="s">
        <v>1977</v>
      </c>
      <c r="D664" s="6" t="s">
        <v>2291</v>
      </c>
      <c r="E664" s="6">
        <v>1</v>
      </c>
      <c r="F664" s="6" t="s">
        <v>2004</v>
      </c>
      <c r="G664" s="32" t="s">
        <v>2299</v>
      </c>
      <c r="H664" s="32" t="s">
        <v>2300</v>
      </c>
      <c r="I664" s="6" t="str">
        <f t="shared" si="23"/>
        <v>Wide Bucket</v>
      </c>
      <c r="J664" s="6" t="s">
        <v>64</v>
      </c>
      <c r="K664" s="6">
        <v>1</v>
      </c>
      <c r="L664" s="6">
        <f t="shared" si="24"/>
        <v>560000</v>
      </c>
      <c r="M664" s="6">
        <v>480000</v>
      </c>
      <c r="N664" s="6" t="s">
        <v>2003</v>
      </c>
      <c r="O664" s="6" t="s">
        <v>789</v>
      </c>
      <c r="P664" s="6">
        <v>2015</v>
      </c>
      <c r="Q664" s="6">
        <v>2</v>
      </c>
      <c r="R664" s="6" t="s">
        <v>45</v>
      </c>
      <c r="S664" s="32" t="s">
        <v>2122</v>
      </c>
      <c r="T664" s="6">
        <v>1</v>
      </c>
      <c r="U664" s="26">
        <v>430000</v>
      </c>
      <c r="V664" s="26">
        <v>430000</v>
      </c>
      <c r="W664" s="26">
        <v>430000</v>
      </c>
      <c r="X664" s="6" t="s">
        <v>2003</v>
      </c>
      <c r="Y664" s="6" t="s">
        <v>65</v>
      </c>
      <c r="Z664" s="6">
        <v>225783</v>
      </c>
    </row>
    <row r="665" spans="1:26" x14ac:dyDescent="0.3">
      <c r="A665" s="28" t="s">
        <v>42</v>
      </c>
      <c r="B665" s="6" t="s">
        <v>2338</v>
      </c>
      <c r="C665" s="6" t="s">
        <v>1975</v>
      </c>
      <c r="D665" s="6" t="s">
        <v>2292</v>
      </c>
      <c r="E665" s="6">
        <v>1</v>
      </c>
      <c r="F665" s="6" t="s">
        <v>2004</v>
      </c>
      <c r="G665" s="32" t="s">
        <v>2299</v>
      </c>
      <c r="H665" s="32" t="s">
        <v>2300</v>
      </c>
      <c r="I665" s="6" t="str">
        <f t="shared" si="23"/>
        <v>Side Breaker</v>
      </c>
      <c r="J665" s="6" t="s">
        <v>592</v>
      </c>
      <c r="K665" s="6">
        <v>1</v>
      </c>
      <c r="L665" s="6">
        <f t="shared" si="24"/>
        <v>5290000</v>
      </c>
      <c r="M665" s="6">
        <v>4500000</v>
      </c>
      <c r="N665" s="6" t="s">
        <v>2003</v>
      </c>
      <c r="O665" s="6" t="s">
        <v>70</v>
      </c>
      <c r="P665" s="6">
        <v>2015</v>
      </c>
      <c r="Q665" s="6">
        <v>1</v>
      </c>
      <c r="R665" s="6" t="s">
        <v>45</v>
      </c>
      <c r="S665" s="32" t="s">
        <v>2113</v>
      </c>
      <c r="T665" s="6">
        <v>1</v>
      </c>
      <c r="U665" s="26">
        <v>4300000</v>
      </c>
      <c r="V665" s="26">
        <v>4300000</v>
      </c>
      <c r="W665" s="26">
        <v>4300000</v>
      </c>
      <c r="X665" s="6" t="s">
        <v>2003</v>
      </c>
      <c r="Y665" s="6" t="s">
        <v>71</v>
      </c>
      <c r="Z665" s="6">
        <v>225795</v>
      </c>
    </row>
    <row r="666" spans="1:26" x14ac:dyDescent="0.3">
      <c r="A666" s="28" t="s">
        <v>42</v>
      </c>
      <c r="B666" s="6" t="s">
        <v>2338</v>
      </c>
      <c r="C666" s="6" t="s">
        <v>1975</v>
      </c>
      <c r="D666" s="6" t="s">
        <v>2291</v>
      </c>
      <c r="E666" s="6">
        <v>1</v>
      </c>
      <c r="F666" s="6" t="s">
        <v>2004</v>
      </c>
      <c r="G666" s="32" t="s">
        <v>2299</v>
      </c>
      <c r="H666" s="32" t="s">
        <v>2300</v>
      </c>
      <c r="I666" s="6" t="str">
        <f t="shared" si="23"/>
        <v>Side Breaker</v>
      </c>
      <c r="J666" s="6" t="s">
        <v>538</v>
      </c>
      <c r="K666" s="6">
        <v>1</v>
      </c>
      <c r="L666" s="6">
        <f t="shared" si="24"/>
        <v>3520000</v>
      </c>
      <c r="M666" s="6">
        <v>3000000</v>
      </c>
      <c r="N666" s="6" t="s">
        <v>2003</v>
      </c>
      <c r="O666" s="6" t="s">
        <v>820</v>
      </c>
      <c r="P666" s="6">
        <v>2010</v>
      </c>
      <c r="Q666" s="6">
        <v>1</v>
      </c>
      <c r="R666" s="6" t="s">
        <v>45</v>
      </c>
      <c r="S666" s="32" t="s">
        <v>2120</v>
      </c>
      <c r="T666" s="6">
        <v>1</v>
      </c>
      <c r="U666" s="26">
        <v>2800000</v>
      </c>
      <c r="V666" s="26">
        <v>2800000</v>
      </c>
      <c r="W666" s="26">
        <v>2800000</v>
      </c>
      <c r="X666" s="6" t="s">
        <v>2003</v>
      </c>
      <c r="Y666" s="6" t="s">
        <v>1160</v>
      </c>
      <c r="Z666" s="6">
        <v>225799</v>
      </c>
    </row>
    <row r="667" spans="1:26" x14ac:dyDescent="0.3">
      <c r="A667" s="28" t="s">
        <v>42</v>
      </c>
      <c r="B667" s="6" t="s">
        <v>2344</v>
      </c>
      <c r="C667" s="6" t="s">
        <v>1971</v>
      </c>
      <c r="D667" s="6" t="s">
        <v>2289</v>
      </c>
      <c r="E667" s="6">
        <v>1</v>
      </c>
      <c r="F667" s="6" t="s">
        <v>2004</v>
      </c>
      <c r="G667" s="32" t="s">
        <v>2299</v>
      </c>
      <c r="H667" s="32" t="s">
        <v>2300</v>
      </c>
      <c r="I667" s="6" t="str">
        <f t="shared" si="23"/>
        <v>Special Bucket</v>
      </c>
      <c r="J667" s="6" t="s">
        <v>674</v>
      </c>
      <c r="K667" s="6">
        <v>1</v>
      </c>
      <c r="L667" s="6">
        <f t="shared" si="24"/>
        <v>5520000</v>
      </c>
      <c r="M667" s="6">
        <v>4700000</v>
      </c>
      <c r="N667" s="6" t="s">
        <v>2003</v>
      </c>
      <c r="O667" s="6" t="s">
        <v>1049</v>
      </c>
      <c r="P667" s="6">
        <v>2013</v>
      </c>
      <c r="Q667" s="6">
        <v>6</v>
      </c>
      <c r="R667" s="6" t="s">
        <v>45</v>
      </c>
      <c r="S667" s="32" t="s">
        <v>2120</v>
      </c>
      <c r="T667" s="6">
        <v>1</v>
      </c>
      <c r="U667" s="26">
        <v>4500000</v>
      </c>
      <c r="V667" s="26">
        <v>4500000</v>
      </c>
      <c r="W667" s="26">
        <v>4500000</v>
      </c>
      <c r="X667" s="6" t="s">
        <v>2003</v>
      </c>
      <c r="Y667" s="6" t="s">
        <v>1205</v>
      </c>
      <c r="Z667" s="6">
        <v>225801</v>
      </c>
    </row>
    <row r="668" spans="1:26" x14ac:dyDescent="0.3">
      <c r="A668" s="28" t="s">
        <v>42</v>
      </c>
      <c r="B668" s="6" t="s">
        <v>2344</v>
      </c>
      <c r="C668" s="19" t="s">
        <v>1982</v>
      </c>
      <c r="D668" s="6" t="s">
        <v>2289</v>
      </c>
      <c r="E668" s="6">
        <v>1</v>
      </c>
      <c r="F668" s="6" t="s">
        <v>2004</v>
      </c>
      <c r="G668" s="32" t="s">
        <v>2299</v>
      </c>
      <c r="H668" s="32" t="s">
        <v>2300</v>
      </c>
      <c r="I668" s="6" t="str">
        <f t="shared" si="23"/>
        <v>Standard Bucket</v>
      </c>
      <c r="J668" s="6" t="s">
        <v>680</v>
      </c>
      <c r="K668" s="6">
        <v>1</v>
      </c>
      <c r="L668" s="6">
        <f t="shared" si="24"/>
        <v>4940000</v>
      </c>
      <c r="M668" s="6">
        <v>4200000</v>
      </c>
      <c r="N668" s="6" t="s">
        <v>2003</v>
      </c>
      <c r="O668" s="6" t="s">
        <v>54</v>
      </c>
      <c r="P668" s="6">
        <v>2010</v>
      </c>
      <c r="Q668" s="6">
        <v>1</v>
      </c>
      <c r="R668" s="6" t="s">
        <v>45</v>
      </c>
      <c r="S668" s="32" t="s">
        <v>2114</v>
      </c>
      <c r="T668" s="6">
        <v>1</v>
      </c>
      <c r="U668" s="26">
        <v>4000000</v>
      </c>
      <c r="V668" s="26">
        <v>4000000</v>
      </c>
      <c r="W668" s="26">
        <v>4000000</v>
      </c>
      <c r="X668" s="6" t="s">
        <v>2003</v>
      </c>
      <c r="Y668" s="6" t="s">
        <v>54</v>
      </c>
      <c r="Z668" s="6">
        <v>225807</v>
      </c>
    </row>
    <row r="669" spans="1:26" x14ac:dyDescent="0.3">
      <c r="A669" s="28" t="s">
        <v>42</v>
      </c>
      <c r="B669" s="6" t="s">
        <v>2340</v>
      </c>
      <c r="C669" s="6"/>
      <c r="D669" s="6" t="s">
        <v>2292</v>
      </c>
      <c r="E669" s="6">
        <v>1</v>
      </c>
      <c r="F669" s="6" t="s">
        <v>2004</v>
      </c>
      <c r="G669" s="32" t="s">
        <v>2299</v>
      </c>
      <c r="H669" s="32" t="s">
        <v>2300</v>
      </c>
      <c r="I669" s="6" t="str">
        <f t="shared" si="23"/>
        <v>ETC</v>
      </c>
      <c r="J669" s="6" t="s">
        <v>405</v>
      </c>
      <c r="K669" s="6">
        <v>1</v>
      </c>
      <c r="L669" s="6">
        <f t="shared" si="24"/>
        <v>8820000</v>
      </c>
      <c r="M669" s="6">
        <v>7500000</v>
      </c>
      <c r="N669" s="6" t="s">
        <v>2003</v>
      </c>
      <c r="O669" s="6" t="s">
        <v>793</v>
      </c>
      <c r="P669" s="6">
        <v>2014</v>
      </c>
      <c r="Q669" s="6">
        <v>1</v>
      </c>
      <c r="R669" s="6" t="s">
        <v>45</v>
      </c>
      <c r="S669" s="32" t="s">
        <v>2116</v>
      </c>
      <c r="T669" s="6">
        <v>1</v>
      </c>
      <c r="U669" s="26">
        <v>7000000</v>
      </c>
      <c r="V669" s="26">
        <v>7000000</v>
      </c>
      <c r="W669" s="26">
        <v>7000000</v>
      </c>
      <c r="X669" s="6" t="s">
        <v>2003</v>
      </c>
      <c r="Y669" s="6" t="s">
        <v>1146</v>
      </c>
      <c r="Z669" s="6">
        <v>225816</v>
      </c>
    </row>
    <row r="670" spans="1:26" x14ac:dyDescent="0.3">
      <c r="A670" s="28" t="s">
        <v>42</v>
      </c>
      <c r="B670" s="6" t="s">
        <v>2344</v>
      </c>
      <c r="C670" s="6" t="s">
        <v>1980</v>
      </c>
      <c r="D670" s="6" t="s">
        <v>2291</v>
      </c>
      <c r="E670" s="6">
        <v>1</v>
      </c>
      <c r="F670" s="6" t="s">
        <v>2004</v>
      </c>
      <c r="G670" s="32" t="s">
        <v>2299</v>
      </c>
      <c r="H670" s="32" t="s">
        <v>2300</v>
      </c>
      <c r="I670" s="6" t="str">
        <f t="shared" si="23"/>
        <v>Small Bucket</v>
      </c>
      <c r="J670" s="6" t="s">
        <v>85</v>
      </c>
      <c r="K670" s="6">
        <v>1</v>
      </c>
      <c r="L670" s="6">
        <f t="shared" si="24"/>
        <v>350000</v>
      </c>
      <c r="M670" s="6">
        <v>300000</v>
      </c>
      <c r="N670" s="6" t="s">
        <v>2003</v>
      </c>
      <c r="O670" s="6" t="s">
        <v>2007</v>
      </c>
      <c r="P670" s="6">
        <v>2013</v>
      </c>
      <c r="Q670" s="6">
        <v>1</v>
      </c>
      <c r="R670" s="6" t="s">
        <v>45</v>
      </c>
      <c r="S670" s="32" t="s">
        <v>2113</v>
      </c>
      <c r="T670" s="6">
        <v>1</v>
      </c>
      <c r="U670" s="26">
        <v>250000</v>
      </c>
      <c r="V670" s="26">
        <v>250000</v>
      </c>
      <c r="W670" s="26">
        <v>250000</v>
      </c>
      <c r="X670" s="6" t="s">
        <v>2003</v>
      </c>
      <c r="Y670" s="6" t="s">
        <v>49</v>
      </c>
      <c r="Z670" s="6">
        <v>225819</v>
      </c>
    </row>
    <row r="671" spans="1:26" x14ac:dyDescent="0.3">
      <c r="A671" s="28" t="s">
        <v>42</v>
      </c>
      <c r="B671" s="6" t="s">
        <v>2338</v>
      </c>
      <c r="C671" s="6" t="s">
        <v>1975</v>
      </c>
      <c r="D671" s="6" t="s">
        <v>2293</v>
      </c>
      <c r="E671" s="6">
        <v>1</v>
      </c>
      <c r="F671" s="6" t="s">
        <v>2004</v>
      </c>
      <c r="G671" s="32" t="s">
        <v>2299</v>
      </c>
      <c r="H671" s="32" t="s">
        <v>2300</v>
      </c>
      <c r="I671" s="6" t="str">
        <f t="shared" si="23"/>
        <v>Side Breaker</v>
      </c>
      <c r="J671" s="6" t="s">
        <v>282</v>
      </c>
      <c r="K671" s="6">
        <v>1</v>
      </c>
      <c r="L671" s="6">
        <f t="shared" si="24"/>
        <v>1640000</v>
      </c>
      <c r="M671" s="6">
        <v>1400000</v>
      </c>
      <c r="N671" s="6" t="s">
        <v>2003</v>
      </c>
      <c r="O671" s="6" t="s">
        <v>2007</v>
      </c>
      <c r="P671" s="6">
        <v>2013</v>
      </c>
      <c r="Q671" s="6">
        <v>1</v>
      </c>
      <c r="R671" s="6" t="s">
        <v>45</v>
      </c>
      <c r="S671" s="32" t="s">
        <v>2113</v>
      </c>
      <c r="T671" s="6">
        <v>1</v>
      </c>
      <c r="U671" s="26">
        <v>1300000</v>
      </c>
      <c r="V671" s="26">
        <v>1300000</v>
      </c>
      <c r="W671" s="26">
        <v>1300000</v>
      </c>
      <c r="X671" s="6" t="s">
        <v>2003</v>
      </c>
      <c r="Y671" s="6" t="s">
        <v>49</v>
      </c>
      <c r="Z671" s="6">
        <v>225825</v>
      </c>
    </row>
    <row r="672" spans="1:26" x14ac:dyDescent="0.3">
      <c r="A672" s="28" t="s">
        <v>42</v>
      </c>
      <c r="B672" s="6" t="s">
        <v>2344</v>
      </c>
      <c r="C672" s="6" t="s">
        <v>1980</v>
      </c>
      <c r="D672" s="6" t="s">
        <v>2292</v>
      </c>
      <c r="E672" s="6">
        <v>1</v>
      </c>
      <c r="F672" s="6" t="s">
        <v>2004</v>
      </c>
      <c r="G672" s="32" t="s">
        <v>2299</v>
      </c>
      <c r="H672" s="32" t="s">
        <v>2300</v>
      </c>
      <c r="I672" s="6" t="str">
        <f t="shared" si="23"/>
        <v>Small Bucket</v>
      </c>
      <c r="J672" s="6" t="s">
        <v>681</v>
      </c>
      <c r="K672" s="6">
        <v>1</v>
      </c>
      <c r="L672" s="6">
        <f t="shared" si="24"/>
        <v>700000</v>
      </c>
      <c r="M672" s="6">
        <v>600000</v>
      </c>
      <c r="N672" s="6" t="s">
        <v>2003</v>
      </c>
      <c r="O672" s="6" t="s">
        <v>2007</v>
      </c>
      <c r="P672" s="6">
        <v>2013</v>
      </c>
      <c r="Q672" s="6">
        <v>1</v>
      </c>
      <c r="R672" s="6" t="s">
        <v>45</v>
      </c>
      <c r="S672" s="32" t="s">
        <v>2113</v>
      </c>
      <c r="T672" s="6">
        <v>1</v>
      </c>
      <c r="U672" s="26">
        <v>500000</v>
      </c>
      <c r="V672" s="26">
        <v>500000</v>
      </c>
      <c r="W672" s="26">
        <v>500000</v>
      </c>
      <c r="X672" s="6" t="s">
        <v>2003</v>
      </c>
      <c r="Y672" s="6" t="s">
        <v>49</v>
      </c>
      <c r="Z672" s="6">
        <v>225826</v>
      </c>
    </row>
    <row r="673" spans="1:26" x14ac:dyDescent="0.3">
      <c r="A673" s="28" t="s">
        <v>42</v>
      </c>
      <c r="B673" s="6" t="s">
        <v>2339</v>
      </c>
      <c r="C673" s="6" t="s">
        <v>1972</v>
      </c>
      <c r="D673" s="6" t="s">
        <v>2001</v>
      </c>
      <c r="E673" s="6">
        <v>1</v>
      </c>
      <c r="F673" s="6" t="s">
        <v>2004</v>
      </c>
      <c r="G673" s="32" t="s">
        <v>2299</v>
      </c>
      <c r="H673" s="32" t="s">
        <v>2300</v>
      </c>
      <c r="I673" s="6" t="str">
        <f t="shared" si="23"/>
        <v>Stone Grapple</v>
      </c>
      <c r="J673" s="6" t="s">
        <v>472</v>
      </c>
      <c r="K673" s="6">
        <v>1</v>
      </c>
      <c r="L673" s="6">
        <f t="shared" si="24"/>
        <v>12230000</v>
      </c>
      <c r="M673" s="6">
        <v>10400000</v>
      </c>
      <c r="N673" s="6" t="s">
        <v>2003</v>
      </c>
      <c r="O673" s="6" t="s">
        <v>1051</v>
      </c>
      <c r="P673" s="6">
        <v>2010</v>
      </c>
      <c r="Q673" s="6">
        <v>1</v>
      </c>
      <c r="R673" s="6" t="s">
        <v>45</v>
      </c>
      <c r="S673" s="32" t="s">
        <v>2119</v>
      </c>
      <c r="T673" s="6">
        <v>1</v>
      </c>
      <c r="U673" s="26">
        <v>9900000</v>
      </c>
      <c r="V673" s="26">
        <v>9900000</v>
      </c>
      <c r="W673" s="26">
        <v>9900000</v>
      </c>
      <c r="X673" s="6" t="s">
        <v>2003</v>
      </c>
      <c r="Y673" s="6" t="s">
        <v>1277</v>
      </c>
      <c r="Z673" s="6">
        <v>225827</v>
      </c>
    </row>
    <row r="674" spans="1:26" x14ac:dyDescent="0.3">
      <c r="A674" s="28" t="s">
        <v>42</v>
      </c>
      <c r="B674" s="6" t="s">
        <v>2339</v>
      </c>
      <c r="C674" s="6" t="s">
        <v>1984</v>
      </c>
      <c r="D674" s="6" t="s">
        <v>2289</v>
      </c>
      <c r="E674" s="6">
        <v>1</v>
      </c>
      <c r="F674" s="6" t="s">
        <v>2004</v>
      </c>
      <c r="G674" s="32" t="s">
        <v>2299</v>
      </c>
      <c r="H674" s="32" t="s">
        <v>2300</v>
      </c>
      <c r="I674" s="6" t="str">
        <f t="shared" si="23"/>
        <v>Scrap Grapple</v>
      </c>
      <c r="J674" s="6" t="s">
        <v>301</v>
      </c>
      <c r="K674" s="6">
        <v>1</v>
      </c>
      <c r="L674" s="6">
        <f t="shared" si="24"/>
        <v>4350000</v>
      </c>
      <c r="M674" s="6">
        <v>3700000</v>
      </c>
      <c r="N674" s="6" t="s">
        <v>2003</v>
      </c>
      <c r="O674" s="6" t="s">
        <v>813</v>
      </c>
      <c r="P674" s="6">
        <v>2013</v>
      </c>
      <c r="Q674" s="6">
        <v>1</v>
      </c>
      <c r="R674" s="6" t="s">
        <v>45</v>
      </c>
      <c r="S674" s="32" t="s">
        <v>2113</v>
      </c>
      <c r="T674" s="6">
        <v>1</v>
      </c>
      <c r="U674" s="26">
        <v>3500000</v>
      </c>
      <c r="V674" s="26">
        <v>3500000</v>
      </c>
      <c r="W674" s="26">
        <v>3500000</v>
      </c>
      <c r="X674" s="6" t="s">
        <v>2003</v>
      </c>
      <c r="Y674" s="6" t="s">
        <v>49</v>
      </c>
      <c r="Z674" s="6">
        <v>225829</v>
      </c>
    </row>
    <row r="675" spans="1:26" x14ac:dyDescent="0.3">
      <c r="A675" s="28" t="s">
        <v>42</v>
      </c>
      <c r="B675" s="6" t="s">
        <v>2338</v>
      </c>
      <c r="C675" s="6" t="s">
        <v>1975</v>
      </c>
      <c r="D675" s="6" t="s">
        <v>2293</v>
      </c>
      <c r="E675" s="6">
        <v>1</v>
      </c>
      <c r="F675" s="6" t="s">
        <v>2004</v>
      </c>
      <c r="G675" s="32" t="s">
        <v>2299</v>
      </c>
      <c r="H675" s="32" t="s">
        <v>2300</v>
      </c>
      <c r="I675" s="6" t="str">
        <f t="shared" si="23"/>
        <v>Side Breaker</v>
      </c>
      <c r="J675" s="6" t="s">
        <v>682</v>
      </c>
      <c r="K675" s="6">
        <v>1</v>
      </c>
      <c r="L675" s="6">
        <f t="shared" si="24"/>
        <v>1700000</v>
      </c>
      <c r="M675" s="6">
        <v>1450000</v>
      </c>
      <c r="N675" s="6" t="s">
        <v>2003</v>
      </c>
      <c r="O675" s="6" t="s">
        <v>2007</v>
      </c>
      <c r="P675" s="6">
        <v>2014</v>
      </c>
      <c r="Q675" s="6">
        <v>1</v>
      </c>
      <c r="R675" s="6" t="s">
        <v>45</v>
      </c>
      <c r="S675" s="32" t="s">
        <v>2113</v>
      </c>
      <c r="T675" s="6">
        <v>1</v>
      </c>
      <c r="U675" s="26">
        <v>1350000</v>
      </c>
      <c r="V675" s="26">
        <v>1350000</v>
      </c>
      <c r="W675" s="26">
        <v>1350000</v>
      </c>
      <c r="X675" s="6" t="s">
        <v>2003</v>
      </c>
      <c r="Y675" s="6" t="s">
        <v>49</v>
      </c>
      <c r="Z675" s="6">
        <v>225832</v>
      </c>
    </row>
    <row r="676" spans="1:26" x14ac:dyDescent="0.3">
      <c r="A676" s="28" t="s">
        <v>42</v>
      </c>
      <c r="B676" s="6" t="s">
        <v>2341</v>
      </c>
      <c r="C676" s="19" t="s">
        <v>2321</v>
      </c>
      <c r="D676" s="6" t="s">
        <v>2001</v>
      </c>
      <c r="E676" s="6">
        <v>1</v>
      </c>
      <c r="F676" s="6" t="s">
        <v>2004</v>
      </c>
      <c r="G676" s="32" t="s">
        <v>2299</v>
      </c>
      <c r="H676" s="32" t="s">
        <v>2300</v>
      </c>
      <c r="I676" s="6" t="str">
        <f t="shared" si="23"/>
        <v>Etc Crusher</v>
      </c>
      <c r="J676" s="6" t="s">
        <v>525</v>
      </c>
      <c r="K676" s="6">
        <v>1</v>
      </c>
      <c r="L676" s="6">
        <f t="shared" si="24"/>
        <v>20000000</v>
      </c>
      <c r="M676" s="6">
        <v>17000000</v>
      </c>
      <c r="N676" s="6" t="s">
        <v>2003</v>
      </c>
      <c r="O676" s="6" t="s">
        <v>813</v>
      </c>
      <c r="P676" s="6">
        <v>2014</v>
      </c>
      <c r="Q676" s="6">
        <v>1</v>
      </c>
      <c r="R676" s="6" t="s">
        <v>45</v>
      </c>
      <c r="S676" s="32" t="s">
        <v>2113</v>
      </c>
      <c r="T676" s="6">
        <v>1</v>
      </c>
      <c r="U676" s="26">
        <v>16500000</v>
      </c>
      <c r="V676" s="26">
        <v>16500000</v>
      </c>
      <c r="W676" s="26">
        <v>16500000</v>
      </c>
      <c r="X676" s="6" t="s">
        <v>2003</v>
      </c>
      <c r="Y676" s="6" t="s">
        <v>80</v>
      </c>
      <c r="Z676" s="6">
        <v>225848</v>
      </c>
    </row>
    <row r="677" spans="1:26" x14ac:dyDescent="0.3">
      <c r="A677" s="28" t="s">
        <v>42</v>
      </c>
      <c r="B677" s="6" t="s">
        <v>2340</v>
      </c>
      <c r="C677" s="6"/>
      <c r="D677" s="6" t="s">
        <v>2001</v>
      </c>
      <c r="E677" s="6">
        <v>1</v>
      </c>
      <c r="F677" s="6" t="s">
        <v>2004</v>
      </c>
      <c r="G677" s="32" t="s">
        <v>2299</v>
      </c>
      <c r="H677" s="32" t="s">
        <v>2300</v>
      </c>
      <c r="I677" s="6" t="str">
        <f t="shared" si="23"/>
        <v>ETC</v>
      </c>
      <c r="J677" s="6" t="s">
        <v>400</v>
      </c>
      <c r="K677" s="6">
        <v>1</v>
      </c>
      <c r="L677" s="6">
        <f t="shared" si="24"/>
        <v>12940000</v>
      </c>
      <c r="M677" s="6">
        <v>11000000</v>
      </c>
      <c r="N677" s="6" t="s">
        <v>2003</v>
      </c>
      <c r="O677" s="6" t="s">
        <v>813</v>
      </c>
      <c r="P677" s="6">
        <v>2014</v>
      </c>
      <c r="Q677" s="6">
        <v>1</v>
      </c>
      <c r="R677" s="6" t="s">
        <v>45</v>
      </c>
      <c r="S677" s="32" t="s">
        <v>2113</v>
      </c>
      <c r="T677" s="6">
        <v>1</v>
      </c>
      <c r="U677" s="26">
        <v>10500000</v>
      </c>
      <c r="V677" s="26">
        <v>10500000</v>
      </c>
      <c r="W677" s="26">
        <v>10500000</v>
      </c>
      <c r="X677" s="6" t="s">
        <v>2003</v>
      </c>
      <c r="Y677" s="6" t="s">
        <v>79</v>
      </c>
      <c r="Z677" s="6">
        <v>225852</v>
      </c>
    </row>
    <row r="678" spans="1:26" x14ac:dyDescent="0.3">
      <c r="A678" s="28" t="s">
        <v>42</v>
      </c>
      <c r="B678" s="6" t="s">
        <v>2338</v>
      </c>
      <c r="C678" s="6" t="s">
        <v>1975</v>
      </c>
      <c r="D678" s="6" t="s">
        <v>2292</v>
      </c>
      <c r="E678" s="6">
        <v>1</v>
      </c>
      <c r="F678" s="6" t="s">
        <v>2004</v>
      </c>
      <c r="G678" s="32" t="s">
        <v>2299</v>
      </c>
      <c r="H678" s="32" t="s">
        <v>2300</v>
      </c>
      <c r="I678" s="6" t="str">
        <f t="shared" si="23"/>
        <v>Side Breaker</v>
      </c>
      <c r="J678" s="6" t="s">
        <v>119</v>
      </c>
      <c r="K678" s="6">
        <v>1</v>
      </c>
      <c r="L678" s="6">
        <f t="shared" si="24"/>
        <v>3880000</v>
      </c>
      <c r="M678" s="6">
        <v>3300000</v>
      </c>
      <c r="N678" s="6" t="s">
        <v>2003</v>
      </c>
      <c r="O678" s="6" t="s">
        <v>1055</v>
      </c>
      <c r="P678" s="6">
        <v>2012</v>
      </c>
      <c r="Q678" s="6">
        <v>1</v>
      </c>
      <c r="R678" s="6" t="s">
        <v>45</v>
      </c>
      <c r="S678" s="32" t="s">
        <v>2119</v>
      </c>
      <c r="T678" s="6">
        <v>1</v>
      </c>
      <c r="U678" s="26">
        <v>3100000</v>
      </c>
      <c r="V678" s="26">
        <v>3100000</v>
      </c>
      <c r="W678" s="26">
        <v>3100000</v>
      </c>
      <c r="X678" s="6" t="s">
        <v>2003</v>
      </c>
      <c r="Y678" s="6" t="s">
        <v>1277</v>
      </c>
      <c r="Z678" s="6">
        <v>225871</v>
      </c>
    </row>
    <row r="679" spans="1:26" x14ac:dyDescent="0.3">
      <c r="A679" s="28" t="s">
        <v>42</v>
      </c>
      <c r="B679" s="6" t="s">
        <v>2344</v>
      </c>
      <c r="C679" s="6" t="s">
        <v>1982</v>
      </c>
      <c r="D679" s="6" t="s">
        <v>2290</v>
      </c>
      <c r="E679" s="6">
        <v>1</v>
      </c>
      <c r="F679" s="6" t="s">
        <v>2004</v>
      </c>
      <c r="G679" s="32" t="s">
        <v>2299</v>
      </c>
      <c r="H679" s="32" t="s">
        <v>2300</v>
      </c>
      <c r="I679" s="6" t="str">
        <f t="shared" si="23"/>
        <v>Standard Bucket</v>
      </c>
      <c r="J679" s="6" t="s">
        <v>554</v>
      </c>
      <c r="K679" s="6">
        <v>1</v>
      </c>
      <c r="L679" s="6">
        <f t="shared" si="24"/>
        <v>3760000</v>
      </c>
      <c r="M679" s="6">
        <v>3200000</v>
      </c>
      <c r="N679" s="6" t="s">
        <v>2003</v>
      </c>
      <c r="O679" s="6" t="s">
        <v>2073</v>
      </c>
      <c r="P679" s="6">
        <v>2012</v>
      </c>
      <c r="Q679" s="6">
        <v>6</v>
      </c>
      <c r="R679" s="6" t="s">
        <v>45</v>
      </c>
      <c r="S679" s="32" t="s">
        <v>2123</v>
      </c>
      <c r="T679" s="6">
        <v>1</v>
      </c>
      <c r="U679" s="26">
        <v>3000000</v>
      </c>
      <c r="V679" s="26">
        <v>3000000</v>
      </c>
      <c r="W679" s="26">
        <v>3000000</v>
      </c>
      <c r="X679" s="6" t="s">
        <v>2003</v>
      </c>
      <c r="Y679" s="6" t="s">
        <v>1151</v>
      </c>
      <c r="Z679" s="6">
        <v>225872</v>
      </c>
    </row>
    <row r="680" spans="1:26" x14ac:dyDescent="0.3">
      <c r="A680" s="28" t="s">
        <v>42</v>
      </c>
      <c r="B680" s="6" t="s">
        <v>2339</v>
      </c>
      <c r="C680" s="6" t="s">
        <v>1979</v>
      </c>
      <c r="D680" s="6" t="s">
        <v>2292</v>
      </c>
      <c r="E680" s="6">
        <v>1</v>
      </c>
      <c r="F680" s="6" t="s">
        <v>2004</v>
      </c>
      <c r="G680" s="32" t="s">
        <v>2299</v>
      </c>
      <c r="H680" s="32" t="s">
        <v>2300</v>
      </c>
      <c r="I680" s="6" t="str">
        <f t="shared" si="23"/>
        <v>Thumb Grapple</v>
      </c>
      <c r="J680" s="6" t="s">
        <v>117</v>
      </c>
      <c r="K680" s="6">
        <v>1</v>
      </c>
      <c r="L680" s="6">
        <f t="shared" si="24"/>
        <v>940000</v>
      </c>
      <c r="M680" s="6">
        <v>800000</v>
      </c>
      <c r="N680" s="6" t="s">
        <v>2003</v>
      </c>
      <c r="O680" s="6" t="s">
        <v>813</v>
      </c>
      <c r="P680" s="6">
        <v>2013</v>
      </c>
      <c r="Q680" s="6">
        <v>1</v>
      </c>
      <c r="R680" s="6" t="s">
        <v>45</v>
      </c>
      <c r="S680" s="32" t="s">
        <v>2113</v>
      </c>
      <c r="T680" s="6">
        <v>1</v>
      </c>
      <c r="U680" s="26">
        <v>700000</v>
      </c>
      <c r="V680" s="26">
        <v>700000</v>
      </c>
      <c r="W680" s="26">
        <v>700000</v>
      </c>
      <c r="X680" s="6" t="s">
        <v>2003</v>
      </c>
      <c r="Y680" s="6" t="s">
        <v>80</v>
      </c>
      <c r="Z680" s="6">
        <v>225879</v>
      </c>
    </row>
    <row r="681" spans="1:26" x14ac:dyDescent="0.3">
      <c r="A681" s="28" t="s">
        <v>42</v>
      </c>
      <c r="B681" s="6" t="s">
        <v>2338</v>
      </c>
      <c r="C681" s="6" t="s">
        <v>1975</v>
      </c>
      <c r="D681" s="6" t="s">
        <v>2291</v>
      </c>
      <c r="E681" s="6">
        <v>1</v>
      </c>
      <c r="F681" s="6" t="s">
        <v>2004</v>
      </c>
      <c r="G681" s="32" t="s">
        <v>2299</v>
      </c>
      <c r="H681" s="32" t="s">
        <v>2300</v>
      </c>
      <c r="I681" s="6" t="str">
        <f t="shared" si="23"/>
        <v>Side Breaker</v>
      </c>
      <c r="J681" s="6" t="s">
        <v>160</v>
      </c>
      <c r="K681" s="6">
        <v>1</v>
      </c>
      <c r="L681" s="6">
        <f t="shared" si="24"/>
        <v>1880000</v>
      </c>
      <c r="M681" s="6">
        <v>1600000</v>
      </c>
      <c r="N681" s="6" t="s">
        <v>2003</v>
      </c>
      <c r="O681" s="6" t="s">
        <v>1877</v>
      </c>
      <c r="P681" s="6">
        <v>2010</v>
      </c>
      <c r="Q681" s="6">
        <v>1</v>
      </c>
      <c r="R681" s="6" t="s">
        <v>45</v>
      </c>
      <c r="S681" s="32" t="s">
        <v>2114</v>
      </c>
      <c r="T681" s="6">
        <v>1</v>
      </c>
      <c r="U681" s="26">
        <v>1500000</v>
      </c>
      <c r="V681" s="26">
        <v>1500000</v>
      </c>
      <c r="W681" s="26">
        <v>1500000</v>
      </c>
      <c r="X681" s="6" t="s">
        <v>2003</v>
      </c>
      <c r="Y681" s="6" t="s">
        <v>830</v>
      </c>
      <c r="Z681" s="6">
        <v>225886</v>
      </c>
    </row>
    <row r="682" spans="1:26" x14ac:dyDescent="0.3">
      <c r="A682" s="28" t="s">
        <v>42</v>
      </c>
      <c r="B682" s="6" t="s">
        <v>2346</v>
      </c>
      <c r="C682" s="6"/>
      <c r="D682" s="6" t="s">
        <v>2291</v>
      </c>
      <c r="E682" s="6">
        <v>1</v>
      </c>
      <c r="F682" s="6" t="s">
        <v>2004</v>
      </c>
      <c r="G682" s="32" t="s">
        <v>2299</v>
      </c>
      <c r="H682" s="32" t="s">
        <v>2300</v>
      </c>
      <c r="I682" s="6" t="str">
        <f t="shared" si="23"/>
        <v>Ripper</v>
      </c>
      <c r="J682" s="6" t="s">
        <v>371</v>
      </c>
      <c r="K682" s="6">
        <v>1</v>
      </c>
      <c r="L682" s="6">
        <f t="shared" si="24"/>
        <v>580000</v>
      </c>
      <c r="M682" s="6">
        <v>500000</v>
      </c>
      <c r="N682" s="6" t="s">
        <v>2003</v>
      </c>
      <c r="O682" s="6" t="s">
        <v>2007</v>
      </c>
      <c r="P682" s="6">
        <v>2017</v>
      </c>
      <c r="Q682" s="6">
        <v>1</v>
      </c>
      <c r="R682" s="6" t="s">
        <v>45</v>
      </c>
      <c r="S682" s="32" t="s">
        <v>2113</v>
      </c>
      <c r="T682" s="6">
        <v>1</v>
      </c>
      <c r="U682" s="26">
        <v>450000</v>
      </c>
      <c r="V682" s="26">
        <v>450000</v>
      </c>
      <c r="W682" s="26">
        <v>450000</v>
      </c>
      <c r="X682" s="6" t="s">
        <v>2003</v>
      </c>
      <c r="Y682" s="6" t="s">
        <v>49</v>
      </c>
      <c r="Z682" s="6">
        <v>225899</v>
      </c>
    </row>
    <row r="683" spans="1:26" x14ac:dyDescent="0.3">
      <c r="A683" s="28" t="s">
        <v>42</v>
      </c>
      <c r="B683" s="6" t="s">
        <v>2344</v>
      </c>
      <c r="C683" s="6" t="s">
        <v>1982</v>
      </c>
      <c r="D683" s="6" t="s">
        <v>2289</v>
      </c>
      <c r="E683" s="6">
        <v>1</v>
      </c>
      <c r="F683" s="6" t="s">
        <v>2004</v>
      </c>
      <c r="G683" s="32" t="s">
        <v>2299</v>
      </c>
      <c r="H683" s="32" t="s">
        <v>2300</v>
      </c>
      <c r="I683" s="6" t="str">
        <f t="shared" si="23"/>
        <v>Standard Bucket</v>
      </c>
      <c r="J683" s="6" t="s">
        <v>316</v>
      </c>
      <c r="K683" s="6">
        <v>1</v>
      </c>
      <c r="L683" s="6">
        <f t="shared" si="24"/>
        <v>5520000</v>
      </c>
      <c r="M683" s="6">
        <v>4700000</v>
      </c>
      <c r="N683" s="6" t="s">
        <v>2003</v>
      </c>
      <c r="O683" s="6" t="s">
        <v>54</v>
      </c>
      <c r="P683" s="6">
        <v>2010</v>
      </c>
      <c r="Q683" s="6">
        <v>1</v>
      </c>
      <c r="R683" s="6" t="s">
        <v>45</v>
      </c>
      <c r="S683" s="32" t="s">
        <v>2114</v>
      </c>
      <c r="T683" s="6">
        <v>1</v>
      </c>
      <c r="U683" s="26">
        <v>4500000</v>
      </c>
      <c r="V683" s="26">
        <v>4500000</v>
      </c>
      <c r="W683" s="26">
        <v>4500000</v>
      </c>
      <c r="X683" s="6" t="s">
        <v>2003</v>
      </c>
      <c r="Y683" s="6" t="s">
        <v>54</v>
      </c>
      <c r="Z683" s="6">
        <v>225908</v>
      </c>
    </row>
    <row r="684" spans="1:26" x14ac:dyDescent="0.3">
      <c r="A684" s="28" t="s">
        <v>42</v>
      </c>
      <c r="B684" s="6" t="s">
        <v>2344</v>
      </c>
      <c r="C684" s="6" t="s">
        <v>1976</v>
      </c>
      <c r="D684" s="6" t="s">
        <v>2292</v>
      </c>
      <c r="E684" s="6">
        <v>1</v>
      </c>
      <c r="F684" s="6" t="s">
        <v>2004</v>
      </c>
      <c r="G684" s="32" t="s">
        <v>2299</v>
      </c>
      <c r="H684" s="32" t="s">
        <v>2300</v>
      </c>
      <c r="I684" s="6" t="str">
        <f t="shared" si="23"/>
        <v>Skeleton Bucket</v>
      </c>
      <c r="J684" s="6" t="s">
        <v>559</v>
      </c>
      <c r="K684" s="6">
        <v>1</v>
      </c>
      <c r="L684" s="6">
        <f t="shared" si="24"/>
        <v>1050000</v>
      </c>
      <c r="M684" s="6">
        <v>900000</v>
      </c>
      <c r="N684" s="6" t="s">
        <v>2003</v>
      </c>
      <c r="O684" s="6" t="s">
        <v>2007</v>
      </c>
      <c r="P684" s="6">
        <v>2013</v>
      </c>
      <c r="Q684" s="6">
        <v>1</v>
      </c>
      <c r="R684" s="6" t="s">
        <v>45</v>
      </c>
      <c r="S684" s="32" t="s">
        <v>2113</v>
      </c>
      <c r="T684" s="6">
        <v>1</v>
      </c>
      <c r="U684" s="26">
        <v>800000</v>
      </c>
      <c r="V684" s="26">
        <v>800000</v>
      </c>
      <c r="W684" s="26">
        <v>800000</v>
      </c>
      <c r="X684" s="6" t="s">
        <v>2003</v>
      </c>
      <c r="Y684" s="6" t="s">
        <v>49</v>
      </c>
      <c r="Z684" s="6">
        <v>225912</v>
      </c>
    </row>
    <row r="685" spans="1:26" x14ac:dyDescent="0.3">
      <c r="A685" s="28" t="s">
        <v>42</v>
      </c>
      <c r="B685" s="6" t="s">
        <v>2339</v>
      </c>
      <c r="C685" s="6" t="s">
        <v>1972</v>
      </c>
      <c r="D685" s="6" t="s">
        <v>2292</v>
      </c>
      <c r="E685" s="6">
        <v>1</v>
      </c>
      <c r="F685" s="6" t="s">
        <v>2004</v>
      </c>
      <c r="G685" s="32" t="s">
        <v>2299</v>
      </c>
      <c r="H685" s="32" t="s">
        <v>2300</v>
      </c>
      <c r="I685" s="6" t="str">
        <f t="shared" si="23"/>
        <v>Stone Grapple</v>
      </c>
      <c r="J685" s="6" t="s">
        <v>166</v>
      </c>
      <c r="K685" s="6">
        <v>1</v>
      </c>
      <c r="L685" s="6">
        <f t="shared" si="24"/>
        <v>3050000</v>
      </c>
      <c r="M685" s="6">
        <v>2600000</v>
      </c>
      <c r="N685" s="6" t="s">
        <v>2003</v>
      </c>
      <c r="O685" s="6" t="s">
        <v>2007</v>
      </c>
      <c r="P685" s="6">
        <v>2014</v>
      </c>
      <c r="Q685" s="6">
        <v>1</v>
      </c>
      <c r="R685" s="6" t="s">
        <v>45</v>
      </c>
      <c r="S685" s="32" t="s">
        <v>2113</v>
      </c>
      <c r="T685" s="6">
        <v>1</v>
      </c>
      <c r="U685" s="26">
        <v>2400000</v>
      </c>
      <c r="V685" s="26">
        <v>2400000</v>
      </c>
      <c r="W685" s="26">
        <v>2400000</v>
      </c>
      <c r="X685" s="6" t="s">
        <v>2003</v>
      </c>
      <c r="Y685" s="6" t="s">
        <v>49</v>
      </c>
      <c r="Z685" s="6">
        <v>225914</v>
      </c>
    </row>
    <row r="686" spans="1:26" x14ac:dyDescent="0.3">
      <c r="A686" s="28" t="s">
        <v>42</v>
      </c>
      <c r="B686" s="6" t="s">
        <v>2346</v>
      </c>
      <c r="C686" s="6"/>
      <c r="D686" s="6" t="s">
        <v>2290</v>
      </c>
      <c r="E686" s="6">
        <v>1</v>
      </c>
      <c r="F686" s="6" t="s">
        <v>2004</v>
      </c>
      <c r="G686" s="32" t="s">
        <v>2299</v>
      </c>
      <c r="H686" s="32" t="s">
        <v>2300</v>
      </c>
      <c r="I686" s="6" t="str">
        <f t="shared" si="23"/>
        <v>Ripper</v>
      </c>
      <c r="J686" s="6" t="s">
        <v>346</v>
      </c>
      <c r="K686" s="6">
        <v>1</v>
      </c>
      <c r="L686" s="6">
        <f t="shared" si="24"/>
        <v>1760000</v>
      </c>
      <c r="M686" s="6">
        <v>1500000</v>
      </c>
      <c r="N686" s="6" t="s">
        <v>2003</v>
      </c>
      <c r="O686" s="6" t="s">
        <v>2008</v>
      </c>
      <c r="P686" s="6">
        <v>2017</v>
      </c>
      <c r="Q686" s="6">
        <v>1</v>
      </c>
      <c r="R686" s="6" t="s">
        <v>45</v>
      </c>
      <c r="S686" s="32" t="s">
        <v>2110</v>
      </c>
      <c r="T686" s="6">
        <v>1</v>
      </c>
      <c r="U686" s="26">
        <v>1400000</v>
      </c>
      <c r="V686" s="26">
        <v>1400000</v>
      </c>
      <c r="W686" s="26">
        <v>1400000</v>
      </c>
      <c r="X686" s="6" t="s">
        <v>2003</v>
      </c>
      <c r="Y686" s="6" t="s">
        <v>1155</v>
      </c>
      <c r="Z686" s="6">
        <v>225920</v>
      </c>
    </row>
    <row r="687" spans="1:26" x14ac:dyDescent="0.3">
      <c r="A687" s="28" t="s">
        <v>42</v>
      </c>
      <c r="B687" s="6" t="s">
        <v>2309</v>
      </c>
      <c r="C687" s="6" t="s">
        <v>1972</v>
      </c>
      <c r="D687" s="6" t="s">
        <v>2001</v>
      </c>
      <c r="E687" s="6">
        <v>1</v>
      </c>
      <c r="F687" s="6" t="s">
        <v>2004</v>
      </c>
      <c r="G687" s="32" t="s">
        <v>2299</v>
      </c>
      <c r="H687" s="32" t="s">
        <v>2300</v>
      </c>
      <c r="I687" s="6" t="str">
        <f t="shared" si="23"/>
        <v>Stone Grapple</v>
      </c>
      <c r="J687" s="6" t="s">
        <v>174</v>
      </c>
      <c r="K687" s="6">
        <v>1</v>
      </c>
      <c r="L687" s="6">
        <f t="shared" si="24"/>
        <v>8820000</v>
      </c>
      <c r="M687" s="6">
        <v>7500000</v>
      </c>
      <c r="N687" s="6" t="s">
        <v>2003</v>
      </c>
      <c r="O687" s="6" t="s">
        <v>2033</v>
      </c>
      <c r="P687" s="6">
        <v>2015</v>
      </c>
      <c r="Q687" s="6">
        <v>5</v>
      </c>
      <c r="R687" s="6" t="s">
        <v>45</v>
      </c>
      <c r="S687" s="32" t="s">
        <v>2123</v>
      </c>
      <c r="T687" s="6">
        <v>1</v>
      </c>
      <c r="U687" s="26">
        <v>7000000</v>
      </c>
      <c r="V687" s="26">
        <v>7000000</v>
      </c>
      <c r="W687" s="26">
        <v>7000000</v>
      </c>
      <c r="X687" s="6" t="s">
        <v>2003</v>
      </c>
      <c r="Y687" s="6" t="s">
        <v>1219</v>
      </c>
      <c r="Z687" s="6">
        <v>225924</v>
      </c>
    </row>
    <row r="688" spans="1:26" x14ac:dyDescent="0.3">
      <c r="A688" s="28" t="s">
        <v>42</v>
      </c>
      <c r="B688" s="6" t="s">
        <v>2308</v>
      </c>
      <c r="C688" s="6" t="s">
        <v>1975</v>
      </c>
      <c r="D688" s="6" t="s">
        <v>2292</v>
      </c>
      <c r="E688" s="6">
        <v>1</v>
      </c>
      <c r="F688" s="6" t="s">
        <v>2004</v>
      </c>
      <c r="G688" s="32" t="s">
        <v>2299</v>
      </c>
      <c r="H688" s="32" t="s">
        <v>2300</v>
      </c>
      <c r="I688" s="6" t="str">
        <f t="shared" si="23"/>
        <v>Side Breaker</v>
      </c>
      <c r="J688" s="6" t="s">
        <v>688</v>
      </c>
      <c r="K688" s="6">
        <v>1</v>
      </c>
      <c r="L688" s="6">
        <f t="shared" si="24"/>
        <v>5880000</v>
      </c>
      <c r="M688" s="6">
        <v>5000000</v>
      </c>
      <c r="N688" s="6" t="s">
        <v>2003</v>
      </c>
      <c r="O688" s="6" t="s">
        <v>2009</v>
      </c>
      <c r="P688" s="6">
        <v>2017</v>
      </c>
      <c r="Q688" s="6">
        <v>2</v>
      </c>
      <c r="R688" s="6" t="s">
        <v>45</v>
      </c>
      <c r="S688" s="32" t="s">
        <v>2110</v>
      </c>
      <c r="T688" s="6">
        <v>1</v>
      </c>
      <c r="U688" s="26">
        <v>4800000</v>
      </c>
      <c r="V688" s="26">
        <v>4800000</v>
      </c>
      <c r="W688" s="26">
        <v>4800000</v>
      </c>
      <c r="X688" s="6" t="s">
        <v>2003</v>
      </c>
      <c r="Y688" s="6" t="s">
        <v>1152</v>
      </c>
      <c r="Z688" s="6">
        <v>225927</v>
      </c>
    </row>
    <row r="689" spans="1:26" x14ac:dyDescent="0.3">
      <c r="A689" s="28" t="s">
        <v>42</v>
      </c>
      <c r="B689" s="6" t="s">
        <v>2309</v>
      </c>
      <c r="C689" s="6" t="s">
        <v>1972</v>
      </c>
      <c r="D689" s="6" t="s">
        <v>2292</v>
      </c>
      <c r="E689" s="6">
        <v>1</v>
      </c>
      <c r="F689" s="6" t="s">
        <v>2004</v>
      </c>
      <c r="G689" s="32" t="s">
        <v>2299</v>
      </c>
      <c r="H689" s="32" t="s">
        <v>2300</v>
      </c>
      <c r="I689" s="6" t="str">
        <f t="shared" si="23"/>
        <v>Stone Grapple</v>
      </c>
      <c r="J689" s="6" t="s">
        <v>317</v>
      </c>
      <c r="K689" s="6">
        <v>1</v>
      </c>
      <c r="L689" s="6">
        <f t="shared" si="24"/>
        <v>2230000</v>
      </c>
      <c r="M689" s="6">
        <v>1900000</v>
      </c>
      <c r="N689" s="6" t="s">
        <v>2003</v>
      </c>
      <c r="O689" s="6" t="s">
        <v>2074</v>
      </c>
      <c r="P689" s="6">
        <v>2012</v>
      </c>
      <c r="Q689" s="6">
        <v>1</v>
      </c>
      <c r="R689" s="6" t="s">
        <v>45</v>
      </c>
      <c r="S689" s="32" t="s">
        <v>2113</v>
      </c>
      <c r="T689" s="6">
        <v>1</v>
      </c>
      <c r="U689" s="26">
        <v>1800000</v>
      </c>
      <c r="V689" s="26">
        <v>1800000</v>
      </c>
      <c r="W689" s="26">
        <v>1800000</v>
      </c>
      <c r="X689" s="6" t="s">
        <v>2003</v>
      </c>
      <c r="Y689" s="6" t="s">
        <v>49</v>
      </c>
      <c r="Z689" s="6">
        <v>225928</v>
      </c>
    </row>
    <row r="690" spans="1:26" x14ac:dyDescent="0.3">
      <c r="A690" s="28" t="s">
        <v>42</v>
      </c>
      <c r="B690" s="6" t="s">
        <v>2309</v>
      </c>
      <c r="C690" s="6" t="s">
        <v>1979</v>
      </c>
      <c r="D690" s="6" t="s">
        <v>2291</v>
      </c>
      <c r="E690" s="6">
        <v>1</v>
      </c>
      <c r="F690" s="6" t="s">
        <v>2004</v>
      </c>
      <c r="G690" s="32" t="s">
        <v>2299</v>
      </c>
      <c r="H690" s="32" t="s">
        <v>2300</v>
      </c>
      <c r="I690" s="6" t="str">
        <f t="shared" si="23"/>
        <v>Thumb Grapple</v>
      </c>
      <c r="J690" s="6" t="s">
        <v>689</v>
      </c>
      <c r="K690" s="6">
        <v>1</v>
      </c>
      <c r="L690" s="6">
        <f t="shared" si="24"/>
        <v>2110000</v>
      </c>
      <c r="M690" s="6">
        <v>1800000</v>
      </c>
      <c r="N690" s="6" t="s">
        <v>2003</v>
      </c>
      <c r="O690" s="6" t="s">
        <v>846</v>
      </c>
      <c r="P690" s="6">
        <v>2017</v>
      </c>
      <c r="Q690" s="6">
        <v>1</v>
      </c>
      <c r="R690" s="6" t="s">
        <v>45</v>
      </c>
      <c r="S690" s="32" t="s">
        <v>2116</v>
      </c>
      <c r="T690" s="6">
        <v>1</v>
      </c>
      <c r="U690" s="26">
        <v>1700000</v>
      </c>
      <c r="V690" s="26">
        <v>1700000</v>
      </c>
      <c r="W690" s="26">
        <v>1700000</v>
      </c>
      <c r="X690" s="6" t="s">
        <v>2003</v>
      </c>
      <c r="Y690" s="6" t="s">
        <v>49</v>
      </c>
      <c r="Z690" s="6">
        <v>225929</v>
      </c>
    </row>
    <row r="691" spans="1:26" x14ac:dyDescent="0.3">
      <c r="A691" s="28" t="s">
        <v>42</v>
      </c>
      <c r="B691" s="6" t="s">
        <v>2308</v>
      </c>
      <c r="C691" s="6" t="s">
        <v>1975</v>
      </c>
      <c r="D691" s="6" t="s">
        <v>2291</v>
      </c>
      <c r="E691" s="6">
        <v>1</v>
      </c>
      <c r="F691" s="6" t="s">
        <v>2004</v>
      </c>
      <c r="G691" s="32" t="s">
        <v>2299</v>
      </c>
      <c r="H691" s="32" t="s">
        <v>2300</v>
      </c>
      <c r="I691" s="6" t="str">
        <f t="shared" si="23"/>
        <v>Side Breaker</v>
      </c>
      <c r="J691" s="6" t="s">
        <v>690</v>
      </c>
      <c r="K691" s="6">
        <v>1</v>
      </c>
      <c r="L691" s="6">
        <f t="shared" si="24"/>
        <v>1880000</v>
      </c>
      <c r="M691" s="6">
        <v>1600000</v>
      </c>
      <c r="N691" s="6" t="s">
        <v>2003</v>
      </c>
      <c r="O691" s="6" t="s">
        <v>54</v>
      </c>
      <c r="P691" s="6">
        <v>2011</v>
      </c>
      <c r="Q691" s="6">
        <v>1</v>
      </c>
      <c r="R691" s="6" t="s">
        <v>45</v>
      </c>
      <c r="S691" s="32" t="s">
        <v>2114</v>
      </c>
      <c r="T691" s="6">
        <v>1</v>
      </c>
      <c r="U691" s="26">
        <v>1500000</v>
      </c>
      <c r="V691" s="26">
        <v>1500000</v>
      </c>
      <c r="W691" s="26">
        <v>1500000</v>
      </c>
      <c r="X691" s="6" t="s">
        <v>2003</v>
      </c>
      <c r="Y691" s="6" t="s">
        <v>54</v>
      </c>
      <c r="Z691" s="6">
        <v>225937</v>
      </c>
    </row>
    <row r="692" spans="1:26" x14ac:dyDescent="0.3">
      <c r="A692" s="28" t="s">
        <v>42</v>
      </c>
      <c r="B692" s="6" t="s">
        <v>2312</v>
      </c>
      <c r="C692" s="6"/>
      <c r="D692" s="6" t="s">
        <v>2291</v>
      </c>
      <c r="E692" s="6">
        <v>1</v>
      </c>
      <c r="F692" s="6" t="s">
        <v>2004</v>
      </c>
      <c r="G692" s="32" t="s">
        <v>2299</v>
      </c>
      <c r="H692" s="32" t="s">
        <v>2300</v>
      </c>
      <c r="I692" s="6" t="str">
        <f t="shared" si="23"/>
        <v>Lift Fork</v>
      </c>
      <c r="J692" s="6" t="s">
        <v>391</v>
      </c>
      <c r="K692" s="6">
        <v>1</v>
      </c>
      <c r="L692" s="6">
        <f t="shared" si="24"/>
        <v>1050000</v>
      </c>
      <c r="M692" s="6">
        <v>900000</v>
      </c>
      <c r="N692" s="6" t="s">
        <v>2003</v>
      </c>
      <c r="O692" s="6" t="s">
        <v>2029</v>
      </c>
      <c r="P692" s="6">
        <v>2016</v>
      </c>
      <c r="Q692" s="6">
        <v>12</v>
      </c>
      <c r="R692" s="6" t="s">
        <v>45</v>
      </c>
      <c r="S692" s="32" t="s">
        <v>2123</v>
      </c>
      <c r="T692" s="6">
        <v>1</v>
      </c>
      <c r="U692" s="26">
        <v>800000</v>
      </c>
      <c r="V692" s="26">
        <v>800000</v>
      </c>
      <c r="W692" s="26">
        <v>800000</v>
      </c>
      <c r="X692" s="6" t="s">
        <v>2003</v>
      </c>
      <c r="Y692" s="6" t="s">
        <v>1143</v>
      </c>
      <c r="Z692" s="6">
        <v>225957</v>
      </c>
    </row>
    <row r="693" spans="1:26" x14ac:dyDescent="0.3">
      <c r="A693" s="28" t="s">
        <v>42</v>
      </c>
      <c r="B693" s="6" t="s">
        <v>2313</v>
      </c>
      <c r="C693" s="6" t="s">
        <v>1971</v>
      </c>
      <c r="D693" s="6" t="s">
        <v>2289</v>
      </c>
      <c r="E693" s="6">
        <v>1</v>
      </c>
      <c r="F693" s="6" t="s">
        <v>2004</v>
      </c>
      <c r="G693" s="32" t="s">
        <v>2299</v>
      </c>
      <c r="H693" s="32" t="s">
        <v>2300</v>
      </c>
      <c r="I693" s="6" t="str">
        <f t="shared" si="23"/>
        <v>Special Bucket</v>
      </c>
      <c r="J693" s="6" t="s">
        <v>674</v>
      </c>
      <c r="K693" s="6">
        <v>1</v>
      </c>
      <c r="L693" s="6">
        <f t="shared" si="24"/>
        <v>5520000</v>
      </c>
      <c r="M693" s="6">
        <v>4700000</v>
      </c>
      <c r="N693" s="6" t="s">
        <v>2003</v>
      </c>
      <c r="O693" s="6" t="s">
        <v>800</v>
      </c>
      <c r="P693" s="6">
        <v>2014</v>
      </c>
      <c r="Q693" s="6">
        <v>1</v>
      </c>
      <c r="R693" s="6" t="s">
        <v>45</v>
      </c>
      <c r="S693" s="32" t="s">
        <v>2121</v>
      </c>
      <c r="T693" s="6">
        <v>1</v>
      </c>
      <c r="U693" s="26">
        <v>4500000</v>
      </c>
      <c r="V693" s="26">
        <v>4500000</v>
      </c>
      <c r="W693" s="26">
        <v>4500000</v>
      </c>
      <c r="X693" s="6" t="s">
        <v>2003</v>
      </c>
      <c r="Y693" s="6" t="s">
        <v>1215</v>
      </c>
      <c r="Z693" s="6">
        <v>225959</v>
      </c>
    </row>
    <row r="694" spans="1:26" x14ac:dyDescent="0.3">
      <c r="A694" s="28" t="s">
        <v>42</v>
      </c>
      <c r="B694" s="6" t="s">
        <v>2309</v>
      </c>
      <c r="C694" s="6" t="s">
        <v>1972</v>
      </c>
      <c r="D694" s="6" t="s">
        <v>2292</v>
      </c>
      <c r="E694" s="6">
        <v>1</v>
      </c>
      <c r="F694" s="6" t="s">
        <v>2004</v>
      </c>
      <c r="G694" s="32" t="s">
        <v>2299</v>
      </c>
      <c r="H694" s="32" t="s">
        <v>2300</v>
      </c>
      <c r="I694" s="6" t="str">
        <f t="shared" si="23"/>
        <v>Stone Grapple</v>
      </c>
      <c r="J694" s="6" t="s">
        <v>120</v>
      </c>
      <c r="K694" s="6">
        <v>1</v>
      </c>
      <c r="L694" s="6">
        <f t="shared" si="24"/>
        <v>7050000</v>
      </c>
      <c r="M694" s="6">
        <v>6000000</v>
      </c>
      <c r="N694" s="6" t="s">
        <v>2003</v>
      </c>
      <c r="O694" s="6" t="s">
        <v>1061</v>
      </c>
      <c r="P694" s="6">
        <v>2014</v>
      </c>
      <c r="Q694" s="6">
        <v>1</v>
      </c>
      <c r="R694" s="6" t="s">
        <v>45</v>
      </c>
      <c r="S694" s="32" t="s">
        <v>2118</v>
      </c>
      <c r="T694" s="6">
        <v>1</v>
      </c>
      <c r="U694" s="26">
        <v>5500000</v>
      </c>
      <c r="V694" s="26">
        <v>5500000</v>
      </c>
      <c r="W694" s="26">
        <v>5500000</v>
      </c>
      <c r="X694" s="6" t="s">
        <v>2003</v>
      </c>
      <c r="Y694" s="6" t="s">
        <v>67</v>
      </c>
      <c r="Z694" s="6">
        <v>225966</v>
      </c>
    </row>
    <row r="695" spans="1:26" x14ac:dyDescent="0.3">
      <c r="A695" s="28" t="s">
        <v>42</v>
      </c>
      <c r="B695" s="6" t="s">
        <v>2313</v>
      </c>
      <c r="C695" s="6" t="s">
        <v>1980</v>
      </c>
      <c r="D695" s="6" t="s">
        <v>2292</v>
      </c>
      <c r="E695" s="6">
        <v>1</v>
      </c>
      <c r="F695" s="6" t="s">
        <v>2004</v>
      </c>
      <c r="G695" s="32" t="s">
        <v>2299</v>
      </c>
      <c r="H695" s="32" t="s">
        <v>2300</v>
      </c>
      <c r="I695" s="6" t="str">
        <f t="shared" si="23"/>
        <v>Small Bucket</v>
      </c>
      <c r="J695" s="6" t="s">
        <v>97</v>
      </c>
      <c r="K695" s="6">
        <v>1</v>
      </c>
      <c r="L695" s="6">
        <f t="shared" si="24"/>
        <v>1050000</v>
      </c>
      <c r="M695" s="6">
        <v>900000</v>
      </c>
      <c r="N695" s="6" t="s">
        <v>2003</v>
      </c>
      <c r="O695" s="6" t="s">
        <v>1062</v>
      </c>
      <c r="P695" s="6">
        <v>2015</v>
      </c>
      <c r="Q695" s="6">
        <v>1</v>
      </c>
      <c r="R695" s="6" t="s">
        <v>45</v>
      </c>
      <c r="S695" s="32" t="s">
        <v>2118</v>
      </c>
      <c r="T695" s="6">
        <v>1</v>
      </c>
      <c r="U695" s="26">
        <v>800000</v>
      </c>
      <c r="V695" s="26">
        <v>800000</v>
      </c>
      <c r="W695" s="26">
        <v>800000</v>
      </c>
      <c r="X695" s="6" t="s">
        <v>2003</v>
      </c>
      <c r="Y695" s="6" t="s">
        <v>67</v>
      </c>
      <c r="Z695" s="6">
        <v>225968</v>
      </c>
    </row>
    <row r="696" spans="1:26" x14ac:dyDescent="0.3">
      <c r="A696" s="28" t="s">
        <v>42</v>
      </c>
      <c r="B696" s="6" t="s">
        <v>2313</v>
      </c>
      <c r="C696" s="6" t="s">
        <v>1980</v>
      </c>
      <c r="D696" s="6" t="s">
        <v>2291</v>
      </c>
      <c r="E696" s="6">
        <v>1</v>
      </c>
      <c r="F696" s="6" t="s">
        <v>2004</v>
      </c>
      <c r="G696" s="32" t="s">
        <v>2299</v>
      </c>
      <c r="H696" s="32" t="s">
        <v>2300</v>
      </c>
      <c r="I696" s="6" t="str">
        <f t="shared" si="23"/>
        <v>Small Bucket</v>
      </c>
      <c r="J696" s="6" t="s">
        <v>113</v>
      </c>
      <c r="K696" s="6">
        <v>1</v>
      </c>
      <c r="L696" s="6">
        <f t="shared" si="24"/>
        <v>720000</v>
      </c>
      <c r="M696" s="6">
        <v>620000</v>
      </c>
      <c r="N696" s="6" t="s">
        <v>2003</v>
      </c>
      <c r="O696" s="6" t="s">
        <v>1879</v>
      </c>
      <c r="P696" s="6">
        <v>2015</v>
      </c>
      <c r="Q696" s="6">
        <v>1</v>
      </c>
      <c r="R696" s="6" t="s">
        <v>45</v>
      </c>
      <c r="S696" s="32" t="s">
        <v>2112</v>
      </c>
      <c r="T696" s="6">
        <v>1</v>
      </c>
      <c r="U696" s="26">
        <v>520000</v>
      </c>
      <c r="V696" s="26">
        <v>520000</v>
      </c>
      <c r="W696" s="26">
        <v>520000</v>
      </c>
      <c r="X696" s="6" t="s">
        <v>2003</v>
      </c>
      <c r="Y696" s="6" t="s">
        <v>1142</v>
      </c>
      <c r="Z696" s="6">
        <v>225973</v>
      </c>
    </row>
    <row r="697" spans="1:26" x14ac:dyDescent="0.3">
      <c r="A697" s="28" t="s">
        <v>42</v>
      </c>
      <c r="B697" s="6" t="s">
        <v>2309</v>
      </c>
      <c r="C697" s="6" t="s">
        <v>1974</v>
      </c>
      <c r="D697" s="6" t="s">
        <v>2292</v>
      </c>
      <c r="E697" s="6">
        <v>1</v>
      </c>
      <c r="F697" s="6" t="s">
        <v>2004</v>
      </c>
      <c r="G697" s="32" t="s">
        <v>2299</v>
      </c>
      <c r="H697" s="32" t="s">
        <v>2300</v>
      </c>
      <c r="I697" s="6" t="str">
        <f t="shared" si="23"/>
        <v>Etc Grapple</v>
      </c>
      <c r="J697" s="6" t="s">
        <v>125</v>
      </c>
      <c r="K697" s="6">
        <v>1</v>
      </c>
      <c r="L697" s="6">
        <f t="shared" si="24"/>
        <v>5640000</v>
      </c>
      <c r="M697" s="6">
        <v>4800000</v>
      </c>
      <c r="N697" s="6" t="s">
        <v>2003</v>
      </c>
      <c r="O697" s="6" t="s">
        <v>1063</v>
      </c>
      <c r="P697" s="6">
        <v>2016</v>
      </c>
      <c r="Q697" s="6">
        <v>5</v>
      </c>
      <c r="R697" s="6" t="s">
        <v>45</v>
      </c>
      <c r="S697" s="32" t="s">
        <v>2120</v>
      </c>
      <c r="T697" s="6">
        <v>1</v>
      </c>
      <c r="U697" s="26">
        <v>4600000</v>
      </c>
      <c r="V697" s="26">
        <v>4600000</v>
      </c>
      <c r="W697" s="26">
        <v>4600000</v>
      </c>
      <c r="X697" s="6" t="s">
        <v>2003</v>
      </c>
      <c r="Y697" s="6" t="s">
        <v>1148</v>
      </c>
      <c r="Z697" s="6">
        <v>225975</v>
      </c>
    </row>
    <row r="698" spans="1:26" x14ac:dyDescent="0.3">
      <c r="A698" s="28" t="s">
        <v>42</v>
      </c>
      <c r="B698" s="6" t="s">
        <v>2309</v>
      </c>
      <c r="C698" s="6" t="s">
        <v>1972</v>
      </c>
      <c r="D698" s="6" t="s">
        <v>2291</v>
      </c>
      <c r="E698" s="6">
        <v>1</v>
      </c>
      <c r="F698" s="6" t="s">
        <v>2004</v>
      </c>
      <c r="G698" s="32" t="s">
        <v>2299</v>
      </c>
      <c r="H698" s="32" t="s">
        <v>2300</v>
      </c>
      <c r="I698" s="6" t="str">
        <f t="shared" si="23"/>
        <v>Stone Grapple</v>
      </c>
      <c r="J698" s="6" t="s">
        <v>381</v>
      </c>
      <c r="K698" s="6">
        <v>1</v>
      </c>
      <c r="L698" s="6">
        <f t="shared" si="24"/>
        <v>2000000</v>
      </c>
      <c r="M698" s="6">
        <v>1700000</v>
      </c>
      <c r="N698" s="6" t="s">
        <v>2003</v>
      </c>
      <c r="O698" s="6" t="s">
        <v>1880</v>
      </c>
      <c r="P698" s="6">
        <v>2016</v>
      </c>
      <c r="Q698" s="6">
        <v>2</v>
      </c>
      <c r="R698" s="6" t="s">
        <v>45</v>
      </c>
      <c r="S698" s="32" t="s">
        <v>2116</v>
      </c>
      <c r="T698" s="6">
        <v>1</v>
      </c>
      <c r="U698" s="26">
        <v>1600000</v>
      </c>
      <c r="V698" s="26">
        <v>1600000</v>
      </c>
      <c r="W698" s="26">
        <v>1600000</v>
      </c>
      <c r="X698" s="6" t="s">
        <v>2003</v>
      </c>
      <c r="Y698" s="6" t="s">
        <v>1233</v>
      </c>
      <c r="Z698" s="6">
        <v>225977</v>
      </c>
    </row>
    <row r="699" spans="1:26" x14ac:dyDescent="0.3">
      <c r="A699" s="28" t="s">
        <v>42</v>
      </c>
      <c r="B699" s="6" t="s">
        <v>2314</v>
      </c>
      <c r="C699" s="19" t="s">
        <v>2321</v>
      </c>
      <c r="D699" s="6" t="s">
        <v>2293</v>
      </c>
      <c r="E699" s="6">
        <v>1</v>
      </c>
      <c r="F699" s="6" t="s">
        <v>2004</v>
      </c>
      <c r="G699" s="32" t="s">
        <v>2299</v>
      </c>
      <c r="H699" s="32" t="s">
        <v>2300</v>
      </c>
      <c r="I699" s="6" t="str">
        <f t="shared" si="23"/>
        <v>Etc Crusher</v>
      </c>
      <c r="J699" s="6" t="s">
        <v>651</v>
      </c>
      <c r="K699" s="6">
        <v>1</v>
      </c>
      <c r="L699" s="6">
        <f t="shared" si="24"/>
        <v>6820000</v>
      </c>
      <c r="M699" s="6">
        <v>5800000</v>
      </c>
      <c r="N699" s="6" t="s">
        <v>2003</v>
      </c>
      <c r="O699" s="6" t="s">
        <v>837</v>
      </c>
      <c r="P699" s="6">
        <v>2016</v>
      </c>
      <c r="Q699" s="6">
        <v>1</v>
      </c>
      <c r="R699" s="6" t="s">
        <v>45</v>
      </c>
      <c r="S699" s="32" t="s">
        <v>2113</v>
      </c>
      <c r="T699" s="6">
        <v>1</v>
      </c>
      <c r="U699" s="26">
        <v>5300000</v>
      </c>
      <c r="V699" s="26">
        <v>5300000</v>
      </c>
      <c r="W699" s="26">
        <v>5300000</v>
      </c>
      <c r="X699" s="6" t="s">
        <v>2003</v>
      </c>
      <c r="Y699" s="6" t="s">
        <v>71</v>
      </c>
      <c r="Z699" s="6">
        <v>225982</v>
      </c>
    </row>
    <row r="700" spans="1:26" x14ac:dyDescent="0.3">
      <c r="A700" s="28" t="s">
        <v>42</v>
      </c>
      <c r="B700" s="6" t="s">
        <v>2309</v>
      </c>
      <c r="C700" s="6" t="s">
        <v>1972</v>
      </c>
      <c r="D700" s="6" t="s">
        <v>2292</v>
      </c>
      <c r="E700" s="6">
        <v>1</v>
      </c>
      <c r="F700" s="6" t="s">
        <v>2004</v>
      </c>
      <c r="G700" s="32" t="s">
        <v>2299</v>
      </c>
      <c r="H700" s="32" t="s">
        <v>2300</v>
      </c>
      <c r="I700" s="6" t="str">
        <f t="shared" si="23"/>
        <v>Stone Grapple</v>
      </c>
      <c r="J700" s="6" t="s">
        <v>44</v>
      </c>
      <c r="K700" s="6">
        <v>1</v>
      </c>
      <c r="L700" s="6">
        <f t="shared" si="24"/>
        <v>2580000</v>
      </c>
      <c r="M700" s="6">
        <v>2200000</v>
      </c>
      <c r="N700" s="6" t="s">
        <v>2003</v>
      </c>
      <c r="O700" s="6" t="s">
        <v>1064</v>
      </c>
      <c r="P700" s="6">
        <v>2012</v>
      </c>
      <c r="Q700" s="6">
        <v>1</v>
      </c>
      <c r="R700" s="6" t="s">
        <v>45</v>
      </c>
      <c r="S700" s="32" t="s">
        <v>2117</v>
      </c>
      <c r="T700" s="6">
        <v>1</v>
      </c>
      <c r="U700" s="26">
        <v>2000000</v>
      </c>
      <c r="V700" s="26">
        <v>2000000</v>
      </c>
      <c r="W700" s="26">
        <v>2000000</v>
      </c>
      <c r="X700" s="6" t="s">
        <v>2003</v>
      </c>
      <c r="Y700" s="6" t="s">
        <v>1297</v>
      </c>
      <c r="Z700" s="6">
        <v>225983</v>
      </c>
    </row>
    <row r="701" spans="1:26" x14ac:dyDescent="0.3">
      <c r="A701" s="28" t="s">
        <v>42</v>
      </c>
      <c r="B701" s="6" t="s">
        <v>2308</v>
      </c>
      <c r="C701" s="6" t="s">
        <v>1975</v>
      </c>
      <c r="D701" s="6" t="s">
        <v>2292</v>
      </c>
      <c r="E701" s="6">
        <v>1</v>
      </c>
      <c r="F701" s="6" t="s">
        <v>2004</v>
      </c>
      <c r="G701" s="32" t="s">
        <v>2299</v>
      </c>
      <c r="H701" s="32" t="s">
        <v>2300</v>
      </c>
      <c r="I701" s="6" t="str">
        <f t="shared" si="23"/>
        <v>Side Breaker</v>
      </c>
      <c r="J701" s="6" t="s">
        <v>592</v>
      </c>
      <c r="K701" s="6">
        <v>1</v>
      </c>
      <c r="L701" s="6">
        <f t="shared" si="24"/>
        <v>5170000</v>
      </c>
      <c r="M701" s="6">
        <v>4400000</v>
      </c>
      <c r="N701" s="6" t="s">
        <v>2003</v>
      </c>
      <c r="O701" s="6" t="s">
        <v>798</v>
      </c>
      <c r="P701" s="6">
        <v>2015</v>
      </c>
      <c r="Q701" s="6">
        <v>1</v>
      </c>
      <c r="R701" s="6" t="s">
        <v>45</v>
      </c>
      <c r="S701" s="32" t="s">
        <v>2113</v>
      </c>
      <c r="T701" s="6">
        <v>1</v>
      </c>
      <c r="U701" s="26">
        <v>4200000</v>
      </c>
      <c r="V701" s="26">
        <v>4200000</v>
      </c>
      <c r="W701" s="26">
        <v>4200000</v>
      </c>
      <c r="X701" s="6" t="s">
        <v>2003</v>
      </c>
      <c r="Y701" s="6" t="s">
        <v>71</v>
      </c>
      <c r="Z701" s="6">
        <v>225991</v>
      </c>
    </row>
    <row r="702" spans="1:26" x14ac:dyDescent="0.3">
      <c r="A702" s="28" t="s">
        <v>42</v>
      </c>
      <c r="B702" s="6" t="s">
        <v>2308</v>
      </c>
      <c r="C702" s="6" t="s">
        <v>1975</v>
      </c>
      <c r="D702" s="6" t="s">
        <v>2292</v>
      </c>
      <c r="E702" s="6">
        <v>1</v>
      </c>
      <c r="F702" s="6" t="s">
        <v>2004</v>
      </c>
      <c r="G702" s="32" t="s">
        <v>2299</v>
      </c>
      <c r="H702" s="32" t="s">
        <v>2300</v>
      </c>
      <c r="I702" s="6" t="str">
        <f t="shared" si="23"/>
        <v>Side Breaker</v>
      </c>
      <c r="J702" s="6" t="s">
        <v>695</v>
      </c>
      <c r="K702" s="6">
        <v>1</v>
      </c>
      <c r="L702" s="6">
        <f t="shared" si="24"/>
        <v>3410000</v>
      </c>
      <c r="M702" s="6">
        <v>2900000</v>
      </c>
      <c r="N702" s="6" t="s">
        <v>2003</v>
      </c>
      <c r="O702" s="6" t="s">
        <v>1066</v>
      </c>
      <c r="P702" s="6">
        <v>2010</v>
      </c>
      <c r="Q702" s="6">
        <v>1</v>
      </c>
      <c r="R702" s="6" t="s">
        <v>45</v>
      </c>
      <c r="S702" s="32" t="s">
        <v>2110</v>
      </c>
      <c r="T702" s="6">
        <v>1</v>
      </c>
      <c r="U702" s="26">
        <v>2700000</v>
      </c>
      <c r="V702" s="26">
        <v>2700000</v>
      </c>
      <c r="W702" s="26">
        <v>2700000</v>
      </c>
      <c r="X702" s="6" t="s">
        <v>2003</v>
      </c>
      <c r="Y702" s="6" t="s">
        <v>1171</v>
      </c>
      <c r="Z702" s="6">
        <v>225992</v>
      </c>
    </row>
    <row r="703" spans="1:26" x14ac:dyDescent="0.3">
      <c r="A703" s="28" t="s">
        <v>42</v>
      </c>
      <c r="B703" s="6" t="s">
        <v>2315</v>
      </c>
      <c r="C703" s="6"/>
      <c r="D703" s="6" t="s">
        <v>2001</v>
      </c>
      <c r="E703" s="6">
        <v>1</v>
      </c>
      <c r="F703" s="6" t="s">
        <v>2004</v>
      </c>
      <c r="G703" s="32" t="s">
        <v>2299</v>
      </c>
      <c r="H703" s="32" t="s">
        <v>2300</v>
      </c>
      <c r="I703" s="6" t="str">
        <f t="shared" si="23"/>
        <v>ETC</v>
      </c>
      <c r="J703" s="6" t="s">
        <v>696</v>
      </c>
      <c r="K703" s="6">
        <v>1</v>
      </c>
      <c r="L703" s="6">
        <f t="shared" si="24"/>
        <v>11050000</v>
      </c>
      <c r="M703" s="6">
        <v>9400000</v>
      </c>
      <c r="N703" s="6" t="s">
        <v>2003</v>
      </c>
      <c r="O703" s="6" t="s">
        <v>1067</v>
      </c>
      <c r="P703" s="6">
        <v>2012</v>
      </c>
      <c r="Q703" s="6">
        <v>1</v>
      </c>
      <c r="R703" s="6" t="s">
        <v>45</v>
      </c>
      <c r="S703" s="32" t="s">
        <v>2122</v>
      </c>
      <c r="T703" s="6">
        <v>1</v>
      </c>
      <c r="U703" s="26">
        <v>8900000</v>
      </c>
      <c r="V703" s="26">
        <v>8900000</v>
      </c>
      <c r="W703" s="26">
        <v>8900000</v>
      </c>
      <c r="X703" s="6" t="s">
        <v>2003</v>
      </c>
      <c r="Y703" s="6" t="s">
        <v>1202</v>
      </c>
      <c r="Z703" s="6">
        <v>225993</v>
      </c>
    </row>
    <row r="704" spans="1:26" x14ac:dyDescent="0.3">
      <c r="A704" s="28" t="s">
        <v>42</v>
      </c>
      <c r="B704" s="6" t="s">
        <v>2313</v>
      </c>
      <c r="C704" s="6" t="s">
        <v>1977</v>
      </c>
      <c r="D704" s="6" t="s">
        <v>2292</v>
      </c>
      <c r="E704" s="6">
        <v>1</v>
      </c>
      <c r="F704" s="6" t="s">
        <v>2004</v>
      </c>
      <c r="G704" s="32" t="s">
        <v>2299</v>
      </c>
      <c r="H704" s="32" t="s">
        <v>2300</v>
      </c>
      <c r="I704" s="6" t="str">
        <f t="shared" si="23"/>
        <v>Wide Bucket</v>
      </c>
      <c r="J704" s="6" t="s">
        <v>123</v>
      </c>
      <c r="K704" s="6">
        <v>1</v>
      </c>
      <c r="L704" s="6">
        <f t="shared" si="24"/>
        <v>1410000</v>
      </c>
      <c r="M704" s="6">
        <v>1200000</v>
      </c>
      <c r="N704" s="6" t="s">
        <v>2003</v>
      </c>
      <c r="O704" s="6" t="s">
        <v>823</v>
      </c>
      <c r="P704" s="6">
        <v>2014</v>
      </c>
      <c r="Q704" s="6">
        <v>1</v>
      </c>
      <c r="R704" s="6" t="s">
        <v>45</v>
      </c>
      <c r="S704" s="32" t="s">
        <v>2113</v>
      </c>
      <c r="T704" s="6">
        <v>1</v>
      </c>
      <c r="U704" s="26">
        <v>1100000</v>
      </c>
      <c r="V704" s="26">
        <v>1100000</v>
      </c>
      <c r="W704" s="26">
        <v>1100000</v>
      </c>
      <c r="X704" s="6" t="s">
        <v>2003</v>
      </c>
      <c r="Y704" s="6" t="s">
        <v>49</v>
      </c>
      <c r="Z704" s="6">
        <v>225997</v>
      </c>
    </row>
    <row r="705" spans="1:26" x14ac:dyDescent="0.3">
      <c r="A705" s="28" t="s">
        <v>42</v>
      </c>
      <c r="B705" s="6" t="s">
        <v>2313</v>
      </c>
      <c r="C705" s="6" t="s">
        <v>1976</v>
      </c>
      <c r="D705" s="6" t="s">
        <v>2291</v>
      </c>
      <c r="E705" s="6">
        <v>1</v>
      </c>
      <c r="F705" s="6" t="s">
        <v>2004</v>
      </c>
      <c r="G705" s="32" t="s">
        <v>2299</v>
      </c>
      <c r="H705" s="32" t="s">
        <v>2300</v>
      </c>
      <c r="I705" s="6" t="str">
        <f t="shared" si="23"/>
        <v>Skeleton Bucket</v>
      </c>
      <c r="J705" s="6" t="s">
        <v>699</v>
      </c>
      <c r="K705" s="6">
        <v>1</v>
      </c>
      <c r="L705" s="6">
        <f t="shared" si="24"/>
        <v>1170000</v>
      </c>
      <c r="M705" s="6">
        <v>1000000</v>
      </c>
      <c r="N705" s="6" t="s">
        <v>2003</v>
      </c>
      <c r="O705" s="6" t="s">
        <v>1070</v>
      </c>
      <c r="P705" s="6">
        <v>2016</v>
      </c>
      <c r="Q705" s="6">
        <v>4</v>
      </c>
      <c r="R705" s="6" t="s">
        <v>45</v>
      </c>
      <c r="S705" s="32" t="s">
        <v>2120</v>
      </c>
      <c r="T705" s="6">
        <v>1</v>
      </c>
      <c r="U705" s="26">
        <v>900000</v>
      </c>
      <c r="V705" s="26">
        <v>900000</v>
      </c>
      <c r="W705" s="26">
        <v>900000</v>
      </c>
      <c r="X705" s="6" t="s">
        <v>2003</v>
      </c>
      <c r="Y705" s="6" t="s">
        <v>1294</v>
      </c>
      <c r="Z705" s="6">
        <v>226002</v>
      </c>
    </row>
    <row r="706" spans="1:26" x14ac:dyDescent="0.3">
      <c r="A706" s="28" t="s">
        <v>42</v>
      </c>
      <c r="B706" s="6" t="s">
        <v>2313</v>
      </c>
      <c r="C706" s="6" t="s">
        <v>1977</v>
      </c>
      <c r="D706" s="6" t="s">
        <v>2291</v>
      </c>
      <c r="E706" s="6">
        <v>1</v>
      </c>
      <c r="F706" s="6" t="s">
        <v>2004</v>
      </c>
      <c r="G706" s="32" t="s">
        <v>2299</v>
      </c>
      <c r="H706" s="32" t="s">
        <v>2300</v>
      </c>
      <c r="I706" s="6" t="str">
        <f t="shared" si="23"/>
        <v>Wide Bucket</v>
      </c>
      <c r="J706" s="6" t="s">
        <v>202</v>
      </c>
      <c r="K706" s="6">
        <v>1</v>
      </c>
      <c r="L706" s="6">
        <f t="shared" si="24"/>
        <v>410000</v>
      </c>
      <c r="M706" s="6">
        <v>350000</v>
      </c>
      <c r="N706" s="6" t="s">
        <v>2003</v>
      </c>
      <c r="O706" s="6" t="s">
        <v>2007</v>
      </c>
      <c r="P706" s="6">
        <v>2014</v>
      </c>
      <c r="Q706" s="6">
        <v>1</v>
      </c>
      <c r="R706" s="6" t="s">
        <v>45</v>
      </c>
      <c r="S706" s="32" t="s">
        <v>2113</v>
      </c>
      <c r="T706" s="6">
        <v>1</v>
      </c>
      <c r="U706" s="26">
        <v>300000</v>
      </c>
      <c r="V706" s="26">
        <v>300000</v>
      </c>
      <c r="W706" s="26">
        <v>300000</v>
      </c>
      <c r="X706" s="6" t="s">
        <v>2003</v>
      </c>
      <c r="Y706" s="6" t="s">
        <v>49</v>
      </c>
      <c r="Z706" s="6">
        <v>226012</v>
      </c>
    </row>
    <row r="707" spans="1:26" x14ac:dyDescent="0.3">
      <c r="A707" s="28" t="s">
        <v>42</v>
      </c>
      <c r="B707" s="6" t="s">
        <v>2314</v>
      </c>
      <c r="C707" s="19" t="s">
        <v>2321</v>
      </c>
      <c r="D707" s="6" t="s">
        <v>2293</v>
      </c>
      <c r="E707" s="6">
        <v>1</v>
      </c>
      <c r="F707" s="6" t="s">
        <v>2004</v>
      </c>
      <c r="G707" s="32" t="s">
        <v>2299</v>
      </c>
      <c r="H707" s="32" t="s">
        <v>2300</v>
      </c>
      <c r="I707" s="6" t="str">
        <f t="shared" si="23"/>
        <v>Etc Crusher</v>
      </c>
      <c r="J707" s="6" t="s">
        <v>76</v>
      </c>
      <c r="K707" s="6">
        <v>1</v>
      </c>
      <c r="L707" s="6">
        <f t="shared" si="24"/>
        <v>6820000</v>
      </c>
      <c r="M707" s="6">
        <v>5800000</v>
      </c>
      <c r="N707" s="6" t="s">
        <v>2003</v>
      </c>
      <c r="O707" s="6" t="s">
        <v>798</v>
      </c>
      <c r="P707" s="6">
        <v>2016</v>
      </c>
      <c r="Q707" s="6">
        <v>3</v>
      </c>
      <c r="R707" s="6" t="s">
        <v>45</v>
      </c>
      <c r="S707" s="32" t="s">
        <v>2113</v>
      </c>
      <c r="T707" s="6">
        <v>1</v>
      </c>
      <c r="U707" s="26">
        <v>5300000</v>
      </c>
      <c r="V707" s="26">
        <v>5300000</v>
      </c>
      <c r="W707" s="26">
        <v>5300000</v>
      </c>
      <c r="X707" s="6" t="s">
        <v>2003</v>
      </c>
      <c r="Y707" s="6" t="s">
        <v>71</v>
      </c>
      <c r="Z707" s="6">
        <v>226020</v>
      </c>
    </row>
    <row r="708" spans="1:26" x14ac:dyDescent="0.3">
      <c r="A708" s="28" t="s">
        <v>42</v>
      </c>
      <c r="B708" s="6" t="s">
        <v>2315</v>
      </c>
      <c r="C708" s="6"/>
      <c r="D708" s="6" t="s">
        <v>2289</v>
      </c>
      <c r="E708" s="6">
        <v>1</v>
      </c>
      <c r="F708" s="6" t="s">
        <v>2004</v>
      </c>
      <c r="G708" s="32" t="s">
        <v>2299</v>
      </c>
      <c r="H708" s="32" t="s">
        <v>2300</v>
      </c>
      <c r="I708" s="6" t="str">
        <f t="shared" si="23"/>
        <v>ETC</v>
      </c>
      <c r="J708" s="6" t="s">
        <v>151</v>
      </c>
      <c r="K708" s="6">
        <v>1</v>
      </c>
      <c r="L708" s="6">
        <f t="shared" si="24"/>
        <v>7050000</v>
      </c>
      <c r="M708" s="6">
        <v>6000000</v>
      </c>
      <c r="N708" s="6" t="s">
        <v>2003</v>
      </c>
      <c r="O708" s="6" t="s">
        <v>832</v>
      </c>
      <c r="P708" s="6">
        <v>2009</v>
      </c>
      <c r="Q708" s="6">
        <v>1</v>
      </c>
      <c r="R708" s="6" t="s">
        <v>45</v>
      </c>
      <c r="S708" s="32" t="s">
        <v>2112</v>
      </c>
      <c r="T708" s="6">
        <v>1</v>
      </c>
      <c r="U708" s="26">
        <v>5500000</v>
      </c>
      <c r="V708" s="26">
        <v>5500000</v>
      </c>
      <c r="W708" s="26">
        <v>5500000</v>
      </c>
      <c r="X708" s="6" t="s">
        <v>2003</v>
      </c>
      <c r="Y708" s="6" t="s">
        <v>1224</v>
      </c>
      <c r="Z708" s="6">
        <v>226026</v>
      </c>
    </row>
    <row r="709" spans="1:26" x14ac:dyDescent="0.3">
      <c r="A709" s="28" t="s">
        <v>42</v>
      </c>
      <c r="B709" s="6" t="s">
        <v>2314</v>
      </c>
      <c r="C709" s="19" t="s">
        <v>2321</v>
      </c>
      <c r="D709" s="6" t="s">
        <v>2293</v>
      </c>
      <c r="E709" s="6">
        <v>1</v>
      </c>
      <c r="F709" s="6" t="s">
        <v>2004</v>
      </c>
      <c r="G709" s="32" t="s">
        <v>2299</v>
      </c>
      <c r="H709" s="32" t="s">
        <v>2300</v>
      </c>
      <c r="I709" s="6" t="str">
        <f t="shared" si="23"/>
        <v>Etc Crusher</v>
      </c>
      <c r="J709" s="6" t="s">
        <v>651</v>
      </c>
      <c r="K709" s="6">
        <v>1</v>
      </c>
      <c r="L709" s="6">
        <f t="shared" si="24"/>
        <v>5290000</v>
      </c>
      <c r="M709" s="6">
        <v>4500000</v>
      </c>
      <c r="N709" s="6" t="s">
        <v>2003</v>
      </c>
      <c r="O709" s="6" t="s">
        <v>837</v>
      </c>
      <c r="P709" s="6">
        <v>2014</v>
      </c>
      <c r="Q709" s="6">
        <v>1</v>
      </c>
      <c r="R709" s="6" t="s">
        <v>45</v>
      </c>
      <c r="S709" s="32" t="s">
        <v>2113</v>
      </c>
      <c r="T709" s="6">
        <v>1</v>
      </c>
      <c r="U709" s="26">
        <v>4300000</v>
      </c>
      <c r="V709" s="26">
        <v>4300000</v>
      </c>
      <c r="W709" s="26">
        <v>4300000</v>
      </c>
      <c r="X709" s="6" t="s">
        <v>2003</v>
      </c>
      <c r="Y709" s="6" t="s">
        <v>71</v>
      </c>
      <c r="Z709" s="6">
        <v>226031</v>
      </c>
    </row>
    <row r="710" spans="1:26" x14ac:dyDescent="0.3">
      <c r="A710" s="28" t="s">
        <v>42</v>
      </c>
      <c r="B710" s="6" t="s">
        <v>2313</v>
      </c>
      <c r="C710" s="6" t="s">
        <v>1976</v>
      </c>
      <c r="D710" s="6" t="s">
        <v>2292</v>
      </c>
      <c r="E710" s="6">
        <v>1</v>
      </c>
      <c r="F710" s="6" t="s">
        <v>2004</v>
      </c>
      <c r="G710" s="32" t="s">
        <v>2299</v>
      </c>
      <c r="H710" s="32" t="s">
        <v>2300</v>
      </c>
      <c r="I710" s="6" t="str">
        <f t="shared" si="23"/>
        <v>Skeleton Bucket</v>
      </c>
      <c r="J710" s="6" t="s">
        <v>118</v>
      </c>
      <c r="K710" s="6">
        <v>1</v>
      </c>
      <c r="L710" s="6">
        <f t="shared" si="24"/>
        <v>1350000</v>
      </c>
      <c r="M710" s="6">
        <v>1150000</v>
      </c>
      <c r="N710" s="6" t="s">
        <v>2003</v>
      </c>
      <c r="O710" s="6" t="s">
        <v>66</v>
      </c>
      <c r="P710" s="6">
        <v>2014</v>
      </c>
      <c r="Q710" s="6">
        <v>5</v>
      </c>
      <c r="R710" s="6" t="s">
        <v>45</v>
      </c>
      <c r="S710" s="32" t="s">
        <v>2112</v>
      </c>
      <c r="T710" s="6">
        <v>1</v>
      </c>
      <c r="U710" s="26">
        <v>1050000</v>
      </c>
      <c r="V710" s="26">
        <v>1050000</v>
      </c>
      <c r="W710" s="26">
        <v>1050000</v>
      </c>
      <c r="X710" s="6" t="s">
        <v>2003</v>
      </c>
      <c r="Y710" s="6" t="s">
        <v>1184</v>
      </c>
      <c r="Z710" s="6">
        <v>226032</v>
      </c>
    </row>
    <row r="711" spans="1:26" x14ac:dyDescent="0.3">
      <c r="A711" s="28" t="s">
        <v>42</v>
      </c>
      <c r="B711" s="6" t="s">
        <v>2312</v>
      </c>
      <c r="C711" s="6"/>
      <c r="D711" s="6" t="s">
        <v>2292</v>
      </c>
      <c r="E711" s="6">
        <v>1</v>
      </c>
      <c r="F711" s="6" t="s">
        <v>2004</v>
      </c>
      <c r="G711" s="32" t="s">
        <v>2299</v>
      </c>
      <c r="H711" s="32" t="s">
        <v>2300</v>
      </c>
      <c r="I711" s="6" t="str">
        <f t="shared" si="23"/>
        <v>Lift Fork</v>
      </c>
      <c r="J711" s="6" t="s">
        <v>102</v>
      </c>
      <c r="K711" s="6">
        <v>1</v>
      </c>
      <c r="L711" s="6">
        <f t="shared" si="24"/>
        <v>880000</v>
      </c>
      <c r="M711" s="6">
        <v>750000</v>
      </c>
      <c r="N711" s="6" t="s">
        <v>2003</v>
      </c>
      <c r="O711" s="6" t="s">
        <v>823</v>
      </c>
      <c r="P711" s="6">
        <v>2013</v>
      </c>
      <c r="Q711" s="6">
        <v>1</v>
      </c>
      <c r="R711" s="6" t="s">
        <v>45</v>
      </c>
      <c r="S711" s="32" t="s">
        <v>2113</v>
      </c>
      <c r="T711" s="6">
        <v>1</v>
      </c>
      <c r="U711" s="26">
        <v>650000</v>
      </c>
      <c r="V711" s="26">
        <v>650000</v>
      </c>
      <c r="W711" s="26">
        <v>650000</v>
      </c>
      <c r="X711" s="6" t="s">
        <v>2003</v>
      </c>
      <c r="Y711" s="6" t="s">
        <v>49</v>
      </c>
      <c r="Z711" s="6">
        <v>226035</v>
      </c>
    </row>
    <row r="712" spans="1:26" x14ac:dyDescent="0.3">
      <c r="A712" s="28" t="s">
        <v>42</v>
      </c>
      <c r="B712" s="6" t="s">
        <v>2309</v>
      </c>
      <c r="C712" s="6" t="s">
        <v>1972</v>
      </c>
      <c r="D712" s="6" t="s">
        <v>2290</v>
      </c>
      <c r="E712" s="6">
        <v>1</v>
      </c>
      <c r="F712" s="6" t="s">
        <v>2004</v>
      </c>
      <c r="G712" s="32" t="s">
        <v>2299</v>
      </c>
      <c r="H712" s="32" t="s">
        <v>2300</v>
      </c>
      <c r="I712" s="6" t="str">
        <f t="shared" si="23"/>
        <v>Stone Grapple</v>
      </c>
      <c r="J712" s="6" t="s">
        <v>94</v>
      </c>
      <c r="K712" s="6">
        <v>1</v>
      </c>
      <c r="L712" s="6">
        <f t="shared" si="24"/>
        <v>3760000</v>
      </c>
      <c r="M712" s="6">
        <v>3200000</v>
      </c>
      <c r="N712" s="6" t="s">
        <v>2003</v>
      </c>
      <c r="O712" s="6" t="s">
        <v>2077</v>
      </c>
      <c r="P712" s="6">
        <v>2015</v>
      </c>
      <c r="Q712" s="6">
        <v>6</v>
      </c>
      <c r="R712" s="6" t="s">
        <v>45</v>
      </c>
      <c r="S712" s="32" t="s">
        <v>2123</v>
      </c>
      <c r="T712" s="6">
        <v>1</v>
      </c>
      <c r="U712" s="26">
        <v>3000000</v>
      </c>
      <c r="V712" s="26">
        <v>3000000</v>
      </c>
      <c r="W712" s="26">
        <v>3000000</v>
      </c>
      <c r="X712" s="6" t="s">
        <v>2003</v>
      </c>
      <c r="Y712" s="6" t="s">
        <v>1295</v>
      </c>
      <c r="Z712" s="6">
        <v>226036</v>
      </c>
    </row>
    <row r="713" spans="1:26" x14ac:dyDescent="0.3">
      <c r="A713" s="28" t="s">
        <v>42</v>
      </c>
      <c r="B713" s="6" t="s">
        <v>2313</v>
      </c>
      <c r="C713" s="19" t="s">
        <v>1982</v>
      </c>
      <c r="D713" s="6" t="s">
        <v>2291</v>
      </c>
      <c r="E713" s="6">
        <v>1</v>
      </c>
      <c r="F713" s="6" t="s">
        <v>2004</v>
      </c>
      <c r="G713" s="32" t="s">
        <v>2299</v>
      </c>
      <c r="H713" s="32" t="s">
        <v>2300</v>
      </c>
      <c r="I713" s="6" t="str">
        <f t="shared" si="23"/>
        <v>Standard Bucket</v>
      </c>
      <c r="J713" s="6" t="s">
        <v>701</v>
      </c>
      <c r="K713" s="6">
        <v>1</v>
      </c>
      <c r="L713" s="6">
        <f t="shared" si="24"/>
        <v>440000</v>
      </c>
      <c r="M713" s="6">
        <v>380000</v>
      </c>
      <c r="N713" s="6" t="s">
        <v>2003</v>
      </c>
      <c r="O713" s="6" t="s">
        <v>2078</v>
      </c>
      <c r="P713" s="6">
        <v>2017</v>
      </c>
      <c r="Q713" s="6">
        <v>1</v>
      </c>
      <c r="R713" s="6" t="s">
        <v>45</v>
      </c>
      <c r="S713" s="32" t="s">
        <v>2113</v>
      </c>
      <c r="T713" s="6">
        <v>1</v>
      </c>
      <c r="U713" s="26">
        <v>330000</v>
      </c>
      <c r="V713" s="26">
        <v>330000</v>
      </c>
      <c r="W713" s="26">
        <v>330000</v>
      </c>
      <c r="X713" s="6" t="s">
        <v>2003</v>
      </c>
      <c r="Y713" s="6" t="s">
        <v>49</v>
      </c>
      <c r="Z713" s="6">
        <v>226045</v>
      </c>
    </row>
    <row r="714" spans="1:26" x14ac:dyDescent="0.3">
      <c r="A714" s="28" t="s">
        <v>42</v>
      </c>
      <c r="B714" s="6" t="s">
        <v>2309</v>
      </c>
      <c r="C714" s="6" t="s">
        <v>1972</v>
      </c>
      <c r="D714" s="6" t="s">
        <v>2290</v>
      </c>
      <c r="E714" s="6">
        <v>1</v>
      </c>
      <c r="F714" s="6" t="s">
        <v>2004</v>
      </c>
      <c r="G714" s="32" t="s">
        <v>2299</v>
      </c>
      <c r="H714" s="32" t="s">
        <v>2300</v>
      </c>
      <c r="I714" s="6" t="str">
        <f t="shared" si="23"/>
        <v>Stone Grapple</v>
      </c>
      <c r="J714" s="6" t="s">
        <v>94</v>
      </c>
      <c r="K714" s="6">
        <v>1</v>
      </c>
      <c r="L714" s="6">
        <f t="shared" si="24"/>
        <v>3760000</v>
      </c>
      <c r="M714" s="6">
        <v>3200000</v>
      </c>
      <c r="N714" s="6" t="s">
        <v>2003</v>
      </c>
      <c r="O714" s="6" t="s">
        <v>91</v>
      </c>
      <c r="P714" s="6">
        <v>2010</v>
      </c>
      <c r="Q714" s="6">
        <v>1</v>
      </c>
      <c r="R714" s="6" t="s">
        <v>45</v>
      </c>
      <c r="S714" s="32" t="s">
        <v>2111</v>
      </c>
      <c r="T714" s="6">
        <v>1</v>
      </c>
      <c r="U714" s="26">
        <v>3000000</v>
      </c>
      <c r="V714" s="26">
        <v>3000000</v>
      </c>
      <c r="W714" s="26">
        <v>3000000</v>
      </c>
      <c r="X714" s="6" t="s">
        <v>2003</v>
      </c>
      <c r="Y714" s="6" t="s">
        <v>84</v>
      </c>
      <c r="Z714" s="6">
        <v>226056</v>
      </c>
    </row>
    <row r="715" spans="1:26" x14ac:dyDescent="0.3">
      <c r="A715" s="28" t="s">
        <v>42</v>
      </c>
      <c r="B715" s="6" t="s">
        <v>2309</v>
      </c>
      <c r="C715" s="6" t="s">
        <v>1972</v>
      </c>
      <c r="D715" s="6" t="s">
        <v>2292</v>
      </c>
      <c r="E715" s="6">
        <v>1</v>
      </c>
      <c r="F715" s="6" t="s">
        <v>2004</v>
      </c>
      <c r="G715" s="32" t="s">
        <v>2299</v>
      </c>
      <c r="H715" s="32" t="s">
        <v>2300</v>
      </c>
      <c r="I715" s="6" t="str">
        <f t="shared" ref="I715:I778" si="25">IF(ISBLANK(C715),B715,C715)</f>
        <v>Stone Grapple</v>
      </c>
      <c r="J715" s="6" t="s">
        <v>193</v>
      </c>
      <c r="K715" s="6">
        <v>1</v>
      </c>
      <c r="L715" s="6">
        <f t="shared" ref="L715:L778" si="26">FLOOR(((M715*100)/85)/10000, 1)*10000</f>
        <v>3050000</v>
      </c>
      <c r="M715" s="6">
        <v>2600000</v>
      </c>
      <c r="N715" s="6" t="s">
        <v>2003</v>
      </c>
      <c r="O715" s="6" t="s">
        <v>2007</v>
      </c>
      <c r="P715" s="6">
        <v>2014</v>
      </c>
      <c r="Q715" s="6">
        <v>1</v>
      </c>
      <c r="R715" s="6" t="s">
        <v>45</v>
      </c>
      <c r="S715" s="32" t="s">
        <v>2113</v>
      </c>
      <c r="T715" s="6">
        <v>1</v>
      </c>
      <c r="U715" s="26">
        <v>2400000</v>
      </c>
      <c r="V715" s="26">
        <v>2400000</v>
      </c>
      <c r="W715" s="26">
        <v>2400000</v>
      </c>
      <c r="X715" s="6" t="s">
        <v>2003</v>
      </c>
      <c r="Y715" s="6" t="s">
        <v>49</v>
      </c>
      <c r="Z715" s="6">
        <v>226060</v>
      </c>
    </row>
    <row r="716" spans="1:26" x14ac:dyDescent="0.3">
      <c r="A716" s="28" t="s">
        <v>42</v>
      </c>
      <c r="B716" s="6" t="s">
        <v>2309</v>
      </c>
      <c r="C716" s="6" t="s">
        <v>1972</v>
      </c>
      <c r="D716" s="6" t="s">
        <v>2292</v>
      </c>
      <c r="E716" s="6">
        <v>1</v>
      </c>
      <c r="F716" s="6" t="s">
        <v>2004</v>
      </c>
      <c r="G716" s="32" t="s">
        <v>2299</v>
      </c>
      <c r="H716" s="32" t="s">
        <v>2300</v>
      </c>
      <c r="I716" s="6" t="str">
        <f t="shared" si="25"/>
        <v>Stone Grapple</v>
      </c>
      <c r="J716" s="6" t="s">
        <v>120</v>
      </c>
      <c r="K716" s="6">
        <v>1</v>
      </c>
      <c r="L716" s="6">
        <f t="shared" si="26"/>
        <v>5520000</v>
      </c>
      <c r="M716" s="6">
        <v>4700000</v>
      </c>
      <c r="N716" s="6" t="s">
        <v>2003</v>
      </c>
      <c r="O716" s="6" t="s">
        <v>54</v>
      </c>
      <c r="P716" s="6">
        <v>2010</v>
      </c>
      <c r="Q716" s="6">
        <v>1</v>
      </c>
      <c r="R716" s="6" t="s">
        <v>45</v>
      </c>
      <c r="S716" s="32" t="s">
        <v>2114</v>
      </c>
      <c r="T716" s="6">
        <v>1</v>
      </c>
      <c r="U716" s="26">
        <v>4500000</v>
      </c>
      <c r="V716" s="26">
        <v>4500000</v>
      </c>
      <c r="W716" s="26">
        <v>4500000</v>
      </c>
      <c r="X716" s="6" t="s">
        <v>2003</v>
      </c>
      <c r="Y716" s="6" t="s">
        <v>54</v>
      </c>
      <c r="Z716" s="6">
        <v>226064</v>
      </c>
    </row>
    <row r="717" spans="1:26" x14ac:dyDescent="0.3">
      <c r="A717" s="28" t="s">
        <v>42</v>
      </c>
      <c r="B717" s="6" t="s">
        <v>2309</v>
      </c>
      <c r="C717" s="6" t="s">
        <v>1972</v>
      </c>
      <c r="D717" s="6" t="s">
        <v>2001</v>
      </c>
      <c r="E717" s="6">
        <v>1</v>
      </c>
      <c r="F717" s="6" t="s">
        <v>2004</v>
      </c>
      <c r="G717" s="32" t="s">
        <v>2299</v>
      </c>
      <c r="H717" s="32" t="s">
        <v>2300</v>
      </c>
      <c r="I717" s="6" t="str">
        <f t="shared" si="25"/>
        <v>Stone Grapple</v>
      </c>
      <c r="J717" s="6" t="s">
        <v>472</v>
      </c>
      <c r="K717" s="6">
        <v>1</v>
      </c>
      <c r="L717" s="6">
        <f t="shared" si="26"/>
        <v>12350000</v>
      </c>
      <c r="M717" s="6">
        <v>10500000</v>
      </c>
      <c r="N717" s="6" t="s">
        <v>2003</v>
      </c>
      <c r="O717" s="6" t="s">
        <v>1073</v>
      </c>
      <c r="P717" s="6">
        <v>2016</v>
      </c>
      <c r="Q717" s="6">
        <v>1</v>
      </c>
      <c r="R717" s="6" t="s">
        <v>45</v>
      </c>
      <c r="S717" s="32" t="s">
        <v>2119</v>
      </c>
      <c r="T717" s="6">
        <v>1</v>
      </c>
      <c r="U717" s="26">
        <v>10000000</v>
      </c>
      <c r="V717" s="26">
        <v>10000000</v>
      </c>
      <c r="W717" s="26">
        <v>10000000</v>
      </c>
      <c r="X717" s="6" t="s">
        <v>2003</v>
      </c>
      <c r="Y717" s="6" t="s">
        <v>1165</v>
      </c>
      <c r="Z717" s="6">
        <v>226071</v>
      </c>
    </row>
    <row r="718" spans="1:26" x14ac:dyDescent="0.3">
      <c r="A718" s="28" t="s">
        <v>42</v>
      </c>
      <c r="B718" s="6" t="s">
        <v>2309</v>
      </c>
      <c r="C718" s="6" t="s">
        <v>1972</v>
      </c>
      <c r="D718" s="6" t="s">
        <v>2292</v>
      </c>
      <c r="E718" s="6">
        <v>1</v>
      </c>
      <c r="F718" s="6" t="s">
        <v>2004</v>
      </c>
      <c r="G718" s="32" t="s">
        <v>2299</v>
      </c>
      <c r="H718" s="32" t="s">
        <v>2300</v>
      </c>
      <c r="I718" s="6" t="str">
        <f t="shared" si="25"/>
        <v>Stone Grapple</v>
      </c>
      <c r="J718" s="6" t="s">
        <v>232</v>
      </c>
      <c r="K718" s="6">
        <v>1</v>
      </c>
      <c r="L718" s="6">
        <f t="shared" si="26"/>
        <v>2110000</v>
      </c>
      <c r="M718" s="6">
        <v>1800000</v>
      </c>
      <c r="N718" s="6" t="s">
        <v>2003</v>
      </c>
      <c r="O718" s="6" t="s">
        <v>2007</v>
      </c>
      <c r="P718" s="6">
        <v>2012</v>
      </c>
      <c r="Q718" s="6">
        <v>1</v>
      </c>
      <c r="R718" s="6" t="s">
        <v>45</v>
      </c>
      <c r="S718" s="32" t="s">
        <v>2113</v>
      </c>
      <c r="T718" s="6">
        <v>1</v>
      </c>
      <c r="U718" s="26">
        <v>1700000</v>
      </c>
      <c r="V718" s="26">
        <v>1700000</v>
      </c>
      <c r="W718" s="26">
        <v>1700000</v>
      </c>
      <c r="X718" s="6" t="s">
        <v>2003</v>
      </c>
      <c r="Y718" s="6" t="s">
        <v>49</v>
      </c>
      <c r="Z718" s="6">
        <v>226078</v>
      </c>
    </row>
    <row r="719" spans="1:26" x14ac:dyDescent="0.3">
      <c r="A719" s="28" t="s">
        <v>42</v>
      </c>
      <c r="B719" s="6" t="s">
        <v>2308</v>
      </c>
      <c r="C719" s="19" t="s">
        <v>1975</v>
      </c>
      <c r="D719" s="6" t="s">
        <v>2001</v>
      </c>
      <c r="E719" s="6">
        <v>1</v>
      </c>
      <c r="F719" s="6" t="s">
        <v>2004</v>
      </c>
      <c r="G719" s="32" t="s">
        <v>2299</v>
      </c>
      <c r="H719" s="32" t="s">
        <v>2300</v>
      </c>
      <c r="I719" s="6" t="str">
        <f t="shared" si="25"/>
        <v>Side Breaker</v>
      </c>
      <c r="J719" s="6" t="s">
        <v>602</v>
      </c>
      <c r="K719" s="6">
        <v>1</v>
      </c>
      <c r="L719" s="6">
        <f t="shared" si="26"/>
        <v>8820000</v>
      </c>
      <c r="M719" s="6">
        <v>7500000</v>
      </c>
      <c r="N719" s="6" t="s">
        <v>2003</v>
      </c>
      <c r="O719" s="6" t="s">
        <v>993</v>
      </c>
      <c r="P719" s="6">
        <v>2015</v>
      </c>
      <c r="Q719" s="6">
        <v>7</v>
      </c>
      <c r="R719" s="6" t="s">
        <v>45</v>
      </c>
      <c r="S719" s="32" t="s">
        <v>2116</v>
      </c>
      <c r="T719" s="6">
        <v>1</v>
      </c>
      <c r="U719" s="26">
        <v>7000000</v>
      </c>
      <c r="V719" s="26">
        <v>7000000</v>
      </c>
      <c r="W719" s="26">
        <v>7000000</v>
      </c>
      <c r="X719" s="6" t="s">
        <v>2003</v>
      </c>
      <c r="Y719" s="6" t="s">
        <v>1162</v>
      </c>
      <c r="Z719" s="6">
        <v>226081</v>
      </c>
    </row>
    <row r="720" spans="1:26" x14ac:dyDescent="0.3">
      <c r="A720" s="28" t="s">
        <v>42</v>
      </c>
      <c r="B720" s="6" t="s">
        <v>2309</v>
      </c>
      <c r="C720" s="6" t="s">
        <v>1972</v>
      </c>
      <c r="D720" s="6" t="s">
        <v>2292</v>
      </c>
      <c r="E720" s="6">
        <v>1</v>
      </c>
      <c r="F720" s="6" t="s">
        <v>2004</v>
      </c>
      <c r="G720" s="32" t="s">
        <v>2299</v>
      </c>
      <c r="H720" s="32" t="s">
        <v>2300</v>
      </c>
      <c r="I720" s="6" t="str">
        <f t="shared" si="25"/>
        <v>Stone Grapple</v>
      </c>
      <c r="J720" s="6" t="s">
        <v>193</v>
      </c>
      <c r="K720" s="6">
        <v>1</v>
      </c>
      <c r="L720" s="6">
        <f t="shared" si="26"/>
        <v>2940000</v>
      </c>
      <c r="M720" s="6">
        <v>2500000</v>
      </c>
      <c r="N720" s="6" t="s">
        <v>2003</v>
      </c>
      <c r="O720" s="6" t="s">
        <v>2007</v>
      </c>
      <c r="P720" s="6">
        <v>2014</v>
      </c>
      <c r="Q720" s="6">
        <v>1</v>
      </c>
      <c r="R720" s="6" t="s">
        <v>45</v>
      </c>
      <c r="S720" s="32" t="s">
        <v>2113</v>
      </c>
      <c r="T720" s="6">
        <v>1</v>
      </c>
      <c r="U720" s="26">
        <v>2300000</v>
      </c>
      <c r="V720" s="26">
        <v>2300000</v>
      </c>
      <c r="W720" s="26">
        <v>2300000</v>
      </c>
      <c r="X720" s="6" t="s">
        <v>2003</v>
      </c>
      <c r="Y720" s="6" t="s">
        <v>49</v>
      </c>
      <c r="Z720" s="6">
        <v>226085</v>
      </c>
    </row>
    <row r="721" spans="1:26" x14ac:dyDescent="0.3">
      <c r="A721" s="28" t="s">
        <v>42</v>
      </c>
      <c r="B721" s="6" t="s">
        <v>2315</v>
      </c>
      <c r="C721" s="6"/>
      <c r="D721" s="6" t="s">
        <v>2292</v>
      </c>
      <c r="E721" s="6">
        <v>1</v>
      </c>
      <c r="F721" s="6" t="s">
        <v>2004</v>
      </c>
      <c r="G721" s="32" t="s">
        <v>2299</v>
      </c>
      <c r="H721" s="32" t="s">
        <v>2300</v>
      </c>
      <c r="I721" s="6" t="str">
        <f t="shared" si="25"/>
        <v>ETC</v>
      </c>
      <c r="J721" s="6" t="s">
        <v>476</v>
      </c>
      <c r="K721" s="6">
        <v>1</v>
      </c>
      <c r="L721" s="6">
        <f t="shared" si="26"/>
        <v>13520000</v>
      </c>
      <c r="M721" s="6">
        <v>11500000</v>
      </c>
      <c r="N721" s="6" t="s">
        <v>2003</v>
      </c>
      <c r="O721" s="6" t="s">
        <v>2033</v>
      </c>
      <c r="P721" s="6">
        <v>2014</v>
      </c>
      <c r="Q721" s="6">
        <v>9</v>
      </c>
      <c r="R721" s="6" t="s">
        <v>45</v>
      </c>
      <c r="S721" s="32" t="s">
        <v>2121</v>
      </c>
      <c r="T721" s="6">
        <v>1</v>
      </c>
      <c r="U721" s="26">
        <v>11000000</v>
      </c>
      <c r="V721" s="26">
        <v>11000000</v>
      </c>
      <c r="W721" s="26">
        <v>11000000</v>
      </c>
      <c r="X721" s="6" t="s">
        <v>2003</v>
      </c>
      <c r="Y721" s="6" t="s">
        <v>1219</v>
      </c>
      <c r="Z721" s="6">
        <v>226091</v>
      </c>
    </row>
    <row r="722" spans="1:26" x14ac:dyDescent="0.3">
      <c r="A722" s="28" t="s">
        <v>42</v>
      </c>
      <c r="B722" s="6" t="s">
        <v>2309</v>
      </c>
      <c r="C722" s="6" t="s">
        <v>1972</v>
      </c>
      <c r="D722" s="6" t="s">
        <v>2292</v>
      </c>
      <c r="E722" s="6">
        <v>1</v>
      </c>
      <c r="F722" s="6" t="s">
        <v>2004</v>
      </c>
      <c r="G722" s="32" t="s">
        <v>2299</v>
      </c>
      <c r="H722" s="32" t="s">
        <v>2300</v>
      </c>
      <c r="I722" s="6" t="str">
        <f t="shared" si="25"/>
        <v>Stone Grapple</v>
      </c>
      <c r="J722" s="6" t="s">
        <v>120</v>
      </c>
      <c r="K722" s="6">
        <v>1</v>
      </c>
      <c r="L722" s="6">
        <f t="shared" si="26"/>
        <v>8700000</v>
      </c>
      <c r="M722" s="6">
        <v>7400000</v>
      </c>
      <c r="N722" s="6" t="s">
        <v>2003</v>
      </c>
      <c r="O722" s="6" t="s">
        <v>1074</v>
      </c>
      <c r="P722" s="6">
        <v>2017</v>
      </c>
      <c r="Q722" s="6">
        <v>1</v>
      </c>
      <c r="R722" s="6" t="s">
        <v>45</v>
      </c>
      <c r="S722" s="32" t="s">
        <v>2110</v>
      </c>
      <c r="T722" s="6">
        <v>1</v>
      </c>
      <c r="U722" s="26">
        <v>6900000</v>
      </c>
      <c r="V722" s="26">
        <v>6900000</v>
      </c>
      <c r="W722" s="26">
        <v>6900000</v>
      </c>
      <c r="X722" s="6" t="s">
        <v>2003</v>
      </c>
      <c r="Y722" s="6" t="s">
        <v>1284</v>
      </c>
      <c r="Z722" s="6">
        <v>226096</v>
      </c>
    </row>
    <row r="723" spans="1:26" x14ac:dyDescent="0.3">
      <c r="A723" s="28" t="s">
        <v>42</v>
      </c>
      <c r="B723" s="6" t="s">
        <v>2313</v>
      </c>
      <c r="C723" s="6" t="s">
        <v>1976</v>
      </c>
      <c r="D723" s="6" t="s">
        <v>2292</v>
      </c>
      <c r="E723" s="6">
        <v>1</v>
      </c>
      <c r="F723" s="6" t="s">
        <v>2004</v>
      </c>
      <c r="G723" s="32" t="s">
        <v>2299</v>
      </c>
      <c r="H723" s="32" t="s">
        <v>2300</v>
      </c>
      <c r="I723" s="6" t="str">
        <f t="shared" si="25"/>
        <v>Skeleton Bucket</v>
      </c>
      <c r="J723" s="6" t="s">
        <v>62</v>
      </c>
      <c r="K723" s="6">
        <v>1</v>
      </c>
      <c r="L723" s="6">
        <f t="shared" si="26"/>
        <v>1050000</v>
      </c>
      <c r="M723" s="6">
        <v>900000</v>
      </c>
      <c r="N723" s="6" t="s">
        <v>2003</v>
      </c>
      <c r="O723" s="6" t="s">
        <v>2007</v>
      </c>
      <c r="P723" s="6">
        <v>2013</v>
      </c>
      <c r="Q723" s="6">
        <v>1</v>
      </c>
      <c r="R723" s="6" t="s">
        <v>45</v>
      </c>
      <c r="S723" s="32" t="s">
        <v>2113</v>
      </c>
      <c r="T723" s="6">
        <v>1</v>
      </c>
      <c r="U723" s="26">
        <v>800000</v>
      </c>
      <c r="V723" s="26">
        <v>800000</v>
      </c>
      <c r="W723" s="26">
        <v>800000</v>
      </c>
      <c r="X723" s="6" t="s">
        <v>2003</v>
      </c>
      <c r="Y723" s="6" t="s">
        <v>49</v>
      </c>
      <c r="Z723" s="6">
        <v>226098</v>
      </c>
    </row>
    <row r="724" spans="1:26" x14ac:dyDescent="0.3">
      <c r="A724" s="28" t="s">
        <v>42</v>
      </c>
      <c r="B724" s="6" t="s">
        <v>2308</v>
      </c>
      <c r="C724" s="6" t="s">
        <v>1975</v>
      </c>
      <c r="D724" s="6" t="s">
        <v>2291</v>
      </c>
      <c r="E724" s="6">
        <v>1</v>
      </c>
      <c r="F724" s="6" t="s">
        <v>2004</v>
      </c>
      <c r="G724" s="32" t="s">
        <v>2299</v>
      </c>
      <c r="H724" s="32" t="s">
        <v>2300</v>
      </c>
      <c r="I724" s="6" t="str">
        <f t="shared" si="25"/>
        <v>Side Breaker</v>
      </c>
      <c r="J724" s="6" t="s">
        <v>704</v>
      </c>
      <c r="K724" s="6">
        <v>1</v>
      </c>
      <c r="L724" s="6">
        <f t="shared" si="26"/>
        <v>1940000</v>
      </c>
      <c r="M724" s="6">
        <v>1650000</v>
      </c>
      <c r="N724" s="6" t="s">
        <v>2003</v>
      </c>
      <c r="O724" s="6" t="s">
        <v>1075</v>
      </c>
      <c r="P724" s="6">
        <v>2015</v>
      </c>
      <c r="Q724" s="6">
        <v>1</v>
      </c>
      <c r="R724" s="6" t="s">
        <v>45</v>
      </c>
      <c r="S724" s="32" t="s">
        <v>2119</v>
      </c>
      <c r="T724" s="6">
        <v>1</v>
      </c>
      <c r="U724" s="26">
        <v>1550000</v>
      </c>
      <c r="V724" s="26">
        <v>1550000</v>
      </c>
      <c r="W724" s="26">
        <v>1550000</v>
      </c>
      <c r="X724" s="6" t="s">
        <v>2003</v>
      </c>
      <c r="Y724" s="6" t="s">
        <v>1165</v>
      </c>
      <c r="Z724" s="6">
        <v>226104</v>
      </c>
    </row>
    <row r="725" spans="1:26" x14ac:dyDescent="0.3">
      <c r="A725" s="28" t="s">
        <v>42</v>
      </c>
      <c r="B725" s="6" t="s">
        <v>2315</v>
      </c>
      <c r="C725" s="6"/>
      <c r="D725" s="6" t="s">
        <v>2292</v>
      </c>
      <c r="E725" s="6">
        <v>1</v>
      </c>
      <c r="F725" s="6" t="s">
        <v>2004</v>
      </c>
      <c r="G725" s="32" t="s">
        <v>2299</v>
      </c>
      <c r="H725" s="32" t="s">
        <v>2300</v>
      </c>
      <c r="I725" s="6" t="str">
        <f t="shared" si="25"/>
        <v>ETC</v>
      </c>
      <c r="J725" s="6" t="s">
        <v>705</v>
      </c>
      <c r="K725" s="6">
        <v>1</v>
      </c>
      <c r="L725" s="6">
        <f t="shared" si="26"/>
        <v>1050000</v>
      </c>
      <c r="M725" s="6">
        <v>900000</v>
      </c>
      <c r="N725" s="6" t="s">
        <v>2003</v>
      </c>
      <c r="O725" s="6" t="s">
        <v>2007</v>
      </c>
      <c r="P725" s="6">
        <v>2014</v>
      </c>
      <c r="Q725" s="6">
        <v>1</v>
      </c>
      <c r="R725" s="6" t="s">
        <v>45</v>
      </c>
      <c r="S725" s="32" t="s">
        <v>2113</v>
      </c>
      <c r="T725" s="6">
        <v>1</v>
      </c>
      <c r="U725" s="26">
        <v>800000</v>
      </c>
      <c r="V725" s="26">
        <v>800000</v>
      </c>
      <c r="W725" s="26">
        <v>800000</v>
      </c>
      <c r="X725" s="6" t="s">
        <v>2003</v>
      </c>
      <c r="Y725" s="6" t="s">
        <v>49</v>
      </c>
      <c r="Z725" s="6">
        <v>226115</v>
      </c>
    </row>
    <row r="726" spans="1:26" x14ac:dyDescent="0.3">
      <c r="A726" s="28" t="s">
        <v>42</v>
      </c>
      <c r="B726" s="6" t="s">
        <v>2308</v>
      </c>
      <c r="C726" s="6" t="s">
        <v>1975</v>
      </c>
      <c r="D726" s="6" t="s">
        <v>2001</v>
      </c>
      <c r="E726" s="6">
        <v>1</v>
      </c>
      <c r="F726" s="6" t="s">
        <v>2004</v>
      </c>
      <c r="G726" s="32" t="s">
        <v>2299</v>
      </c>
      <c r="H726" s="32" t="s">
        <v>2300</v>
      </c>
      <c r="I726" s="6" t="str">
        <f t="shared" si="25"/>
        <v>Side Breaker</v>
      </c>
      <c r="J726" s="6" t="s">
        <v>306</v>
      </c>
      <c r="K726" s="6">
        <v>1</v>
      </c>
      <c r="L726" s="6">
        <f t="shared" si="26"/>
        <v>7050000</v>
      </c>
      <c r="M726" s="6">
        <v>6000000</v>
      </c>
      <c r="N726" s="6" t="s">
        <v>2003</v>
      </c>
      <c r="O726" s="6" t="s">
        <v>2033</v>
      </c>
      <c r="P726" s="6">
        <v>2009</v>
      </c>
      <c r="Q726" s="6">
        <v>1</v>
      </c>
      <c r="R726" s="6" t="s">
        <v>45</v>
      </c>
      <c r="S726" s="32" t="s">
        <v>2121</v>
      </c>
      <c r="T726" s="6">
        <v>1</v>
      </c>
      <c r="U726" s="26">
        <v>5500000</v>
      </c>
      <c r="V726" s="26">
        <v>5500000</v>
      </c>
      <c r="W726" s="26">
        <v>5500000</v>
      </c>
      <c r="X726" s="6" t="s">
        <v>2003</v>
      </c>
      <c r="Y726" s="6" t="s">
        <v>1219</v>
      </c>
      <c r="Z726" s="6">
        <v>226122</v>
      </c>
    </row>
    <row r="727" spans="1:26" x14ac:dyDescent="0.3">
      <c r="A727" s="28" t="s">
        <v>42</v>
      </c>
      <c r="B727" s="6" t="s">
        <v>2313</v>
      </c>
      <c r="C727" s="6" t="s">
        <v>1980</v>
      </c>
      <c r="D727" s="6" t="s">
        <v>2292</v>
      </c>
      <c r="E727" s="6">
        <v>1</v>
      </c>
      <c r="F727" s="6" t="s">
        <v>2004</v>
      </c>
      <c r="G727" s="32" t="s">
        <v>2299</v>
      </c>
      <c r="H727" s="32" t="s">
        <v>2300</v>
      </c>
      <c r="I727" s="6" t="str">
        <f t="shared" si="25"/>
        <v>Small Bucket</v>
      </c>
      <c r="J727" s="6" t="s">
        <v>97</v>
      </c>
      <c r="K727" s="6">
        <v>1</v>
      </c>
      <c r="L727" s="6">
        <f t="shared" si="26"/>
        <v>700000</v>
      </c>
      <c r="M727" s="6">
        <v>600000</v>
      </c>
      <c r="N727" s="6" t="s">
        <v>2003</v>
      </c>
      <c r="O727" s="6" t="s">
        <v>813</v>
      </c>
      <c r="P727" s="6">
        <v>2013</v>
      </c>
      <c r="Q727" s="6">
        <v>1</v>
      </c>
      <c r="R727" s="6" t="s">
        <v>45</v>
      </c>
      <c r="S727" s="32" t="s">
        <v>2113</v>
      </c>
      <c r="T727" s="6">
        <v>1</v>
      </c>
      <c r="U727" s="26">
        <v>500000</v>
      </c>
      <c r="V727" s="26">
        <v>500000</v>
      </c>
      <c r="W727" s="26">
        <v>500000</v>
      </c>
      <c r="X727" s="6" t="s">
        <v>2003</v>
      </c>
      <c r="Y727" s="6" t="s">
        <v>79</v>
      </c>
      <c r="Z727" s="6">
        <v>226128</v>
      </c>
    </row>
    <row r="728" spans="1:26" x14ac:dyDescent="0.3">
      <c r="A728" s="28" t="s">
        <v>42</v>
      </c>
      <c r="B728" s="6" t="s">
        <v>2309</v>
      </c>
      <c r="C728" s="6" t="s">
        <v>1972</v>
      </c>
      <c r="D728" s="6" t="s">
        <v>2292</v>
      </c>
      <c r="E728" s="6">
        <v>1</v>
      </c>
      <c r="F728" s="6" t="s">
        <v>2004</v>
      </c>
      <c r="G728" s="32" t="s">
        <v>2299</v>
      </c>
      <c r="H728" s="32" t="s">
        <v>2300</v>
      </c>
      <c r="I728" s="6" t="str">
        <f t="shared" si="25"/>
        <v>Stone Grapple</v>
      </c>
      <c r="J728" s="6" t="s">
        <v>340</v>
      </c>
      <c r="K728" s="6">
        <v>1</v>
      </c>
      <c r="L728" s="6">
        <f t="shared" si="26"/>
        <v>2940000</v>
      </c>
      <c r="M728" s="6">
        <v>2500000</v>
      </c>
      <c r="N728" s="6" t="s">
        <v>2003</v>
      </c>
      <c r="O728" s="6" t="s">
        <v>814</v>
      </c>
      <c r="P728" s="6">
        <v>2014</v>
      </c>
      <c r="Q728" s="6">
        <v>12</v>
      </c>
      <c r="R728" s="6" t="s">
        <v>45</v>
      </c>
      <c r="S728" s="32" t="s">
        <v>2119</v>
      </c>
      <c r="T728" s="6">
        <v>1</v>
      </c>
      <c r="U728" s="26">
        <v>2300000</v>
      </c>
      <c r="V728" s="26">
        <v>2300000</v>
      </c>
      <c r="W728" s="26">
        <v>2300000</v>
      </c>
      <c r="X728" s="6" t="s">
        <v>2003</v>
      </c>
      <c r="Y728" s="6" t="s">
        <v>1194</v>
      </c>
      <c r="Z728" s="6">
        <v>226134</v>
      </c>
    </row>
    <row r="729" spans="1:26" x14ac:dyDescent="0.3">
      <c r="A729" s="28" t="s">
        <v>42</v>
      </c>
      <c r="B729" s="6" t="s">
        <v>2308</v>
      </c>
      <c r="C729" s="6" t="s">
        <v>1975</v>
      </c>
      <c r="D729" s="6" t="s">
        <v>2291</v>
      </c>
      <c r="E729" s="6">
        <v>1</v>
      </c>
      <c r="F729" s="6" t="s">
        <v>2004</v>
      </c>
      <c r="G729" s="32" t="s">
        <v>2299</v>
      </c>
      <c r="H729" s="32" t="s">
        <v>2300</v>
      </c>
      <c r="I729" s="6" t="str">
        <f t="shared" si="25"/>
        <v>Side Breaker</v>
      </c>
      <c r="J729" s="6" t="s">
        <v>355</v>
      </c>
      <c r="K729" s="6">
        <v>1</v>
      </c>
      <c r="L729" s="6">
        <f t="shared" si="26"/>
        <v>1640000</v>
      </c>
      <c r="M729" s="6">
        <v>1400000</v>
      </c>
      <c r="N729" s="6" t="s">
        <v>2003</v>
      </c>
      <c r="O729" s="6" t="s">
        <v>2079</v>
      </c>
      <c r="P729" s="6">
        <v>2005</v>
      </c>
      <c r="Q729" s="6">
        <v>1</v>
      </c>
      <c r="R729" s="6" t="s">
        <v>45</v>
      </c>
      <c r="S729" s="32" t="s">
        <v>2122</v>
      </c>
      <c r="T729" s="6">
        <v>1</v>
      </c>
      <c r="U729" s="26">
        <v>1300000</v>
      </c>
      <c r="V729" s="26">
        <v>1300000</v>
      </c>
      <c r="W729" s="26">
        <v>1300000</v>
      </c>
      <c r="X729" s="6" t="s">
        <v>2003</v>
      </c>
      <c r="Y729" s="6" t="s">
        <v>1201</v>
      </c>
      <c r="Z729" s="6">
        <v>226139</v>
      </c>
    </row>
    <row r="730" spans="1:26" x14ac:dyDescent="0.3">
      <c r="A730" s="28" t="s">
        <v>42</v>
      </c>
      <c r="B730" s="6" t="s">
        <v>2309</v>
      </c>
      <c r="C730" s="6" t="s">
        <v>1974</v>
      </c>
      <c r="D730" s="6" t="s">
        <v>2292</v>
      </c>
      <c r="E730" s="6">
        <v>1</v>
      </c>
      <c r="F730" s="6" t="s">
        <v>2004</v>
      </c>
      <c r="G730" s="32" t="s">
        <v>2299</v>
      </c>
      <c r="H730" s="32" t="s">
        <v>2300</v>
      </c>
      <c r="I730" s="6" t="str">
        <f t="shared" si="25"/>
        <v>Etc Grapple</v>
      </c>
      <c r="J730" s="6" t="s">
        <v>125</v>
      </c>
      <c r="K730" s="6">
        <v>1</v>
      </c>
      <c r="L730" s="6">
        <f t="shared" si="26"/>
        <v>4470000</v>
      </c>
      <c r="M730" s="6">
        <v>3800000</v>
      </c>
      <c r="N730" s="6" t="s">
        <v>2003</v>
      </c>
      <c r="O730" s="6" t="s">
        <v>850</v>
      </c>
      <c r="P730" s="6">
        <v>2013</v>
      </c>
      <c r="Q730" s="6">
        <v>1</v>
      </c>
      <c r="R730" s="6" t="s">
        <v>45</v>
      </c>
      <c r="S730" s="32" t="s">
        <v>2116</v>
      </c>
      <c r="T730" s="6">
        <v>1</v>
      </c>
      <c r="U730" s="26">
        <v>3600000</v>
      </c>
      <c r="V730" s="26">
        <v>3600000</v>
      </c>
      <c r="W730" s="26">
        <v>3600000</v>
      </c>
      <c r="X730" s="6" t="s">
        <v>2003</v>
      </c>
      <c r="Y730" s="6" t="s">
        <v>90</v>
      </c>
      <c r="Z730" s="6">
        <v>226143</v>
      </c>
    </row>
    <row r="731" spans="1:26" x14ac:dyDescent="0.3">
      <c r="A731" s="28" t="s">
        <v>42</v>
      </c>
      <c r="B731" s="6" t="s">
        <v>2313</v>
      </c>
      <c r="C731" s="6" t="s">
        <v>1971</v>
      </c>
      <c r="D731" s="6" t="s">
        <v>2289</v>
      </c>
      <c r="E731" s="6">
        <v>1</v>
      </c>
      <c r="F731" s="6" t="s">
        <v>2004</v>
      </c>
      <c r="G731" s="32" t="s">
        <v>2299</v>
      </c>
      <c r="H731" s="32" t="s">
        <v>2300</v>
      </c>
      <c r="I731" s="6" t="str">
        <f t="shared" si="25"/>
        <v>Special Bucket</v>
      </c>
      <c r="J731" s="6" t="s">
        <v>674</v>
      </c>
      <c r="K731" s="6">
        <v>1</v>
      </c>
      <c r="L731" s="6">
        <f t="shared" si="26"/>
        <v>5520000</v>
      </c>
      <c r="M731" s="6">
        <v>4700000</v>
      </c>
      <c r="N731" s="6" t="s">
        <v>2003</v>
      </c>
      <c r="O731" s="6" t="s">
        <v>107</v>
      </c>
      <c r="P731" s="6">
        <v>2014</v>
      </c>
      <c r="Q731" s="6">
        <v>7</v>
      </c>
      <c r="R731" s="6" t="s">
        <v>45</v>
      </c>
      <c r="S731" s="32" t="s">
        <v>2121</v>
      </c>
      <c r="T731" s="6">
        <v>1</v>
      </c>
      <c r="U731" s="26">
        <v>4500000</v>
      </c>
      <c r="V731" s="26">
        <v>4500000</v>
      </c>
      <c r="W731" s="26">
        <v>4500000</v>
      </c>
      <c r="X731" s="6" t="s">
        <v>2003</v>
      </c>
      <c r="Y731" s="6" t="s">
        <v>1215</v>
      </c>
      <c r="Z731" s="6">
        <v>226149</v>
      </c>
    </row>
    <row r="732" spans="1:26" x14ac:dyDescent="0.3">
      <c r="A732" s="28" t="s">
        <v>42</v>
      </c>
      <c r="B732" s="6" t="s">
        <v>2315</v>
      </c>
      <c r="C732" s="6"/>
      <c r="D732" s="6" t="s">
        <v>2002</v>
      </c>
      <c r="E732" s="6">
        <v>1</v>
      </c>
      <c r="F732" s="6" t="s">
        <v>2004</v>
      </c>
      <c r="G732" s="32" t="s">
        <v>2299</v>
      </c>
      <c r="H732" s="32" t="s">
        <v>2300</v>
      </c>
      <c r="I732" s="6" t="str">
        <f t="shared" si="25"/>
        <v>ETC</v>
      </c>
      <c r="J732" s="6" t="s">
        <v>707</v>
      </c>
      <c r="K732" s="6">
        <v>1</v>
      </c>
      <c r="L732" s="6">
        <f t="shared" si="26"/>
        <v>410000</v>
      </c>
      <c r="M732" s="6">
        <v>350000</v>
      </c>
      <c r="N732" s="6" t="s">
        <v>2003</v>
      </c>
      <c r="O732" s="6" t="s">
        <v>1076</v>
      </c>
      <c r="P732" s="6">
        <v>2016</v>
      </c>
      <c r="Q732" s="6">
        <v>1</v>
      </c>
      <c r="R732" s="6" t="s">
        <v>45</v>
      </c>
      <c r="S732" s="32" t="s">
        <v>2123</v>
      </c>
      <c r="T732" s="6">
        <v>1</v>
      </c>
      <c r="U732" s="26">
        <v>300000</v>
      </c>
      <c r="V732" s="26">
        <v>300000</v>
      </c>
      <c r="W732" s="26">
        <v>300000</v>
      </c>
      <c r="X732" s="6" t="s">
        <v>2003</v>
      </c>
      <c r="Y732" s="6" t="s">
        <v>69</v>
      </c>
      <c r="Z732" s="6">
        <v>226150</v>
      </c>
    </row>
    <row r="733" spans="1:26" x14ac:dyDescent="0.3">
      <c r="A733" s="28" t="s">
        <v>42</v>
      </c>
      <c r="B733" s="6" t="s">
        <v>2310</v>
      </c>
      <c r="C733" s="6"/>
      <c r="D733" s="6" t="s">
        <v>2001</v>
      </c>
      <c r="E733" s="6">
        <v>1</v>
      </c>
      <c r="F733" s="6" t="s">
        <v>2004</v>
      </c>
      <c r="G733" s="32" t="s">
        <v>2299</v>
      </c>
      <c r="H733" s="32" t="s">
        <v>2300</v>
      </c>
      <c r="I733" s="6" t="str">
        <f t="shared" si="25"/>
        <v>Quick Coupler</v>
      </c>
      <c r="J733" s="6" t="s">
        <v>255</v>
      </c>
      <c r="K733" s="6">
        <v>1</v>
      </c>
      <c r="L733" s="6">
        <f t="shared" si="26"/>
        <v>1640000</v>
      </c>
      <c r="M733" s="6">
        <v>1400000</v>
      </c>
      <c r="N733" s="6" t="s">
        <v>2003</v>
      </c>
      <c r="O733" s="6" t="s">
        <v>2007</v>
      </c>
      <c r="P733" s="6">
        <v>2014</v>
      </c>
      <c r="Q733" s="6">
        <v>1</v>
      </c>
      <c r="R733" s="6" t="s">
        <v>45</v>
      </c>
      <c r="S733" s="32" t="s">
        <v>2113</v>
      </c>
      <c r="T733" s="6">
        <v>1</v>
      </c>
      <c r="U733" s="26">
        <v>1300000</v>
      </c>
      <c r="V733" s="26">
        <v>1300000</v>
      </c>
      <c r="W733" s="26">
        <v>1300000</v>
      </c>
      <c r="X733" s="6" t="s">
        <v>2003</v>
      </c>
      <c r="Y733" s="6" t="s">
        <v>49</v>
      </c>
      <c r="Z733" s="6">
        <v>226152</v>
      </c>
    </row>
    <row r="734" spans="1:26" x14ac:dyDescent="0.3">
      <c r="A734" s="28" t="s">
        <v>42</v>
      </c>
      <c r="B734" s="6" t="s">
        <v>2308</v>
      </c>
      <c r="C734" s="6" t="s">
        <v>1975</v>
      </c>
      <c r="D734" s="6" t="s">
        <v>2001</v>
      </c>
      <c r="E734" s="6">
        <v>1</v>
      </c>
      <c r="F734" s="6" t="s">
        <v>2004</v>
      </c>
      <c r="G734" s="32" t="s">
        <v>2299</v>
      </c>
      <c r="H734" s="32" t="s">
        <v>2300</v>
      </c>
      <c r="I734" s="6" t="str">
        <f t="shared" si="25"/>
        <v>Side Breaker</v>
      </c>
      <c r="J734" s="6" t="s">
        <v>709</v>
      </c>
      <c r="K734" s="6">
        <v>1</v>
      </c>
      <c r="L734" s="6">
        <f t="shared" si="26"/>
        <v>4940000</v>
      </c>
      <c r="M734" s="6">
        <v>4200000</v>
      </c>
      <c r="N734" s="6" t="s">
        <v>2003</v>
      </c>
      <c r="O734" s="6" t="s">
        <v>1077</v>
      </c>
      <c r="P734" s="6">
        <v>2009</v>
      </c>
      <c r="Q734" s="6">
        <v>1</v>
      </c>
      <c r="R734" s="6" t="s">
        <v>45</v>
      </c>
      <c r="S734" s="32" t="s">
        <v>2116</v>
      </c>
      <c r="T734" s="6">
        <v>1</v>
      </c>
      <c r="U734" s="26">
        <v>4000000</v>
      </c>
      <c r="V734" s="26">
        <v>4000000</v>
      </c>
      <c r="W734" s="26">
        <v>4000000</v>
      </c>
      <c r="X734" s="6" t="s">
        <v>2003</v>
      </c>
      <c r="Y734" s="6" t="s">
        <v>1146</v>
      </c>
      <c r="Z734" s="6">
        <v>226155</v>
      </c>
    </row>
    <row r="735" spans="1:26" x14ac:dyDescent="0.3">
      <c r="A735" s="28" t="s">
        <v>42</v>
      </c>
      <c r="B735" s="6" t="s">
        <v>2313</v>
      </c>
      <c r="C735" s="19" t="s">
        <v>2209</v>
      </c>
      <c r="D735" s="6" t="s">
        <v>2289</v>
      </c>
      <c r="E735" s="6">
        <v>1</v>
      </c>
      <c r="F735" s="6" t="s">
        <v>2004</v>
      </c>
      <c r="G735" s="32" t="s">
        <v>2299</v>
      </c>
      <c r="H735" s="32" t="s">
        <v>2300</v>
      </c>
      <c r="I735" s="6" t="str">
        <f t="shared" si="25"/>
        <v>Etc Bucket</v>
      </c>
      <c r="J735" s="6" t="s">
        <v>372</v>
      </c>
      <c r="K735" s="6">
        <v>1</v>
      </c>
      <c r="L735" s="6">
        <f t="shared" si="26"/>
        <v>5170000</v>
      </c>
      <c r="M735" s="6">
        <v>4400000</v>
      </c>
      <c r="N735" s="6" t="s">
        <v>2003</v>
      </c>
      <c r="O735" s="6" t="s">
        <v>1044</v>
      </c>
      <c r="P735" s="6">
        <v>2015</v>
      </c>
      <c r="Q735" s="6">
        <v>10</v>
      </c>
      <c r="R735" s="6" t="s">
        <v>45</v>
      </c>
      <c r="S735" s="32" t="s">
        <v>2122</v>
      </c>
      <c r="T735" s="6">
        <v>1</v>
      </c>
      <c r="U735" s="26">
        <v>4200000</v>
      </c>
      <c r="V735" s="26">
        <v>4200000</v>
      </c>
      <c r="W735" s="26">
        <v>4200000</v>
      </c>
      <c r="X735" s="6" t="s">
        <v>2003</v>
      </c>
      <c r="Y735" s="6" t="s">
        <v>1238</v>
      </c>
      <c r="Z735" s="6">
        <v>226156</v>
      </c>
    </row>
    <row r="736" spans="1:26" x14ac:dyDescent="0.3">
      <c r="A736" s="28" t="s">
        <v>42</v>
      </c>
      <c r="B736" s="6" t="s">
        <v>2310</v>
      </c>
      <c r="C736" s="6"/>
      <c r="D736" s="6" t="s">
        <v>2292</v>
      </c>
      <c r="E736" s="6">
        <v>1</v>
      </c>
      <c r="F736" s="6" t="s">
        <v>2004</v>
      </c>
      <c r="G736" s="32" t="s">
        <v>2299</v>
      </c>
      <c r="H736" s="32" t="s">
        <v>2300</v>
      </c>
      <c r="I736" s="6" t="str">
        <f t="shared" si="25"/>
        <v>Quick Coupler</v>
      </c>
      <c r="J736" s="6" t="s">
        <v>710</v>
      </c>
      <c r="K736" s="6">
        <v>1</v>
      </c>
      <c r="L736" s="6">
        <f t="shared" si="26"/>
        <v>940000</v>
      </c>
      <c r="M736" s="6">
        <v>800000</v>
      </c>
      <c r="N736" s="6" t="s">
        <v>2003</v>
      </c>
      <c r="O736" s="6" t="s">
        <v>2080</v>
      </c>
      <c r="P736" s="6">
        <v>2017</v>
      </c>
      <c r="Q736" s="6">
        <v>1</v>
      </c>
      <c r="R736" s="6" t="s">
        <v>45</v>
      </c>
      <c r="S736" s="32" t="s">
        <v>2113</v>
      </c>
      <c r="T736" s="6">
        <v>1</v>
      </c>
      <c r="U736" s="26">
        <v>700000</v>
      </c>
      <c r="V736" s="26">
        <v>700000</v>
      </c>
      <c r="W736" s="26">
        <v>700000</v>
      </c>
      <c r="X736" s="6" t="s">
        <v>2003</v>
      </c>
      <c r="Y736" s="6" t="s">
        <v>49</v>
      </c>
      <c r="Z736" s="6">
        <v>226158</v>
      </c>
    </row>
    <row r="737" spans="1:26" x14ac:dyDescent="0.3">
      <c r="A737" s="28" t="s">
        <v>42</v>
      </c>
      <c r="B737" s="6" t="s">
        <v>2309</v>
      </c>
      <c r="C737" s="6" t="s">
        <v>1974</v>
      </c>
      <c r="D737" s="6" t="s">
        <v>2292</v>
      </c>
      <c r="E737" s="6">
        <v>1</v>
      </c>
      <c r="F737" s="6" t="s">
        <v>2004</v>
      </c>
      <c r="G737" s="32" t="s">
        <v>2299</v>
      </c>
      <c r="H737" s="32" t="s">
        <v>2300</v>
      </c>
      <c r="I737" s="6" t="str">
        <f t="shared" si="25"/>
        <v>Etc Grapple</v>
      </c>
      <c r="J737" s="6" t="s">
        <v>247</v>
      </c>
      <c r="K737" s="6">
        <v>1</v>
      </c>
      <c r="L737" s="6">
        <f t="shared" si="26"/>
        <v>2820000</v>
      </c>
      <c r="M737" s="6">
        <v>2400000</v>
      </c>
      <c r="N737" s="6" t="s">
        <v>2003</v>
      </c>
      <c r="O737" s="6" t="s">
        <v>824</v>
      </c>
      <c r="P737" s="6">
        <v>2012</v>
      </c>
      <c r="Q737" s="6">
        <v>1</v>
      </c>
      <c r="R737" s="6" t="s">
        <v>45</v>
      </c>
      <c r="S737" s="32" t="s">
        <v>2122</v>
      </c>
      <c r="T737" s="6">
        <v>1</v>
      </c>
      <c r="U737" s="26">
        <v>2200000</v>
      </c>
      <c r="V737" s="26">
        <v>2200000</v>
      </c>
      <c r="W737" s="26">
        <v>2200000</v>
      </c>
      <c r="X737" s="6" t="s">
        <v>2003</v>
      </c>
      <c r="Y737" s="6" t="s">
        <v>1201</v>
      </c>
      <c r="Z737" s="6">
        <v>226159</v>
      </c>
    </row>
    <row r="738" spans="1:26" x14ac:dyDescent="0.3">
      <c r="A738" s="28" t="s">
        <v>42</v>
      </c>
      <c r="B738" s="6" t="s">
        <v>2314</v>
      </c>
      <c r="C738" s="19" t="s">
        <v>2321</v>
      </c>
      <c r="D738" s="6" t="s">
        <v>2292</v>
      </c>
      <c r="E738" s="6">
        <v>1</v>
      </c>
      <c r="F738" s="6" t="s">
        <v>2004</v>
      </c>
      <c r="G738" s="32" t="s">
        <v>2299</v>
      </c>
      <c r="H738" s="32" t="s">
        <v>2300</v>
      </c>
      <c r="I738" s="6" t="str">
        <f t="shared" si="25"/>
        <v>Etc Crusher</v>
      </c>
      <c r="J738" s="6" t="s">
        <v>319</v>
      </c>
      <c r="K738" s="6">
        <v>1</v>
      </c>
      <c r="L738" s="6">
        <f t="shared" si="26"/>
        <v>8820000</v>
      </c>
      <c r="M738" s="6">
        <v>7500000</v>
      </c>
      <c r="N738" s="6" t="s">
        <v>2003</v>
      </c>
      <c r="O738" s="6" t="s">
        <v>2012</v>
      </c>
      <c r="P738" s="6">
        <v>2014</v>
      </c>
      <c r="Q738" s="6">
        <v>1</v>
      </c>
      <c r="R738" s="6" t="s">
        <v>45</v>
      </c>
      <c r="S738" s="32" t="s">
        <v>2113</v>
      </c>
      <c r="T738" s="6">
        <v>1</v>
      </c>
      <c r="U738" s="26">
        <v>7000000</v>
      </c>
      <c r="V738" s="26">
        <v>7000000</v>
      </c>
      <c r="W738" s="26">
        <v>7000000</v>
      </c>
      <c r="X738" s="6" t="s">
        <v>2003</v>
      </c>
      <c r="Y738" s="6" t="s">
        <v>49</v>
      </c>
      <c r="Z738" s="6">
        <v>226162</v>
      </c>
    </row>
    <row r="739" spans="1:26" x14ac:dyDescent="0.3">
      <c r="A739" s="28" t="s">
        <v>42</v>
      </c>
      <c r="B739" s="6" t="s">
        <v>2309</v>
      </c>
      <c r="C739" s="6" t="s">
        <v>1972</v>
      </c>
      <c r="D739" s="6" t="s">
        <v>2292</v>
      </c>
      <c r="E739" s="6">
        <v>1</v>
      </c>
      <c r="F739" s="6" t="s">
        <v>2004</v>
      </c>
      <c r="G739" s="32" t="s">
        <v>2299</v>
      </c>
      <c r="H739" s="32" t="s">
        <v>2300</v>
      </c>
      <c r="I739" s="6" t="str">
        <f t="shared" si="25"/>
        <v>Stone Grapple</v>
      </c>
      <c r="J739" s="6" t="s">
        <v>72</v>
      </c>
      <c r="K739" s="6">
        <v>1</v>
      </c>
      <c r="L739" s="6">
        <f t="shared" si="26"/>
        <v>6470000</v>
      </c>
      <c r="M739" s="6">
        <v>5500000</v>
      </c>
      <c r="N739" s="6" t="s">
        <v>2003</v>
      </c>
      <c r="O739" s="6" t="s">
        <v>2007</v>
      </c>
      <c r="P739" s="6">
        <v>2014</v>
      </c>
      <c r="Q739" s="6">
        <v>1</v>
      </c>
      <c r="R739" s="6" t="s">
        <v>45</v>
      </c>
      <c r="S739" s="32" t="s">
        <v>2113</v>
      </c>
      <c r="T739" s="6">
        <v>1</v>
      </c>
      <c r="U739" s="26">
        <v>5000000</v>
      </c>
      <c r="V739" s="26">
        <v>5000000</v>
      </c>
      <c r="W739" s="26">
        <v>5000000</v>
      </c>
      <c r="X739" s="6" t="s">
        <v>2003</v>
      </c>
      <c r="Y739" s="6" t="s">
        <v>49</v>
      </c>
      <c r="Z739" s="6">
        <v>226164</v>
      </c>
    </row>
    <row r="740" spans="1:26" x14ac:dyDescent="0.3">
      <c r="A740" s="28" t="s">
        <v>42</v>
      </c>
      <c r="B740" s="6" t="s">
        <v>2313</v>
      </c>
      <c r="C740" s="6" t="s">
        <v>1980</v>
      </c>
      <c r="D740" s="6" t="s">
        <v>2291</v>
      </c>
      <c r="E740" s="6">
        <v>1</v>
      </c>
      <c r="F740" s="6" t="s">
        <v>2004</v>
      </c>
      <c r="G740" s="32" t="s">
        <v>2299</v>
      </c>
      <c r="H740" s="32" t="s">
        <v>2300</v>
      </c>
      <c r="I740" s="6" t="str">
        <f t="shared" si="25"/>
        <v>Small Bucket</v>
      </c>
      <c r="J740" s="6" t="s">
        <v>276</v>
      </c>
      <c r="K740" s="6">
        <v>1</v>
      </c>
      <c r="L740" s="6">
        <f t="shared" si="26"/>
        <v>700000</v>
      </c>
      <c r="M740" s="6">
        <v>600000</v>
      </c>
      <c r="N740" s="6" t="s">
        <v>2003</v>
      </c>
      <c r="O740" s="6" t="s">
        <v>793</v>
      </c>
      <c r="P740" s="6">
        <v>2012</v>
      </c>
      <c r="Q740" s="6">
        <v>1</v>
      </c>
      <c r="R740" s="6" t="s">
        <v>45</v>
      </c>
      <c r="S740" s="32" t="s">
        <v>2116</v>
      </c>
      <c r="T740" s="6">
        <v>1</v>
      </c>
      <c r="U740" s="26">
        <v>500000</v>
      </c>
      <c r="V740" s="26">
        <v>500000</v>
      </c>
      <c r="W740" s="26">
        <v>500000</v>
      </c>
      <c r="X740" s="6" t="s">
        <v>2003</v>
      </c>
      <c r="Y740" s="6" t="s">
        <v>1146</v>
      </c>
      <c r="Z740" s="6">
        <v>226165</v>
      </c>
    </row>
    <row r="741" spans="1:26" x14ac:dyDescent="0.3">
      <c r="A741" s="28" t="s">
        <v>42</v>
      </c>
      <c r="B741" s="6" t="s">
        <v>2315</v>
      </c>
      <c r="C741" s="6"/>
      <c r="D741" s="6" t="s">
        <v>2292</v>
      </c>
      <c r="E741" s="6">
        <v>1</v>
      </c>
      <c r="F741" s="6" t="s">
        <v>2004</v>
      </c>
      <c r="G741" s="32" t="s">
        <v>2299</v>
      </c>
      <c r="H741" s="32" t="s">
        <v>2300</v>
      </c>
      <c r="I741" s="6" t="str">
        <f t="shared" si="25"/>
        <v>ETC</v>
      </c>
      <c r="J741" s="6" t="s">
        <v>712</v>
      </c>
      <c r="K741" s="6">
        <v>1</v>
      </c>
      <c r="L741" s="6">
        <f t="shared" si="26"/>
        <v>14700000</v>
      </c>
      <c r="M741" s="6">
        <v>12500000</v>
      </c>
      <c r="N741" s="6" t="s">
        <v>2003</v>
      </c>
      <c r="O741" s="6" t="s">
        <v>2012</v>
      </c>
      <c r="P741" s="6">
        <v>2014</v>
      </c>
      <c r="Q741" s="6">
        <v>1</v>
      </c>
      <c r="R741" s="6" t="s">
        <v>45</v>
      </c>
      <c r="S741" s="32" t="s">
        <v>2113</v>
      </c>
      <c r="T741" s="6">
        <v>1</v>
      </c>
      <c r="U741" s="26">
        <v>12000000</v>
      </c>
      <c r="V741" s="26">
        <v>12000000</v>
      </c>
      <c r="W741" s="26">
        <v>12000000</v>
      </c>
      <c r="X741" s="6" t="s">
        <v>2003</v>
      </c>
      <c r="Y741" s="6" t="s">
        <v>49</v>
      </c>
      <c r="Z741" s="6">
        <v>226168</v>
      </c>
    </row>
    <row r="742" spans="1:26" x14ac:dyDescent="0.3">
      <c r="A742" s="28" t="s">
        <v>42</v>
      </c>
      <c r="B742" s="6" t="s">
        <v>2309</v>
      </c>
      <c r="C742" s="6" t="s">
        <v>1974</v>
      </c>
      <c r="D742" s="6" t="s">
        <v>2291</v>
      </c>
      <c r="E742" s="6">
        <v>1</v>
      </c>
      <c r="F742" s="6" t="s">
        <v>2004</v>
      </c>
      <c r="G742" s="32" t="s">
        <v>2299</v>
      </c>
      <c r="H742" s="32" t="s">
        <v>2300</v>
      </c>
      <c r="I742" s="6" t="str">
        <f t="shared" si="25"/>
        <v>Etc Grapple</v>
      </c>
      <c r="J742" s="6" t="s">
        <v>713</v>
      </c>
      <c r="K742" s="6">
        <v>1</v>
      </c>
      <c r="L742" s="6">
        <f t="shared" si="26"/>
        <v>1880000</v>
      </c>
      <c r="M742" s="6">
        <v>1600000</v>
      </c>
      <c r="N742" s="6" t="s">
        <v>2003</v>
      </c>
      <c r="O742" s="6" t="s">
        <v>1078</v>
      </c>
      <c r="P742" s="6">
        <v>2014</v>
      </c>
      <c r="Q742" s="6">
        <v>1</v>
      </c>
      <c r="R742" s="6" t="s">
        <v>45</v>
      </c>
      <c r="S742" s="32" t="s">
        <v>2111</v>
      </c>
      <c r="T742" s="6">
        <v>1</v>
      </c>
      <c r="U742" s="26">
        <v>1500000</v>
      </c>
      <c r="V742" s="26">
        <v>1500000</v>
      </c>
      <c r="W742" s="26">
        <v>1500000</v>
      </c>
      <c r="X742" s="6" t="s">
        <v>2003</v>
      </c>
      <c r="Y742" s="6" t="s">
        <v>1191</v>
      </c>
      <c r="Z742" s="6">
        <v>226170</v>
      </c>
    </row>
    <row r="743" spans="1:26" x14ac:dyDescent="0.3">
      <c r="A743" s="28" t="s">
        <v>42</v>
      </c>
      <c r="B743" s="6" t="s">
        <v>2310</v>
      </c>
      <c r="C743" s="6"/>
      <c r="D743" s="6" t="s">
        <v>2292</v>
      </c>
      <c r="E743" s="6">
        <v>1</v>
      </c>
      <c r="F743" s="6" t="s">
        <v>2004</v>
      </c>
      <c r="G743" s="32" t="s">
        <v>2299</v>
      </c>
      <c r="H743" s="32" t="s">
        <v>2300</v>
      </c>
      <c r="I743" s="6" t="str">
        <f t="shared" si="25"/>
        <v>Quick Coupler</v>
      </c>
      <c r="J743" s="6" t="s">
        <v>714</v>
      </c>
      <c r="K743" s="6">
        <v>1</v>
      </c>
      <c r="L743" s="6">
        <f t="shared" si="26"/>
        <v>4940000</v>
      </c>
      <c r="M743" s="6">
        <v>4200000</v>
      </c>
      <c r="N743" s="6" t="s">
        <v>2003</v>
      </c>
      <c r="O743" s="6" t="s">
        <v>1079</v>
      </c>
      <c r="P743" s="6">
        <v>2016</v>
      </c>
      <c r="Q743" s="6">
        <v>8</v>
      </c>
      <c r="R743" s="6" t="s">
        <v>45</v>
      </c>
      <c r="S743" s="32" t="s">
        <v>2124</v>
      </c>
      <c r="T743" s="6">
        <v>1</v>
      </c>
      <c r="U743" s="26">
        <v>4000000</v>
      </c>
      <c r="V743" s="26">
        <v>4000000</v>
      </c>
      <c r="W743" s="26">
        <v>4000000</v>
      </c>
      <c r="X743" s="6" t="s">
        <v>2003</v>
      </c>
      <c r="Y743" s="6" t="s">
        <v>1303</v>
      </c>
      <c r="Z743" s="6">
        <v>226172</v>
      </c>
    </row>
    <row r="744" spans="1:26" x14ac:dyDescent="0.3">
      <c r="A744" s="28" t="s">
        <v>42</v>
      </c>
      <c r="B744" s="6" t="s">
        <v>2309</v>
      </c>
      <c r="C744" s="6" t="s">
        <v>1974</v>
      </c>
      <c r="D744" s="6" t="s">
        <v>2291</v>
      </c>
      <c r="E744" s="6">
        <v>1</v>
      </c>
      <c r="F744" s="6" t="s">
        <v>2004</v>
      </c>
      <c r="G744" s="32" t="s">
        <v>2299</v>
      </c>
      <c r="H744" s="32" t="s">
        <v>2300</v>
      </c>
      <c r="I744" s="6" t="str">
        <f t="shared" si="25"/>
        <v>Etc Grapple</v>
      </c>
      <c r="J744" s="6" t="s">
        <v>136</v>
      </c>
      <c r="K744" s="6">
        <v>1</v>
      </c>
      <c r="L744" s="6">
        <f t="shared" si="26"/>
        <v>2230000</v>
      </c>
      <c r="M744" s="6">
        <v>1900000</v>
      </c>
      <c r="N744" s="6" t="s">
        <v>2003</v>
      </c>
      <c r="O744" s="6" t="s">
        <v>107</v>
      </c>
      <c r="P744" s="6">
        <v>2010</v>
      </c>
      <c r="Q744" s="6">
        <v>1</v>
      </c>
      <c r="R744" s="6" t="s">
        <v>45</v>
      </c>
      <c r="S744" s="32" t="s">
        <v>2116</v>
      </c>
      <c r="T744" s="6">
        <v>1</v>
      </c>
      <c r="U744" s="26">
        <v>1800000</v>
      </c>
      <c r="V744" s="26">
        <v>1800000</v>
      </c>
      <c r="W744" s="26">
        <v>1800000</v>
      </c>
      <c r="X744" s="6" t="s">
        <v>2003</v>
      </c>
      <c r="Y744" s="6" t="s">
        <v>830</v>
      </c>
      <c r="Z744" s="6">
        <v>226173</v>
      </c>
    </row>
    <row r="745" spans="1:26" x14ac:dyDescent="0.3">
      <c r="A745" s="28" t="s">
        <v>42</v>
      </c>
      <c r="B745" s="6" t="s">
        <v>2308</v>
      </c>
      <c r="C745" s="6" t="s">
        <v>1975</v>
      </c>
      <c r="D745" s="6" t="s">
        <v>2292</v>
      </c>
      <c r="E745" s="6">
        <v>1</v>
      </c>
      <c r="F745" s="6" t="s">
        <v>2004</v>
      </c>
      <c r="G745" s="32" t="s">
        <v>2299</v>
      </c>
      <c r="H745" s="32" t="s">
        <v>2300</v>
      </c>
      <c r="I745" s="6" t="str">
        <f t="shared" si="25"/>
        <v>Side Breaker</v>
      </c>
      <c r="J745" s="6" t="s">
        <v>715</v>
      </c>
      <c r="K745" s="6">
        <v>1</v>
      </c>
      <c r="L745" s="6">
        <f t="shared" si="26"/>
        <v>4350000</v>
      </c>
      <c r="M745" s="6">
        <v>3700000</v>
      </c>
      <c r="N745" s="6" t="s">
        <v>2003</v>
      </c>
      <c r="O745" s="6" t="s">
        <v>801</v>
      </c>
      <c r="P745" s="6">
        <v>2013</v>
      </c>
      <c r="Q745" s="6">
        <v>1</v>
      </c>
      <c r="R745" s="6" t="s">
        <v>45</v>
      </c>
      <c r="S745" s="32" t="s">
        <v>2110</v>
      </c>
      <c r="T745" s="6">
        <v>1</v>
      </c>
      <c r="U745" s="26">
        <v>3500000</v>
      </c>
      <c r="V745" s="26">
        <v>3500000</v>
      </c>
      <c r="W745" s="26">
        <v>3500000</v>
      </c>
      <c r="X745" s="6" t="s">
        <v>2003</v>
      </c>
      <c r="Y745" s="6" t="s">
        <v>1182</v>
      </c>
      <c r="Z745" s="6">
        <v>226180</v>
      </c>
    </row>
    <row r="746" spans="1:26" x14ac:dyDescent="0.3">
      <c r="A746" s="28" t="s">
        <v>42</v>
      </c>
      <c r="B746" s="6" t="s">
        <v>2308</v>
      </c>
      <c r="C746" s="6" t="s">
        <v>1975</v>
      </c>
      <c r="D746" s="6" t="s">
        <v>2291</v>
      </c>
      <c r="E746" s="6">
        <v>1</v>
      </c>
      <c r="F746" s="6" t="s">
        <v>2004</v>
      </c>
      <c r="G746" s="32" t="s">
        <v>2299</v>
      </c>
      <c r="H746" s="32" t="s">
        <v>2300</v>
      </c>
      <c r="I746" s="6" t="str">
        <f t="shared" si="25"/>
        <v>Side Breaker</v>
      </c>
      <c r="J746" s="6" t="s">
        <v>429</v>
      </c>
      <c r="K746" s="6">
        <v>1</v>
      </c>
      <c r="L746" s="6">
        <f t="shared" si="26"/>
        <v>1880000</v>
      </c>
      <c r="M746" s="6">
        <v>1600000</v>
      </c>
      <c r="N746" s="6" t="s">
        <v>2003</v>
      </c>
      <c r="O746" s="6" t="s">
        <v>1080</v>
      </c>
      <c r="P746" s="6">
        <v>1975</v>
      </c>
      <c r="Q746" s="6">
        <v>1</v>
      </c>
      <c r="R746" s="6" t="s">
        <v>45</v>
      </c>
      <c r="S746" s="32" t="s">
        <v>2120</v>
      </c>
      <c r="T746" s="6">
        <v>1</v>
      </c>
      <c r="U746" s="26">
        <v>1500000</v>
      </c>
      <c r="V746" s="26">
        <v>1500000</v>
      </c>
      <c r="W746" s="26">
        <v>1500000</v>
      </c>
      <c r="X746" s="6" t="s">
        <v>2003</v>
      </c>
      <c r="Y746" s="6" t="s">
        <v>1306</v>
      </c>
      <c r="Z746" s="6">
        <v>226181</v>
      </c>
    </row>
    <row r="747" spans="1:26" x14ac:dyDescent="0.3">
      <c r="A747" s="28" t="s">
        <v>42</v>
      </c>
      <c r="B747" s="6" t="s">
        <v>2309</v>
      </c>
      <c r="C747" s="6" t="s">
        <v>1979</v>
      </c>
      <c r="D747" s="6" t="s">
        <v>2292</v>
      </c>
      <c r="E747" s="6">
        <v>1</v>
      </c>
      <c r="F747" s="6" t="s">
        <v>2004</v>
      </c>
      <c r="G747" s="32" t="s">
        <v>2299</v>
      </c>
      <c r="H747" s="32" t="s">
        <v>2300</v>
      </c>
      <c r="I747" s="6" t="str">
        <f t="shared" si="25"/>
        <v>Thumb Grapple</v>
      </c>
      <c r="J747" s="6" t="s">
        <v>176</v>
      </c>
      <c r="K747" s="6">
        <v>1</v>
      </c>
      <c r="L747" s="6">
        <f t="shared" si="26"/>
        <v>940000</v>
      </c>
      <c r="M747" s="6">
        <v>800000</v>
      </c>
      <c r="N747" s="6" t="s">
        <v>2003</v>
      </c>
      <c r="O747" s="6" t="s">
        <v>2012</v>
      </c>
      <c r="P747" s="6">
        <v>2013</v>
      </c>
      <c r="Q747" s="6">
        <v>1</v>
      </c>
      <c r="R747" s="6" t="s">
        <v>45</v>
      </c>
      <c r="S747" s="32" t="s">
        <v>2113</v>
      </c>
      <c r="T747" s="6">
        <v>1</v>
      </c>
      <c r="U747" s="26">
        <v>700000</v>
      </c>
      <c r="V747" s="26">
        <v>700000</v>
      </c>
      <c r="W747" s="26">
        <v>700000</v>
      </c>
      <c r="X747" s="6" t="s">
        <v>2003</v>
      </c>
      <c r="Y747" s="6" t="s">
        <v>49</v>
      </c>
      <c r="Z747" s="6">
        <v>226187</v>
      </c>
    </row>
    <row r="748" spans="1:26" x14ac:dyDescent="0.3">
      <c r="A748" s="28" t="s">
        <v>42</v>
      </c>
      <c r="B748" s="6" t="s">
        <v>2313</v>
      </c>
      <c r="C748" s="6" t="s">
        <v>1980</v>
      </c>
      <c r="D748" s="6" t="s">
        <v>2292</v>
      </c>
      <c r="E748" s="6">
        <v>1</v>
      </c>
      <c r="F748" s="6" t="s">
        <v>2004</v>
      </c>
      <c r="G748" s="32" t="s">
        <v>2299</v>
      </c>
      <c r="H748" s="32" t="s">
        <v>2300</v>
      </c>
      <c r="I748" s="6" t="str">
        <f t="shared" si="25"/>
        <v>Small Bucket</v>
      </c>
      <c r="J748" s="6" t="s">
        <v>97</v>
      </c>
      <c r="K748" s="6">
        <v>1</v>
      </c>
      <c r="L748" s="6">
        <f t="shared" si="26"/>
        <v>880000</v>
      </c>
      <c r="M748" s="6">
        <v>750000</v>
      </c>
      <c r="N748" s="6" t="s">
        <v>2003</v>
      </c>
      <c r="O748" s="6" t="s">
        <v>2081</v>
      </c>
      <c r="P748" s="6">
        <v>2013</v>
      </c>
      <c r="Q748" s="6">
        <v>1</v>
      </c>
      <c r="R748" s="6" t="s">
        <v>45</v>
      </c>
      <c r="S748" s="32" t="s">
        <v>2113</v>
      </c>
      <c r="T748" s="6">
        <v>1</v>
      </c>
      <c r="U748" s="26">
        <v>650000</v>
      </c>
      <c r="V748" s="26">
        <v>650000</v>
      </c>
      <c r="W748" s="26">
        <v>650000</v>
      </c>
      <c r="X748" s="6" t="s">
        <v>2003</v>
      </c>
      <c r="Y748" s="6" t="s">
        <v>49</v>
      </c>
      <c r="Z748" s="6">
        <v>226196</v>
      </c>
    </row>
    <row r="749" spans="1:26" x14ac:dyDescent="0.3">
      <c r="A749" s="28" t="s">
        <v>42</v>
      </c>
      <c r="B749" s="6" t="s">
        <v>2315</v>
      </c>
      <c r="C749" s="6" t="s">
        <v>2209</v>
      </c>
      <c r="D749" s="6" t="s">
        <v>2289</v>
      </c>
      <c r="E749" s="6">
        <v>1</v>
      </c>
      <c r="F749" s="6" t="s">
        <v>2004</v>
      </c>
      <c r="G749" s="32" t="s">
        <v>2299</v>
      </c>
      <c r="H749" s="32" t="s">
        <v>2300</v>
      </c>
      <c r="I749" s="6" t="str">
        <f t="shared" si="25"/>
        <v>Etc Bucket</v>
      </c>
      <c r="J749" s="6" t="s">
        <v>287</v>
      </c>
      <c r="K749" s="6">
        <v>1</v>
      </c>
      <c r="L749" s="6">
        <f t="shared" si="26"/>
        <v>3170000</v>
      </c>
      <c r="M749" s="6">
        <v>2700000</v>
      </c>
      <c r="N749" s="6" t="s">
        <v>2003</v>
      </c>
      <c r="O749" s="6" t="s">
        <v>826</v>
      </c>
      <c r="P749" s="6">
        <v>2007</v>
      </c>
      <c r="Q749" s="6">
        <v>1</v>
      </c>
      <c r="R749" s="6" t="s">
        <v>45</v>
      </c>
      <c r="S749" s="32" t="s">
        <v>2117</v>
      </c>
      <c r="T749" s="6">
        <v>1</v>
      </c>
      <c r="U749" s="26">
        <v>2500000</v>
      </c>
      <c r="V749" s="26">
        <v>2500000</v>
      </c>
      <c r="W749" s="26">
        <v>2500000</v>
      </c>
      <c r="X749" s="6" t="s">
        <v>2003</v>
      </c>
      <c r="Y749" s="6" t="s">
        <v>1179</v>
      </c>
      <c r="Z749" s="6">
        <v>226220</v>
      </c>
    </row>
    <row r="750" spans="1:26" x14ac:dyDescent="0.3">
      <c r="A750" s="28" t="s">
        <v>42</v>
      </c>
      <c r="B750" s="6" t="s">
        <v>2314</v>
      </c>
      <c r="C750" s="19" t="s">
        <v>2321</v>
      </c>
      <c r="D750" s="6" t="s">
        <v>2293</v>
      </c>
      <c r="E750" s="6">
        <v>1</v>
      </c>
      <c r="F750" s="6" t="s">
        <v>2004</v>
      </c>
      <c r="G750" s="32" t="s">
        <v>2299</v>
      </c>
      <c r="H750" s="32" t="s">
        <v>2300</v>
      </c>
      <c r="I750" s="6" t="str">
        <f t="shared" si="25"/>
        <v>Etc Crusher</v>
      </c>
      <c r="J750" s="6" t="s">
        <v>651</v>
      </c>
      <c r="K750" s="6">
        <v>1</v>
      </c>
      <c r="L750" s="6">
        <f t="shared" si="26"/>
        <v>5290000</v>
      </c>
      <c r="M750" s="6">
        <v>4500000</v>
      </c>
      <c r="N750" s="6" t="s">
        <v>2003</v>
      </c>
      <c r="O750" s="6" t="s">
        <v>798</v>
      </c>
      <c r="P750" s="6">
        <v>2014</v>
      </c>
      <c r="Q750" s="6">
        <v>1</v>
      </c>
      <c r="R750" s="6" t="s">
        <v>45</v>
      </c>
      <c r="S750" s="32" t="s">
        <v>2113</v>
      </c>
      <c r="T750" s="6">
        <v>1</v>
      </c>
      <c r="U750" s="26">
        <v>4300000</v>
      </c>
      <c r="V750" s="26">
        <v>4300000</v>
      </c>
      <c r="W750" s="26">
        <v>4300000</v>
      </c>
      <c r="X750" s="6" t="s">
        <v>2003</v>
      </c>
      <c r="Y750" s="6" t="s">
        <v>71</v>
      </c>
      <c r="Z750" s="6">
        <v>226232</v>
      </c>
    </row>
    <row r="751" spans="1:26" x14ac:dyDescent="0.3">
      <c r="A751" s="28" t="s">
        <v>42</v>
      </c>
      <c r="B751" s="6" t="s">
        <v>2308</v>
      </c>
      <c r="C751" s="6" t="s">
        <v>1975</v>
      </c>
      <c r="D751" s="6" t="s">
        <v>2294</v>
      </c>
      <c r="E751" s="6">
        <v>1</v>
      </c>
      <c r="F751" s="6" t="s">
        <v>2004</v>
      </c>
      <c r="G751" s="32" t="s">
        <v>2299</v>
      </c>
      <c r="H751" s="32" t="s">
        <v>2300</v>
      </c>
      <c r="I751" s="6" t="str">
        <f t="shared" si="25"/>
        <v>Side Breaker</v>
      </c>
      <c r="J751" s="6" t="s">
        <v>215</v>
      </c>
      <c r="K751" s="6">
        <v>1</v>
      </c>
      <c r="L751" s="6">
        <f t="shared" si="26"/>
        <v>2110000</v>
      </c>
      <c r="M751" s="6">
        <v>1800000</v>
      </c>
      <c r="N751" s="6" t="s">
        <v>2003</v>
      </c>
      <c r="O751" s="6" t="s">
        <v>2007</v>
      </c>
      <c r="P751" s="6">
        <v>2013</v>
      </c>
      <c r="Q751" s="6">
        <v>1</v>
      </c>
      <c r="R751" s="6" t="s">
        <v>45</v>
      </c>
      <c r="S751" s="32" t="s">
        <v>2113</v>
      </c>
      <c r="T751" s="6">
        <v>1</v>
      </c>
      <c r="U751" s="26">
        <v>1700000</v>
      </c>
      <c r="V751" s="26">
        <v>1700000</v>
      </c>
      <c r="W751" s="26">
        <v>1700000</v>
      </c>
      <c r="X751" s="6" t="s">
        <v>2003</v>
      </c>
      <c r="Y751" s="6" t="s">
        <v>49</v>
      </c>
      <c r="Z751" s="6">
        <v>226235</v>
      </c>
    </row>
    <row r="752" spans="1:26" x14ac:dyDescent="0.3">
      <c r="A752" s="28" t="s">
        <v>42</v>
      </c>
      <c r="B752" s="6" t="s">
        <v>2313</v>
      </c>
      <c r="C752" s="6" t="s">
        <v>1980</v>
      </c>
      <c r="D752" s="6" t="s">
        <v>2292</v>
      </c>
      <c r="E752" s="6">
        <v>1</v>
      </c>
      <c r="F752" s="6" t="s">
        <v>2004</v>
      </c>
      <c r="G752" s="32" t="s">
        <v>2299</v>
      </c>
      <c r="H752" s="32" t="s">
        <v>2300</v>
      </c>
      <c r="I752" s="6" t="str">
        <f t="shared" si="25"/>
        <v>Small Bucket</v>
      </c>
      <c r="J752" s="6" t="s">
        <v>97</v>
      </c>
      <c r="K752" s="6">
        <v>1</v>
      </c>
      <c r="L752" s="6">
        <f t="shared" si="26"/>
        <v>1000000</v>
      </c>
      <c r="M752" s="6">
        <v>850000</v>
      </c>
      <c r="N752" s="6" t="s">
        <v>2003</v>
      </c>
      <c r="O752" s="6" t="s">
        <v>1083</v>
      </c>
      <c r="P752" s="6">
        <v>2016</v>
      </c>
      <c r="Q752" s="6">
        <v>1</v>
      </c>
      <c r="R752" s="6" t="s">
        <v>45</v>
      </c>
      <c r="S752" s="32" t="s">
        <v>2118</v>
      </c>
      <c r="T752" s="6">
        <v>1</v>
      </c>
      <c r="U752" s="26">
        <v>750000</v>
      </c>
      <c r="V752" s="26">
        <v>750000</v>
      </c>
      <c r="W752" s="26">
        <v>750000</v>
      </c>
      <c r="X752" s="6" t="s">
        <v>2003</v>
      </c>
      <c r="Y752" s="6" t="s">
        <v>67</v>
      </c>
      <c r="Z752" s="6">
        <v>226240</v>
      </c>
    </row>
    <row r="753" spans="1:26" x14ac:dyDescent="0.3">
      <c r="A753" s="28" t="s">
        <v>42</v>
      </c>
      <c r="B753" s="6" t="s">
        <v>2313</v>
      </c>
      <c r="C753" s="19" t="s">
        <v>1982</v>
      </c>
      <c r="D753" s="6" t="s">
        <v>2292</v>
      </c>
      <c r="E753" s="6">
        <v>1</v>
      </c>
      <c r="F753" s="6" t="s">
        <v>2004</v>
      </c>
      <c r="G753" s="32" t="s">
        <v>2299</v>
      </c>
      <c r="H753" s="32" t="s">
        <v>2300</v>
      </c>
      <c r="I753" s="6" t="str">
        <f t="shared" si="25"/>
        <v>Standard Bucket</v>
      </c>
      <c r="J753" s="6" t="s">
        <v>292</v>
      </c>
      <c r="K753" s="6">
        <v>1</v>
      </c>
      <c r="L753" s="6">
        <f t="shared" si="26"/>
        <v>1880000</v>
      </c>
      <c r="M753" s="6">
        <v>1600000</v>
      </c>
      <c r="N753" s="6" t="s">
        <v>2003</v>
      </c>
      <c r="O753" s="6" t="s">
        <v>828</v>
      </c>
      <c r="P753" s="6">
        <v>2017</v>
      </c>
      <c r="Q753" s="6">
        <v>2</v>
      </c>
      <c r="R753" s="6" t="s">
        <v>45</v>
      </c>
      <c r="S753" s="32" t="s">
        <v>2124</v>
      </c>
      <c r="T753" s="6">
        <v>1</v>
      </c>
      <c r="U753" s="26">
        <v>1500000</v>
      </c>
      <c r="V753" s="26">
        <v>1500000</v>
      </c>
      <c r="W753" s="26">
        <v>1500000</v>
      </c>
      <c r="X753" s="6" t="s">
        <v>2003</v>
      </c>
      <c r="Y753" s="6" t="s">
        <v>1144</v>
      </c>
      <c r="Z753" s="6">
        <v>226241</v>
      </c>
    </row>
    <row r="754" spans="1:26" x14ac:dyDescent="0.3">
      <c r="A754" s="28" t="s">
        <v>42</v>
      </c>
      <c r="B754" s="6" t="s">
        <v>2314</v>
      </c>
      <c r="C754" s="6" t="s">
        <v>1978</v>
      </c>
      <c r="D754" s="6" t="s">
        <v>2001</v>
      </c>
      <c r="E754" s="6">
        <v>1</v>
      </c>
      <c r="F754" s="6" t="s">
        <v>2004</v>
      </c>
      <c r="G754" s="32" t="s">
        <v>2299</v>
      </c>
      <c r="H754" s="32" t="s">
        <v>2300</v>
      </c>
      <c r="I754" s="6" t="str">
        <f t="shared" si="25"/>
        <v>Hydraulic Pulverizer</v>
      </c>
      <c r="J754" s="6" t="s">
        <v>412</v>
      </c>
      <c r="K754" s="6">
        <v>1</v>
      </c>
      <c r="L754" s="6">
        <f t="shared" si="26"/>
        <v>19410000</v>
      </c>
      <c r="M754" s="6">
        <v>16500000</v>
      </c>
      <c r="N754" s="6" t="s">
        <v>2003</v>
      </c>
      <c r="O754" s="6" t="s">
        <v>813</v>
      </c>
      <c r="P754" s="6">
        <v>2013</v>
      </c>
      <c r="Q754" s="6">
        <v>1</v>
      </c>
      <c r="R754" s="6" t="s">
        <v>45</v>
      </c>
      <c r="S754" s="32" t="s">
        <v>2113</v>
      </c>
      <c r="T754" s="6">
        <v>1</v>
      </c>
      <c r="U754" s="26">
        <v>16000000</v>
      </c>
      <c r="V754" s="26">
        <v>16000000</v>
      </c>
      <c r="W754" s="26">
        <v>16000000</v>
      </c>
      <c r="X754" s="6" t="s">
        <v>2003</v>
      </c>
      <c r="Y754" s="6" t="s">
        <v>80</v>
      </c>
      <c r="Z754" s="6">
        <v>226244</v>
      </c>
    </row>
    <row r="755" spans="1:26" x14ac:dyDescent="0.3">
      <c r="A755" s="28" t="s">
        <v>42</v>
      </c>
      <c r="B755" s="6" t="s">
        <v>2314</v>
      </c>
      <c r="C755" s="19" t="s">
        <v>2321</v>
      </c>
      <c r="D755" s="6" t="s">
        <v>2001</v>
      </c>
      <c r="E755" s="6">
        <v>1</v>
      </c>
      <c r="F755" s="6" t="s">
        <v>2004</v>
      </c>
      <c r="G755" s="32" t="s">
        <v>2299</v>
      </c>
      <c r="H755" s="32" t="s">
        <v>2300</v>
      </c>
      <c r="I755" s="6" t="str">
        <f t="shared" si="25"/>
        <v>Etc Crusher</v>
      </c>
      <c r="J755" s="6" t="s">
        <v>181</v>
      </c>
      <c r="K755" s="6">
        <v>1</v>
      </c>
      <c r="L755" s="6">
        <f t="shared" si="26"/>
        <v>6470000</v>
      </c>
      <c r="M755" s="6">
        <v>5500000</v>
      </c>
      <c r="N755" s="6" t="s">
        <v>2003</v>
      </c>
      <c r="O755" s="6" t="s">
        <v>1085</v>
      </c>
      <c r="P755" s="6">
        <v>2008</v>
      </c>
      <c r="Q755" s="6">
        <v>1</v>
      </c>
      <c r="R755" s="6" t="s">
        <v>45</v>
      </c>
      <c r="S755" s="32" t="s">
        <v>2118</v>
      </c>
      <c r="T755" s="6">
        <v>1</v>
      </c>
      <c r="U755" s="26">
        <v>5000000</v>
      </c>
      <c r="V755" s="26">
        <v>5000000</v>
      </c>
      <c r="W755" s="26">
        <v>5000000</v>
      </c>
      <c r="X755" s="6" t="s">
        <v>2003</v>
      </c>
      <c r="Y755" s="6" t="s">
        <v>67</v>
      </c>
      <c r="Z755" s="6">
        <v>226251</v>
      </c>
    </row>
    <row r="756" spans="1:26" x14ac:dyDescent="0.3">
      <c r="A756" s="28" t="s">
        <v>42</v>
      </c>
      <c r="B756" s="6" t="s">
        <v>2314</v>
      </c>
      <c r="C756" s="19" t="s">
        <v>2321</v>
      </c>
      <c r="D756" s="6" t="s">
        <v>2001</v>
      </c>
      <c r="E756" s="6">
        <v>1</v>
      </c>
      <c r="F756" s="6" t="s">
        <v>2004</v>
      </c>
      <c r="G756" s="32" t="s">
        <v>2299</v>
      </c>
      <c r="H756" s="32" t="s">
        <v>2300</v>
      </c>
      <c r="I756" s="6" t="str">
        <f t="shared" si="25"/>
        <v>Etc Crusher</v>
      </c>
      <c r="J756" s="6" t="s">
        <v>273</v>
      </c>
      <c r="K756" s="6">
        <v>1</v>
      </c>
      <c r="L756" s="6">
        <f t="shared" si="26"/>
        <v>20000000</v>
      </c>
      <c r="M756" s="6">
        <v>17000000</v>
      </c>
      <c r="N756" s="6" t="s">
        <v>2003</v>
      </c>
      <c r="O756" s="6" t="s">
        <v>813</v>
      </c>
      <c r="P756" s="6">
        <v>2014</v>
      </c>
      <c r="Q756" s="6">
        <v>1</v>
      </c>
      <c r="R756" s="6" t="s">
        <v>45</v>
      </c>
      <c r="S756" s="32" t="s">
        <v>2113</v>
      </c>
      <c r="T756" s="6">
        <v>1</v>
      </c>
      <c r="U756" s="26">
        <v>16500000</v>
      </c>
      <c r="V756" s="26">
        <v>16500000</v>
      </c>
      <c r="W756" s="26">
        <v>16500000</v>
      </c>
      <c r="X756" s="6" t="s">
        <v>2003</v>
      </c>
      <c r="Y756" s="6" t="s">
        <v>80</v>
      </c>
      <c r="Z756" s="6">
        <v>226254</v>
      </c>
    </row>
    <row r="757" spans="1:26" x14ac:dyDescent="0.3">
      <c r="A757" s="28" t="s">
        <v>42</v>
      </c>
      <c r="B757" s="6" t="s">
        <v>2309</v>
      </c>
      <c r="C757" s="6" t="s">
        <v>1974</v>
      </c>
      <c r="D757" s="6" t="s">
        <v>2292</v>
      </c>
      <c r="E757" s="6">
        <v>1</v>
      </c>
      <c r="F757" s="6" t="s">
        <v>2004</v>
      </c>
      <c r="G757" s="32" t="s">
        <v>2299</v>
      </c>
      <c r="H757" s="32" t="s">
        <v>2300</v>
      </c>
      <c r="I757" s="6" t="str">
        <f t="shared" si="25"/>
        <v>Etc Grapple</v>
      </c>
      <c r="J757" s="6" t="s">
        <v>125</v>
      </c>
      <c r="K757" s="6">
        <v>1</v>
      </c>
      <c r="L757" s="6">
        <f t="shared" si="26"/>
        <v>6470000</v>
      </c>
      <c r="M757" s="6">
        <v>5500000</v>
      </c>
      <c r="N757" s="6" t="s">
        <v>2003</v>
      </c>
      <c r="O757" s="6" t="s">
        <v>830</v>
      </c>
      <c r="P757" s="6">
        <v>2009</v>
      </c>
      <c r="Q757" s="6">
        <v>1</v>
      </c>
      <c r="R757" s="6" t="s">
        <v>45</v>
      </c>
      <c r="S757" s="32" t="s">
        <v>2114</v>
      </c>
      <c r="T757" s="6">
        <v>1</v>
      </c>
      <c r="U757" s="26">
        <v>5000000</v>
      </c>
      <c r="V757" s="26">
        <v>5000000</v>
      </c>
      <c r="W757" s="26">
        <v>5000000</v>
      </c>
      <c r="X757" s="6" t="s">
        <v>2003</v>
      </c>
      <c r="Y757" s="6" t="s">
        <v>830</v>
      </c>
      <c r="Z757" s="6">
        <v>226257</v>
      </c>
    </row>
    <row r="758" spans="1:26" x14ac:dyDescent="0.3">
      <c r="A758" s="28" t="s">
        <v>42</v>
      </c>
      <c r="B758" s="6" t="s">
        <v>2315</v>
      </c>
      <c r="C758" s="6"/>
      <c r="D758" s="6" t="s">
        <v>2292</v>
      </c>
      <c r="E758" s="6">
        <v>1</v>
      </c>
      <c r="F758" s="6" t="s">
        <v>2004</v>
      </c>
      <c r="G758" s="32" t="s">
        <v>2299</v>
      </c>
      <c r="H758" s="32" t="s">
        <v>2300</v>
      </c>
      <c r="I758" s="6" t="str">
        <f t="shared" si="25"/>
        <v>ETC</v>
      </c>
      <c r="J758" s="6" t="s">
        <v>476</v>
      </c>
      <c r="K758" s="6">
        <v>1</v>
      </c>
      <c r="L758" s="6">
        <f t="shared" si="26"/>
        <v>13520000</v>
      </c>
      <c r="M758" s="6">
        <v>11500000</v>
      </c>
      <c r="N758" s="6" t="s">
        <v>2003</v>
      </c>
      <c r="O758" s="6" t="s">
        <v>2082</v>
      </c>
      <c r="P758" s="6">
        <v>2014</v>
      </c>
      <c r="Q758" s="6">
        <v>9</v>
      </c>
      <c r="R758" s="6" t="s">
        <v>45</v>
      </c>
      <c r="S758" s="32" t="s">
        <v>2121</v>
      </c>
      <c r="T758" s="6">
        <v>1</v>
      </c>
      <c r="U758" s="26">
        <v>11000000</v>
      </c>
      <c r="V758" s="26">
        <v>11000000</v>
      </c>
      <c r="W758" s="26">
        <v>11000000</v>
      </c>
      <c r="X758" s="6" t="s">
        <v>2003</v>
      </c>
      <c r="Y758" s="6" t="s">
        <v>1218</v>
      </c>
      <c r="Z758" s="6">
        <v>226258</v>
      </c>
    </row>
    <row r="759" spans="1:26" x14ac:dyDescent="0.3">
      <c r="A759" s="28" t="s">
        <v>42</v>
      </c>
      <c r="B759" s="6" t="s">
        <v>2309</v>
      </c>
      <c r="C759" s="19" t="s">
        <v>1974</v>
      </c>
      <c r="D759" s="6" t="s">
        <v>2292</v>
      </c>
      <c r="E759" s="6">
        <v>1</v>
      </c>
      <c r="F759" s="6" t="s">
        <v>2004</v>
      </c>
      <c r="G759" s="32" t="s">
        <v>2299</v>
      </c>
      <c r="H759" s="32" t="s">
        <v>2300</v>
      </c>
      <c r="I759" s="6" t="str">
        <f t="shared" si="25"/>
        <v>Etc Grapple</v>
      </c>
      <c r="J759" s="6" t="s">
        <v>719</v>
      </c>
      <c r="K759" s="6">
        <v>1</v>
      </c>
      <c r="L759" s="6">
        <f t="shared" si="26"/>
        <v>2230000</v>
      </c>
      <c r="M759" s="6">
        <v>1900000</v>
      </c>
      <c r="N759" s="6" t="s">
        <v>2003</v>
      </c>
      <c r="O759" s="6" t="s">
        <v>1086</v>
      </c>
      <c r="P759" s="6">
        <v>2012</v>
      </c>
      <c r="Q759" s="6">
        <v>1</v>
      </c>
      <c r="R759" s="6" t="s">
        <v>45</v>
      </c>
      <c r="S759" s="32" t="s">
        <v>2117</v>
      </c>
      <c r="T759" s="6">
        <v>1</v>
      </c>
      <c r="U759" s="26">
        <v>1800000</v>
      </c>
      <c r="V759" s="26">
        <v>1800000</v>
      </c>
      <c r="W759" s="26">
        <v>1800000</v>
      </c>
      <c r="X759" s="6" t="s">
        <v>2003</v>
      </c>
      <c r="Y759" s="6" t="s">
        <v>1242</v>
      </c>
      <c r="Z759" s="6">
        <v>226261</v>
      </c>
    </row>
    <row r="760" spans="1:26" x14ac:dyDescent="0.3">
      <c r="A760" s="28" t="s">
        <v>42</v>
      </c>
      <c r="B760" s="6" t="s">
        <v>2309</v>
      </c>
      <c r="C760" s="6" t="s">
        <v>1972</v>
      </c>
      <c r="D760" s="6" t="s">
        <v>2292</v>
      </c>
      <c r="E760" s="6">
        <v>1</v>
      </c>
      <c r="F760" s="6" t="s">
        <v>2004</v>
      </c>
      <c r="G760" s="32" t="s">
        <v>2299</v>
      </c>
      <c r="H760" s="32" t="s">
        <v>2300</v>
      </c>
      <c r="I760" s="6" t="str">
        <f t="shared" si="25"/>
        <v>Stone Grapple</v>
      </c>
      <c r="J760" s="6" t="s">
        <v>120</v>
      </c>
      <c r="K760" s="6">
        <v>1</v>
      </c>
      <c r="L760" s="6">
        <f t="shared" si="26"/>
        <v>6700000</v>
      </c>
      <c r="M760" s="6">
        <v>5700000</v>
      </c>
      <c r="N760" s="6" t="s">
        <v>2003</v>
      </c>
      <c r="O760" s="6" t="s">
        <v>1087</v>
      </c>
      <c r="P760" s="6">
        <v>2014</v>
      </c>
      <c r="Q760" s="6">
        <v>1</v>
      </c>
      <c r="R760" s="6" t="s">
        <v>45</v>
      </c>
      <c r="S760" s="32" t="s">
        <v>2118</v>
      </c>
      <c r="T760" s="6">
        <v>1</v>
      </c>
      <c r="U760" s="26">
        <v>5200000</v>
      </c>
      <c r="V760" s="26">
        <v>5200000</v>
      </c>
      <c r="W760" s="26">
        <v>5200000</v>
      </c>
      <c r="X760" s="6" t="s">
        <v>2003</v>
      </c>
      <c r="Y760" s="6" t="s">
        <v>67</v>
      </c>
      <c r="Z760" s="6">
        <v>226265</v>
      </c>
    </row>
    <row r="761" spans="1:26" x14ac:dyDescent="0.3">
      <c r="A761" s="28" t="s">
        <v>42</v>
      </c>
      <c r="B761" s="6" t="s">
        <v>2316</v>
      </c>
      <c r="C761" s="6"/>
      <c r="D761" s="6" t="s">
        <v>2001</v>
      </c>
      <c r="E761" s="6">
        <v>1</v>
      </c>
      <c r="F761" s="6" t="s">
        <v>2004</v>
      </c>
      <c r="G761" s="32" t="s">
        <v>2299</v>
      </c>
      <c r="H761" s="32" t="s">
        <v>2300</v>
      </c>
      <c r="I761" s="6" t="str">
        <f t="shared" si="25"/>
        <v>Ripper</v>
      </c>
      <c r="J761" s="6" t="s">
        <v>254</v>
      </c>
      <c r="K761" s="6">
        <v>1</v>
      </c>
      <c r="L761" s="6">
        <f t="shared" si="26"/>
        <v>2230000</v>
      </c>
      <c r="M761" s="6">
        <v>1900000</v>
      </c>
      <c r="N761" s="6" t="s">
        <v>2003</v>
      </c>
      <c r="O761" s="6" t="s">
        <v>2059</v>
      </c>
      <c r="P761" s="6">
        <v>2017</v>
      </c>
      <c r="Q761" s="6">
        <v>1</v>
      </c>
      <c r="R761" s="6" t="s">
        <v>45</v>
      </c>
      <c r="S761" s="32" t="s">
        <v>2110</v>
      </c>
      <c r="T761" s="6">
        <v>1</v>
      </c>
      <c r="U761" s="26">
        <v>1800000</v>
      </c>
      <c r="V761" s="26">
        <v>1800000</v>
      </c>
      <c r="W761" s="26">
        <v>1800000</v>
      </c>
      <c r="X761" s="6" t="s">
        <v>2003</v>
      </c>
      <c r="Y761" s="6" t="s">
        <v>1155</v>
      </c>
      <c r="Z761" s="6">
        <v>226267</v>
      </c>
    </row>
    <row r="762" spans="1:26" x14ac:dyDescent="0.3">
      <c r="A762" s="28" t="s">
        <v>42</v>
      </c>
      <c r="B762" s="6" t="s">
        <v>2308</v>
      </c>
      <c r="C762" s="6" t="s">
        <v>1975</v>
      </c>
      <c r="D762" s="6" t="s">
        <v>2291</v>
      </c>
      <c r="E762" s="6">
        <v>1</v>
      </c>
      <c r="F762" s="6" t="s">
        <v>2004</v>
      </c>
      <c r="G762" s="32" t="s">
        <v>2299</v>
      </c>
      <c r="H762" s="32" t="s">
        <v>2300</v>
      </c>
      <c r="I762" s="6" t="str">
        <f t="shared" si="25"/>
        <v>Side Breaker</v>
      </c>
      <c r="J762" s="6" t="s">
        <v>704</v>
      </c>
      <c r="K762" s="6">
        <v>1</v>
      </c>
      <c r="L762" s="6">
        <f t="shared" si="26"/>
        <v>1880000</v>
      </c>
      <c r="M762" s="6">
        <v>1600000</v>
      </c>
      <c r="N762" s="6" t="s">
        <v>2003</v>
      </c>
      <c r="O762" s="6" t="s">
        <v>1088</v>
      </c>
      <c r="P762" s="6">
        <v>2015</v>
      </c>
      <c r="Q762" s="6">
        <v>1</v>
      </c>
      <c r="R762" s="6" t="s">
        <v>45</v>
      </c>
      <c r="S762" s="32" t="s">
        <v>2119</v>
      </c>
      <c r="T762" s="6">
        <v>1</v>
      </c>
      <c r="U762" s="26">
        <v>1500000</v>
      </c>
      <c r="V762" s="26">
        <v>1500000</v>
      </c>
      <c r="W762" s="26">
        <v>1500000</v>
      </c>
      <c r="X762" s="6" t="s">
        <v>2003</v>
      </c>
      <c r="Y762" s="6" t="s">
        <v>1165</v>
      </c>
      <c r="Z762" s="6">
        <v>226269</v>
      </c>
    </row>
    <row r="763" spans="1:26" x14ac:dyDescent="0.3">
      <c r="A763" s="28" t="s">
        <v>42</v>
      </c>
      <c r="B763" s="6" t="s">
        <v>2313</v>
      </c>
      <c r="C763" s="6" t="s">
        <v>1976</v>
      </c>
      <c r="D763" s="6" t="s">
        <v>2290</v>
      </c>
      <c r="E763" s="6">
        <v>1</v>
      </c>
      <c r="F763" s="6" t="s">
        <v>2004</v>
      </c>
      <c r="G763" s="32" t="s">
        <v>2299</v>
      </c>
      <c r="H763" s="32" t="s">
        <v>2300</v>
      </c>
      <c r="I763" s="6" t="str">
        <f t="shared" si="25"/>
        <v>Skeleton Bucket</v>
      </c>
      <c r="J763" s="6" t="s">
        <v>685</v>
      </c>
      <c r="K763" s="6">
        <v>1</v>
      </c>
      <c r="L763" s="6">
        <f t="shared" si="26"/>
        <v>2940000</v>
      </c>
      <c r="M763" s="6">
        <v>2500000</v>
      </c>
      <c r="N763" s="6" t="s">
        <v>2003</v>
      </c>
      <c r="O763" s="6" t="s">
        <v>813</v>
      </c>
      <c r="P763" s="6">
        <v>2016</v>
      </c>
      <c r="Q763" s="6">
        <v>1</v>
      </c>
      <c r="R763" s="6" t="s">
        <v>45</v>
      </c>
      <c r="S763" s="32" t="s">
        <v>2113</v>
      </c>
      <c r="T763" s="6">
        <v>1</v>
      </c>
      <c r="U763" s="26">
        <v>2300000</v>
      </c>
      <c r="V763" s="26">
        <v>2300000</v>
      </c>
      <c r="W763" s="26">
        <v>2300000</v>
      </c>
      <c r="X763" s="6" t="s">
        <v>2003</v>
      </c>
      <c r="Y763" s="6" t="s">
        <v>80</v>
      </c>
      <c r="Z763" s="6">
        <v>226270</v>
      </c>
    </row>
    <row r="764" spans="1:26" x14ac:dyDescent="0.3">
      <c r="A764" s="28" t="s">
        <v>42</v>
      </c>
      <c r="B764" s="6" t="s">
        <v>2309</v>
      </c>
      <c r="C764" s="6" t="s">
        <v>1979</v>
      </c>
      <c r="D764" s="6" t="s">
        <v>2290</v>
      </c>
      <c r="E764" s="6">
        <v>1</v>
      </c>
      <c r="F764" s="6" t="s">
        <v>2004</v>
      </c>
      <c r="G764" s="32" t="s">
        <v>2299</v>
      </c>
      <c r="H764" s="32" t="s">
        <v>2300</v>
      </c>
      <c r="I764" s="6" t="str">
        <f t="shared" si="25"/>
        <v>Thumb Grapple</v>
      </c>
      <c r="J764" s="6" t="s">
        <v>654</v>
      </c>
      <c r="K764" s="6">
        <v>1</v>
      </c>
      <c r="L764" s="6">
        <f t="shared" si="26"/>
        <v>2580000</v>
      </c>
      <c r="M764" s="6">
        <v>2200000</v>
      </c>
      <c r="N764" s="6" t="s">
        <v>2003</v>
      </c>
      <c r="O764" s="6" t="s">
        <v>813</v>
      </c>
      <c r="P764" s="6">
        <v>2013</v>
      </c>
      <c r="Q764" s="6">
        <v>1</v>
      </c>
      <c r="R764" s="6" t="s">
        <v>45</v>
      </c>
      <c r="S764" s="32" t="s">
        <v>2113</v>
      </c>
      <c r="T764" s="6">
        <v>1</v>
      </c>
      <c r="U764" s="26">
        <v>2000000</v>
      </c>
      <c r="V764" s="26">
        <v>2000000</v>
      </c>
      <c r="W764" s="26">
        <v>2000000</v>
      </c>
      <c r="X764" s="6" t="s">
        <v>2003</v>
      </c>
      <c r="Y764" s="6" t="s">
        <v>79</v>
      </c>
      <c r="Z764" s="6">
        <v>226271</v>
      </c>
    </row>
    <row r="765" spans="1:26" x14ac:dyDescent="0.3">
      <c r="A765" s="28" t="s">
        <v>42</v>
      </c>
      <c r="B765" s="6" t="s">
        <v>2308</v>
      </c>
      <c r="C765" s="6" t="s">
        <v>1975</v>
      </c>
      <c r="D765" s="6" t="s">
        <v>2290</v>
      </c>
      <c r="E765" s="6">
        <v>1</v>
      </c>
      <c r="F765" s="6" t="s">
        <v>2004</v>
      </c>
      <c r="G765" s="32" t="s">
        <v>2299</v>
      </c>
      <c r="H765" s="32" t="s">
        <v>2300</v>
      </c>
      <c r="I765" s="6" t="str">
        <f t="shared" si="25"/>
        <v>Side Breaker</v>
      </c>
      <c r="J765" s="6" t="s">
        <v>443</v>
      </c>
      <c r="K765" s="6">
        <v>1</v>
      </c>
      <c r="L765" s="6">
        <f t="shared" si="26"/>
        <v>5170000</v>
      </c>
      <c r="M765" s="6">
        <v>4400000</v>
      </c>
      <c r="N765" s="6" t="s">
        <v>2003</v>
      </c>
      <c r="O765" s="6" t="s">
        <v>803</v>
      </c>
      <c r="P765" s="6">
        <v>2007</v>
      </c>
      <c r="Q765" s="6">
        <v>1</v>
      </c>
      <c r="R765" s="6" t="s">
        <v>45</v>
      </c>
      <c r="S765" s="32" t="s">
        <v>2123</v>
      </c>
      <c r="T765" s="6">
        <v>1</v>
      </c>
      <c r="U765" s="26">
        <v>4200000</v>
      </c>
      <c r="V765" s="26">
        <v>4200000</v>
      </c>
      <c r="W765" s="26">
        <v>4200000</v>
      </c>
      <c r="X765" s="6" t="s">
        <v>2003</v>
      </c>
      <c r="Y765" s="6" t="s">
        <v>1181</v>
      </c>
      <c r="Z765" s="6">
        <v>226276</v>
      </c>
    </row>
    <row r="766" spans="1:26" x14ac:dyDescent="0.3">
      <c r="A766" s="28" t="s">
        <v>42</v>
      </c>
      <c r="B766" s="6" t="s">
        <v>2314</v>
      </c>
      <c r="C766" s="6" t="s">
        <v>1978</v>
      </c>
      <c r="D766" s="6" t="s">
        <v>2290</v>
      </c>
      <c r="E766" s="6">
        <v>1</v>
      </c>
      <c r="F766" s="6" t="s">
        <v>2004</v>
      </c>
      <c r="G766" s="32" t="s">
        <v>2299</v>
      </c>
      <c r="H766" s="32" t="s">
        <v>2300</v>
      </c>
      <c r="I766" s="6" t="str">
        <f t="shared" si="25"/>
        <v>Hydraulic Pulverizer</v>
      </c>
      <c r="J766" s="6" t="s">
        <v>409</v>
      </c>
      <c r="K766" s="6">
        <v>1</v>
      </c>
      <c r="L766" s="6">
        <f t="shared" si="26"/>
        <v>7640000</v>
      </c>
      <c r="M766" s="6">
        <v>6500000</v>
      </c>
      <c r="N766" s="6" t="s">
        <v>2003</v>
      </c>
      <c r="O766" s="6" t="s">
        <v>813</v>
      </c>
      <c r="P766" s="6">
        <v>2013</v>
      </c>
      <c r="Q766" s="6">
        <v>1</v>
      </c>
      <c r="R766" s="6" t="s">
        <v>45</v>
      </c>
      <c r="S766" s="32" t="s">
        <v>2113</v>
      </c>
      <c r="T766" s="6">
        <v>1</v>
      </c>
      <c r="U766" s="26">
        <v>6000000</v>
      </c>
      <c r="V766" s="26">
        <v>6000000</v>
      </c>
      <c r="W766" s="26">
        <v>6000000</v>
      </c>
      <c r="X766" s="6" t="s">
        <v>2003</v>
      </c>
      <c r="Y766" s="6" t="s">
        <v>79</v>
      </c>
      <c r="Z766" s="6">
        <v>226278</v>
      </c>
    </row>
    <row r="767" spans="1:26" x14ac:dyDescent="0.3">
      <c r="A767" s="28" t="s">
        <v>42</v>
      </c>
      <c r="B767" s="6" t="s">
        <v>2313</v>
      </c>
      <c r="C767" s="6" t="s">
        <v>1977</v>
      </c>
      <c r="D767" s="6" t="s">
        <v>2292</v>
      </c>
      <c r="E767" s="6">
        <v>1</v>
      </c>
      <c r="F767" s="6" t="s">
        <v>2004</v>
      </c>
      <c r="G767" s="32" t="s">
        <v>2299</v>
      </c>
      <c r="H767" s="32" t="s">
        <v>2300</v>
      </c>
      <c r="I767" s="6" t="str">
        <f t="shared" si="25"/>
        <v>Wide Bucket</v>
      </c>
      <c r="J767" s="6" t="s">
        <v>123</v>
      </c>
      <c r="K767" s="6">
        <v>1</v>
      </c>
      <c r="L767" s="6">
        <f t="shared" si="26"/>
        <v>1410000</v>
      </c>
      <c r="M767" s="6">
        <v>1200000</v>
      </c>
      <c r="N767" s="6" t="s">
        <v>2003</v>
      </c>
      <c r="O767" s="6" t="s">
        <v>813</v>
      </c>
      <c r="P767" s="6">
        <v>2013</v>
      </c>
      <c r="Q767" s="6">
        <v>1</v>
      </c>
      <c r="R767" s="6" t="s">
        <v>45</v>
      </c>
      <c r="S767" s="32" t="s">
        <v>2113</v>
      </c>
      <c r="T767" s="6">
        <v>1</v>
      </c>
      <c r="U767" s="26">
        <v>1100000</v>
      </c>
      <c r="V767" s="26">
        <v>1100000</v>
      </c>
      <c r="W767" s="26">
        <v>1100000</v>
      </c>
      <c r="X767" s="6" t="s">
        <v>2003</v>
      </c>
      <c r="Y767" s="6" t="s">
        <v>79</v>
      </c>
      <c r="Z767" s="6">
        <v>226280</v>
      </c>
    </row>
    <row r="768" spans="1:26" x14ac:dyDescent="0.3">
      <c r="A768" s="28" t="s">
        <v>42</v>
      </c>
      <c r="B768" s="6" t="s">
        <v>2316</v>
      </c>
      <c r="C768" s="6"/>
      <c r="D768" s="6" t="s">
        <v>2289</v>
      </c>
      <c r="E768" s="6">
        <v>1</v>
      </c>
      <c r="F768" s="6" t="s">
        <v>2004</v>
      </c>
      <c r="G768" s="32" t="s">
        <v>2299</v>
      </c>
      <c r="H768" s="32" t="s">
        <v>2300</v>
      </c>
      <c r="I768" s="6" t="str">
        <f t="shared" si="25"/>
        <v>Ripper</v>
      </c>
      <c r="J768" s="6" t="s">
        <v>708</v>
      </c>
      <c r="K768" s="6">
        <v>1</v>
      </c>
      <c r="L768" s="6">
        <f t="shared" si="26"/>
        <v>2580000</v>
      </c>
      <c r="M768" s="6">
        <v>2200000</v>
      </c>
      <c r="N768" s="6" t="s">
        <v>2003</v>
      </c>
      <c r="O768" s="6" t="s">
        <v>708</v>
      </c>
      <c r="P768" s="6">
        <v>2014</v>
      </c>
      <c r="Q768" s="6">
        <v>6</v>
      </c>
      <c r="R768" s="6" t="s">
        <v>45</v>
      </c>
      <c r="S768" s="32" t="s">
        <v>2113</v>
      </c>
      <c r="T768" s="6">
        <v>1</v>
      </c>
      <c r="U768" s="26">
        <v>2000000</v>
      </c>
      <c r="V768" s="26">
        <v>2000000</v>
      </c>
      <c r="W768" s="26">
        <v>2000000</v>
      </c>
      <c r="X768" s="6" t="s">
        <v>2003</v>
      </c>
      <c r="Y768" s="6" t="s">
        <v>1215</v>
      </c>
      <c r="Z768" s="6">
        <v>226285</v>
      </c>
    </row>
    <row r="769" spans="1:26" x14ac:dyDescent="0.3">
      <c r="A769" s="28" t="s">
        <v>42</v>
      </c>
      <c r="B769" s="6" t="s">
        <v>2309</v>
      </c>
      <c r="C769" s="6" t="s">
        <v>1972</v>
      </c>
      <c r="D769" s="6" t="s">
        <v>2001</v>
      </c>
      <c r="E769" s="6">
        <v>1</v>
      </c>
      <c r="F769" s="6" t="s">
        <v>2004</v>
      </c>
      <c r="G769" s="32" t="s">
        <v>2299</v>
      </c>
      <c r="H769" s="32" t="s">
        <v>2300</v>
      </c>
      <c r="I769" s="6" t="str">
        <f t="shared" si="25"/>
        <v>Stone Grapple</v>
      </c>
      <c r="J769" s="6" t="s">
        <v>472</v>
      </c>
      <c r="K769" s="6">
        <v>1</v>
      </c>
      <c r="L769" s="6">
        <f t="shared" si="26"/>
        <v>11760000</v>
      </c>
      <c r="M769" s="6">
        <v>10000000</v>
      </c>
      <c r="N769" s="6" t="s">
        <v>2003</v>
      </c>
      <c r="O769" s="6" t="s">
        <v>814</v>
      </c>
      <c r="P769" s="6">
        <v>2016</v>
      </c>
      <c r="Q769" s="6">
        <v>5</v>
      </c>
      <c r="R769" s="6" t="s">
        <v>45</v>
      </c>
      <c r="S769" s="32" t="s">
        <v>2119</v>
      </c>
      <c r="T769" s="6">
        <v>1</v>
      </c>
      <c r="U769" s="26">
        <v>9500000</v>
      </c>
      <c r="V769" s="26">
        <v>9500000</v>
      </c>
      <c r="W769" s="26">
        <v>9500000</v>
      </c>
      <c r="X769" s="6" t="s">
        <v>2003</v>
      </c>
      <c r="Y769" s="6" t="s">
        <v>1194</v>
      </c>
      <c r="Z769" s="6">
        <v>226290</v>
      </c>
    </row>
    <row r="770" spans="1:26" x14ac:dyDescent="0.3">
      <c r="A770" s="28" t="s">
        <v>42</v>
      </c>
      <c r="B770" s="6" t="s">
        <v>2313</v>
      </c>
      <c r="C770" s="6" t="s">
        <v>1976</v>
      </c>
      <c r="D770" s="6" t="s">
        <v>2292</v>
      </c>
      <c r="E770" s="6">
        <v>1</v>
      </c>
      <c r="F770" s="6" t="s">
        <v>2004</v>
      </c>
      <c r="G770" s="32" t="s">
        <v>2299</v>
      </c>
      <c r="H770" s="32" t="s">
        <v>2300</v>
      </c>
      <c r="I770" s="6" t="str">
        <f t="shared" si="25"/>
        <v>Skeleton Bucket</v>
      </c>
      <c r="J770" s="6" t="s">
        <v>110</v>
      </c>
      <c r="K770" s="6">
        <v>1</v>
      </c>
      <c r="L770" s="6">
        <f t="shared" si="26"/>
        <v>1050000</v>
      </c>
      <c r="M770" s="6">
        <v>900000</v>
      </c>
      <c r="N770" s="6" t="s">
        <v>2003</v>
      </c>
      <c r="O770" s="6" t="s">
        <v>813</v>
      </c>
      <c r="P770" s="6">
        <v>2013</v>
      </c>
      <c r="Q770" s="6">
        <v>1</v>
      </c>
      <c r="R770" s="6" t="s">
        <v>45</v>
      </c>
      <c r="S770" s="32" t="s">
        <v>2113</v>
      </c>
      <c r="T770" s="6">
        <v>1</v>
      </c>
      <c r="U770" s="26">
        <v>800000</v>
      </c>
      <c r="V770" s="26">
        <v>800000</v>
      </c>
      <c r="W770" s="26">
        <v>800000</v>
      </c>
      <c r="X770" s="6" t="s">
        <v>2003</v>
      </c>
      <c r="Y770" s="6" t="s">
        <v>80</v>
      </c>
      <c r="Z770" s="6">
        <v>226293</v>
      </c>
    </row>
    <row r="771" spans="1:26" x14ac:dyDescent="0.3">
      <c r="A771" s="28" t="s">
        <v>42</v>
      </c>
      <c r="B771" s="6" t="s">
        <v>2309</v>
      </c>
      <c r="C771" s="6" t="s">
        <v>1973</v>
      </c>
      <c r="D771" s="6" t="s">
        <v>2291</v>
      </c>
      <c r="E771" s="6">
        <v>1</v>
      </c>
      <c r="F771" s="6" t="s">
        <v>2004</v>
      </c>
      <c r="G771" s="32" t="s">
        <v>2299</v>
      </c>
      <c r="H771" s="32" t="s">
        <v>2300</v>
      </c>
      <c r="I771" s="6" t="str">
        <f t="shared" si="25"/>
        <v>Wood Grapple</v>
      </c>
      <c r="J771" s="6" t="s">
        <v>127</v>
      </c>
      <c r="K771" s="6">
        <v>1</v>
      </c>
      <c r="L771" s="6">
        <f t="shared" si="26"/>
        <v>2350000</v>
      </c>
      <c r="M771" s="6">
        <v>2000000</v>
      </c>
      <c r="N771" s="6" t="s">
        <v>2003</v>
      </c>
      <c r="O771" s="6" t="s">
        <v>54</v>
      </c>
      <c r="P771" s="6">
        <v>2011</v>
      </c>
      <c r="Q771" s="6">
        <v>1</v>
      </c>
      <c r="R771" s="6" t="s">
        <v>45</v>
      </c>
      <c r="S771" s="32" t="s">
        <v>2114</v>
      </c>
      <c r="T771" s="6">
        <v>1</v>
      </c>
      <c r="U771" s="26">
        <v>1900000</v>
      </c>
      <c r="V771" s="26">
        <v>1900000</v>
      </c>
      <c r="W771" s="26">
        <v>1900000</v>
      </c>
      <c r="X771" s="6" t="s">
        <v>2003</v>
      </c>
      <c r="Y771" s="6" t="s">
        <v>54</v>
      </c>
      <c r="Z771" s="6">
        <v>226297</v>
      </c>
    </row>
    <row r="772" spans="1:26" x14ac:dyDescent="0.3">
      <c r="A772" s="28" t="s">
        <v>42</v>
      </c>
      <c r="B772" s="6" t="s">
        <v>2309</v>
      </c>
      <c r="C772" s="6" t="s">
        <v>1972</v>
      </c>
      <c r="D772" s="6" t="s">
        <v>2292</v>
      </c>
      <c r="E772" s="6">
        <v>1</v>
      </c>
      <c r="F772" s="6" t="s">
        <v>2004</v>
      </c>
      <c r="G772" s="32" t="s">
        <v>2299</v>
      </c>
      <c r="H772" s="32" t="s">
        <v>2300</v>
      </c>
      <c r="I772" s="6" t="str">
        <f t="shared" si="25"/>
        <v>Stone Grapple</v>
      </c>
      <c r="J772" s="6" t="s">
        <v>120</v>
      </c>
      <c r="K772" s="6">
        <v>1</v>
      </c>
      <c r="L772" s="6">
        <f t="shared" si="26"/>
        <v>8470000</v>
      </c>
      <c r="M772" s="6">
        <v>7200000</v>
      </c>
      <c r="N772" s="6" t="s">
        <v>2003</v>
      </c>
      <c r="O772" s="6" t="s">
        <v>1881</v>
      </c>
      <c r="P772" s="6">
        <v>2017</v>
      </c>
      <c r="Q772" s="6">
        <v>1</v>
      </c>
      <c r="R772" s="6" t="s">
        <v>45</v>
      </c>
      <c r="S772" s="32" t="s">
        <v>2110</v>
      </c>
      <c r="T772" s="6">
        <v>1</v>
      </c>
      <c r="U772" s="26">
        <v>6700000</v>
      </c>
      <c r="V772" s="26">
        <v>6700000</v>
      </c>
      <c r="W772" s="26">
        <v>6700000</v>
      </c>
      <c r="X772" s="6" t="s">
        <v>2003</v>
      </c>
      <c r="Y772" s="6" t="s">
        <v>1284</v>
      </c>
      <c r="Z772" s="6">
        <v>226298</v>
      </c>
    </row>
    <row r="773" spans="1:26" x14ac:dyDescent="0.3">
      <c r="A773" s="28" t="s">
        <v>42</v>
      </c>
      <c r="B773" s="6" t="s">
        <v>2308</v>
      </c>
      <c r="C773" s="6" t="s">
        <v>1975</v>
      </c>
      <c r="D773" s="6" t="s">
        <v>2292</v>
      </c>
      <c r="E773" s="6">
        <v>1</v>
      </c>
      <c r="F773" s="6" t="s">
        <v>2004</v>
      </c>
      <c r="G773" s="32" t="s">
        <v>2299</v>
      </c>
      <c r="H773" s="32" t="s">
        <v>2300</v>
      </c>
      <c r="I773" s="6" t="str">
        <f t="shared" si="25"/>
        <v>Side Breaker</v>
      </c>
      <c r="J773" s="6" t="s">
        <v>722</v>
      </c>
      <c r="K773" s="6">
        <v>1</v>
      </c>
      <c r="L773" s="6">
        <f t="shared" si="26"/>
        <v>4350000</v>
      </c>
      <c r="M773" s="6">
        <v>3700000</v>
      </c>
      <c r="N773" s="6" t="s">
        <v>2003</v>
      </c>
      <c r="O773" s="6" t="s">
        <v>799</v>
      </c>
      <c r="P773" s="6">
        <v>2009</v>
      </c>
      <c r="Q773" s="6">
        <v>1</v>
      </c>
      <c r="R773" s="6" t="s">
        <v>45</v>
      </c>
      <c r="S773" s="32" t="s">
        <v>2123</v>
      </c>
      <c r="T773" s="6">
        <v>1</v>
      </c>
      <c r="U773" s="26">
        <v>3500000</v>
      </c>
      <c r="V773" s="26">
        <v>3500000</v>
      </c>
      <c r="W773" s="26">
        <v>3500000</v>
      </c>
      <c r="X773" s="6" t="s">
        <v>2003</v>
      </c>
      <c r="Y773" s="6" t="s">
        <v>1181</v>
      </c>
      <c r="Z773" s="6">
        <v>226305</v>
      </c>
    </row>
    <row r="774" spans="1:26" x14ac:dyDescent="0.3">
      <c r="A774" s="28" t="s">
        <v>42</v>
      </c>
      <c r="B774" s="6" t="s">
        <v>2309</v>
      </c>
      <c r="C774" s="6" t="s">
        <v>1974</v>
      </c>
      <c r="D774" s="6" t="s">
        <v>2292</v>
      </c>
      <c r="E774" s="6">
        <v>1</v>
      </c>
      <c r="F774" s="6" t="s">
        <v>2004</v>
      </c>
      <c r="G774" s="32" t="s">
        <v>2299</v>
      </c>
      <c r="H774" s="32" t="s">
        <v>2300</v>
      </c>
      <c r="I774" s="6" t="str">
        <f t="shared" si="25"/>
        <v>Etc Grapple</v>
      </c>
      <c r="J774" s="6" t="s">
        <v>125</v>
      </c>
      <c r="K774" s="6">
        <v>1</v>
      </c>
      <c r="L774" s="6">
        <f t="shared" si="26"/>
        <v>5290000</v>
      </c>
      <c r="M774" s="6">
        <v>4500000</v>
      </c>
      <c r="N774" s="6" t="s">
        <v>2003</v>
      </c>
      <c r="O774" s="6" t="s">
        <v>54</v>
      </c>
      <c r="P774" s="6">
        <v>2010</v>
      </c>
      <c r="Q774" s="6">
        <v>1</v>
      </c>
      <c r="R774" s="6" t="s">
        <v>45</v>
      </c>
      <c r="S774" s="32" t="s">
        <v>2114</v>
      </c>
      <c r="T774" s="6">
        <v>1</v>
      </c>
      <c r="U774" s="26">
        <v>4300000</v>
      </c>
      <c r="V774" s="26">
        <v>4300000</v>
      </c>
      <c r="W774" s="26">
        <v>4300000</v>
      </c>
      <c r="X774" s="6" t="s">
        <v>2003</v>
      </c>
      <c r="Y774" s="6" t="s">
        <v>54</v>
      </c>
      <c r="Z774" s="6">
        <v>226306</v>
      </c>
    </row>
    <row r="775" spans="1:26" x14ac:dyDescent="0.3">
      <c r="A775" s="28" t="s">
        <v>42</v>
      </c>
      <c r="B775" s="6" t="s">
        <v>2308</v>
      </c>
      <c r="C775" s="6" t="s">
        <v>1975</v>
      </c>
      <c r="D775" s="6" t="s">
        <v>2001</v>
      </c>
      <c r="E775" s="6">
        <v>1</v>
      </c>
      <c r="F775" s="6" t="s">
        <v>2004</v>
      </c>
      <c r="G775" s="32" t="s">
        <v>2299</v>
      </c>
      <c r="H775" s="32" t="s">
        <v>2300</v>
      </c>
      <c r="I775" s="6" t="str">
        <f t="shared" si="25"/>
        <v>Side Breaker</v>
      </c>
      <c r="J775" s="6" t="s">
        <v>164</v>
      </c>
      <c r="K775" s="6">
        <v>1</v>
      </c>
      <c r="L775" s="6">
        <f t="shared" si="26"/>
        <v>6470000</v>
      </c>
      <c r="M775" s="6">
        <v>5500000</v>
      </c>
      <c r="N775" s="6" t="s">
        <v>2003</v>
      </c>
      <c r="O775" s="6" t="s">
        <v>54</v>
      </c>
      <c r="P775" s="6">
        <v>2008</v>
      </c>
      <c r="Q775" s="6">
        <v>1</v>
      </c>
      <c r="R775" s="6" t="s">
        <v>45</v>
      </c>
      <c r="S775" s="32" t="s">
        <v>2111</v>
      </c>
      <c r="T775" s="6">
        <v>1</v>
      </c>
      <c r="U775" s="26">
        <v>5000000</v>
      </c>
      <c r="V775" s="26">
        <v>5000000</v>
      </c>
      <c r="W775" s="26">
        <v>5000000</v>
      </c>
      <c r="X775" s="6" t="s">
        <v>2003</v>
      </c>
      <c r="Y775" s="6" t="s">
        <v>54</v>
      </c>
      <c r="Z775" s="6">
        <v>226310</v>
      </c>
    </row>
    <row r="776" spans="1:26" x14ac:dyDescent="0.3">
      <c r="A776" s="28" t="s">
        <v>42</v>
      </c>
      <c r="B776" s="6" t="s">
        <v>2317</v>
      </c>
      <c r="C776" s="6"/>
      <c r="D776" s="6" t="s">
        <v>2001</v>
      </c>
      <c r="E776" s="6">
        <v>1</v>
      </c>
      <c r="F776" s="6" t="s">
        <v>2004</v>
      </c>
      <c r="G776" s="32" t="s">
        <v>2299</v>
      </c>
      <c r="H776" s="32" t="s">
        <v>2300</v>
      </c>
      <c r="I776" s="6" t="str">
        <f t="shared" si="25"/>
        <v>Shear&amp;Cutter</v>
      </c>
      <c r="J776" s="6" t="s">
        <v>723</v>
      </c>
      <c r="K776" s="6">
        <v>1</v>
      </c>
      <c r="L776" s="6">
        <f t="shared" si="26"/>
        <v>21760000</v>
      </c>
      <c r="M776" s="6">
        <v>18500000</v>
      </c>
      <c r="N776" s="6" t="s">
        <v>2003</v>
      </c>
      <c r="O776" s="6" t="s">
        <v>1089</v>
      </c>
      <c r="P776" s="6">
        <v>2006</v>
      </c>
      <c r="Q776" s="6">
        <v>9</v>
      </c>
      <c r="R776" s="6" t="s">
        <v>45</v>
      </c>
      <c r="S776" s="32" t="s">
        <v>2122</v>
      </c>
      <c r="T776" s="6">
        <v>1</v>
      </c>
      <c r="U776" s="26">
        <v>18000000</v>
      </c>
      <c r="V776" s="26">
        <v>18000000</v>
      </c>
      <c r="W776" s="26">
        <v>18000000</v>
      </c>
      <c r="X776" s="6" t="s">
        <v>2003</v>
      </c>
      <c r="Y776" s="6" t="s">
        <v>1198</v>
      </c>
      <c r="Z776" s="6">
        <v>226315</v>
      </c>
    </row>
    <row r="777" spans="1:26" x14ac:dyDescent="0.3">
      <c r="A777" s="28" t="s">
        <v>42</v>
      </c>
      <c r="B777" s="6" t="s">
        <v>2309</v>
      </c>
      <c r="C777" s="6" t="s">
        <v>1972</v>
      </c>
      <c r="D777" s="6" t="s">
        <v>2292</v>
      </c>
      <c r="E777" s="6">
        <v>1</v>
      </c>
      <c r="F777" s="6" t="s">
        <v>2004</v>
      </c>
      <c r="G777" s="32" t="s">
        <v>2299</v>
      </c>
      <c r="H777" s="32" t="s">
        <v>2300</v>
      </c>
      <c r="I777" s="6" t="str">
        <f t="shared" si="25"/>
        <v>Stone Grapple</v>
      </c>
      <c r="J777" s="6" t="s">
        <v>44</v>
      </c>
      <c r="K777" s="6">
        <v>1</v>
      </c>
      <c r="L777" s="6">
        <f t="shared" si="26"/>
        <v>4110000</v>
      </c>
      <c r="M777" s="6">
        <v>3500000</v>
      </c>
      <c r="N777" s="6" t="s">
        <v>2003</v>
      </c>
      <c r="O777" s="6" t="s">
        <v>1090</v>
      </c>
      <c r="P777" s="6">
        <v>2015</v>
      </c>
      <c r="Q777" s="6">
        <v>6</v>
      </c>
      <c r="R777" s="6" t="s">
        <v>45</v>
      </c>
      <c r="S777" s="32" t="s">
        <v>2118</v>
      </c>
      <c r="T777" s="6">
        <v>1</v>
      </c>
      <c r="U777" s="26">
        <v>3300000</v>
      </c>
      <c r="V777" s="26">
        <v>3300000</v>
      </c>
      <c r="W777" s="26">
        <v>3300000</v>
      </c>
      <c r="X777" s="6" t="s">
        <v>2003</v>
      </c>
      <c r="Y777" s="6" t="s">
        <v>63</v>
      </c>
      <c r="Z777" s="6">
        <v>226318</v>
      </c>
    </row>
    <row r="778" spans="1:26" x14ac:dyDescent="0.3">
      <c r="A778" s="28" t="s">
        <v>42</v>
      </c>
      <c r="B778" s="6" t="s">
        <v>2309</v>
      </c>
      <c r="C778" s="6" t="s">
        <v>1974</v>
      </c>
      <c r="D778" s="6" t="s">
        <v>2291</v>
      </c>
      <c r="E778" s="6">
        <v>1</v>
      </c>
      <c r="F778" s="6" t="s">
        <v>2004</v>
      </c>
      <c r="G778" s="32" t="s">
        <v>2299</v>
      </c>
      <c r="H778" s="32" t="s">
        <v>2300</v>
      </c>
      <c r="I778" s="6" t="str">
        <f t="shared" si="25"/>
        <v>Etc Grapple</v>
      </c>
      <c r="J778" s="6" t="s">
        <v>724</v>
      </c>
      <c r="K778" s="6">
        <v>1</v>
      </c>
      <c r="L778" s="6">
        <f t="shared" si="26"/>
        <v>3170000</v>
      </c>
      <c r="M778" s="6">
        <v>2700000</v>
      </c>
      <c r="N778" s="6" t="s">
        <v>2003</v>
      </c>
      <c r="O778" s="6" t="s">
        <v>1091</v>
      </c>
      <c r="P778" s="6">
        <v>2014</v>
      </c>
      <c r="Q778" s="6">
        <v>1</v>
      </c>
      <c r="R778" s="6" t="s">
        <v>45</v>
      </c>
      <c r="S778" s="32" t="s">
        <v>2122</v>
      </c>
      <c r="T778" s="6">
        <v>1</v>
      </c>
      <c r="U778" s="26">
        <v>2500000</v>
      </c>
      <c r="V778" s="26">
        <v>2500000</v>
      </c>
      <c r="W778" s="26">
        <v>2500000</v>
      </c>
      <c r="X778" s="6" t="s">
        <v>2003</v>
      </c>
      <c r="Y778" s="6" t="s">
        <v>1227</v>
      </c>
      <c r="Z778" s="6">
        <v>226320</v>
      </c>
    </row>
    <row r="779" spans="1:26" x14ac:dyDescent="0.3">
      <c r="A779" s="28" t="s">
        <v>42</v>
      </c>
      <c r="B779" s="6" t="s">
        <v>2308</v>
      </c>
      <c r="C779" s="6" t="s">
        <v>1975</v>
      </c>
      <c r="D779" s="6" t="s">
        <v>2291</v>
      </c>
      <c r="E779" s="6">
        <v>1</v>
      </c>
      <c r="F779" s="6" t="s">
        <v>2004</v>
      </c>
      <c r="G779" s="32" t="s">
        <v>2299</v>
      </c>
      <c r="H779" s="32" t="s">
        <v>2300</v>
      </c>
      <c r="I779" s="6" t="str">
        <f t="shared" ref="I779:I842" si="27">IF(ISBLANK(C779),B779,C779)</f>
        <v>Side Breaker</v>
      </c>
      <c r="J779" s="6" t="s">
        <v>2147</v>
      </c>
      <c r="K779" s="6">
        <v>1</v>
      </c>
      <c r="L779" s="6">
        <f t="shared" ref="L779:L842" si="28">FLOOR(((M779*100)/85)/10000, 1)*10000</f>
        <v>5520000</v>
      </c>
      <c r="M779" s="6">
        <v>4700000</v>
      </c>
      <c r="N779" s="6" t="s">
        <v>2003</v>
      </c>
      <c r="O779" s="6" t="s">
        <v>2084</v>
      </c>
      <c r="P779" s="6">
        <v>2014</v>
      </c>
      <c r="Q779" s="6">
        <v>1</v>
      </c>
      <c r="R779" s="6" t="s">
        <v>45</v>
      </c>
      <c r="S779" s="32" t="s">
        <v>2122</v>
      </c>
      <c r="T779" s="6">
        <v>1</v>
      </c>
      <c r="U779" s="26">
        <v>4500000</v>
      </c>
      <c r="V779" s="26">
        <v>4500000</v>
      </c>
      <c r="W779" s="26">
        <v>4500000</v>
      </c>
      <c r="X779" s="6" t="s">
        <v>2003</v>
      </c>
      <c r="Y779" s="6" t="s">
        <v>1227</v>
      </c>
      <c r="Z779" s="6">
        <v>226325</v>
      </c>
    </row>
    <row r="780" spans="1:26" x14ac:dyDescent="0.3">
      <c r="A780" s="28" t="s">
        <v>42</v>
      </c>
      <c r="B780" s="6" t="s">
        <v>2313</v>
      </c>
      <c r="C780" s="6" t="s">
        <v>1977</v>
      </c>
      <c r="D780" s="6" t="s">
        <v>2291</v>
      </c>
      <c r="E780" s="6">
        <v>1</v>
      </c>
      <c r="F780" s="6" t="s">
        <v>2004</v>
      </c>
      <c r="G780" s="32" t="s">
        <v>2299</v>
      </c>
      <c r="H780" s="32" t="s">
        <v>2300</v>
      </c>
      <c r="I780" s="6" t="str">
        <f t="shared" si="27"/>
        <v>Wide Bucket</v>
      </c>
      <c r="J780" s="6" t="s">
        <v>175</v>
      </c>
      <c r="K780" s="6">
        <v>1</v>
      </c>
      <c r="L780" s="6">
        <f t="shared" si="28"/>
        <v>430000</v>
      </c>
      <c r="M780" s="6">
        <v>370000</v>
      </c>
      <c r="N780" s="6" t="s">
        <v>2003</v>
      </c>
      <c r="O780" s="6" t="s">
        <v>2012</v>
      </c>
      <c r="P780" s="6">
        <v>2013</v>
      </c>
      <c r="Q780" s="6">
        <v>1</v>
      </c>
      <c r="R780" s="6" t="s">
        <v>45</v>
      </c>
      <c r="S780" s="32" t="s">
        <v>2113</v>
      </c>
      <c r="T780" s="6">
        <v>1</v>
      </c>
      <c r="U780" s="26">
        <v>320000</v>
      </c>
      <c r="V780" s="26">
        <v>320000</v>
      </c>
      <c r="W780" s="26">
        <v>320000</v>
      </c>
      <c r="X780" s="6" t="s">
        <v>2003</v>
      </c>
      <c r="Y780" s="6" t="s">
        <v>49</v>
      </c>
      <c r="Z780" s="6">
        <v>226331</v>
      </c>
    </row>
    <row r="781" spans="1:26" x14ac:dyDescent="0.3">
      <c r="A781" s="28" t="s">
        <v>42</v>
      </c>
      <c r="B781" s="6" t="s">
        <v>2308</v>
      </c>
      <c r="C781" s="6" t="s">
        <v>1975</v>
      </c>
      <c r="D781" s="6" t="s">
        <v>2001</v>
      </c>
      <c r="E781" s="6">
        <v>1</v>
      </c>
      <c r="F781" s="6" t="s">
        <v>2004</v>
      </c>
      <c r="G781" s="32" t="s">
        <v>2299</v>
      </c>
      <c r="H781" s="32" t="s">
        <v>2300</v>
      </c>
      <c r="I781" s="6" t="str">
        <f t="shared" si="27"/>
        <v>Side Breaker</v>
      </c>
      <c r="J781" s="6" t="s">
        <v>727</v>
      </c>
      <c r="K781" s="6">
        <v>1</v>
      </c>
      <c r="L781" s="6">
        <f t="shared" si="28"/>
        <v>11760000</v>
      </c>
      <c r="M781" s="6">
        <v>10000000</v>
      </c>
      <c r="N781" s="6" t="s">
        <v>2003</v>
      </c>
      <c r="O781" s="6" t="s">
        <v>1093</v>
      </c>
      <c r="P781" s="6">
        <v>2016</v>
      </c>
      <c r="Q781" s="6">
        <v>1</v>
      </c>
      <c r="R781" s="6" t="s">
        <v>45</v>
      </c>
      <c r="S781" s="32" t="s">
        <v>2113</v>
      </c>
      <c r="T781" s="6">
        <v>1</v>
      </c>
      <c r="U781" s="26">
        <v>9500000</v>
      </c>
      <c r="V781" s="26">
        <v>9500000</v>
      </c>
      <c r="W781" s="26">
        <v>9500000</v>
      </c>
      <c r="X781" s="6" t="s">
        <v>2003</v>
      </c>
      <c r="Y781" s="6" t="s">
        <v>1307</v>
      </c>
      <c r="Z781" s="6">
        <v>226334</v>
      </c>
    </row>
    <row r="782" spans="1:26" x14ac:dyDescent="0.3">
      <c r="A782" s="28" t="s">
        <v>42</v>
      </c>
      <c r="B782" s="6" t="s">
        <v>2309</v>
      </c>
      <c r="C782" s="6" t="s">
        <v>1973</v>
      </c>
      <c r="D782" s="6" t="s">
        <v>2291</v>
      </c>
      <c r="E782" s="6">
        <v>1</v>
      </c>
      <c r="F782" s="6" t="s">
        <v>2004</v>
      </c>
      <c r="G782" s="32" t="s">
        <v>2299</v>
      </c>
      <c r="H782" s="32" t="s">
        <v>2300</v>
      </c>
      <c r="I782" s="6" t="str">
        <f t="shared" si="27"/>
        <v>Wood Grapple</v>
      </c>
      <c r="J782" s="6" t="s">
        <v>262</v>
      </c>
      <c r="K782" s="6">
        <v>1</v>
      </c>
      <c r="L782" s="6">
        <f t="shared" si="28"/>
        <v>3410000</v>
      </c>
      <c r="M782" s="6">
        <v>2900000</v>
      </c>
      <c r="N782" s="6" t="s">
        <v>2003</v>
      </c>
      <c r="O782" s="6" t="s">
        <v>2012</v>
      </c>
      <c r="P782" s="6">
        <v>2014</v>
      </c>
      <c r="Q782" s="6">
        <v>1</v>
      </c>
      <c r="R782" s="6" t="s">
        <v>45</v>
      </c>
      <c r="S782" s="32" t="s">
        <v>2113</v>
      </c>
      <c r="T782" s="6">
        <v>1</v>
      </c>
      <c r="U782" s="26">
        <v>2700000</v>
      </c>
      <c r="V782" s="26">
        <v>2700000</v>
      </c>
      <c r="W782" s="26">
        <v>2700000</v>
      </c>
      <c r="X782" s="6" t="s">
        <v>2003</v>
      </c>
      <c r="Y782" s="6" t="s">
        <v>49</v>
      </c>
      <c r="Z782" s="6">
        <v>226336</v>
      </c>
    </row>
    <row r="783" spans="1:26" x14ac:dyDescent="0.3">
      <c r="A783" s="28" t="s">
        <v>42</v>
      </c>
      <c r="B783" s="6" t="s">
        <v>2308</v>
      </c>
      <c r="C783" s="6" t="s">
        <v>1975</v>
      </c>
      <c r="D783" s="6" t="s">
        <v>2291</v>
      </c>
      <c r="E783" s="6">
        <v>1</v>
      </c>
      <c r="F783" s="6" t="s">
        <v>2004</v>
      </c>
      <c r="G783" s="32" t="s">
        <v>2299</v>
      </c>
      <c r="H783" s="32" t="s">
        <v>2300</v>
      </c>
      <c r="I783" s="6" t="str">
        <f t="shared" si="27"/>
        <v>Side Breaker</v>
      </c>
      <c r="J783" s="6" t="s">
        <v>160</v>
      </c>
      <c r="K783" s="6">
        <v>1</v>
      </c>
      <c r="L783" s="6">
        <f t="shared" si="28"/>
        <v>1880000</v>
      </c>
      <c r="M783" s="6">
        <v>1600000</v>
      </c>
      <c r="N783" s="6" t="s">
        <v>2003</v>
      </c>
      <c r="O783" s="6" t="s">
        <v>1882</v>
      </c>
      <c r="P783" s="6">
        <v>2015</v>
      </c>
      <c r="Q783" s="6">
        <v>1</v>
      </c>
      <c r="R783" s="6" t="s">
        <v>45</v>
      </c>
      <c r="S783" s="32" t="s">
        <v>2119</v>
      </c>
      <c r="T783" s="6">
        <v>1</v>
      </c>
      <c r="U783" s="26">
        <v>1500000</v>
      </c>
      <c r="V783" s="26">
        <v>1500000</v>
      </c>
      <c r="W783" s="26">
        <v>1500000</v>
      </c>
      <c r="X783" s="6" t="s">
        <v>2003</v>
      </c>
      <c r="Y783" s="6" t="s">
        <v>1165</v>
      </c>
      <c r="Z783" s="6">
        <v>226337</v>
      </c>
    </row>
    <row r="784" spans="1:26" x14ac:dyDescent="0.3">
      <c r="A784" s="28" t="s">
        <v>42</v>
      </c>
      <c r="B784" s="6" t="s">
        <v>2309</v>
      </c>
      <c r="C784" s="6" t="s">
        <v>1979</v>
      </c>
      <c r="D784" s="6" t="s">
        <v>2001</v>
      </c>
      <c r="E784" s="6">
        <v>1</v>
      </c>
      <c r="F784" s="6" t="s">
        <v>2004</v>
      </c>
      <c r="G784" s="32" t="s">
        <v>2299</v>
      </c>
      <c r="H784" s="32" t="s">
        <v>2300</v>
      </c>
      <c r="I784" s="6" t="str">
        <f t="shared" si="27"/>
        <v>Thumb Grapple</v>
      </c>
      <c r="J784" s="6" t="s">
        <v>728</v>
      </c>
      <c r="K784" s="6">
        <v>1</v>
      </c>
      <c r="L784" s="6">
        <f t="shared" si="28"/>
        <v>4940000</v>
      </c>
      <c r="M784" s="6">
        <v>4200000</v>
      </c>
      <c r="N784" s="6" t="s">
        <v>2003</v>
      </c>
      <c r="O784" s="6" t="s">
        <v>54</v>
      </c>
      <c r="P784" s="6">
        <v>2014</v>
      </c>
      <c r="Q784" s="6">
        <v>1</v>
      </c>
      <c r="R784" s="6" t="s">
        <v>45</v>
      </c>
      <c r="S784" s="32" t="s">
        <v>2114</v>
      </c>
      <c r="T784" s="6">
        <v>1</v>
      </c>
      <c r="U784" s="26">
        <v>4000000</v>
      </c>
      <c r="V784" s="26">
        <v>4000000</v>
      </c>
      <c r="W784" s="26">
        <v>4000000</v>
      </c>
      <c r="X784" s="6" t="s">
        <v>2003</v>
      </c>
      <c r="Y784" s="6" t="s">
        <v>54</v>
      </c>
      <c r="Z784" s="6">
        <v>226338</v>
      </c>
    </row>
    <row r="785" spans="1:26" x14ac:dyDescent="0.3">
      <c r="A785" s="28" t="s">
        <v>42</v>
      </c>
      <c r="B785" s="6" t="s">
        <v>2309</v>
      </c>
      <c r="C785" s="6" t="s">
        <v>1973</v>
      </c>
      <c r="D785" s="6" t="s">
        <v>2291</v>
      </c>
      <c r="E785" s="6">
        <v>1</v>
      </c>
      <c r="F785" s="6" t="s">
        <v>2004</v>
      </c>
      <c r="G785" s="32" t="s">
        <v>2299</v>
      </c>
      <c r="H785" s="32" t="s">
        <v>2300</v>
      </c>
      <c r="I785" s="6" t="str">
        <f t="shared" si="27"/>
        <v>Wood Grapple</v>
      </c>
      <c r="J785" s="6" t="s">
        <v>730</v>
      </c>
      <c r="K785" s="6">
        <v>1</v>
      </c>
      <c r="L785" s="6">
        <f t="shared" si="28"/>
        <v>3880000</v>
      </c>
      <c r="M785" s="6">
        <v>3300000</v>
      </c>
      <c r="N785" s="6" t="s">
        <v>2003</v>
      </c>
      <c r="O785" s="6" t="s">
        <v>2012</v>
      </c>
      <c r="P785" s="6">
        <v>2014</v>
      </c>
      <c r="Q785" s="6">
        <v>1</v>
      </c>
      <c r="R785" s="6" t="s">
        <v>45</v>
      </c>
      <c r="S785" s="32" t="s">
        <v>2113</v>
      </c>
      <c r="T785" s="6">
        <v>1</v>
      </c>
      <c r="U785" s="26">
        <v>3100000</v>
      </c>
      <c r="V785" s="26">
        <v>3100000</v>
      </c>
      <c r="W785" s="26">
        <v>3100000</v>
      </c>
      <c r="X785" s="6" t="s">
        <v>2003</v>
      </c>
      <c r="Y785" s="6" t="s">
        <v>49</v>
      </c>
      <c r="Z785" s="6">
        <v>226340</v>
      </c>
    </row>
    <row r="786" spans="1:26" x14ac:dyDescent="0.3">
      <c r="A786" s="28" t="s">
        <v>42</v>
      </c>
      <c r="B786" s="6" t="s">
        <v>2309</v>
      </c>
      <c r="C786" s="6" t="s">
        <v>1972</v>
      </c>
      <c r="D786" s="6" t="s">
        <v>2291</v>
      </c>
      <c r="E786" s="6">
        <v>1</v>
      </c>
      <c r="F786" s="6" t="s">
        <v>2004</v>
      </c>
      <c r="G786" s="32" t="s">
        <v>2299</v>
      </c>
      <c r="H786" s="32" t="s">
        <v>2300</v>
      </c>
      <c r="I786" s="6" t="str">
        <f t="shared" si="27"/>
        <v>Stone Grapple</v>
      </c>
      <c r="J786" s="6" t="s">
        <v>470</v>
      </c>
      <c r="K786" s="6">
        <v>1</v>
      </c>
      <c r="L786" s="6">
        <f t="shared" si="28"/>
        <v>2000000</v>
      </c>
      <c r="M786" s="6">
        <v>1700000</v>
      </c>
      <c r="N786" s="6" t="s">
        <v>2003</v>
      </c>
      <c r="O786" s="6" t="s">
        <v>2033</v>
      </c>
      <c r="P786" s="6">
        <v>2010</v>
      </c>
      <c r="Q786" s="6">
        <v>5</v>
      </c>
      <c r="R786" s="6" t="s">
        <v>45</v>
      </c>
      <c r="S786" s="32" t="s">
        <v>2122</v>
      </c>
      <c r="T786" s="6">
        <v>1</v>
      </c>
      <c r="U786" s="26">
        <v>1600000</v>
      </c>
      <c r="V786" s="26">
        <v>1600000</v>
      </c>
      <c r="W786" s="26">
        <v>1600000</v>
      </c>
      <c r="X786" s="6" t="s">
        <v>2003</v>
      </c>
      <c r="Y786" s="6" t="s">
        <v>1219</v>
      </c>
      <c r="Z786" s="6">
        <v>226341</v>
      </c>
    </row>
    <row r="787" spans="1:26" x14ac:dyDescent="0.3">
      <c r="A787" s="28" t="s">
        <v>42</v>
      </c>
      <c r="B787" s="6" t="s">
        <v>2313</v>
      </c>
      <c r="C787" s="6" t="s">
        <v>1977</v>
      </c>
      <c r="D787" s="6" t="s">
        <v>2292</v>
      </c>
      <c r="E787" s="6">
        <v>1</v>
      </c>
      <c r="F787" s="6" t="s">
        <v>2004</v>
      </c>
      <c r="G787" s="32" t="s">
        <v>2299</v>
      </c>
      <c r="H787" s="32" t="s">
        <v>2300</v>
      </c>
      <c r="I787" s="6" t="str">
        <f t="shared" si="27"/>
        <v>Wide Bucket</v>
      </c>
      <c r="J787" s="6" t="s">
        <v>731</v>
      </c>
      <c r="K787" s="6">
        <v>1</v>
      </c>
      <c r="L787" s="6">
        <f t="shared" si="28"/>
        <v>1050000</v>
      </c>
      <c r="M787" s="6">
        <v>900000</v>
      </c>
      <c r="N787" s="6" t="s">
        <v>2003</v>
      </c>
      <c r="O787" s="6" t="s">
        <v>1095</v>
      </c>
      <c r="P787" s="6">
        <v>2016</v>
      </c>
      <c r="Q787" s="6">
        <v>12</v>
      </c>
      <c r="R787" s="6" t="s">
        <v>45</v>
      </c>
      <c r="S787" s="32" t="s">
        <v>2114</v>
      </c>
      <c r="T787" s="6">
        <v>1</v>
      </c>
      <c r="U787" s="26">
        <v>800000</v>
      </c>
      <c r="V787" s="26">
        <v>800000</v>
      </c>
      <c r="W787" s="26">
        <v>800000</v>
      </c>
      <c r="X787" s="6" t="s">
        <v>2003</v>
      </c>
      <c r="Y787" s="6" t="s">
        <v>1309</v>
      </c>
      <c r="Z787" s="6">
        <v>226344</v>
      </c>
    </row>
    <row r="788" spans="1:26" x14ac:dyDescent="0.3">
      <c r="A788" s="28" t="s">
        <v>42</v>
      </c>
      <c r="B788" s="6" t="s">
        <v>2309</v>
      </c>
      <c r="C788" s="6" t="s">
        <v>1972</v>
      </c>
      <c r="D788" s="6" t="s">
        <v>2291</v>
      </c>
      <c r="E788" s="6">
        <v>1</v>
      </c>
      <c r="F788" s="6" t="s">
        <v>2004</v>
      </c>
      <c r="G788" s="32" t="s">
        <v>2299</v>
      </c>
      <c r="H788" s="32" t="s">
        <v>2300</v>
      </c>
      <c r="I788" s="6" t="str">
        <f t="shared" si="27"/>
        <v>Stone Grapple</v>
      </c>
      <c r="J788" s="6" t="s">
        <v>149</v>
      </c>
      <c r="K788" s="6">
        <v>1</v>
      </c>
      <c r="L788" s="6">
        <f t="shared" si="28"/>
        <v>1880000</v>
      </c>
      <c r="M788" s="6">
        <v>1600000</v>
      </c>
      <c r="N788" s="6" t="s">
        <v>2003</v>
      </c>
      <c r="O788" s="6" t="s">
        <v>794</v>
      </c>
      <c r="P788" s="6">
        <v>2015</v>
      </c>
      <c r="Q788" s="6">
        <v>6</v>
      </c>
      <c r="R788" s="6" t="s">
        <v>45</v>
      </c>
      <c r="S788" s="32" t="s">
        <v>2122</v>
      </c>
      <c r="T788" s="6">
        <v>1</v>
      </c>
      <c r="U788" s="26">
        <v>1500000</v>
      </c>
      <c r="V788" s="26">
        <v>1500000</v>
      </c>
      <c r="W788" s="26">
        <v>1500000</v>
      </c>
      <c r="X788" s="6" t="s">
        <v>2003</v>
      </c>
      <c r="Y788" s="6" t="s">
        <v>1154</v>
      </c>
      <c r="Z788" s="6">
        <v>226345</v>
      </c>
    </row>
    <row r="789" spans="1:26" x14ac:dyDescent="0.3">
      <c r="A789" s="28" t="s">
        <v>42</v>
      </c>
      <c r="B789" s="6" t="s">
        <v>2308</v>
      </c>
      <c r="C789" s="6" t="s">
        <v>1975</v>
      </c>
      <c r="D789" s="6" t="s">
        <v>2291</v>
      </c>
      <c r="E789" s="6">
        <v>1</v>
      </c>
      <c r="F789" s="6" t="s">
        <v>2004</v>
      </c>
      <c r="G789" s="32" t="s">
        <v>2299</v>
      </c>
      <c r="H789" s="32" t="s">
        <v>2300</v>
      </c>
      <c r="I789" s="6" t="str">
        <f t="shared" si="27"/>
        <v>Side Breaker</v>
      </c>
      <c r="J789" s="6" t="s">
        <v>243</v>
      </c>
      <c r="K789" s="6">
        <v>1</v>
      </c>
      <c r="L789" s="6">
        <f t="shared" si="28"/>
        <v>1410000</v>
      </c>
      <c r="M789" s="6">
        <v>1200000</v>
      </c>
      <c r="N789" s="6" t="s">
        <v>2003</v>
      </c>
      <c r="O789" s="6" t="s">
        <v>803</v>
      </c>
      <c r="P789" s="6">
        <v>2000</v>
      </c>
      <c r="Q789" s="6">
        <v>1</v>
      </c>
      <c r="R789" s="6" t="s">
        <v>45</v>
      </c>
      <c r="S789" s="32" t="s">
        <v>2123</v>
      </c>
      <c r="T789" s="6">
        <v>1</v>
      </c>
      <c r="U789" s="26">
        <v>1100000</v>
      </c>
      <c r="V789" s="26">
        <v>1100000</v>
      </c>
      <c r="W789" s="26">
        <v>1100000</v>
      </c>
      <c r="X789" s="6" t="s">
        <v>2003</v>
      </c>
      <c r="Y789" s="6" t="s">
        <v>1181</v>
      </c>
      <c r="Z789" s="6">
        <v>226346</v>
      </c>
    </row>
    <row r="790" spans="1:26" x14ac:dyDescent="0.3">
      <c r="A790" s="28" t="s">
        <v>42</v>
      </c>
      <c r="B790" s="6" t="s">
        <v>2309</v>
      </c>
      <c r="C790" s="6" t="s">
        <v>1972</v>
      </c>
      <c r="D790" s="6" t="s">
        <v>2292</v>
      </c>
      <c r="E790" s="6">
        <v>1</v>
      </c>
      <c r="F790" s="6" t="s">
        <v>2004</v>
      </c>
      <c r="G790" s="32" t="s">
        <v>2299</v>
      </c>
      <c r="H790" s="32" t="s">
        <v>2300</v>
      </c>
      <c r="I790" s="6" t="str">
        <f t="shared" si="27"/>
        <v>Stone Grapple</v>
      </c>
      <c r="J790" s="6" t="s">
        <v>120</v>
      </c>
      <c r="K790" s="6">
        <v>1</v>
      </c>
      <c r="L790" s="6">
        <f t="shared" si="28"/>
        <v>8000000</v>
      </c>
      <c r="M790" s="6">
        <v>6800000</v>
      </c>
      <c r="N790" s="6" t="s">
        <v>2003</v>
      </c>
      <c r="O790" s="6" t="s">
        <v>1096</v>
      </c>
      <c r="P790" s="6">
        <v>2017</v>
      </c>
      <c r="Q790" s="6">
        <v>1</v>
      </c>
      <c r="R790" s="6" t="s">
        <v>45</v>
      </c>
      <c r="S790" s="32" t="s">
        <v>2122</v>
      </c>
      <c r="T790" s="6">
        <v>1</v>
      </c>
      <c r="U790" s="26">
        <v>6300000</v>
      </c>
      <c r="V790" s="26">
        <v>6300000</v>
      </c>
      <c r="W790" s="26">
        <v>6300000</v>
      </c>
      <c r="X790" s="6" t="s">
        <v>2003</v>
      </c>
      <c r="Y790" s="6" t="s">
        <v>1172</v>
      </c>
      <c r="Z790" s="6">
        <v>226351</v>
      </c>
    </row>
    <row r="791" spans="1:26" x14ac:dyDescent="0.3">
      <c r="A791" s="28" t="s">
        <v>42</v>
      </c>
      <c r="B791" s="6" t="s">
        <v>2308</v>
      </c>
      <c r="C791" s="6" t="s">
        <v>1975</v>
      </c>
      <c r="D791" s="6" t="s">
        <v>2289</v>
      </c>
      <c r="E791" s="6">
        <v>1</v>
      </c>
      <c r="F791" s="6" t="s">
        <v>2004</v>
      </c>
      <c r="G791" s="32" t="s">
        <v>2299</v>
      </c>
      <c r="H791" s="32" t="s">
        <v>2300</v>
      </c>
      <c r="I791" s="6" t="str">
        <f t="shared" si="27"/>
        <v>Side Breaker</v>
      </c>
      <c r="J791" s="6" t="s">
        <v>732</v>
      </c>
      <c r="K791" s="6">
        <v>1</v>
      </c>
      <c r="L791" s="6">
        <f t="shared" si="28"/>
        <v>20580000</v>
      </c>
      <c r="M791" s="6">
        <v>17500000</v>
      </c>
      <c r="N791" s="6" t="s">
        <v>2003</v>
      </c>
      <c r="O791" s="6" t="s">
        <v>54</v>
      </c>
      <c r="P791" s="6">
        <v>2012</v>
      </c>
      <c r="Q791" s="6">
        <v>1</v>
      </c>
      <c r="R791" s="6" t="s">
        <v>45</v>
      </c>
      <c r="S791" s="32" t="s">
        <v>2111</v>
      </c>
      <c r="T791" s="6">
        <v>1</v>
      </c>
      <c r="U791" s="26">
        <v>17000000</v>
      </c>
      <c r="V791" s="26">
        <v>17000000</v>
      </c>
      <c r="W791" s="26">
        <v>17000000</v>
      </c>
      <c r="X791" s="6" t="s">
        <v>2003</v>
      </c>
      <c r="Y791" s="6" t="s">
        <v>54</v>
      </c>
      <c r="Z791" s="6">
        <v>226353</v>
      </c>
    </row>
    <row r="792" spans="1:26" x14ac:dyDescent="0.3">
      <c r="A792" s="28" t="s">
        <v>42</v>
      </c>
      <c r="B792" s="6" t="s">
        <v>2310</v>
      </c>
      <c r="C792" s="6"/>
      <c r="D792" s="6" t="s">
        <v>2292</v>
      </c>
      <c r="E792" s="6">
        <v>1</v>
      </c>
      <c r="F792" s="6" t="s">
        <v>2004</v>
      </c>
      <c r="G792" s="32" t="s">
        <v>2299</v>
      </c>
      <c r="H792" s="32" t="s">
        <v>2300</v>
      </c>
      <c r="I792" s="6" t="str">
        <f t="shared" si="27"/>
        <v>Quick Coupler</v>
      </c>
      <c r="J792" s="6" t="s">
        <v>714</v>
      </c>
      <c r="K792" s="6">
        <v>1</v>
      </c>
      <c r="L792" s="6">
        <f t="shared" si="28"/>
        <v>4940000</v>
      </c>
      <c r="M792" s="6">
        <v>4200000</v>
      </c>
      <c r="N792" s="6" t="s">
        <v>2003</v>
      </c>
      <c r="O792" s="6" t="s">
        <v>1097</v>
      </c>
      <c r="P792" s="6">
        <v>2016</v>
      </c>
      <c r="Q792" s="6">
        <v>8</v>
      </c>
      <c r="R792" s="6" t="s">
        <v>45</v>
      </c>
      <c r="S792" s="32" t="s">
        <v>2124</v>
      </c>
      <c r="T792" s="6">
        <v>1</v>
      </c>
      <c r="U792" s="26">
        <v>4000000</v>
      </c>
      <c r="V792" s="26">
        <v>4000000</v>
      </c>
      <c r="W792" s="26">
        <v>4000000</v>
      </c>
      <c r="X792" s="6" t="s">
        <v>2003</v>
      </c>
      <c r="Y792" s="6" t="s">
        <v>1303</v>
      </c>
      <c r="Z792" s="6">
        <v>226356</v>
      </c>
    </row>
    <row r="793" spans="1:26" x14ac:dyDescent="0.3">
      <c r="A793" s="28" t="s">
        <v>42</v>
      </c>
      <c r="B793" s="6" t="s">
        <v>2308</v>
      </c>
      <c r="C793" s="6" t="s">
        <v>1975</v>
      </c>
      <c r="D793" s="6" t="s">
        <v>2292</v>
      </c>
      <c r="E793" s="6">
        <v>1</v>
      </c>
      <c r="F793" s="6" t="s">
        <v>2004</v>
      </c>
      <c r="G793" s="32" t="s">
        <v>2299</v>
      </c>
      <c r="H793" s="32" t="s">
        <v>2300</v>
      </c>
      <c r="I793" s="6" t="str">
        <f t="shared" si="27"/>
        <v>Side Breaker</v>
      </c>
      <c r="J793" s="6" t="s">
        <v>715</v>
      </c>
      <c r="K793" s="6">
        <v>1</v>
      </c>
      <c r="L793" s="6">
        <f t="shared" si="28"/>
        <v>4350000</v>
      </c>
      <c r="M793" s="6">
        <v>3700000</v>
      </c>
      <c r="N793" s="6" t="s">
        <v>2003</v>
      </c>
      <c r="O793" s="6" t="s">
        <v>801</v>
      </c>
      <c r="P793" s="6">
        <v>2013</v>
      </c>
      <c r="Q793" s="6">
        <v>1</v>
      </c>
      <c r="R793" s="6" t="s">
        <v>45</v>
      </c>
      <c r="S793" s="32" t="s">
        <v>2110</v>
      </c>
      <c r="T793" s="6">
        <v>1</v>
      </c>
      <c r="U793" s="26">
        <v>3500000</v>
      </c>
      <c r="V793" s="26">
        <v>3500000</v>
      </c>
      <c r="W793" s="26">
        <v>3500000</v>
      </c>
      <c r="X793" s="6" t="s">
        <v>2003</v>
      </c>
      <c r="Y793" s="6" t="s">
        <v>1182</v>
      </c>
      <c r="Z793" s="6">
        <v>226360</v>
      </c>
    </row>
    <row r="794" spans="1:26" x14ac:dyDescent="0.3">
      <c r="A794" s="28" t="s">
        <v>42</v>
      </c>
      <c r="B794" s="6" t="s">
        <v>2313</v>
      </c>
      <c r="C794" s="6" t="s">
        <v>1976</v>
      </c>
      <c r="D794" s="6" t="s">
        <v>2290</v>
      </c>
      <c r="E794" s="6">
        <v>1</v>
      </c>
      <c r="F794" s="6" t="s">
        <v>2004</v>
      </c>
      <c r="G794" s="32" t="s">
        <v>2299</v>
      </c>
      <c r="H794" s="32" t="s">
        <v>2300</v>
      </c>
      <c r="I794" s="6" t="str">
        <f t="shared" si="27"/>
        <v>Skeleton Bucket</v>
      </c>
      <c r="J794" s="6" t="s">
        <v>284</v>
      </c>
      <c r="K794" s="6">
        <v>1</v>
      </c>
      <c r="L794" s="6">
        <f t="shared" si="28"/>
        <v>1290000</v>
      </c>
      <c r="M794" s="6">
        <v>1100000</v>
      </c>
      <c r="N794" s="6" t="s">
        <v>2003</v>
      </c>
      <c r="O794" s="6" t="s">
        <v>789</v>
      </c>
      <c r="P794" s="6">
        <v>2008</v>
      </c>
      <c r="Q794" s="6">
        <v>1</v>
      </c>
      <c r="R794" s="6" t="s">
        <v>45</v>
      </c>
      <c r="S794" s="32" t="s">
        <v>2122</v>
      </c>
      <c r="T794" s="6">
        <v>1</v>
      </c>
      <c r="U794" s="26">
        <v>1000000</v>
      </c>
      <c r="V794" s="26">
        <v>1000000</v>
      </c>
      <c r="W794" s="26">
        <v>1000000</v>
      </c>
      <c r="X794" s="6" t="s">
        <v>2003</v>
      </c>
      <c r="Y794" s="6" t="s">
        <v>65</v>
      </c>
      <c r="Z794" s="6">
        <v>226367</v>
      </c>
    </row>
    <row r="795" spans="1:26" x14ac:dyDescent="0.3">
      <c r="A795" s="28" t="s">
        <v>42</v>
      </c>
      <c r="B795" s="6" t="s">
        <v>2314</v>
      </c>
      <c r="C795" s="19" t="s">
        <v>2321</v>
      </c>
      <c r="D795" s="6" t="s">
        <v>2290</v>
      </c>
      <c r="E795" s="6">
        <v>1</v>
      </c>
      <c r="F795" s="6" t="s">
        <v>2004</v>
      </c>
      <c r="G795" s="32" t="s">
        <v>2299</v>
      </c>
      <c r="H795" s="32" t="s">
        <v>2300</v>
      </c>
      <c r="I795" s="6" t="str">
        <f t="shared" si="27"/>
        <v>Etc Crusher</v>
      </c>
      <c r="J795" s="6" t="s">
        <v>299</v>
      </c>
      <c r="K795" s="6">
        <v>1</v>
      </c>
      <c r="L795" s="6">
        <f t="shared" si="28"/>
        <v>6470000</v>
      </c>
      <c r="M795" s="6">
        <v>5500000</v>
      </c>
      <c r="N795" s="6" t="s">
        <v>2003</v>
      </c>
      <c r="O795" s="6" t="s">
        <v>1098</v>
      </c>
      <c r="P795" s="6">
        <v>2010</v>
      </c>
      <c r="Q795" s="6">
        <v>1</v>
      </c>
      <c r="R795" s="6" t="s">
        <v>45</v>
      </c>
      <c r="S795" s="32" t="s">
        <v>2123</v>
      </c>
      <c r="T795" s="6">
        <v>1</v>
      </c>
      <c r="U795" s="26">
        <v>5000000</v>
      </c>
      <c r="V795" s="26">
        <v>5000000</v>
      </c>
      <c r="W795" s="26">
        <v>5000000</v>
      </c>
      <c r="X795" s="6" t="s">
        <v>2003</v>
      </c>
      <c r="Y795" s="6" t="s">
        <v>1244</v>
      </c>
      <c r="Z795" s="6">
        <v>226372</v>
      </c>
    </row>
    <row r="796" spans="1:26" x14ac:dyDescent="0.3">
      <c r="A796" s="28" t="s">
        <v>42</v>
      </c>
      <c r="B796" s="6" t="s">
        <v>2309</v>
      </c>
      <c r="C796" s="6" t="s">
        <v>1972</v>
      </c>
      <c r="D796" s="6" t="s">
        <v>2292</v>
      </c>
      <c r="E796" s="6">
        <v>1</v>
      </c>
      <c r="F796" s="6" t="s">
        <v>2004</v>
      </c>
      <c r="G796" s="32" t="s">
        <v>2299</v>
      </c>
      <c r="H796" s="32" t="s">
        <v>2300</v>
      </c>
      <c r="I796" s="6" t="str">
        <f t="shared" si="27"/>
        <v>Stone Grapple</v>
      </c>
      <c r="J796" s="6" t="s">
        <v>340</v>
      </c>
      <c r="K796" s="6">
        <v>1</v>
      </c>
      <c r="L796" s="6">
        <f t="shared" si="28"/>
        <v>3170000</v>
      </c>
      <c r="M796" s="6">
        <v>2700000</v>
      </c>
      <c r="N796" s="6" t="s">
        <v>2003</v>
      </c>
      <c r="O796" s="6" t="s">
        <v>814</v>
      </c>
      <c r="P796" s="6">
        <v>2015</v>
      </c>
      <c r="Q796" s="6">
        <v>11</v>
      </c>
      <c r="R796" s="6" t="s">
        <v>45</v>
      </c>
      <c r="S796" s="32" t="s">
        <v>2119</v>
      </c>
      <c r="T796" s="6">
        <v>1</v>
      </c>
      <c r="U796" s="26">
        <v>2500000</v>
      </c>
      <c r="V796" s="26">
        <v>2500000</v>
      </c>
      <c r="W796" s="26">
        <v>2500000</v>
      </c>
      <c r="X796" s="6" t="s">
        <v>2003</v>
      </c>
      <c r="Y796" s="6" t="s">
        <v>1194</v>
      </c>
      <c r="Z796" s="6">
        <v>226386</v>
      </c>
    </row>
    <row r="797" spans="1:26" x14ac:dyDescent="0.3">
      <c r="A797" s="28" t="s">
        <v>42</v>
      </c>
      <c r="B797" s="6" t="s">
        <v>2309</v>
      </c>
      <c r="C797" s="6" t="s">
        <v>1979</v>
      </c>
      <c r="D797" s="6" t="s">
        <v>2292</v>
      </c>
      <c r="E797" s="6">
        <v>1</v>
      </c>
      <c r="F797" s="6" t="s">
        <v>2004</v>
      </c>
      <c r="G797" s="32" t="s">
        <v>2299</v>
      </c>
      <c r="H797" s="32" t="s">
        <v>2300</v>
      </c>
      <c r="I797" s="6" t="str">
        <f t="shared" si="27"/>
        <v>Thumb Grapple</v>
      </c>
      <c r="J797" s="6" t="s">
        <v>186</v>
      </c>
      <c r="K797" s="6">
        <v>1</v>
      </c>
      <c r="L797" s="6">
        <f t="shared" si="28"/>
        <v>940000</v>
      </c>
      <c r="M797" s="6">
        <v>800000</v>
      </c>
      <c r="N797" s="6" t="s">
        <v>2003</v>
      </c>
      <c r="O797" s="6" t="s">
        <v>823</v>
      </c>
      <c r="P797" s="6">
        <v>2013</v>
      </c>
      <c r="Q797" s="6">
        <v>1</v>
      </c>
      <c r="R797" s="6" t="s">
        <v>45</v>
      </c>
      <c r="S797" s="32" t="s">
        <v>2113</v>
      </c>
      <c r="T797" s="6">
        <v>1</v>
      </c>
      <c r="U797" s="26">
        <v>700000</v>
      </c>
      <c r="V797" s="26">
        <v>700000</v>
      </c>
      <c r="W797" s="26">
        <v>700000</v>
      </c>
      <c r="X797" s="6" t="s">
        <v>2003</v>
      </c>
      <c r="Y797" s="6" t="s">
        <v>49</v>
      </c>
      <c r="Z797" s="6">
        <v>226393</v>
      </c>
    </row>
    <row r="798" spans="1:26" x14ac:dyDescent="0.3">
      <c r="A798" s="28" t="s">
        <v>42</v>
      </c>
      <c r="B798" s="6" t="s">
        <v>2309</v>
      </c>
      <c r="C798" s="6" t="s">
        <v>1973</v>
      </c>
      <c r="D798" s="6" t="s">
        <v>2291</v>
      </c>
      <c r="E798" s="6">
        <v>1</v>
      </c>
      <c r="F798" s="6" t="s">
        <v>2004</v>
      </c>
      <c r="G798" s="32" t="s">
        <v>2299</v>
      </c>
      <c r="H798" s="32" t="s">
        <v>2300</v>
      </c>
      <c r="I798" s="6" t="str">
        <f t="shared" si="27"/>
        <v>Wood Grapple</v>
      </c>
      <c r="J798" s="6" t="s">
        <v>127</v>
      </c>
      <c r="K798" s="6">
        <v>1</v>
      </c>
      <c r="L798" s="6">
        <f t="shared" si="28"/>
        <v>2230000</v>
      </c>
      <c r="M798" s="6">
        <v>1900000</v>
      </c>
      <c r="N798" s="6" t="s">
        <v>2003</v>
      </c>
      <c r="O798" s="6" t="s">
        <v>1883</v>
      </c>
      <c r="P798" s="6">
        <v>2010</v>
      </c>
      <c r="Q798" s="6">
        <v>1</v>
      </c>
      <c r="R798" s="6" t="s">
        <v>45</v>
      </c>
      <c r="S798" s="32" t="s">
        <v>2114</v>
      </c>
      <c r="T798" s="6">
        <v>1</v>
      </c>
      <c r="U798" s="26">
        <v>1800000</v>
      </c>
      <c r="V798" s="26">
        <v>1800000</v>
      </c>
      <c r="W798" s="26">
        <v>1800000</v>
      </c>
      <c r="X798" s="6" t="s">
        <v>2003</v>
      </c>
      <c r="Y798" s="6" t="s">
        <v>830</v>
      </c>
      <c r="Z798" s="6">
        <v>226401</v>
      </c>
    </row>
    <row r="799" spans="1:26" x14ac:dyDescent="0.3">
      <c r="A799" s="28" t="s">
        <v>42</v>
      </c>
      <c r="B799" s="6" t="s">
        <v>2308</v>
      </c>
      <c r="C799" s="6" t="s">
        <v>1975</v>
      </c>
      <c r="D799" s="6" t="s">
        <v>2289</v>
      </c>
      <c r="E799" s="6">
        <v>1</v>
      </c>
      <c r="F799" s="6" t="s">
        <v>2004</v>
      </c>
      <c r="G799" s="32" t="s">
        <v>2299</v>
      </c>
      <c r="H799" s="32" t="s">
        <v>2300</v>
      </c>
      <c r="I799" s="6" t="str">
        <f t="shared" si="27"/>
        <v>Side Breaker</v>
      </c>
      <c r="J799" s="6" t="s">
        <v>733</v>
      </c>
      <c r="K799" s="6">
        <v>1</v>
      </c>
      <c r="L799" s="6">
        <f t="shared" si="28"/>
        <v>19410000</v>
      </c>
      <c r="M799" s="6">
        <v>16500000</v>
      </c>
      <c r="N799" s="6" t="s">
        <v>2003</v>
      </c>
      <c r="O799" s="6" t="s">
        <v>54</v>
      </c>
      <c r="P799" s="6">
        <v>2008</v>
      </c>
      <c r="Q799" s="6">
        <v>1</v>
      </c>
      <c r="R799" s="6" t="s">
        <v>45</v>
      </c>
      <c r="S799" s="32" t="s">
        <v>2114</v>
      </c>
      <c r="T799" s="6">
        <v>1</v>
      </c>
      <c r="U799" s="26">
        <v>16000000</v>
      </c>
      <c r="V799" s="26">
        <v>16000000</v>
      </c>
      <c r="W799" s="26">
        <v>16000000</v>
      </c>
      <c r="X799" s="6" t="s">
        <v>2003</v>
      </c>
      <c r="Y799" s="6" t="s">
        <v>54</v>
      </c>
      <c r="Z799" s="6">
        <v>226413</v>
      </c>
    </row>
    <row r="800" spans="1:26" x14ac:dyDescent="0.3">
      <c r="A800" s="28" t="s">
        <v>42</v>
      </c>
      <c r="B800" s="6" t="s">
        <v>2309</v>
      </c>
      <c r="C800" s="6" t="s">
        <v>1984</v>
      </c>
      <c r="D800" s="6" t="s">
        <v>2289</v>
      </c>
      <c r="E800" s="6">
        <v>1</v>
      </c>
      <c r="F800" s="6" t="s">
        <v>2004</v>
      </c>
      <c r="G800" s="32" t="s">
        <v>2299</v>
      </c>
      <c r="H800" s="32" t="s">
        <v>2300</v>
      </c>
      <c r="I800" s="6" t="str">
        <f t="shared" si="27"/>
        <v>Scrap Grapple</v>
      </c>
      <c r="J800" s="6" t="s">
        <v>301</v>
      </c>
      <c r="K800" s="6">
        <v>1</v>
      </c>
      <c r="L800" s="6">
        <f t="shared" si="28"/>
        <v>4350000</v>
      </c>
      <c r="M800" s="6">
        <v>3700000</v>
      </c>
      <c r="N800" s="6" t="s">
        <v>2003</v>
      </c>
      <c r="O800" s="6" t="s">
        <v>813</v>
      </c>
      <c r="P800" s="6">
        <v>2013</v>
      </c>
      <c r="Q800" s="6">
        <v>1</v>
      </c>
      <c r="R800" s="6" t="s">
        <v>45</v>
      </c>
      <c r="S800" s="32" t="s">
        <v>2113</v>
      </c>
      <c r="T800" s="6">
        <v>1</v>
      </c>
      <c r="U800" s="26">
        <v>3500000</v>
      </c>
      <c r="V800" s="26">
        <v>3500000</v>
      </c>
      <c r="W800" s="26">
        <v>3500000</v>
      </c>
      <c r="X800" s="6" t="s">
        <v>2003</v>
      </c>
      <c r="Y800" s="6" t="s">
        <v>80</v>
      </c>
      <c r="Z800" s="6">
        <v>226416</v>
      </c>
    </row>
    <row r="801" spans="1:26" x14ac:dyDescent="0.3">
      <c r="A801" s="28" t="s">
        <v>42</v>
      </c>
      <c r="B801" s="6" t="s">
        <v>2315</v>
      </c>
      <c r="C801" s="6"/>
      <c r="D801" s="6" t="s">
        <v>2289</v>
      </c>
      <c r="E801" s="6">
        <v>1</v>
      </c>
      <c r="F801" s="6" t="s">
        <v>2004</v>
      </c>
      <c r="G801" s="32" t="s">
        <v>2299</v>
      </c>
      <c r="H801" s="32" t="s">
        <v>2300</v>
      </c>
      <c r="I801" s="6" t="str">
        <f t="shared" si="27"/>
        <v>ETC</v>
      </c>
      <c r="J801" s="6" t="s">
        <v>363</v>
      </c>
      <c r="K801" s="6">
        <v>1</v>
      </c>
      <c r="L801" s="6">
        <f t="shared" si="28"/>
        <v>15880000</v>
      </c>
      <c r="M801" s="6">
        <v>13500000</v>
      </c>
      <c r="N801" s="6" t="s">
        <v>2003</v>
      </c>
      <c r="O801" s="6" t="s">
        <v>840</v>
      </c>
      <c r="P801" s="6">
        <v>2010</v>
      </c>
      <c r="Q801" s="6">
        <v>1</v>
      </c>
      <c r="R801" s="6" t="s">
        <v>45</v>
      </c>
      <c r="S801" s="32" t="s">
        <v>2117</v>
      </c>
      <c r="T801" s="6">
        <v>1</v>
      </c>
      <c r="U801" s="26">
        <v>13000000</v>
      </c>
      <c r="V801" s="26">
        <v>13000000</v>
      </c>
      <c r="W801" s="26">
        <v>13000000</v>
      </c>
      <c r="X801" s="6" t="s">
        <v>2003</v>
      </c>
      <c r="Y801" s="6" t="s">
        <v>1179</v>
      </c>
      <c r="Z801" s="6">
        <v>226417</v>
      </c>
    </row>
    <row r="802" spans="1:26" x14ac:dyDescent="0.3">
      <c r="A802" s="28" t="s">
        <v>42</v>
      </c>
      <c r="B802" s="6" t="s">
        <v>2313</v>
      </c>
      <c r="C802" s="6" t="s">
        <v>1977</v>
      </c>
      <c r="D802" s="6" t="s">
        <v>2290</v>
      </c>
      <c r="E802" s="6">
        <v>1</v>
      </c>
      <c r="F802" s="6" t="s">
        <v>2004</v>
      </c>
      <c r="G802" s="32" t="s">
        <v>2299</v>
      </c>
      <c r="H802" s="32" t="s">
        <v>2300</v>
      </c>
      <c r="I802" s="6" t="str">
        <f t="shared" si="27"/>
        <v>Wide Bucket</v>
      </c>
      <c r="J802" s="6" t="s">
        <v>275</v>
      </c>
      <c r="K802" s="6">
        <v>1</v>
      </c>
      <c r="L802" s="6">
        <f t="shared" si="28"/>
        <v>3170000</v>
      </c>
      <c r="M802" s="6">
        <v>2700000</v>
      </c>
      <c r="N802" s="6" t="s">
        <v>2003</v>
      </c>
      <c r="O802" s="6" t="s">
        <v>2011</v>
      </c>
      <c r="P802" s="6">
        <v>2012</v>
      </c>
      <c r="Q802" s="6">
        <v>6</v>
      </c>
      <c r="R802" s="6" t="s">
        <v>45</v>
      </c>
      <c r="S802" s="32" t="s">
        <v>2123</v>
      </c>
      <c r="T802" s="6">
        <v>1</v>
      </c>
      <c r="U802" s="26">
        <v>2500000</v>
      </c>
      <c r="V802" s="26">
        <v>2500000</v>
      </c>
      <c r="W802" s="26">
        <v>2500000</v>
      </c>
      <c r="X802" s="6" t="s">
        <v>2003</v>
      </c>
      <c r="Y802" s="6" t="s">
        <v>1200</v>
      </c>
      <c r="Z802" s="6">
        <v>226430</v>
      </c>
    </row>
    <row r="803" spans="1:26" x14ac:dyDescent="0.3">
      <c r="A803" s="28" t="s">
        <v>42</v>
      </c>
      <c r="B803" s="6" t="s">
        <v>2308</v>
      </c>
      <c r="C803" s="6" t="s">
        <v>1975</v>
      </c>
      <c r="D803" s="6" t="s">
        <v>2291</v>
      </c>
      <c r="E803" s="6">
        <v>1</v>
      </c>
      <c r="F803" s="6" t="s">
        <v>2004</v>
      </c>
      <c r="G803" s="32" t="s">
        <v>2299</v>
      </c>
      <c r="H803" s="32" t="s">
        <v>2300</v>
      </c>
      <c r="I803" s="6" t="str">
        <f t="shared" si="27"/>
        <v>Side Breaker</v>
      </c>
      <c r="J803" s="6" t="s">
        <v>160</v>
      </c>
      <c r="K803" s="6">
        <v>1</v>
      </c>
      <c r="L803" s="6">
        <f t="shared" si="28"/>
        <v>1880000</v>
      </c>
      <c r="M803" s="6">
        <v>1600000</v>
      </c>
      <c r="N803" s="6" t="s">
        <v>2003</v>
      </c>
      <c r="O803" s="6" t="s">
        <v>900</v>
      </c>
      <c r="P803" s="6">
        <v>2013</v>
      </c>
      <c r="Q803" s="6">
        <v>3</v>
      </c>
      <c r="R803" s="6" t="s">
        <v>45</v>
      </c>
      <c r="S803" s="32" t="s">
        <v>2122</v>
      </c>
      <c r="T803" s="6">
        <v>1</v>
      </c>
      <c r="U803" s="26">
        <v>1500000</v>
      </c>
      <c r="V803" s="26">
        <v>1500000</v>
      </c>
      <c r="W803" s="26">
        <v>1500000</v>
      </c>
      <c r="X803" s="6" t="s">
        <v>2003</v>
      </c>
      <c r="Y803" s="6" t="s">
        <v>1163</v>
      </c>
      <c r="Z803" s="6">
        <v>226431</v>
      </c>
    </row>
    <row r="804" spans="1:26" x14ac:dyDescent="0.3">
      <c r="A804" s="28" t="s">
        <v>42</v>
      </c>
      <c r="B804" s="6" t="s">
        <v>2313</v>
      </c>
      <c r="C804" s="6" t="s">
        <v>1976</v>
      </c>
      <c r="D804" s="6" t="s">
        <v>2289</v>
      </c>
      <c r="E804" s="6">
        <v>1</v>
      </c>
      <c r="F804" s="6" t="s">
        <v>2004</v>
      </c>
      <c r="G804" s="32" t="s">
        <v>2299</v>
      </c>
      <c r="H804" s="32" t="s">
        <v>2300</v>
      </c>
      <c r="I804" s="6" t="str">
        <f t="shared" si="27"/>
        <v>Skeleton Bucket</v>
      </c>
      <c r="J804" s="6" t="s">
        <v>369</v>
      </c>
      <c r="K804" s="6">
        <v>1</v>
      </c>
      <c r="L804" s="6">
        <f t="shared" si="28"/>
        <v>3170000</v>
      </c>
      <c r="M804" s="6">
        <v>2700000</v>
      </c>
      <c r="N804" s="6" t="s">
        <v>2003</v>
      </c>
      <c r="O804" s="6" t="s">
        <v>822</v>
      </c>
      <c r="P804" s="6">
        <v>2015</v>
      </c>
      <c r="Q804" s="6">
        <v>6</v>
      </c>
      <c r="R804" s="6" t="s">
        <v>45</v>
      </c>
      <c r="S804" s="32" t="s">
        <v>2123</v>
      </c>
      <c r="T804" s="6">
        <v>1</v>
      </c>
      <c r="U804" s="26">
        <v>2500000</v>
      </c>
      <c r="V804" s="26">
        <v>2500000</v>
      </c>
      <c r="W804" s="26">
        <v>2500000</v>
      </c>
      <c r="X804" s="6" t="s">
        <v>2003</v>
      </c>
      <c r="Y804" s="6" t="s">
        <v>92</v>
      </c>
      <c r="Z804" s="6">
        <v>226437</v>
      </c>
    </row>
    <row r="805" spans="1:26" x14ac:dyDescent="0.3">
      <c r="A805" s="28" t="s">
        <v>42</v>
      </c>
      <c r="B805" s="6" t="s">
        <v>2317</v>
      </c>
      <c r="C805" s="6"/>
      <c r="D805" s="6" t="s">
        <v>2001</v>
      </c>
      <c r="E805" s="6">
        <v>1</v>
      </c>
      <c r="F805" s="6" t="s">
        <v>2004</v>
      </c>
      <c r="G805" s="32" t="s">
        <v>2299</v>
      </c>
      <c r="H805" s="32" t="s">
        <v>2300</v>
      </c>
      <c r="I805" s="6" t="str">
        <f t="shared" si="27"/>
        <v>Shear&amp;Cutter</v>
      </c>
      <c r="J805" s="6" t="s">
        <v>665</v>
      </c>
      <c r="K805" s="6">
        <v>1</v>
      </c>
      <c r="L805" s="6">
        <f t="shared" si="28"/>
        <v>8820000</v>
      </c>
      <c r="M805" s="6">
        <v>7500000</v>
      </c>
      <c r="N805" s="6" t="s">
        <v>2003</v>
      </c>
      <c r="O805" s="6" t="s">
        <v>1099</v>
      </c>
      <c r="P805" s="6">
        <v>2010</v>
      </c>
      <c r="Q805" s="6">
        <v>1</v>
      </c>
      <c r="R805" s="6" t="s">
        <v>45</v>
      </c>
      <c r="S805" s="32" t="s">
        <v>2122</v>
      </c>
      <c r="T805" s="6">
        <v>1</v>
      </c>
      <c r="U805" s="26">
        <v>7000000</v>
      </c>
      <c r="V805" s="26">
        <v>7000000</v>
      </c>
      <c r="W805" s="26">
        <v>7000000</v>
      </c>
      <c r="X805" s="6" t="s">
        <v>2003</v>
      </c>
      <c r="Y805" s="6" t="s">
        <v>1227</v>
      </c>
      <c r="Z805" s="6">
        <v>226440</v>
      </c>
    </row>
    <row r="806" spans="1:26" x14ac:dyDescent="0.3">
      <c r="A806" s="28" t="s">
        <v>42</v>
      </c>
      <c r="B806" s="6" t="s">
        <v>2309</v>
      </c>
      <c r="C806" s="6" t="s">
        <v>1972</v>
      </c>
      <c r="D806" s="6" t="s">
        <v>2290</v>
      </c>
      <c r="E806" s="6">
        <v>1</v>
      </c>
      <c r="F806" s="6" t="s">
        <v>2004</v>
      </c>
      <c r="G806" s="32" t="s">
        <v>2299</v>
      </c>
      <c r="H806" s="32" t="s">
        <v>2300</v>
      </c>
      <c r="I806" s="6" t="str">
        <f t="shared" si="27"/>
        <v>Stone Grapple</v>
      </c>
      <c r="J806" s="6" t="s">
        <v>94</v>
      </c>
      <c r="K806" s="6">
        <v>1</v>
      </c>
      <c r="L806" s="6">
        <f t="shared" si="28"/>
        <v>4000000</v>
      </c>
      <c r="M806" s="6">
        <v>3400000</v>
      </c>
      <c r="N806" s="6" t="s">
        <v>2003</v>
      </c>
      <c r="O806" s="6" t="s">
        <v>813</v>
      </c>
      <c r="P806" s="6">
        <v>2013</v>
      </c>
      <c r="Q806" s="6">
        <v>1</v>
      </c>
      <c r="R806" s="6" t="s">
        <v>45</v>
      </c>
      <c r="S806" s="32" t="s">
        <v>2113</v>
      </c>
      <c r="T806" s="6">
        <v>1</v>
      </c>
      <c r="U806" s="26">
        <v>3200000</v>
      </c>
      <c r="V806" s="26">
        <v>3200000</v>
      </c>
      <c r="W806" s="26">
        <v>3200000</v>
      </c>
      <c r="X806" s="6" t="s">
        <v>2003</v>
      </c>
      <c r="Y806" s="6" t="s">
        <v>79</v>
      </c>
      <c r="Z806" s="6">
        <v>226446</v>
      </c>
    </row>
    <row r="807" spans="1:26" x14ac:dyDescent="0.3">
      <c r="A807" s="28" t="s">
        <v>42</v>
      </c>
      <c r="B807" s="6" t="s">
        <v>2313</v>
      </c>
      <c r="C807" s="19" t="s">
        <v>1982</v>
      </c>
      <c r="D807" s="6" t="s">
        <v>2292</v>
      </c>
      <c r="E807" s="6">
        <v>1</v>
      </c>
      <c r="F807" s="6" t="s">
        <v>2004</v>
      </c>
      <c r="G807" s="32" t="s">
        <v>2299</v>
      </c>
      <c r="H807" s="32" t="s">
        <v>2300</v>
      </c>
      <c r="I807" s="6" t="str">
        <f t="shared" si="27"/>
        <v>Standard Bucket</v>
      </c>
      <c r="J807" s="6" t="s">
        <v>737</v>
      </c>
      <c r="K807" s="6">
        <v>1</v>
      </c>
      <c r="L807" s="6">
        <f t="shared" si="28"/>
        <v>1170000</v>
      </c>
      <c r="M807" s="6">
        <v>1000000</v>
      </c>
      <c r="N807" s="6" t="s">
        <v>2003</v>
      </c>
      <c r="O807" s="6" t="s">
        <v>2085</v>
      </c>
      <c r="P807" s="6">
        <v>2017</v>
      </c>
      <c r="Q807" s="6">
        <v>2</v>
      </c>
      <c r="R807" s="6" t="s">
        <v>45</v>
      </c>
      <c r="S807" s="32" t="s">
        <v>2124</v>
      </c>
      <c r="T807" s="6">
        <v>1</v>
      </c>
      <c r="U807" s="26">
        <v>900000</v>
      </c>
      <c r="V807" s="26">
        <v>900000</v>
      </c>
      <c r="W807" s="26">
        <v>900000</v>
      </c>
      <c r="X807" s="6" t="s">
        <v>2003</v>
      </c>
      <c r="Y807" s="6" t="s">
        <v>1144</v>
      </c>
      <c r="Z807" s="6">
        <v>226450</v>
      </c>
    </row>
    <row r="808" spans="1:26" x14ac:dyDescent="0.3">
      <c r="A808" s="28" t="s">
        <v>42</v>
      </c>
      <c r="B808" s="6" t="s">
        <v>2308</v>
      </c>
      <c r="C808" s="6" t="s">
        <v>1975</v>
      </c>
      <c r="D808" s="6" t="s">
        <v>2291</v>
      </c>
      <c r="E808" s="6">
        <v>1</v>
      </c>
      <c r="F808" s="6" t="s">
        <v>2004</v>
      </c>
      <c r="G808" s="32" t="s">
        <v>2299</v>
      </c>
      <c r="H808" s="32" t="s">
        <v>2300</v>
      </c>
      <c r="I808" s="6" t="str">
        <f t="shared" si="27"/>
        <v>Side Breaker</v>
      </c>
      <c r="J808" s="6" t="s">
        <v>212</v>
      </c>
      <c r="K808" s="6">
        <v>1</v>
      </c>
      <c r="L808" s="6">
        <f t="shared" si="28"/>
        <v>1880000</v>
      </c>
      <c r="M808" s="6">
        <v>1600000</v>
      </c>
      <c r="N808" s="6" t="s">
        <v>2003</v>
      </c>
      <c r="O808" s="6" t="s">
        <v>794</v>
      </c>
      <c r="P808" s="6">
        <v>2015</v>
      </c>
      <c r="Q808" s="6">
        <v>1</v>
      </c>
      <c r="R808" s="6" t="s">
        <v>45</v>
      </c>
      <c r="S808" s="32" t="s">
        <v>2122</v>
      </c>
      <c r="T808" s="6">
        <v>1</v>
      </c>
      <c r="U808" s="26">
        <v>1500000</v>
      </c>
      <c r="V808" s="26">
        <v>1500000</v>
      </c>
      <c r="W808" s="26">
        <v>1500000</v>
      </c>
      <c r="X808" s="6" t="s">
        <v>2003</v>
      </c>
      <c r="Y808" s="6" t="s">
        <v>1154</v>
      </c>
      <c r="Z808" s="6">
        <v>226451</v>
      </c>
    </row>
    <row r="809" spans="1:26" x14ac:dyDescent="0.3">
      <c r="A809" s="28" t="s">
        <v>42</v>
      </c>
      <c r="B809" s="6" t="s">
        <v>2309</v>
      </c>
      <c r="C809" s="6" t="s">
        <v>1972</v>
      </c>
      <c r="D809" s="6" t="s">
        <v>2290</v>
      </c>
      <c r="E809" s="6">
        <v>1</v>
      </c>
      <c r="F809" s="6" t="s">
        <v>2004</v>
      </c>
      <c r="G809" s="32" t="s">
        <v>2299</v>
      </c>
      <c r="H809" s="32" t="s">
        <v>2300</v>
      </c>
      <c r="I809" s="6" t="str">
        <f t="shared" si="27"/>
        <v>Stone Grapple</v>
      </c>
      <c r="J809" s="6" t="s">
        <v>94</v>
      </c>
      <c r="K809" s="6">
        <v>1</v>
      </c>
      <c r="L809" s="6">
        <f t="shared" si="28"/>
        <v>3170000</v>
      </c>
      <c r="M809" s="6">
        <v>2700000</v>
      </c>
      <c r="N809" s="6" t="s">
        <v>2003</v>
      </c>
      <c r="O809" s="6" t="s">
        <v>2011</v>
      </c>
      <c r="P809" s="6">
        <v>2010</v>
      </c>
      <c r="Q809" s="6">
        <v>6</v>
      </c>
      <c r="R809" s="6" t="s">
        <v>45</v>
      </c>
      <c r="S809" s="32" t="s">
        <v>2123</v>
      </c>
      <c r="T809" s="6">
        <v>1</v>
      </c>
      <c r="U809" s="26">
        <v>2500000</v>
      </c>
      <c r="V809" s="26">
        <v>2500000</v>
      </c>
      <c r="W809" s="26">
        <v>2500000</v>
      </c>
      <c r="X809" s="6" t="s">
        <v>2003</v>
      </c>
      <c r="Y809" s="6" t="s">
        <v>1200</v>
      </c>
      <c r="Z809" s="6">
        <v>226452</v>
      </c>
    </row>
    <row r="810" spans="1:26" x14ac:dyDescent="0.3">
      <c r="A810" s="28" t="s">
        <v>42</v>
      </c>
      <c r="B810" s="6" t="s">
        <v>2313</v>
      </c>
      <c r="C810" s="6" t="s">
        <v>1976</v>
      </c>
      <c r="D810" s="6" t="s">
        <v>2290</v>
      </c>
      <c r="E810" s="6">
        <v>1</v>
      </c>
      <c r="F810" s="6" t="s">
        <v>2004</v>
      </c>
      <c r="G810" s="32" t="s">
        <v>2299</v>
      </c>
      <c r="H810" s="32" t="s">
        <v>2300</v>
      </c>
      <c r="I810" s="6" t="str">
        <f t="shared" si="27"/>
        <v>Skeleton Bucket</v>
      </c>
      <c r="J810" s="6" t="s">
        <v>402</v>
      </c>
      <c r="K810" s="6">
        <v>1</v>
      </c>
      <c r="L810" s="6">
        <f t="shared" si="28"/>
        <v>2940000</v>
      </c>
      <c r="M810" s="6">
        <v>2500000</v>
      </c>
      <c r="N810" s="6" t="s">
        <v>2003</v>
      </c>
      <c r="O810" s="6" t="s">
        <v>813</v>
      </c>
      <c r="P810" s="6">
        <v>2016</v>
      </c>
      <c r="Q810" s="6">
        <v>1</v>
      </c>
      <c r="R810" s="6" t="s">
        <v>45</v>
      </c>
      <c r="S810" s="32" t="s">
        <v>2113</v>
      </c>
      <c r="T810" s="6">
        <v>1</v>
      </c>
      <c r="U810" s="26">
        <v>2300000</v>
      </c>
      <c r="V810" s="26">
        <v>2300000</v>
      </c>
      <c r="W810" s="26">
        <v>2300000</v>
      </c>
      <c r="X810" s="6" t="s">
        <v>2003</v>
      </c>
      <c r="Y810" s="6" t="s">
        <v>80</v>
      </c>
      <c r="Z810" s="6">
        <v>226454</v>
      </c>
    </row>
    <row r="811" spans="1:26" x14ac:dyDescent="0.3">
      <c r="A811" s="28" t="s">
        <v>42</v>
      </c>
      <c r="B811" s="6" t="s">
        <v>2308</v>
      </c>
      <c r="C811" s="6" t="s">
        <v>1975</v>
      </c>
      <c r="D811" s="6" t="s">
        <v>2296</v>
      </c>
      <c r="E811" s="6">
        <v>1</v>
      </c>
      <c r="F811" s="6" t="s">
        <v>2004</v>
      </c>
      <c r="G811" s="32" t="s">
        <v>2299</v>
      </c>
      <c r="H811" s="32" t="s">
        <v>2300</v>
      </c>
      <c r="I811" s="6" t="str">
        <f t="shared" si="27"/>
        <v>Side Breaker</v>
      </c>
      <c r="J811" s="6" t="s">
        <v>329</v>
      </c>
      <c r="K811" s="6">
        <v>1</v>
      </c>
      <c r="L811" s="6">
        <f t="shared" si="28"/>
        <v>5520000</v>
      </c>
      <c r="M811" s="6">
        <v>4700000</v>
      </c>
      <c r="N811" s="6" t="s">
        <v>2003</v>
      </c>
      <c r="O811" s="6" t="s">
        <v>2086</v>
      </c>
      <c r="P811" s="6">
        <v>2004</v>
      </c>
      <c r="Q811" s="6">
        <v>1</v>
      </c>
      <c r="R811" s="6" t="s">
        <v>45</v>
      </c>
      <c r="S811" s="32" t="s">
        <v>2120</v>
      </c>
      <c r="T811" s="6">
        <v>1</v>
      </c>
      <c r="U811" s="26">
        <v>4500000</v>
      </c>
      <c r="V811" s="26">
        <v>4500000</v>
      </c>
      <c r="W811" s="26">
        <v>4500000</v>
      </c>
      <c r="X811" s="6" t="s">
        <v>2003</v>
      </c>
      <c r="Y811" s="6" t="s">
        <v>82</v>
      </c>
      <c r="Z811" s="6">
        <v>226456</v>
      </c>
    </row>
    <row r="812" spans="1:26" x14ac:dyDescent="0.3">
      <c r="A812" s="28" t="s">
        <v>42</v>
      </c>
      <c r="B812" s="6" t="s">
        <v>2309</v>
      </c>
      <c r="C812" s="6" t="s">
        <v>1972</v>
      </c>
      <c r="D812" s="6" t="s">
        <v>2292</v>
      </c>
      <c r="E812" s="6">
        <v>1</v>
      </c>
      <c r="F812" s="6" t="s">
        <v>2004</v>
      </c>
      <c r="G812" s="32" t="s">
        <v>2299</v>
      </c>
      <c r="H812" s="32" t="s">
        <v>2300</v>
      </c>
      <c r="I812" s="6" t="str">
        <f t="shared" si="27"/>
        <v>Stone Grapple</v>
      </c>
      <c r="J812" s="6" t="s">
        <v>44</v>
      </c>
      <c r="K812" s="6">
        <v>1</v>
      </c>
      <c r="L812" s="6">
        <f t="shared" si="28"/>
        <v>2940000</v>
      </c>
      <c r="M812" s="6">
        <v>2500000</v>
      </c>
      <c r="N812" s="6" t="s">
        <v>2003</v>
      </c>
      <c r="O812" s="6" t="s">
        <v>813</v>
      </c>
      <c r="P812" s="6">
        <v>2013</v>
      </c>
      <c r="Q812" s="6">
        <v>1</v>
      </c>
      <c r="R812" s="6" t="s">
        <v>45</v>
      </c>
      <c r="S812" s="32" t="s">
        <v>2113</v>
      </c>
      <c r="T812" s="6">
        <v>1</v>
      </c>
      <c r="U812" s="26">
        <v>2300000</v>
      </c>
      <c r="V812" s="26">
        <v>2300000</v>
      </c>
      <c r="W812" s="26">
        <v>2300000</v>
      </c>
      <c r="X812" s="6" t="s">
        <v>2003</v>
      </c>
      <c r="Y812" s="6" t="s">
        <v>79</v>
      </c>
      <c r="Z812" s="6">
        <v>226466</v>
      </c>
    </row>
    <row r="813" spans="1:26" x14ac:dyDescent="0.3">
      <c r="A813" s="28" t="s">
        <v>42</v>
      </c>
      <c r="B813" s="6" t="s">
        <v>2308</v>
      </c>
      <c r="C813" s="6" t="s">
        <v>1975</v>
      </c>
      <c r="D813" s="6" t="s">
        <v>2291</v>
      </c>
      <c r="E813" s="6">
        <v>1</v>
      </c>
      <c r="F813" s="6" t="s">
        <v>2004</v>
      </c>
      <c r="G813" s="32" t="s">
        <v>2299</v>
      </c>
      <c r="H813" s="32" t="s">
        <v>2300</v>
      </c>
      <c r="I813" s="6" t="str">
        <f t="shared" si="27"/>
        <v>Side Breaker</v>
      </c>
      <c r="J813" s="6" t="s">
        <v>266</v>
      </c>
      <c r="K813" s="6">
        <v>1</v>
      </c>
      <c r="L813" s="6">
        <f t="shared" si="28"/>
        <v>2820000</v>
      </c>
      <c r="M813" s="6">
        <v>2400000</v>
      </c>
      <c r="N813" s="6" t="s">
        <v>2003</v>
      </c>
      <c r="O813" s="6" t="s">
        <v>2011</v>
      </c>
      <c r="P813" s="6">
        <v>2016</v>
      </c>
      <c r="Q813" s="6">
        <v>6</v>
      </c>
      <c r="R813" s="6" t="s">
        <v>45</v>
      </c>
      <c r="S813" s="32" t="s">
        <v>2123</v>
      </c>
      <c r="T813" s="6">
        <v>1</v>
      </c>
      <c r="U813" s="26">
        <v>2200000</v>
      </c>
      <c r="V813" s="26">
        <v>2200000</v>
      </c>
      <c r="W813" s="26">
        <v>2200000</v>
      </c>
      <c r="X813" s="6" t="s">
        <v>2003</v>
      </c>
      <c r="Y813" s="6" t="s">
        <v>1200</v>
      </c>
      <c r="Z813" s="6">
        <v>226472</v>
      </c>
    </row>
    <row r="814" spans="1:26" x14ac:dyDescent="0.3">
      <c r="A814" s="28" t="s">
        <v>42</v>
      </c>
      <c r="B814" s="6" t="s">
        <v>2313</v>
      </c>
      <c r="C814" s="6" t="s">
        <v>1976</v>
      </c>
      <c r="D814" s="6" t="s">
        <v>2001</v>
      </c>
      <c r="E814" s="6">
        <v>1</v>
      </c>
      <c r="F814" s="6" t="s">
        <v>2004</v>
      </c>
      <c r="G814" s="32" t="s">
        <v>2299</v>
      </c>
      <c r="H814" s="32" t="s">
        <v>2300</v>
      </c>
      <c r="I814" s="6" t="str">
        <f t="shared" si="27"/>
        <v>Skeleton Bucket</v>
      </c>
      <c r="J814" s="6" t="s">
        <v>336</v>
      </c>
      <c r="K814" s="6">
        <v>1</v>
      </c>
      <c r="L814" s="6">
        <f t="shared" si="28"/>
        <v>2580000</v>
      </c>
      <c r="M814" s="6">
        <v>2200000</v>
      </c>
      <c r="N814" s="6" t="s">
        <v>2003</v>
      </c>
      <c r="O814" s="6" t="s">
        <v>2011</v>
      </c>
      <c r="P814" s="6">
        <v>2010</v>
      </c>
      <c r="Q814" s="6">
        <v>6</v>
      </c>
      <c r="R814" s="6" t="s">
        <v>45</v>
      </c>
      <c r="S814" s="32" t="s">
        <v>2123</v>
      </c>
      <c r="T814" s="6">
        <v>1</v>
      </c>
      <c r="U814" s="26">
        <v>2000000</v>
      </c>
      <c r="V814" s="26">
        <v>2000000</v>
      </c>
      <c r="W814" s="26">
        <v>2000000</v>
      </c>
      <c r="X814" s="6" t="s">
        <v>2003</v>
      </c>
      <c r="Y814" s="6" t="s">
        <v>1200</v>
      </c>
      <c r="Z814" s="6">
        <v>226478</v>
      </c>
    </row>
    <row r="815" spans="1:26" x14ac:dyDescent="0.3">
      <c r="A815" s="28" t="s">
        <v>42</v>
      </c>
      <c r="B815" s="6" t="s">
        <v>2313</v>
      </c>
      <c r="C815" s="6" t="s">
        <v>1976</v>
      </c>
      <c r="D815" s="6" t="s">
        <v>2292</v>
      </c>
      <c r="E815" s="6">
        <v>1</v>
      </c>
      <c r="F815" s="6" t="s">
        <v>2004</v>
      </c>
      <c r="G815" s="32" t="s">
        <v>2299</v>
      </c>
      <c r="H815" s="32" t="s">
        <v>2300</v>
      </c>
      <c r="I815" s="6" t="str">
        <f t="shared" si="27"/>
        <v>Skeleton Bucket</v>
      </c>
      <c r="J815" s="6" t="s">
        <v>118</v>
      </c>
      <c r="K815" s="6">
        <v>1</v>
      </c>
      <c r="L815" s="6">
        <f t="shared" si="28"/>
        <v>1290000</v>
      </c>
      <c r="M815" s="6">
        <v>1100000</v>
      </c>
      <c r="N815" s="6" t="s">
        <v>2003</v>
      </c>
      <c r="O815" s="6" t="s">
        <v>939</v>
      </c>
      <c r="P815" s="6">
        <v>2014</v>
      </c>
      <c r="Q815" s="6">
        <v>9</v>
      </c>
      <c r="R815" s="6" t="s">
        <v>45</v>
      </c>
      <c r="S815" s="32" t="s">
        <v>2120</v>
      </c>
      <c r="T815" s="6">
        <v>1</v>
      </c>
      <c r="U815" s="26">
        <v>1000000</v>
      </c>
      <c r="V815" s="26">
        <v>1000000</v>
      </c>
      <c r="W815" s="26">
        <v>1000000</v>
      </c>
      <c r="X815" s="6" t="s">
        <v>2003</v>
      </c>
      <c r="Y815" s="6" t="s">
        <v>939</v>
      </c>
      <c r="Z815" s="6">
        <v>226482</v>
      </c>
    </row>
    <row r="816" spans="1:26" x14ac:dyDescent="0.3">
      <c r="A816" s="28" t="s">
        <v>42</v>
      </c>
      <c r="B816" s="6" t="s">
        <v>2315</v>
      </c>
      <c r="C816" s="6"/>
      <c r="D816" s="6" t="s">
        <v>2292</v>
      </c>
      <c r="E816" s="6">
        <v>1</v>
      </c>
      <c r="F816" s="6" t="s">
        <v>2004</v>
      </c>
      <c r="G816" s="32" t="s">
        <v>2299</v>
      </c>
      <c r="H816" s="32" t="s">
        <v>2300</v>
      </c>
      <c r="I816" s="6" t="str">
        <f t="shared" si="27"/>
        <v>ETC</v>
      </c>
      <c r="J816" s="6" t="s">
        <v>2148</v>
      </c>
      <c r="K816" s="6">
        <v>1</v>
      </c>
      <c r="L816" s="6">
        <f t="shared" si="28"/>
        <v>1050000</v>
      </c>
      <c r="M816" s="6">
        <v>900000</v>
      </c>
      <c r="N816" s="6" t="s">
        <v>2003</v>
      </c>
      <c r="O816" s="6" t="s">
        <v>2087</v>
      </c>
      <c r="P816" s="6">
        <v>2011</v>
      </c>
      <c r="Q816" s="6">
        <v>1</v>
      </c>
      <c r="R816" s="6" t="s">
        <v>45</v>
      </c>
      <c r="S816" s="32" t="s">
        <v>2116</v>
      </c>
      <c r="T816" s="6">
        <v>1</v>
      </c>
      <c r="U816" s="26">
        <v>800000</v>
      </c>
      <c r="V816" s="26">
        <v>800000</v>
      </c>
      <c r="W816" s="26">
        <v>800000</v>
      </c>
      <c r="X816" s="6" t="s">
        <v>2003</v>
      </c>
      <c r="Y816" s="6" t="s">
        <v>90</v>
      </c>
      <c r="Z816" s="6">
        <v>226483</v>
      </c>
    </row>
    <row r="817" spans="1:26" x14ac:dyDescent="0.3">
      <c r="A817" s="28" t="s">
        <v>42</v>
      </c>
      <c r="B817" s="6" t="s">
        <v>2315</v>
      </c>
      <c r="C817" s="6" t="s">
        <v>1976</v>
      </c>
      <c r="D817" s="6" t="s">
        <v>2292</v>
      </c>
      <c r="E817" s="6">
        <v>1</v>
      </c>
      <c r="F817" s="6" t="s">
        <v>2004</v>
      </c>
      <c r="G817" s="32" t="s">
        <v>2299</v>
      </c>
      <c r="H817" s="32" t="s">
        <v>2300</v>
      </c>
      <c r="I817" s="6" t="str">
        <f t="shared" si="27"/>
        <v>Skeleton Bucket</v>
      </c>
      <c r="J817" s="6" t="s">
        <v>738</v>
      </c>
      <c r="K817" s="6">
        <v>1</v>
      </c>
      <c r="L817" s="6">
        <f t="shared" si="28"/>
        <v>3520000</v>
      </c>
      <c r="M817" s="6">
        <v>3000000</v>
      </c>
      <c r="N817" s="6" t="s">
        <v>2003</v>
      </c>
      <c r="O817" s="6" t="s">
        <v>1100</v>
      </c>
      <c r="P817" s="6">
        <v>2016</v>
      </c>
      <c r="Q817" s="6">
        <v>1</v>
      </c>
      <c r="R817" s="6" t="s">
        <v>45</v>
      </c>
      <c r="S817" s="32" t="s">
        <v>2113</v>
      </c>
      <c r="T817" s="6">
        <v>1</v>
      </c>
      <c r="U817" s="26">
        <v>2800000</v>
      </c>
      <c r="V817" s="26">
        <v>2800000</v>
      </c>
      <c r="W817" s="26">
        <v>2800000</v>
      </c>
      <c r="X817" s="6" t="s">
        <v>2003</v>
      </c>
      <c r="Y817" s="6" t="s">
        <v>1310</v>
      </c>
      <c r="Z817" s="6">
        <v>226493</v>
      </c>
    </row>
    <row r="818" spans="1:26" x14ac:dyDescent="0.3">
      <c r="A818" s="28" t="s">
        <v>42</v>
      </c>
      <c r="B818" s="6" t="s">
        <v>2313</v>
      </c>
      <c r="C818" s="6" t="s">
        <v>1976</v>
      </c>
      <c r="D818" s="6" t="s">
        <v>2291</v>
      </c>
      <c r="E818" s="6">
        <v>1</v>
      </c>
      <c r="F818" s="6" t="s">
        <v>2004</v>
      </c>
      <c r="G818" s="32" t="s">
        <v>2299</v>
      </c>
      <c r="H818" s="32" t="s">
        <v>2300</v>
      </c>
      <c r="I818" s="6" t="str">
        <f t="shared" si="27"/>
        <v>Skeleton Bucket</v>
      </c>
      <c r="J818" s="6" t="s">
        <v>557</v>
      </c>
      <c r="K818" s="6">
        <v>1</v>
      </c>
      <c r="L818" s="6">
        <f t="shared" si="28"/>
        <v>820000</v>
      </c>
      <c r="M818" s="6">
        <v>700000</v>
      </c>
      <c r="N818" s="6" t="s">
        <v>2003</v>
      </c>
      <c r="O818" s="6" t="s">
        <v>2011</v>
      </c>
      <c r="P818" s="6">
        <v>2017</v>
      </c>
      <c r="Q818" s="6">
        <v>2</v>
      </c>
      <c r="R818" s="6" t="s">
        <v>45</v>
      </c>
      <c r="S818" s="32" t="s">
        <v>2123</v>
      </c>
      <c r="T818" s="6">
        <v>1</v>
      </c>
      <c r="U818" s="26">
        <v>600000</v>
      </c>
      <c r="V818" s="26">
        <v>600000</v>
      </c>
      <c r="W818" s="26">
        <v>600000</v>
      </c>
      <c r="X818" s="6" t="s">
        <v>2003</v>
      </c>
      <c r="Y818" s="6" t="s">
        <v>1200</v>
      </c>
      <c r="Z818" s="6">
        <v>226496</v>
      </c>
    </row>
    <row r="819" spans="1:26" x14ac:dyDescent="0.3">
      <c r="A819" s="28" t="s">
        <v>42</v>
      </c>
      <c r="B819" s="6" t="s">
        <v>2315</v>
      </c>
      <c r="C819" s="6" t="s">
        <v>1976</v>
      </c>
      <c r="D819" s="6" t="s">
        <v>2291</v>
      </c>
      <c r="E819" s="6">
        <v>1</v>
      </c>
      <c r="F819" s="6" t="s">
        <v>2004</v>
      </c>
      <c r="G819" s="32" t="s">
        <v>2299</v>
      </c>
      <c r="H819" s="32" t="s">
        <v>2300</v>
      </c>
      <c r="I819" s="6" t="str">
        <f t="shared" si="27"/>
        <v>Skeleton Bucket</v>
      </c>
      <c r="J819" s="6" t="s">
        <v>739</v>
      </c>
      <c r="K819" s="6">
        <v>1</v>
      </c>
      <c r="L819" s="6">
        <f t="shared" si="28"/>
        <v>760000</v>
      </c>
      <c r="M819" s="6">
        <v>650000</v>
      </c>
      <c r="N819" s="6" t="s">
        <v>2003</v>
      </c>
      <c r="O819" s="6" t="s">
        <v>107</v>
      </c>
      <c r="P819" s="6">
        <v>2016</v>
      </c>
      <c r="Q819" s="6">
        <v>1</v>
      </c>
      <c r="R819" s="6" t="s">
        <v>45</v>
      </c>
      <c r="S819" s="32" t="s">
        <v>2120</v>
      </c>
      <c r="T819" s="6">
        <v>1</v>
      </c>
      <c r="U819" s="26">
        <v>550000</v>
      </c>
      <c r="V819" s="26">
        <v>550000</v>
      </c>
      <c r="W819" s="26">
        <v>550000</v>
      </c>
      <c r="X819" s="6" t="s">
        <v>2003</v>
      </c>
      <c r="Y819" s="6" t="s">
        <v>1294</v>
      </c>
      <c r="Z819" s="6">
        <v>226501</v>
      </c>
    </row>
    <row r="820" spans="1:26" x14ac:dyDescent="0.3">
      <c r="A820" s="28" t="s">
        <v>42</v>
      </c>
      <c r="B820" s="6" t="s">
        <v>2309</v>
      </c>
      <c r="C820" s="6" t="s">
        <v>1972</v>
      </c>
      <c r="D820" s="6" t="s">
        <v>2292</v>
      </c>
      <c r="E820" s="6">
        <v>1</v>
      </c>
      <c r="F820" s="6" t="s">
        <v>2004</v>
      </c>
      <c r="G820" s="32" t="s">
        <v>2299</v>
      </c>
      <c r="H820" s="32" t="s">
        <v>2300</v>
      </c>
      <c r="I820" s="6" t="str">
        <f t="shared" si="27"/>
        <v>Stone Grapple</v>
      </c>
      <c r="J820" s="6" t="s">
        <v>250</v>
      </c>
      <c r="K820" s="6">
        <v>1</v>
      </c>
      <c r="L820" s="6">
        <f t="shared" si="28"/>
        <v>2110000</v>
      </c>
      <c r="M820" s="6">
        <v>1800000</v>
      </c>
      <c r="N820" s="6" t="s">
        <v>2003</v>
      </c>
      <c r="O820" s="6" t="s">
        <v>2007</v>
      </c>
      <c r="P820" s="6">
        <v>2013</v>
      </c>
      <c r="Q820" s="6">
        <v>1</v>
      </c>
      <c r="R820" s="6" t="s">
        <v>45</v>
      </c>
      <c r="S820" s="32" t="s">
        <v>2113</v>
      </c>
      <c r="T820" s="6">
        <v>1</v>
      </c>
      <c r="U820" s="26">
        <v>1700000</v>
      </c>
      <c r="V820" s="26">
        <v>1700000</v>
      </c>
      <c r="W820" s="26">
        <v>1700000</v>
      </c>
      <c r="X820" s="6" t="s">
        <v>2003</v>
      </c>
      <c r="Y820" s="6" t="s">
        <v>49</v>
      </c>
      <c r="Z820" s="6">
        <v>226508</v>
      </c>
    </row>
    <row r="821" spans="1:26" x14ac:dyDescent="0.3">
      <c r="A821" s="28" t="s">
        <v>42</v>
      </c>
      <c r="B821" s="6" t="s">
        <v>2314</v>
      </c>
      <c r="C821" s="6" t="s">
        <v>2321</v>
      </c>
      <c r="D821" s="6" t="s">
        <v>2001</v>
      </c>
      <c r="E821" s="6">
        <v>1</v>
      </c>
      <c r="F821" s="6" t="s">
        <v>2004</v>
      </c>
      <c r="G821" s="32" t="s">
        <v>2299</v>
      </c>
      <c r="H821" s="32" t="s">
        <v>2300</v>
      </c>
      <c r="I821" s="6" t="str">
        <f t="shared" si="27"/>
        <v>Etc Crusher</v>
      </c>
      <c r="J821" s="6" t="s">
        <v>53</v>
      </c>
      <c r="K821" s="6">
        <v>1</v>
      </c>
      <c r="L821" s="6">
        <f t="shared" si="28"/>
        <v>14700000</v>
      </c>
      <c r="M821" s="6">
        <v>12500000</v>
      </c>
      <c r="N821" s="6" t="s">
        <v>2003</v>
      </c>
      <c r="O821" s="6" t="s">
        <v>939</v>
      </c>
      <c r="P821" s="6">
        <v>2014</v>
      </c>
      <c r="Q821" s="6">
        <v>3</v>
      </c>
      <c r="R821" s="6" t="s">
        <v>45</v>
      </c>
      <c r="S821" s="32" t="s">
        <v>2120</v>
      </c>
      <c r="T821" s="6">
        <v>1</v>
      </c>
      <c r="U821" s="26">
        <v>12000000</v>
      </c>
      <c r="V821" s="26">
        <v>12000000</v>
      </c>
      <c r="W821" s="26">
        <v>12000000</v>
      </c>
      <c r="X821" s="6" t="s">
        <v>2003</v>
      </c>
      <c r="Y821" s="6" t="s">
        <v>939</v>
      </c>
      <c r="Z821" s="6">
        <v>226514</v>
      </c>
    </row>
    <row r="822" spans="1:26" x14ac:dyDescent="0.3">
      <c r="A822" s="28" t="s">
        <v>42</v>
      </c>
      <c r="B822" s="6" t="s">
        <v>2309</v>
      </c>
      <c r="C822" s="6" t="s">
        <v>1974</v>
      </c>
      <c r="D822" s="6" t="s">
        <v>2291</v>
      </c>
      <c r="E822" s="6">
        <v>1</v>
      </c>
      <c r="F822" s="6" t="s">
        <v>2004</v>
      </c>
      <c r="G822" s="32" t="s">
        <v>2299</v>
      </c>
      <c r="H822" s="32" t="s">
        <v>2300</v>
      </c>
      <c r="I822" s="6" t="str">
        <f t="shared" si="27"/>
        <v>Etc Grapple</v>
      </c>
      <c r="J822" s="6" t="s">
        <v>136</v>
      </c>
      <c r="K822" s="6">
        <v>1</v>
      </c>
      <c r="L822" s="6">
        <f t="shared" si="28"/>
        <v>2230000</v>
      </c>
      <c r="M822" s="6">
        <v>1900000</v>
      </c>
      <c r="N822" s="6" t="s">
        <v>2003</v>
      </c>
      <c r="O822" s="6" t="s">
        <v>2011</v>
      </c>
      <c r="P822" s="6">
        <v>2010</v>
      </c>
      <c r="Q822" s="6">
        <v>5</v>
      </c>
      <c r="R822" s="6" t="s">
        <v>45</v>
      </c>
      <c r="S822" s="32" t="s">
        <v>2123</v>
      </c>
      <c r="T822" s="6">
        <v>1</v>
      </c>
      <c r="U822" s="26">
        <v>1800000</v>
      </c>
      <c r="V822" s="26">
        <v>1800000</v>
      </c>
      <c r="W822" s="26">
        <v>1800000</v>
      </c>
      <c r="X822" s="6" t="s">
        <v>2003</v>
      </c>
      <c r="Y822" s="6" t="s">
        <v>1200</v>
      </c>
      <c r="Z822" s="6">
        <v>226515</v>
      </c>
    </row>
    <row r="823" spans="1:26" x14ac:dyDescent="0.3">
      <c r="A823" s="28" t="s">
        <v>42</v>
      </c>
      <c r="B823" s="6" t="s">
        <v>2310</v>
      </c>
      <c r="C823" s="6"/>
      <c r="D823" s="6" t="s">
        <v>2292</v>
      </c>
      <c r="E823" s="6">
        <v>1</v>
      </c>
      <c r="F823" s="6" t="s">
        <v>2004</v>
      </c>
      <c r="G823" s="32" t="s">
        <v>2299</v>
      </c>
      <c r="H823" s="32" t="s">
        <v>2300</v>
      </c>
      <c r="I823" s="6" t="str">
        <f t="shared" si="27"/>
        <v>Quick Coupler</v>
      </c>
      <c r="J823" s="6" t="s">
        <v>358</v>
      </c>
      <c r="K823" s="6">
        <v>1</v>
      </c>
      <c r="L823" s="6">
        <f t="shared" si="28"/>
        <v>1000000</v>
      </c>
      <c r="M823" s="6">
        <v>850000</v>
      </c>
      <c r="N823" s="6" t="s">
        <v>2003</v>
      </c>
      <c r="O823" s="6" t="s">
        <v>2007</v>
      </c>
      <c r="P823" s="6">
        <v>2014</v>
      </c>
      <c r="Q823" s="6">
        <v>1</v>
      </c>
      <c r="R823" s="6" t="s">
        <v>45</v>
      </c>
      <c r="S823" s="32" t="s">
        <v>2113</v>
      </c>
      <c r="T823" s="6">
        <v>1</v>
      </c>
      <c r="U823" s="26">
        <v>750000</v>
      </c>
      <c r="V823" s="26">
        <v>750000</v>
      </c>
      <c r="W823" s="26">
        <v>750000</v>
      </c>
      <c r="X823" s="6" t="s">
        <v>2003</v>
      </c>
      <c r="Y823" s="6" t="s">
        <v>49</v>
      </c>
      <c r="Z823" s="6">
        <v>226516</v>
      </c>
    </row>
    <row r="824" spans="1:26" x14ac:dyDescent="0.3">
      <c r="A824" s="28" t="s">
        <v>42</v>
      </c>
      <c r="B824" s="6" t="s">
        <v>2314</v>
      </c>
      <c r="C824" s="19" t="s">
        <v>2156</v>
      </c>
      <c r="D824" s="6" t="s">
        <v>2290</v>
      </c>
      <c r="E824" s="6">
        <v>1</v>
      </c>
      <c r="F824" s="6" t="s">
        <v>2004</v>
      </c>
      <c r="G824" s="32" t="s">
        <v>2299</v>
      </c>
      <c r="H824" s="32" t="s">
        <v>2300</v>
      </c>
      <c r="I824" s="6" t="str">
        <f t="shared" si="27"/>
        <v>Hydraulic Crusher</v>
      </c>
      <c r="J824" s="6" t="s">
        <v>141</v>
      </c>
      <c r="K824" s="6">
        <v>1</v>
      </c>
      <c r="L824" s="6">
        <f t="shared" si="28"/>
        <v>7050000</v>
      </c>
      <c r="M824" s="6">
        <v>6000000</v>
      </c>
      <c r="N824" s="6" t="s">
        <v>2003</v>
      </c>
      <c r="O824" s="6" t="s">
        <v>1102</v>
      </c>
      <c r="P824" s="6">
        <v>2007</v>
      </c>
      <c r="Q824" s="6">
        <v>1</v>
      </c>
      <c r="R824" s="6" t="s">
        <v>45</v>
      </c>
      <c r="S824" s="32" t="s">
        <v>2126</v>
      </c>
      <c r="T824" s="6">
        <v>1</v>
      </c>
      <c r="U824" s="26">
        <v>5500000</v>
      </c>
      <c r="V824" s="26">
        <v>5500000</v>
      </c>
      <c r="W824" s="26">
        <v>5500000</v>
      </c>
      <c r="X824" s="6" t="s">
        <v>2003</v>
      </c>
      <c r="Y824" s="6" t="s">
        <v>1203</v>
      </c>
      <c r="Z824" s="6">
        <v>226519</v>
      </c>
    </row>
    <row r="825" spans="1:26" x14ac:dyDescent="0.3">
      <c r="A825" s="28" t="s">
        <v>42</v>
      </c>
      <c r="B825" s="6" t="s">
        <v>2313</v>
      </c>
      <c r="C825" s="6" t="s">
        <v>1980</v>
      </c>
      <c r="D825" s="6" t="s">
        <v>2291</v>
      </c>
      <c r="E825" s="6">
        <v>1</v>
      </c>
      <c r="F825" s="6" t="s">
        <v>2004</v>
      </c>
      <c r="G825" s="32" t="s">
        <v>2299</v>
      </c>
      <c r="H825" s="32" t="s">
        <v>2300</v>
      </c>
      <c r="I825" s="6" t="str">
        <f t="shared" si="27"/>
        <v>Small Bucket</v>
      </c>
      <c r="J825" s="6" t="s">
        <v>740</v>
      </c>
      <c r="K825" s="6">
        <v>1</v>
      </c>
      <c r="L825" s="6">
        <f t="shared" si="28"/>
        <v>440000</v>
      </c>
      <c r="M825" s="6">
        <v>380000</v>
      </c>
      <c r="N825" s="6" t="s">
        <v>2003</v>
      </c>
      <c r="O825" s="6" t="s">
        <v>2007</v>
      </c>
      <c r="P825" s="6">
        <v>2017</v>
      </c>
      <c r="Q825" s="6">
        <v>1</v>
      </c>
      <c r="R825" s="6" t="s">
        <v>45</v>
      </c>
      <c r="S825" s="32" t="s">
        <v>2113</v>
      </c>
      <c r="T825" s="6">
        <v>1</v>
      </c>
      <c r="U825" s="26">
        <v>330000</v>
      </c>
      <c r="V825" s="26">
        <v>330000</v>
      </c>
      <c r="W825" s="26">
        <v>330000</v>
      </c>
      <c r="X825" s="6" t="s">
        <v>2003</v>
      </c>
      <c r="Y825" s="6" t="s">
        <v>49</v>
      </c>
      <c r="Z825" s="6">
        <v>226521</v>
      </c>
    </row>
    <row r="826" spans="1:26" x14ac:dyDescent="0.3">
      <c r="A826" s="28" t="s">
        <v>42</v>
      </c>
      <c r="B826" s="6" t="s">
        <v>2308</v>
      </c>
      <c r="C826" s="6" t="s">
        <v>1975</v>
      </c>
      <c r="D826" s="6" t="s">
        <v>2292</v>
      </c>
      <c r="E826" s="6">
        <v>1</v>
      </c>
      <c r="F826" s="6" t="s">
        <v>2004</v>
      </c>
      <c r="G826" s="32" t="s">
        <v>2299</v>
      </c>
      <c r="H826" s="32" t="s">
        <v>2300</v>
      </c>
      <c r="I826" s="6" t="str">
        <f t="shared" si="27"/>
        <v>Side Breaker</v>
      </c>
      <c r="J826" s="6" t="s">
        <v>392</v>
      </c>
      <c r="K826" s="6">
        <v>1</v>
      </c>
      <c r="L826" s="6">
        <f t="shared" si="28"/>
        <v>6700000</v>
      </c>
      <c r="M826" s="6">
        <v>5700000</v>
      </c>
      <c r="N826" s="6" t="s">
        <v>2003</v>
      </c>
      <c r="O826" s="6" t="s">
        <v>2012</v>
      </c>
      <c r="P826" s="6">
        <v>2016</v>
      </c>
      <c r="Q826" s="6">
        <v>1</v>
      </c>
      <c r="R826" s="6" t="s">
        <v>45</v>
      </c>
      <c r="S826" s="32" t="s">
        <v>2113</v>
      </c>
      <c r="T826" s="6">
        <v>1</v>
      </c>
      <c r="U826" s="26">
        <v>5200000</v>
      </c>
      <c r="V826" s="26">
        <v>5200000</v>
      </c>
      <c r="W826" s="26">
        <v>5200000</v>
      </c>
      <c r="X826" s="6" t="s">
        <v>2003</v>
      </c>
      <c r="Y826" s="6" t="s">
        <v>49</v>
      </c>
      <c r="Z826" s="6">
        <v>226523</v>
      </c>
    </row>
    <row r="827" spans="1:26" x14ac:dyDescent="0.3">
      <c r="A827" s="28" t="s">
        <v>42</v>
      </c>
      <c r="B827" s="6" t="s">
        <v>2313</v>
      </c>
      <c r="C827" s="6" t="s">
        <v>1982</v>
      </c>
      <c r="D827" s="6" t="s">
        <v>2291</v>
      </c>
      <c r="E827" s="6">
        <v>1</v>
      </c>
      <c r="F827" s="6" t="s">
        <v>2004</v>
      </c>
      <c r="G827" s="32" t="s">
        <v>2299</v>
      </c>
      <c r="H827" s="32" t="s">
        <v>2300</v>
      </c>
      <c r="I827" s="6" t="str">
        <f t="shared" si="27"/>
        <v>Standard Bucket</v>
      </c>
      <c r="J827" s="6" t="s">
        <v>741</v>
      </c>
      <c r="K827" s="6">
        <v>1</v>
      </c>
      <c r="L827" s="6">
        <f t="shared" si="28"/>
        <v>520000</v>
      </c>
      <c r="M827" s="6">
        <v>450000</v>
      </c>
      <c r="N827" s="6" t="s">
        <v>2003</v>
      </c>
      <c r="O827" s="6" t="s">
        <v>2007</v>
      </c>
      <c r="P827" s="6">
        <v>2017</v>
      </c>
      <c r="Q827" s="6">
        <v>1</v>
      </c>
      <c r="R827" s="6" t="s">
        <v>45</v>
      </c>
      <c r="S827" s="32" t="s">
        <v>2113</v>
      </c>
      <c r="T827" s="6">
        <v>1</v>
      </c>
      <c r="U827" s="26">
        <v>400000</v>
      </c>
      <c r="V827" s="26">
        <v>400000</v>
      </c>
      <c r="W827" s="26">
        <v>400000</v>
      </c>
      <c r="X827" s="6" t="s">
        <v>2003</v>
      </c>
      <c r="Y827" s="6" t="s">
        <v>49</v>
      </c>
      <c r="Z827" s="6">
        <v>226525</v>
      </c>
    </row>
    <row r="828" spans="1:26" x14ac:dyDescent="0.3">
      <c r="A828" s="28" t="s">
        <v>42</v>
      </c>
      <c r="B828" s="6" t="s">
        <v>2309</v>
      </c>
      <c r="C828" s="6" t="s">
        <v>1972</v>
      </c>
      <c r="D828" s="6" t="s">
        <v>2292</v>
      </c>
      <c r="E828" s="6">
        <v>1</v>
      </c>
      <c r="F828" s="6" t="s">
        <v>2004</v>
      </c>
      <c r="G828" s="32" t="s">
        <v>2299</v>
      </c>
      <c r="H828" s="32" t="s">
        <v>2300</v>
      </c>
      <c r="I828" s="6" t="str">
        <f t="shared" si="27"/>
        <v>Stone Grapple</v>
      </c>
      <c r="J828" s="6" t="s">
        <v>81</v>
      </c>
      <c r="K828" s="6">
        <v>1</v>
      </c>
      <c r="L828" s="6">
        <f t="shared" si="28"/>
        <v>3170000</v>
      </c>
      <c r="M828" s="6">
        <v>2700000</v>
      </c>
      <c r="N828" s="6" t="s">
        <v>2003</v>
      </c>
      <c r="O828" s="6" t="s">
        <v>2007</v>
      </c>
      <c r="P828" s="6">
        <v>2014</v>
      </c>
      <c r="Q828" s="6">
        <v>1</v>
      </c>
      <c r="R828" s="6" t="s">
        <v>45</v>
      </c>
      <c r="S828" s="32" t="s">
        <v>2113</v>
      </c>
      <c r="T828" s="6">
        <v>1</v>
      </c>
      <c r="U828" s="26">
        <v>2500000</v>
      </c>
      <c r="V828" s="26">
        <v>2500000</v>
      </c>
      <c r="W828" s="26">
        <v>2500000</v>
      </c>
      <c r="X828" s="6" t="s">
        <v>2003</v>
      </c>
      <c r="Y828" s="6" t="s">
        <v>49</v>
      </c>
      <c r="Z828" s="6">
        <v>226528</v>
      </c>
    </row>
    <row r="829" spans="1:26" x14ac:dyDescent="0.3">
      <c r="A829" s="28" t="s">
        <v>42</v>
      </c>
      <c r="B829" s="6" t="s">
        <v>2309</v>
      </c>
      <c r="C829" s="6" t="s">
        <v>1972</v>
      </c>
      <c r="D829" s="6" t="s">
        <v>2292</v>
      </c>
      <c r="E829" s="6">
        <v>1</v>
      </c>
      <c r="F829" s="6" t="s">
        <v>2004</v>
      </c>
      <c r="G829" s="32" t="s">
        <v>2299</v>
      </c>
      <c r="H829" s="32" t="s">
        <v>2300</v>
      </c>
      <c r="I829" s="6" t="str">
        <f t="shared" si="27"/>
        <v>Stone Grapple</v>
      </c>
      <c r="J829" s="6" t="s">
        <v>50</v>
      </c>
      <c r="K829" s="6">
        <v>1</v>
      </c>
      <c r="L829" s="6">
        <f t="shared" si="28"/>
        <v>3170000</v>
      </c>
      <c r="M829" s="6">
        <v>2700000</v>
      </c>
      <c r="N829" s="6" t="s">
        <v>2003</v>
      </c>
      <c r="O829" s="6" t="s">
        <v>811</v>
      </c>
      <c r="P829" s="6">
        <v>2014</v>
      </c>
      <c r="Q829" s="6">
        <v>1</v>
      </c>
      <c r="R829" s="6" t="s">
        <v>45</v>
      </c>
      <c r="S829" s="32" t="s">
        <v>2113</v>
      </c>
      <c r="T829" s="6">
        <v>1</v>
      </c>
      <c r="U829" s="26">
        <v>2500000</v>
      </c>
      <c r="V829" s="26">
        <v>2500000</v>
      </c>
      <c r="W829" s="26">
        <v>2500000</v>
      </c>
      <c r="X829" s="6" t="s">
        <v>2003</v>
      </c>
      <c r="Y829" s="6" t="s">
        <v>49</v>
      </c>
      <c r="Z829" s="6">
        <v>226529</v>
      </c>
    </row>
    <row r="830" spans="1:26" x14ac:dyDescent="0.3">
      <c r="A830" s="28" t="s">
        <v>42</v>
      </c>
      <c r="B830" s="6" t="s">
        <v>2309</v>
      </c>
      <c r="C830" s="6" t="s">
        <v>1972</v>
      </c>
      <c r="D830" s="6" t="s">
        <v>2292</v>
      </c>
      <c r="E830" s="6">
        <v>1</v>
      </c>
      <c r="F830" s="6" t="s">
        <v>2004</v>
      </c>
      <c r="G830" s="32" t="s">
        <v>2299</v>
      </c>
      <c r="H830" s="32" t="s">
        <v>2300</v>
      </c>
      <c r="I830" s="6" t="str">
        <f t="shared" si="27"/>
        <v>Stone Grapple</v>
      </c>
      <c r="J830" s="6" t="s">
        <v>44</v>
      </c>
      <c r="K830" s="6">
        <v>1</v>
      </c>
      <c r="L830" s="6">
        <f t="shared" si="28"/>
        <v>4350000</v>
      </c>
      <c r="M830" s="6">
        <v>3700000</v>
      </c>
      <c r="N830" s="6" t="s">
        <v>2003</v>
      </c>
      <c r="O830" s="6" t="s">
        <v>1104</v>
      </c>
      <c r="P830" s="6">
        <v>2017</v>
      </c>
      <c r="Q830" s="6">
        <v>2</v>
      </c>
      <c r="R830" s="6" t="s">
        <v>45</v>
      </c>
      <c r="S830" s="32" t="s">
        <v>2110</v>
      </c>
      <c r="T830" s="6">
        <v>1</v>
      </c>
      <c r="U830" s="26">
        <v>3500000</v>
      </c>
      <c r="V830" s="26">
        <v>3500000</v>
      </c>
      <c r="W830" s="26">
        <v>3500000</v>
      </c>
      <c r="X830" s="6" t="s">
        <v>2003</v>
      </c>
      <c r="Y830" s="6" t="s">
        <v>1193</v>
      </c>
      <c r="Z830" s="6">
        <v>226533</v>
      </c>
    </row>
    <row r="831" spans="1:26" x14ac:dyDescent="0.3">
      <c r="A831" s="28" t="s">
        <v>42</v>
      </c>
      <c r="B831" s="6" t="s">
        <v>2312</v>
      </c>
      <c r="C831" s="6"/>
      <c r="D831" s="6" t="s">
        <v>2292</v>
      </c>
      <c r="E831" s="6">
        <v>1</v>
      </c>
      <c r="F831" s="6" t="s">
        <v>2004</v>
      </c>
      <c r="G831" s="32" t="s">
        <v>2299</v>
      </c>
      <c r="H831" s="32" t="s">
        <v>2300</v>
      </c>
      <c r="I831" s="6" t="str">
        <f t="shared" si="27"/>
        <v>Lift Fork</v>
      </c>
      <c r="J831" s="6" t="s">
        <v>178</v>
      </c>
      <c r="K831" s="6">
        <v>1</v>
      </c>
      <c r="L831" s="6">
        <f t="shared" si="28"/>
        <v>1050000</v>
      </c>
      <c r="M831" s="6">
        <v>900000</v>
      </c>
      <c r="N831" s="6" t="s">
        <v>2003</v>
      </c>
      <c r="O831" s="6" t="s">
        <v>794</v>
      </c>
      <c r="P831" s="6">
        <v>2014</v>
      </c>
      <c r="Q831" s="6">
        <v>1</v>
      </c>
      <c r="R831" s="6" t="s">
        <v>45</v>
      </c>
      <c r="S831" s="32" t="s">
        <v>2122</v>
      </c>
      <c r="T831" s="6">
        <v>1</v>
      </c>
      <c r="U831" s="26">
        <v>800000</v>
      </c>
      <c r="V831" s="26">
        <v>800000</v>
      </c>
      <c r="W831" s="26">
        <v>800000</v>
      </c>
      <c r="X831" s="6" t="s">
        <v>2003</v>
      </c>
      <c r="Y831" s="6" t="s">
        <v>1154</v>
      </c>
      <c r="Z831" s="6">
        <v>226536</v>
      </c>
    </row>
    <row r="832" spans="1:26" x14ac:dyDescent="0.3">
      <c r="A832" s="28" t="s">
        <v>42</v>
      </c>
      <c r="B832" s="6" t="s">
        <v>2314</v>
      </c>
      <c r="C832" s="19" t="s">
        <v>2156</v>
      </c>
      <c r="D832" s="6" t="s">
        <v>2289</v>
      </c>
      <c r="E832" s="6">
        <v>1</v>
      </c>
      <c r="F832" s="6" t="s">
        <v>2004</v>
      </c>
      <c r="G832" s="32" t="s">
        <v>2299</v>
      </c>
      <c r="H832" s="32" t="s">
        <v>2300</v>
      </c>
      <c r="I832" s="6" t="str">
        <f t="shared" si="27"/>
        <v>Hydraulic Crusher</v>
      </c>
      <c r="J832" s="6" t="s">
        <v>743</v>
      </c>
      <c r="K832" s="6">
        <v>1</v>
      </c>
      <c r="L832" s="6">
        <f t="shared" si="28"/>
        <v>42940000</v>
      </c>
      <c r="M832" s="6">
        <v>36500000</v>
      </c>
      <c r="N832" s="6" t="s">
        <v>2003</v>
      </c>
      <c r="O832" s="6" t="s">
        <v>1105</v>
      </c>
      <c r="P832" s="6">
        <v>2015</v>
      </c>
      <c r="Q832" s="6">
        <v>1</v>
      </c>
      <c r="R832" s="6" t="s">
        <v>45</v>
      </c>
      <c r="S832" s="32" t="s">
        <v>2110</v>
      </c>
      <c r="T832" s="6">
        <v>1</v>
      </c>
      <c r="U832" s="26">
        <v>36000000</v>
      </c>
      <c r="V832" s="26">
        <v>36000000</v>
      </c>
      <c r="W832" s="26">
        <v>36000000</v>
      </c>
      <c r="X832" s="6" t="s">
        <v>2003</v>
      </c>
      <c r="Y832" s="6" t="s">
        <v>1182</v>
      </c>
      <c r="Z832" s="6">
        <v>226551</v>
      </c>
    </row>
    <row r="833" spans="1:26" x14ac:dyDescent="0.3">
      <c r="A833" s="28" t="s">
        <v>42</v>
      </c>
      <c r="B833" s="6" t="s">
        <v>2309</v>
      </c>
      <c r="C833" s="6" t="s">
        <v>1972</v>
      </c>
      <c r="D833" s="6" t="s">
        <v>2292</v>
      </c>
      <c r="E833" s="6">
        <v>1</v>
      </c>
      <c r="F833" s="6" t="s">
        <v>2004</v>
      </c>
      <c r="G833" s="32" t="s">
        <v>2299</v>
      </c>
      <c r="H833" s="32" t="s">
        <v>2300</v>
      </c>
      <c r="I833" s="6" t="str">
        <f t="shared" si="27"/>
        <v>Stone Grapple</v>
      </c>
      <c r="J833" s="6" t="s">
        <v>44</v>
      </c>
      <c r="K833" s="6">
        <v>1</v>
      </c>
      <c r="L833" s="6">
        <f t="shared" si="28"/>
        <v>3170000</v>
      </c>
      <c r="M833" s="6">
        <v>2700000</v>
      </c>
      <c r="N833" s="6" t="s">
        <v>2003</v>
      </c>
      <c r="O833" s="6" t="s">
        <v>1106</v>
      </c>
      <c r="P833" s="6">
        <v>2015</v>
      </c>
      <c r="Q833" s="6">
        <v>2</v>
      </c>
      <c r="R833" s="6" t="s">
        <v>45</v>
      </c>
      <c r="S833" s="32" t="s">
        <v>2110</v>
      </c>
      <c r="T833" s="6">
        <v>1</v>
      </c>
      <c r="U833" s="26">
        <v>2500000</v>
      </c>
      <c r="V833" s="26">
        <v>2500000</v>
      </c>
      <c r="W833" s="26">
        <v>2500000</v>
      </c>
      <c r="X833" s="6" t="s">
        <v>2003</v>
      </c>
      <c r="Y833" s="6" t="s">
        <v>1312</v>
      </c>
      <c r="Z833" s="6">
        <v>226553</v>
      </c>
    </row>
    <row r="834" spans="1:26" x14ac:dyDescent="0.3">
      <c r="A834" s="28" t="s">
        <v>42</v>
      </c>
      <c r="B834" s="6" t="s">
        <v>2315</v>
      </c>
      <c r="C834" s="6"/>
      <c r="D834" s="6" t="s">
        <v>2292</v>
      </c>
      <c r="E834" s="6">
        <v>1</v>
      </c>
      <c r="F834" s="6" t="s">
        <v>2004</v>
      </c>
      <c r="G834" s="32" t="s">
        <v>2299</v>
      </c>
      <c r="H834" s="32" t="s">
        <v>2300</v>
      </c>
      <c r="I834" s="6" t="str">
        <f t="shared" si="27"/>
        <v>ETC</v>
      </c>
      <c r="J834" s="6" t="s">
        <v>744</v>
      </c>
      <c r="K834" s="6">
        <v>1</v>
      </c>
      <c r="L834" s="6">
        <f t="shared" si="28"/>
        <v>13520000</v>
      </c>
      <c r="M834" s="6">
        <v>11500000</v>
      </c>
      <c r="N834" s="6" t="s">
        <v>2003</v>
      </c>
      <c r="O834" s="6" t="s">
        <v>1107</v>
      </c>
      <c r="P834" s="6">
        <v>2015</v>
      </c>
      <c r="Q834" s="6">
        <v>9</v>
      </c>
      <c r="R834" s="6" t="s">
        <v>45</v>
      </c>
      <c r="S834" s="32" t="s">
        <v>2122</v>
      </c>
      <c r="T834" s="6">
        <v>1</v>
      </c>
      <c r="U834" s="26">
        <v>11000000</v>
      </c>
      <c r="V834" s="26">
        <v>11000000</v>
      </c>
      <c r="W834" s="26">
        <v>11000000</v>
      </c>
      <c r="X834" s="6" t="s">
        <v>2003</v>
      </c>
      <c r="Y834" s="6" t="s">
        <v>1313</v>
      </c>
      <c r="Z834" s="6">
        <v>226555</v>
      </c>
    </row>
    <row r="835" spans="1:26" x14ac:dyDescent="0.3">
      <c r="A835" s="28" t="s">
        <v>42</v>
      </c>
      <c r="B835" s="6" t="s">
        <v>2309</v>
      </c>
      <c r="C835" s="6" t="s">
        <v>1974</v>
      </c>
      <c r="D835" s="6" t="s">
        <v>2292</v>
      </c>
      <c r="E835" s="6">
        <v>1</v>
      </c>
      <c r="F835" s="6" t="s">
        <v>2004</v>
      </c>
      <c r="G835" s="32" t="s">
        <v>2299</v>
      </c>
      <c r="H835" s="32" t="s">
        <v>2300</v>
      </c>
      <c r="I835" s="6" t="str">
        <f t="shared" si="27"/>
        <v>Etc Grapple</v>
      </c>
      <c r="J835" s="6" t="s">
        <v>125</v>
      </c>
      <c r="K835" s="6">
        <v>1</v>
      </c>
      <c r="L835" s="6">
        <f t="shared" si="28"/>
        <v>7640000</v>
      </c>
      <c r="M835" s="6">
        <v>6500000</v>
      </c>
      <c r="N835" s="6" t="s">
        <v>2003</v>
      </c>
      <c r="O835" s="6" t="s">
        <v>1108</v>
      </c>
      <c r="P835" s="6">
        <v>2016</v>
      </c>
      <c r="Q835" s="6">
        <v>3</v>
      </c>
      <c r="R835" s="6" t="s">
        <v>45</v>
      </c>
      <c r="S835" s="32" t="s">
        <v>2122</v>
      </c>
      <c r="T835" s="6">
        <v>1</v>
      </c>
      <c r="U835" s="26">
        <v>6000000</v>
      </c>
      <c r="V835" s="26">
        <v>6000000</v>
      </c>
      <c r="W835" s="26">
        <v>6000000</v>
      </c>
      <c r="X835" s="6" t="s">
        <v>2003</v>
      </c>
      <c r="Y835" s="6" t="s">
        <v>1281</v>
      </c>
      <c r="Z835" s="6">
        <v>226556</v>
      </c>
    </row>
    <row r="836" spans="1:26" x14ac:dyDescent="0.3">
      <c r="A836" s="28" t="s">
        <v>42</v>
      </c>
      <c r="B836" s="6" t="s">
        <v>2315</v>
      </c>
      <c r="C836" s="19" t="s">
        <v>1974</v>
      </c>
      <c r="D836" s="6" t="s">
        <v>2292</v>
      </c>
      <c r="E836" s="6">
        <v>1</v>
      </c>
      <c r="F836" s="6" t="s">
        <v>2004</v>
      </c>
      <c r="G836" s="32" t="s">
        <v>2299</v>
      </c>
      <c r="H836" s="32" t="s">
        <v>2300</v>
      </c>
      <c r="I836" s="6" t="str">
        <f t="shared" si="27"/>
        <v>Etc Grapple</v>
      </c>
      <c r="J836" s="6" t="s">
        <v>745</v>
      </c>
      <c r="K836" s="6">
        <v>1</v>
      </c>
      <c r="L836" s="6">
        <f t="shared" si="28"/>
        <v>5760000</v>
      </c>
      <c r="M836" s="6">
        <v>4900000</v>
      </c>
      <c r="N836" s="6" t="s">
        <v>2003</v>
      </c>
      <c r="O836" s="6" t="s">
        <v>1109</v>
      </c>
      <c r="P836" s="6">
        <v>2016</v>
      </c>
      <c r="Q836" s="6">
        <v>2</v>
      </c>
      <c r="R836" s="6" t="s">
        <v>45</v>
      </c>
      <c r="S836" s="32" t="s">
        <v>2122</v>
      </c>
      <c r="T836" s="6">
        <v>1</v>
      </c>
      <c r="U836" s="26">
        <v>4700000</v>
      </c>
      <c r="V836" s="26">
        <v>4700000</v>
      </c>
      <c r="W836" s="26">
        <v>4700000</v>
      </c>
      <c r="X836" s="6" t="s">
        <v>2003</v>
      </c>
      <c r="Y836" s="6" t="s">
        <v>1281</v>
      </c>
      <c r="Z836" s="6">
        <v>226558</v>
      </c>
    </row>
    <row r="837" spans="1:26" x14ac:dyDescent="0.3">
      <c r="A837" s="28" t="s">
        <v>42</v>
      </c>
      <c r="B837" s="6" t="s">
        <v>2309</v>
      </c>
      <c r="C837" s="6" t="s">
        <v>1972</v>
      </c>
      <c r="D837" s="6" t="s">
        <v>2292</v>
      </c>
      <c r="E837" s="6">
        <v>1</v>
      </c>
      <c r="F837" s="6" t="s">
        <v>2004</v>
      </c>
      <c r="G837" s="32" t="s">
        <v>2299</v>
      </c>
      <c r="H837" s="32" t="s">
        <v>2300</v>
      </c>
      <c r="I837" s="6" t="str">
        <f t="shared" si="27"/>
        <v>Stone Grapple</v>
      </c>
      <c r="J837" s="6" t="s">
        <v>161</v>
      </c>
      <c r="K837" s="6">
        <v>1</v>
      </c>
      <c r="L837" s="6">
        <f t="shared" si="28"/>
        <v>3170000</v>
      </c>
      <c r="M837" s="6">
        <v>2700000</v>
      </c>
      <c r="N837" s="6" t="s">
        <v>2003</v>
      </c>
      <c r="O837" s="6" t="s">
        <v>823</v>
      </c>
      <c r="P837" s="6">
        <v>2014</v>
      </c>
      <c r="Q837" s="6">
        <v>1</v>
      </c>
      <c r="R837" s="6" t="s">
        <v>45</v>
      </c>
      <c r="S837" s="32" t="s">
        <v>2113</v>
      </c>
      <c r="T837" s="6">
        <v>1</v>
      </c>
      <c r="U837" s="26">
        <v>2500000</v>
      </c>
      <c r="V837" s="26">
        <v>2500000</v>
      </c>
      <c r="W837" s="26">
        <v>2500000</v>
      </c>
      <c r="X837" s="6" t="s">
        <v>2003</v>
      </c>
      <c r="Y837" s="6" t="s">
        <v>49</v>
      </c>
      <c r="Z837" s="6">
        <v>226569</v>
      </c>
    </row>
    <row r="838" spans="1:26" x14ac:dyDescent="0.3">
      <c r="A838" s="28" t="s">
        <v>42</v>
      </c>
      <c r="B838" s="6" t="s">
        <v>2316</v>
      </c>
      <c r="C838" s="6"/>
      <c r="D838" s="6" t="s">
        <v>2291</v>
      </c>
      <c r="E838" s="6">
        <v>1</v>
      </c>
      <c r="F838" s="6" t="s">
        <v>2004</v>
      </c>
      <c r="G838" s="32" t="s">
        <v>2299</v>
      </c>
      <c r="H838" s="32" t="s">
        <v>2300</v>
      </c>
      <c r="I838" s="6" t="str">
        <f t="shared" si="27"/>
        <v>Ripper</v>
      </c>
      <c r="J838" s="6" t="s">
        <v>746</v>
      </c>
      <c r="K838" s="6">
        <v>1</v>
      </c>
      <c r="L838" s="6">
        <f t="shared" si="28"/>
        <v>580000</v>
      </c>
      <c r="M838" s="6">
        <v>500000</v>
      </c>
      <c r="N838" s="6" t="s">
        <v>2003</v>
      </c>
      <c r="O838" s="6" t="s">
        <v>51</v>
      </c>
      <c r="P838" s="6">
        <v>2017</v>
      </c>
      <c r="Q838" s="6">
        <v>1</v>
      </c>
      <c r="R838" s="6" t="s">
        <v>45</v>
      </c>
      <c r="S838" s="32" t="s">
        <v>2113</v>
      </c>
      <c r="T838" s="6">
        <v>1</v>
      </c>
      <c r="U838" s="26">
        <v>450000</v>
      </c>
      <c r="V838" s="26">
        <v>450000</v>
      </c>
      <c r="W838" s="26">
        <v>450000</v>
      </c>
      <c r="X838" s="6" t="s">
        <v>2003</v>
      </c>
      <c r="Y838" s="6" t="s">
        <v>49</v>
      </c>
      <c r="Z838" s="6">
        <v>226593</v>
      </c>
    </row>
    <row r="839" spans="1:26" x14ac:dyDescent="0.3">
      <c r="A839" s="28" t="s">
        <v>42</v>
      </c>
      <c r="B839" s="6" t="s">
        <v>2342</v>
      </c>
      <c r="C839" s="6"/>
      <c r="D839" s="6" t="s">
        <v>2291</v>
      </c>
      <c r="E839" s="6">
        <v>1</v>
      </c>
      <c r="F839" s="6" t="s">
        <v>2004</v>
      </c>
      <c r="G839" s="32" t="s">
        <v>2299</v>
      </c>
      <c r="H839" s="32" t="s">
        <v>2300</v>
      </c>
      <c r="I839" s="6" t="str">
        <f t="shared" si="27"/>
        <v>Quick Coupler</v>
      </c>
      <c r="J839" s="6" t="s">
        <v>747</v>
      </c>
      <c r="K839" s="6">
        <v>1</v>
      </c>
      <c r="L839" s="6">
        <f t="shared" si="28"/>
        <v>940000</v>
      </c>
      <c r="M839" s="6">
        <v>800000</v>
      </c>
      <c r="N839" s="6" t="s">
        <v>2003</v>
      </c>
      <c r="O839" s="6" t="s">
        <v>51</v>
      </c>
      <c r="P839" s="6">
        <v>2017</v>
      </c>
      <c r="Q839" s="6">
        <v>1</v>
      </c>
      <c r="R839" s="6" t="s">
        <v>45</v>
      </c>
      <c r="S839" s="32" t="s">
        <v>2113</v>
      </c>
      <c r="T839" s="6">
        <v>1</v>
      </c>
      <c r="U839" s="26">
        <v>700000</v>
      </c>
      <c r="V839" s="26">
        <v>700000</v>
      </c>
      <c r="W839" s="26">
        <v>700000</v>
      </c>
      <c r="X839" s="6" t="s">
        <v>2003</v>
      </c>
      <c r="Y839" s="6" t="s">
        <v>49</v>
      </c>
      <c r="Z839" s="6">
        <v>226599</v>
      </c>
    </row>
    <row r="840" spans="1:26" x14ac:dyDescent="0.3">
      <c r="A840" s="28" t="s">
        <v>42</v>
      </c>
      <c r="B840" s="6" t="s">
        <v>2338</v>
      </c>
      <c r="C840" s="6" t="s">
        <v>1975</v>
      </c>
      <c r="D840" s="6" t="s">
        <v>2001</v>
      </c>
      <c r="E840" s="6">
        <v>1</v>
      </c>
      <c r="F840" s="6" t="s">
        <v>2004</v>
      </c>
      <c r="G840" s="32" t="s">
        <v>2299</v>
      </c>
      <c r="H840" s="32" t="s">
        <v>2300</v>
      </c>
      <c r="I840" s="6" t="str">
        <f t="shared" si="27"/>
        <v>Side Breaker</v>
      </c>
      <c r="J840" s="6" t="s">
        <v>150</v>
      </c>
      <c r="K840" s="6">
        <v>1</v>
      </c>
      <c r="L840" s="6">
        <f t="shared" si="28"/>
        <v>3760000</v>
      </c>
      <c r="M840" s="6">
        <v>3200000</v>
      </c>
      <c r="N840" s="6" t="s">
        <v>2003</v>
      </c>
      <c r="O840" s="6" t="s">
        <v>939</v>
      </c>
      <c r="P840" s="6">
        <v>2015</v>
      </c>
      <c r="Q840" s="6">
        <v>2</v>
      </c>
      <c r="R840" s="6" t="s">
        <v>45</v>
      </c>
      <c r="S840" s="32" t="s">
        <v>2120</v>
      </c>
      <c r="T840" s="6">
        <v>1</v>
      </c>
      <c r="U840" s="26">
        <v>3000000</v>
      </c>
      <c r="V840" s="26">
        <v>3000000</v>
      </c>
      <c r="W840" s="26">
        <v>3000000</v>
      </c>
      <c r="X840" s="6" t="s">
        <v>2003</v>
      </c>
      <c r="Y840" s="6" t="s">
        <v>939</v>
      </c>
      <c r="Z840" s="6">
        <v>226606</v>
      </c>
    </row>
    <row r="841" spans="1:26" x14ac:dyDescent="0.3">
      <c r="A841" s="28" t="s">
        <v>42</v>
      </c>
      <c r="B841" s="6" t="s">
        <v>2343</v>
      </c>
      <c r="C841" s="6"/>
      <c r="D841" s="6" t="s">
        <v>2291</v>
      </c>
      <c r="E841" s="6">
        <v>1</v>
      </c>
      <c r="F841" s="6" t="s">
        <v>2004</v>
      </c>
      <c r="G841" s="32" t="s">
        <v>2299</v>
      </c>
      <c r="H841" s="32" t="s">
        <v>2300</v>
      </c>
      <c r="I841" s="6" t="str">
        <f t="shared" si="27"/>
        <v>Lift Fork</v>
      </c>
      <c r="J841" s="6" t="s">
        <v>749</v>
      </c>
      <c r="K841" s="6">
        <v>1</v>
      </c>
      <c r="L841" s="6">
        <f t="shared" si="28"/>
        <v>1290000</v>
      </c>
      <c r="M841" s="6">
        <v>1100000</v>
      </c>
      <c r="N841" s="6" t="s">
        <v>2003</v>
      </c>
      <c r="O841" s="6" t="s">
        <v>51</v>
      </c>
      <c r="P841" s="6">
        <v>2017</v>
      </c>
      <c r="Q841" s="6">
        <v>1</v>
      </c>
      <c r="R841" s="6" t="s">
        <v>45</v>
      </c>
      <c r="S841" s="32" t="s">
        <v>2113</v>
      </c>
      <c r="T841" s="6">
        <v>1</v>
      </c>
      <c r="U841" s="26">
        <v>1000000</v>
      </c>
      <c r="V841" s="26">
        <v>1000000</v>
      </c>
      <c r="W841" s="26">
        <v>1000000</v>
      </c>
      <c r="X841" s="6" t="s">
        <v>2003</v>
      </c>
      <c r="Y841" s="6" t="s">
        <v>49</v>
      </c>
      <c r="Z841" s="6">
        <v>226609</v>
      </c>
    </row>
    <row r="842" spans="1:26" x14ac:dyDescent="0.3">
      <c r="A842" s="28" t="s">
        <v>42</v>
      </c>
      <c r="B842" s="6" t="s">
        <v>2338</v>
      </c>
      <c r="C842" s="6" t="s">
        <v>1975</v>
      </c>
      <c r="D842" s="6" t="s">
        <v>2291</v>
      </c>
      <c r="E842" s="6">
        <v>1</v>
      </c>
      <c r="F842" s="6" t="s">
        <v>2004</v>
      </c>
      <c r="G842" s="32" t="s">
        <v>2299</v>
      </c>
      <c r="H842" s="32" t="s">
        <v>2300</v>
      </c>
      <c r="I842" s="6" t="str">
        <f t="shared" si="27"/>
        <v>Side Breaker</v>
      </c>
      <c r="J842" s="6" t="s">
        <v>248</v>
      </c>
      <c r="K842" s="6">
        <v>1</v>
      </c>
      <c r="L842" s="6">
        <f t="shared" si="28"/>
        <v>2700000</v>
      </c>
      <c r="M842" s="6">
        <v>2300000</v>
      </c>
      <c r="N842" s="6" t="s">
        <v>2003</v>
      </c>
      <c r="O842" s="6" t="s">
        <v>2088</v>
      </c>
      <c r="P842" s="6">
        <v>2016</v>
      </c>
      <c r="Q842" s="6">
        <v>6</v>
      </c>
      <c r="R842" s="6" t="s">
        <v>45</v>
      </c>
      <c r="S842" s="32" t="s">
        <v>2123</v>
      </c>
      <c r="T842" s="6">
        <v>1</v>
      </c>
      <c r="U842" s="26">
        <v>2100000</v>
      </c>
      <c r="V842" s="26">
        <v>2100000</v>
      </c>
      <c r="W842" s="26">
        <v>2100000</v>
      </c>
      <c r="X842" s="6" t="s">
        <v>2003</v>
      </c>
      <c r="Y842" s="6" t="s">
        <v>1178</v>
      </c>
      <c r="Z842" s="6">
        <v>226615</v>
      </c>
    </row>
    <row r="843" spans="1:26" x14ac:dyDescent="0.3">
      <c r="A843" s="28" t="s">
        <v>42</v>
      </c>
      <c r="B843" s="6" t="s">
        <v>2338</v>
      </c>
      <c r="C843" s="6" t="s">
        <v>1975</v>
      </c>
      <c r="D843" s="6" t="s">
        <v>2293</v>
      </c>
      <c r="E843" s="6">
        <v>1</v>
      </c>
      <c r="F843" s="6" t="s">
        <v>2004</v>
      </c>
      <c r="G843" s="32" t="s">
        <v>2299</v>
      </c>
      <c r="H843" s="32" t="s">
        <v>2300</v>
      </c>
      <c r="I843" s="6" t="str">
        <f t="shared" ref="I843:I906" si="29">IF(ISBLANK(C843),B843,C843)</f>
        <v>Side Breaker</v>
      </c>
      <c r="J843" s="6" t="s">
        <v>721</v>
      </c>
      <c r="K843" s="6">
        <v>1</v>
      </c>
      <c r="L843" s="6">
        <f t="shared" ref="L843:L906" si="30">FLOOR(((M843*100)/85)/10000, 1)*10000</f>
        <v>2230000</v>
      </c>
      <c r="M843" s="6">
        <v>1900000</v>
      </c>
      <c r="N843" s="6" t="s">
        <v>2003</v>
      </c>
      <c r="O843" s="6" t="s">
        <v>837</v>
      </c>
      <c r="P843" s="6">
        <v>2015</v>
      </c>
      <c r="Q843" s="6">
        <v>1</v>
      </c>
      <c r="R843" s="6" t="s">
        <v>45</v>
      </c>
      <c r="S843" s="32" t="s">
        <v>2113</v>
      </c>
      <c r="T843" s="6">
        <v>1</v>
      </c>
      <c r="U843" s="26">
        <v>1800000</v>
      </c>
      <c r="V843" s="26">
        <v>1800000</v>
      </c>
      <c r="W843" s="26">
        <v>1800000</v>
      </c>
      <c r="X843" s="6" t="s">
        <v>2003</v>
      </c>
      <c r="Y843" s="6" t="s">
        <v>71</v>
      </c>
      <c r="Z843" s="6">
        <v>226617</v>
      </c>
    </row>
    <row r="844" spans="1:26" x14ac:dyDescent="0.3">
      <c r="A844" s="28" t="s">
        <v>42</v>
      </c>
      <c r="B844" s="6" t="s">
        <v>2339</v>
      </c>
      <c r="C844" s="6" t="s">
        <v>1972</v>
      </c>
      <c r="D844" s="6" t="s">
        <v>2292</v>
      </c>
      <c r="E844" s="6">
        <v>1</v>
      </c>
      <c r="F844" s="6" t="s">
        <v>2004</v>
      </c>
      <c r="G844" s="32" t="s">
        <v>2299</v>
      </c>
      <c r="H844" s="32" t="s">
        <v>2300</v>
      </c>
      <c r="I844" s="6" t="str">
        <f t="shared" si="29"/>
        <v>Stone Grapple</v>
      </c>
      <c r="J844" s="6" t="s">
        <v>750</v>
      </c>
      <c r="K844" s="6">
        <v>1</v>
      </c>
      <c r="L844" s="6">
        <f t="shared" si="30"/>
        <v>2110000</v>
      </c>
      <c r="M844" s="6">
        <v>1800000</v>
      </c>
      <c r="N844" s="6" t="s">
        <v>2003</v>
      </c>
      <c r="O844" s="6" t="s">
        <v>2007</v>
      </c>
      <c r="P844" s="6">
        <v>2012</v>
      </c>
      <c r="Q844" s="6">
        <v>1</v>
      </c>
      <c r="R844" s="6" t="s">
        <v>45</v>
      </c>
      <c r="S844" s="32" t="s">
        <v>2113</v>
      </c>
      <c r="T844" s="6">
        <v>1</v>
      </c>
      <c r="U844" s="26">
        <v>1700000</v>
      </c>
      <c r="V844" s="26">
        <v>1700000</v>
      </c>
      <c r="W844" s="26">
        <v>1700000</v>
      </c>
      <c r="X844" s="6" t="s">
        <v>2003</v>
      </c>
      <c r="Y844" s="6" t="s">
        <v>49</v>
      </c>
      <c r="Z844" s="6">
        <v>226621</v>
      </c>
    </row>
    <row r="845" spans="1:26" x14ac:dyDescent="0.3">
      <c r="A845" s="28" t="s">
        <v>42</v>
      </c>
      <c r="B845" s="6" t="s">
        <v>2339</v>
      </c>
      <c r="C845" s="6" t="s">
        <v>1972</v>
      </c>
      <c r="D845" s="6" t="s">
        <v>2291</v>
      </c>
      <c r="E845" s="6">
        <v>1</v>
      </c>
      <c r="F845" s="6" t="s">
        <v>2004</v>
      </c>
      <c r="G845" s="32" t="s">
        <v>2299</v>
      </c>
      <c r="H845" s="32" t="s">
        <v>2300</v>
      </c>
      <c r="I845" s="6" t="str">
        <f t="shared" si="29"/>
        <v>Stone Grapple</v>
      </c>
      <c r="J845" s="6" t="s">
        <v>470</v>
      </c>
      <c r="K845" s="6">
        <v>1</v>
      </c>
      <c r="L845" s="6">
        <f t="shared" si="30"/>
        <v>2000000</v>
      </c>
      <c r="M845" s="6">
        <v>1700000</v>
      </c>
      <c r="N845" s="6" t="s">
        <v>2003</v>
      </c>
      <c r="O845" s="6" t="s">
        <v>2033</v>
      </c>
      <c r="P845" s="6">
        <v>2010</v>
      </c>
      <c r="Q845" s="6">
        <v>5</v>
      </c>
      <c r="R845" s="6" t="s">
        <v>45</v>
      </c>
      <c r="S845" s="32" t="s">
        <v>2122</v>
      </c>
      <c r="T845" s="6">
        <v>1</v>
      </c>
      <c r="U845" s="26">
        <v>1600000</v>
      </c>
      <c r="V845" s="26">
        <v>1600000</v>
      </c>
      <c r="W845" s="26">
        <v>1600000</v>
      </c>
      <c r="X845" s="6" t="s">
        <v>2003</v>
      </c>
      <c r="Y845" s="6" t="s">
        <v>1219</v>
      </c>
      <c r="Z845" s="6">
        <v>226626</v>
      </c>
    </row>
    <row r="846" spans="1:26" x14ac:dyDescent="0.3">
      <c r="A846" s="28" t="s">
        <v>42</v>
      </c>
      <c r="B846" s="6" t="s">
        <v>2338</v>
      </c>
      <c r="C846" s="6" t="s">
        <v>1975</v>
      </c>
      <c r="D846" s="6" t="s">
        <v>2290</v>
      </c>
      <c r="E846" s="6">
        <v>1</v>
      </c>
      <c r="F846" s="6" t="s">
        <v>2004</v>
      </c>
      <c r="G846" s="32" t="s">
        <v>2299</v>
      </c>
      <c r="H846" s="32" t="s">
        <v>2300</v>
      </c>
      <c r="I846" s="6" t="str">
        <f t="shared" si="29"/>
        <v>Side Breaker</v>
      </c>
      <c r="J846" s="6" t="s">
        <v>235</v>
      </c>
      <c r="K846" s="6">
        <v>1</v>
      </c>
      <c r="L846" s="6">
        <f t="shared" si="30"/>
        <v>4000000</v>
      </c>
      <c r="M846" s="6">
        <v>3400000</v>
      </c>
      <c r="N846" s="6" t="s">
        <v>2003</v>
      </c>
      <c r="O846" s="6" t="s">
        <v>51</v>
      </c>
      <c r="P846" s="6">
        <v>2010</v>
      </c>
      <c r="Q846" s="6">
        <v>1</v>
      </c>
      <c r="R846" s="6" t="s">
        <v>45</v>
      </c>
      <c r="S846" s="32" t="s">
        <v>2113</v>
      </c>
      <c r="T846" s="6">
        <v>1</v>
      </c>
      <c r="U846" s="26">
        <v>3200000</v>
      </c>
      <c r="V846" s="26">
        <v>3200000</v>
      </c>
      <c r="W846" s="26">
        <v>3200000</v>
      </c>
      <c r="X846" s="6" t="s">
        <v>2003</v>
      </c>
      <c r="Y846" s="6" t="s">
        <v>49</v>
      </c>
      <c r="Z846" s="6">
        <v>226630</v>
      </c>
    </row>
    <row r="847" spans="1:26" x14ac:dyDescent="0.3">
      <c r="A847" s="28" t="s">
        <v>42</v>
      </c>
      <c r="B847" s="6" t="s">
        <v>2339</v>
      </c>
      <c r="C847" s="6" t="s">
        <v>1972</v>
      </c>
      <c r="D847" s="6" t="s">
        <v>2292</v>
      </c>
      <c r="E847" s="6">
        <v>1</v>
      </c>
      <c r="F847" s="6" t="s">
        <v>2004</v>
      </c>
      <c r="G847" s="32" t="s">
        <v>2299</v>
      </c>
      <c r="H847" s="32" t="s">
        <v>2300</v>
      </c>
      <c r="I847" s="6" t="str">
        <f t="shared" si="29"/>
        <v>Stone Grapple</v>
      </c>
      <c r="J847" s="6" t="s">
        <v>128</v>
      </c>
      <c r="K847" s="6">
        <v>1</v>
      </c>
      <c r="L847" s="6">
        <f t="shared" si="30"/>
        <v>3050000</v>
      </c>
      <c r="M847" s="6">
        <v>2600000</v>
      </c>
      <c r="N847" s="6" t="s">
        <v>2003</v>
      </c>
      <c r="O847" s="6" t="s">
        <v>2007</v>
      </c>
      <c r="P847" s="6">
        <v>2014</v>
      </c>
      <c r="Q847" s="6">
        <v>1</v>
      </c>
      <c r="R847" s="6" t="s">
        <v>45</v>
      </c>
      <c r="S847" s="32" t="s">
        <v>2113</v>
      </c>
      <c r="T847" s="6">
        <v>1</v>
      </c>
      <c r="U847" s="26">
        <v>2400000</v>
      </c>
      <c r="V847" s="26">
        <v>2400000</v>
      </c>
      <c r="W847" s="26">
        <v>2400000</v>
      </c>
      <c r="X847" s="6" t="s">
        <v>2003</v>
      </c>
      <c r="Y847" s="6" t="s">
        <v>49</v>
      </c>
      <c r="Z847" s="6">
        <v>226633</v>
      </c>
    </row>
    <row r="848" spans="1:26" x14ac:dyDescent="0.3">
      <c r="A848" s="28" t="s">
        <v>42</v>
      </c>
      <c r="B848" s="6" t="s">
        <v>2340</v>
      </c>
      <c r="C848" s="19"/>
      <c r="D848" s="6" t="s">
        <v>2289</v>
      </c>
      <c r="E848" s="6">
        <v>1</v>
      </c>
      <c r="F848" s="6" t="s">
        <v>2004</v>
      </c>
      <c r="G848" s="32" t="s">
        <v>2299</v>
      </c>
      <c r="H848" s="32" t="s">
        <v>2300</v>
      </c>
      <c r="I848" s="6" t="str">
        <f t="shared" si="29"/>
        <v>ETC</v>
      </c>
      <c r="J848" s="6" t="s">
        <v>126</v>
      </c>
      <c r="K848" s="6">
        <v>1</v>
      </c>
      <c r="L848" s="6">
        <f t="shared" si="30"/>
        <v>13520000</v>
      </c>
      <c r="M848" s="6">
        <v>11500000</v>
      </c>
      <c r="N848" s="6" t="s">
        <v>2003</v>
      </c>
      <c r="O848" s="6" t="s">
        <v>1111</v>
      </c>
      <c r="P848" s="6">
        <v>2014</v>
      </c>
      <c r="Q848" s="6">
        <v>3</v>
      </c>
      <c r="R848" s="6" t="s">
        <v>45</v>
      </c>
      <c r="S848" s="32" t="s">
        <v>2111</v>
      </c>
      <c r="T848" s="6">
        <v>1</v>
      </c>
      <c r="U848" s="26">
        <v>11000000</v>
      </c>
      <c r="V848" s="26">
        <v>11000000</v>
      </c>
      <c r="W848" s="26">
        <v>11000000</v>
      </c>
      <c r="X848" s="6" t="s">
        <v>2003</v>
      </c>
      <c r="Y848" s="6" t="s">
        <v>55</v>
      </c>
      <c r="Z848" s="6">
        <v>226636</v>
      </c>
    </row>
    <row r="849" spans="1:26" x14ac:dyDescent="0.3">
      <c r="A849" s="28" t="s">
        <v>42</v>
      </c>
      <c r="B849" s="6" t="s">
        <v>2339</v>
      </c>
      <c r="C849" s="6" t="s">
        <v>1986</v>
      </c>
      <c r="D849" s="6" t="s">
        <v>2290</v>
      </c>
      <c r="E849" s="6">
        <v>1</v>
      </c>
      <c r="F849" s="6" t="s">
        <v>2004</v>
      </c>
      <c r="G849" s="32" t="s">
        <v>2299</v>
      </c>
      <c r="H849" s="32" t="s">
        <v>2300</v>
      </c>
      <c r="I849" s="6" t="str">
        <f t="shared" si="29"/>
        <v>ClamShell Grapple</v>
      </c>
      <c r="J849" s="6" t="s">
        <v>720</v>
      </c>
      <c r="K849" s="6">
        <v>1</v>
      </c>
      <c r="L849" s="6">
        <f t="shared" si="30"/>
        <v>3760000</v>
      </c>
      <c r="M849" s="6">
        <v>3200000</v>
      </c>
      <c r="N849" s="6" t="s">
        <v>2003</v>
      </c>
      <c r="O849" s="6" t="s">
        <v>813</v>
      </c>
      <c r="P849" s="6">
        <v>2013</v>
      </c>
      <c r="Q849" s="6">
        <v>1</v>
      </c>
      <c r="R849" s="6" t="s">
        <v>45</v>
      </c>
      <c r="S849" s="32" t="s">
        <v>2113</v>
      </c>
      <c r="T849" s="6">
        <v>1</v>
      </c>
      <c r="U849" s="26">
        <v>3000000</v>
      </c>
      <c r="V849" s="26">
        <v>3000000</v>
      </c>
      <c r="W849" s="26">
        <v>3000000</v>
      </c>
      <c r="X849" s="6" t="s">
        <v>2003</v>
      </c>
      <c r="Y849" s="6" t="s">
        <v>79</v>
      </c>
      <c r="Z849" s="6">
        <v>226637</v>
      </c>
    </row>
    <row r="850" spans="1:26" x14ac:dyDescent="0.3">
      <c r="A850" s="28" t="s">
        <v>42</v>
      </c>
      <c r="B850" s="6" t="s">
        <v>2339</v>
      </c>
      <c r="C850" s="6" t="s">
        <v>1972</v>
      </c>
      <c r="D850" s="6" t="s">
        <v>2001</v>
      </c>
      <c r="E850" s="6">
        <v>1</v>
      </c>
      <c r="F850" s="6" t="s">
        <v>2004</v>
      </c>
      <c r="G850" s="32" t="s">
        <v>2299</v>
      </c>
      <c r="H850" s="32" t="s">
        <v>2300</v>
      </c>
      <c r="I850" s="6" t="str">
        <f t="shared" si="29"/>
        <v>Stone Grapple</v>
      </c>
      <c r="J850" s="6" t="s">
        <v>174</v>
      </c>
      <c r="K850" s="6">
        <v>1</v>
      </c>
      <c r="L850" s="6">
        <f t="shared" si="30"/>
        <v>8820000</v>
      </c>
      <c r="M850" s="6">
        <v>7500000</v>
      </c>
      <c r="N850" s="6" t="s">
        <v>2003</v>
      </c>
      <c r="O850" s="6" t="s">
        <v>2033</v>
      </c>
      <c r="P850" s="6">
        <v>2015</v>
      </c>
      <c r="Q850" s="6">
        <v>5</v>
      </c>
      <c r="R850" s="6" t="s">
        <v>45</v>
      </c>
      <c r="S850" s="32" t="s">
        <v>2123</v>
      </c>
      <c r="T850" s="6">
        <v>1</v>
      </c>
      <c r="U850" s="26">
        <v>7000000</v>
      </c>
      <c r="V850" s="26">
        <v>7000000</v>
      </c>
      <c r="W850" s="26">
        <v>7000000</v>
      </c>
      <c r="X850" s="6" t="s">
        <v>2003</v>
      </c>
      <c r="Y850" s="6" t="s">
        <v>1219</v>
      </c>
      <c r="Z850" s="6">
        <v>226642</v>
      </c>
    </row>
    <row r="851" spans="1:26" x14ac:dyDescent="0.3">
      <c r="A851" s="28" t="s">
        <v>42</v>
      </c>
      <c r="B851" s="6" t="s">
        <v>2339</v>
      </c>
      <c r="C851" s="6" t="s">
        <v>1979</v>
      </c>
      <c r="D851" s="6" t="s">
        <v>2292</v>
      </c>
      <c r="E851" s="6">
        <v>1</v>
      </c>
      <c r="F851" s="6" t="s">
        <v>2004</v>
      </c>
      <c r="G851" s="32" t="s">
        <v>2299</v>
      </c>
      <c r="H851" s="32" t="s">
        <v>2300</v>
      </c>
      <c r="I851" s="6" t="str">
        <f t="shared" si="29"/>
        <v>Thumb Grapple</v>
      </c>
      <c r="J851" s="6" t="s">
        <v>752</v>
      </c>
      <c r="K851" s="6">
        <v>1</v>
      </c>
      <c r="L851" s="6">
        <f t="shared" si="30"/>
        <v>940000</v>
      </c>
      <c r="M851" s="6">
        <v>800000</v>
      </c>
      <c r="N851" s="6" t="s">
        <v>2003</v>
      </c>
      <c r="O851" s="6" t="s">
        <v>2007</v>
      </c>
      <c r="P851" s="6">
        <v>2013</v>
      </c>
      <c r="Q851" s="6">
        <v>1</v>
      </c>
      <c r="R851" s="6" t="s">
        <v>45</v>
      </c>
      <c r="S851" s="32" t="s">
        <v>2113</v>
      </c>
      <c r="T851" s="6">
        <v>1</v>
      </c>
      <c r="U851" s="26">
        <v>700000</v>
      </c>
      <c r="V851" s="26">
        <v>700000</v>
      </c>
      <c r="W851" s="26">
        <v>700000</v>
      </c>
      <c r="X851" s="6" t="s">
        <v>2003</v>
      </c>
      <c r="Y851" s="6" t="s">
        <v>49</v>
      </c>
      <c r="Z851" s="6">
        <v>226649</v>
      </c>
    </row>
    <row r="852" spans="1:26" x14ac:dyDescent="0.3">
      <c r="A852" s="28" t="s">
        <v>42</v>
      </c>
      <c r="B852" s="6" t="s">
        <v>2341</v>
      </c>
      <c r="C852" s="19" t="s">
        <v>2321</v>
      </c>
      <c r="D852" s="6" t="s">
        <v>2292</v>
      </c>
      <c r="E852" s="6">
        <v>1</v>
      </c>
      <c r="F852" s="6" t="s">
        <v>2004</v>
      </c>
      <c r="G852" s="32" t="s">
        <v>2299</v>
      </c>
      <c r="H852" s="32" t="s">
        <v>2300</v>
      </c>
      <c r="I852" s="6" t="str">
        <f t="shared" si="29"/>
        <v>Etc Crusher</v>
      </c>
      <c r="J852" s="6" t="s">
        <v>103</v>
      </c>
      <c r="K852" s="6">
        <v>1</v>
      </c>
      <c r="L852" s="6">
        <f t="shared" si="30"/>
        <v>11170000</v>
      </c>
      <c r="M852" s="6">
        <v>9500000</v>
      </c>
      <c r="N852" s="6" t="s">
        <v>2003</v>
      </c>
      <c r="O852" s="6" t="s">
        <v>813</v>
      </c>
      <c r="P852" s="6">
        <v>2014</v>
      </c>
      <c r="Q852" s="6">
        <v>1</v>
      </c>
      <c r="R852" s="6" t="s">
        <v>45</v>
      </c>
      <c r="S852" s="32" t="s">
        <v>2113</v>
      </c>
      <c r="T852" s="6">
        <v>1</v>
      </c>
      <c r="U852" s="26">
        <v>9000000</v>
      </c>
      <c r="V852" s="26">
        <v>9000000</v>
      </c>
      <c r="W852" s="26">
        <v>9000000</v>
      </c>
      <c r="X852" s="6" t="s">
        <v>2003</v>
      </c>
      <c r="Y852" s="6" t="s">
        <v>80</v>
      </c>
      <c r="Z852" s="6">
        <v>226654</v>
      </c>
    </row>
    <row r="853" spans="1:26" x14ac:dyDescent="0.3">
      <c r="A853" s="28" t="s">
        <v>42</v>
      </c>
      <c r="B853" s="6" t="s">
        <v>2343</v>
      </c>
      <c r="C853" s="6"/>
      <c r="D853" s="6" t="s">
        <v>2291</v>
      </c>
      <c r="E853" s="6">
        <v>1</v>
      </c>
      <c r="F853" s="6" t="s">
        <v>2004</v>
      </c>
      <c r="G853" s="32" t="s">
        <v>2299</v>
      </c>
      <c r="H853" s="32" t="s">
        <v>2300</v>
      </c>
      <c r="I853" s="6" t="str">
        <f t="shared" si="29"/>
        <v>Lift Fork</v>
      </c>
      <c r="J853" s="6" t="s">
        <v>617</v>
      </c>
      <c r="K853" s="6">
        <v>1</v>
      </c>
      <c r="L853" s="6">
        <f t="shared" si="30"/>
        <v>1050000</v>
      </c>
      <c r="M853" s="6">
        <v>900000</v>
      </c>
      <c r="N853" s="6" t="s">
        <v>2003</v>
      </c>
      <c r="O853" s="6" t="s">
        <v>2011</v>
      </c>
      <c r="P853" s="6">
        <v>2017</v>
      </c>
      <c r="Q853" s="6">
        <v>1</v>
      </c>
      <c r="R853" s="6" t="s">
        <v>45</v>
      </c>
      <c r="S853" s="32" t="s">
        <v>2123</v>
      </c>
      <c r="T853" s="6">
        <v>1</v>
      </c>
      <c r="U853" s="26">
        <v>800000</v>
      </c>
      <c r="V853" s="26">
        <v>800000</v>
      </c>
      <c r="W853" s="26">
        <v>800000</v>
      </c>
      <c r="X853" s="6" t="s">
        <v>2003</v>
      </c>
      <c r="Y853" s="6" t="s">
        <v>1200</v>
      </c>
      <c r="Z853" s="6">
        <v>226661</v>
      </c>
    </row>
    <row r="854" spans="1:26" x14ac:dyDescent="0.3">
      <c r="A854" s="28" t="s">
        <v>42</v>
      </c>
      <c r="B854" s="6" t="s">
        <v>2344</v>
      </c>
      <c r="C854" s="6" t="s">
        <v>1976</v>
      </c>
      <c r="D854" s="6" t="s">
        <v>2292</v>
      </c>
      <c r="E854" s="6">
        <v>1</v>
      </c>
      <c r="F854" s="6" t="s">
        <v>2004</v>
      </c>
      <c r="G854" s="32" t="s">
        <v>2299</v>
      </c>
      <c r="H854" s="32" t="s">
        <v>2300</v>
      </c>
      <c r="I854" s="6" t="str">
        <f t="shared" si="29"/>
        <v>Skeleton Bucket</v>
      </c>
      <c r="J854" s="6" t="s">
        <v>62</v>
      </c>
      <c r="K854" s="6">
        <v>1</v>
      </c>
      <c r="L854" s="6">
        <f t="shared" si="30"/>
        <v>1050000</v>
      </c>
      <c r="M854" s="6">
        <v>900000</v>
      </c>
      <c r="N854" s="6" t="s">
        <v>2003</v>
      </c>
      <c r="O854" s="6" t="s">
        <v>813</v>
      </c>
      <c r="P854" s="6">
        <v>2013</v>
      </c>
      <c r="Q854" s="6">
        <v>1</v>
      </c>
      <c r="R854" s="6" t="s">
        <v>45</v>
      </c>
      <c r="S854" s="32" t="s">
        <v>2113</v>
      </c>
      <c r="T854" s="6">
        <v>1</v>
      </c>
      <c r="U854" s="26">
        <v>800000</v>
      </c>
      <c r="V854" s="26">
        <v>800000</v>
      </c>
      <c r="W854" s="26">
        <v>800000</v>
      </c>
      <c r="X854" s="6" t="s">
        <v>2003</v>
      </c>
      <c r="Y854" s="6" t="s">
        <v>80</v>
      </c>
      <c r="Z854" s="6">
        <v>226662</v>
      </c>
    </row>
    <row r="855" spans="1:26" x14ac:dyDescent="0.3">
      <c r="A855" s="28" t="s">
        <v>42</v>
      </c>
      <c r="B855" s="6" t="s">
        <v>2344</v>
      </c>
      <c r="C855" s="6" t="s">
        <v>1976</v>
      </c>
      <c r="D855" s="6" t="s">
        <v>2292</v>
      </c>
      <c r="E855" s="6">
        <v>1</v>
      </c>
      <c r="F855" s="6" t="s">
        <v>2004</v>
      </c>
      <c r="G855" s="32" t="s">
        <v>2299</v>
      </c>
      <c r="H855" s="32" t="s">
        <v>2300</v>
      </c>
      <c r="I855" s="6" t="str">
        <f t="shared" si="29"/>
        <v>Skeleton Bucket</v>
      </c>
      <c r="J855" s="6" t="s">
        <v>110</v>
      </c>
      <c r="K855" s="6">
        <v>1</v>
      </c>
      <c r="L855" s="6">
        <f t="shared" si="30"/>
        <v>1110000</v>
      </c>
      <c r="M855" s="6">
        <v>950000</v>
      </c>
      <c r="N855" s="6" t="s">
        <v>2003</v>
      </c>
      <c r="O855" s="6" t="s">
        <v>813</v>
      </c>
      <c r="P855" s="6">
        <v>2013</v>
      </c>
      <c r="Q855" s="6">
        <v>1</v>
      </c>
      <c r="R855" s="6" t="s">
        <v>45</v>
      </c>
      <c r="S855" s="32" t="s">
        <v>2113</v>
      </c>
      <c r="T855" s="6">
        <v>1</v>
      </c>
      <c r="U855" s="26">
        <v>850000</v>
      </c>
      <c r="V855" s="26">
        <v>850000</v>
      </c>
      <c r="W855" s="26">
        <v>850000</v>
      </c>
      <c r="X855" s="6" t="s">
        <v>2003</v>
      </c>
      <c r="Y855" s="6" t="s">
        <v>80</v>
      </c>
      <c r="Z855" s="6">
        <v>226667</v>
      </c>
    </row>
    <row r="856" spans="1:26" x14ac:dyDescent="0.3">
      <c r="A856" s="28" t="s">
        <v>42</v>
      </c>
      <c r="B856" s="6" t="s">
        <v>2342</v>
      </c>
      <c r="C856" s="6" t="s">
        <v>1982</v>
      </c>
      <c r="D856" s="6" t="s">
        <v>2292</v>
      </c>
      <c r="E856" s="6">
        <v>1</v>
      </c>
      <c r="F856" s="6" t="s">
        <v>2004</v>
      </c>
      <c r="G856" s="32" t="s">
        <v>2299</v>
      </c>
      <c r="H856" s="32" t="s">
        <v>2300</v>
      </c>
      <c r="I856" s="6" t="str">
        <f t="shared" si="29"/>
        <v>Standard Bucket</v>
      </c>
      <c r="J856" s="6" t="s">
        <v>140</v>
      </c>
      <c r="K856" s="6">
        <v>1</v>
      </c>
      <c r="L856" s="6">
        <f t="shared" si="30"/>
        <v>1000000</v>
      </c>
      <c r="M856" s="6">
        <v>850000</v>
      </c>
      <c r="N856" s="6" t="s">
        <v>2003</v>
      </c>
      <c r="O856" s="6" t="s">
        <v>813</v>
      </c>
      <c r="P856" s="6">
        <v>2014</v>
      </c>
      <c r="Q856" s="6">
        <v>1</v>
      </c>
      <c r="R856" s="6" t="s">
        <v>45</v>
      </c>
      <c r="S856" s="32" t="s">
        <v>2113</v>
      </c>
      <c r="T856" s="6">
        <v>1</v>
      </c>
      <c r="U856" s="26">
        <v>750000</v>
      </c>
      <c r="V856" s="26">
        <v>750000</v>
      </c>
      <c r="W856" s="26">
        <v>750000</v>
      </c>
      <c r="X856" s="6" t="s">
        <v>2003</v>
      </c>
      <c r="Y856" s="6" t="s">
        <v>79</v>
      </c>
      <c r="Z856" s="6">
        <v>226673</v>
      </c>
    </row>
    <row r="857" spans="1:26" x14ac:dyDescent="0.3">
      <c r="A857" s="28" t="s">
        <v>42</v>
      </c>
      <c r="B857" s="6" t="s">
        <v>2340</v>
      </c>
      <c r="C857" s="6"/>
      <c r="D857" s="6" t="s">
        <v>2291</v>
      </c>
      <c r="E857" s="6">
        <v>1</v>
      </c>
      <c r="F857" s="6" t="s">
        <v>2004</v>
      </c>
      <c r="G857" s="32" t="s">
        <v>2299</v>
      </c>
      <c r="H857" s="32" t="s">
        <v>2300</v>
      </c>
      <c r="I857" s="6" t="str">
        <f t="shared" si="29"/>
        <v>ETC</v>
      </c>
      <c r="J857" s="6" t="s">
        <v>754</v>
      </c>
      <c r="K857" s="6">
        <v>1</v>
      </c>
      <c r="L857" s="6">
        <f t="shared" si="30"/>
        <v>2290000</v>
      </c>
      <c r="M857" s="6">
        <v>1950000</v>
      </c>
      <c r="N857" s="6" t="s">
        <v>2003</v>
      </c>
      <c r="O857" s="6" t="s">
        <v>838</v>
      </c>
      <c r="P857" s="6">
        <v>2017</v>
      </c>
      <c r="Q857" s="6">
        <v>1</v>
      </c>
      <c r="R857" s="6" t="s">
        <v>45</v>
      </c>
      <c r="S857" s="32" t="s">
        <v>2123</v>
      </c>
      <c r="T857" s="6">
        <v>1</v>
      </c>
      <c r="U857" s="26">
        <v>1850000</v>
      </c>
      <c r="V857" s="26">
        <v>1850000</v>
      </c>
      <c r="W857" s="26">
        <v>1850000</v>
      </c>
      <c r="X857" s="6" t="s">
        <v>2003</v>
      </c>
      <c r="Y857" s="6" t="s">
        <v>1209</v>
      </c>
      <c r="Z857" s="6">
        <v>226675</v>
      </c>
    </row>
    <row r="858" spans="1:26" x14ac:dyDescent="0.3">
      <c r="A858" s="28" t="s">
        <v>42</v>
      </c>
      <c r="B858" s="6" t="s">
        <v>2342</v>
      </c>
      <c r="C858" s="6"/>
      <c r="D858" s="6" t="s">
        <v>2292</v>
      </c>
      <c r="E858" s="6">
        <v>1</v>
      </c>
      <c r="F858" s="6" t="s">
        <v>2004</v>
      </c>
      <c r="G858" s="32" t="s">
        <v>2299</v>
      </c>
      <c r="H858" s="32" t="s">
        <v>2300</v>
      </c>
      <c r="I858" s="6" t="str">
        <f t="shared" si="29"/>
        <v>Quick Coupler</v>
      </c>
      <c r="J858" s="6" t="s">
        <v>755</v>
      </c>
      <c r="K858" s="6">
        <v>1</v>
      </c>
      <c r="L858" s="6">
        <f t="shared" si="30"/>
        <v>1050000</v>
      </c>
      <c r="M858" s="6">
        <v>900000</v>
      </c>
      <c r="N858" s="6" t="s">
        <v>2003</v>
      </c>
      <c r="O858" s="6" t="s">
        <v>2007</v>
      </c>
      <c r="P858" s="6">
        <v>2014</v>
      </c>
      <c r="Q858" s="6">
        <v>1</v>
      </c>
      <c r="R858" s="6" t="s">
        <v>45</v>
      </c>
      <c r="S858" s="32" t="s">
        <v>2113</v>
      </c>
      <c r="T858" s="6">
        <v>1</v>
      </c>
      <c r="U858" s="26">
        <v>800000</v>
      </c>
      <c r="V858" s="26">
        <v>800000</v>
      </c>
      <c r="W858" s="26">
        <v>800000</v>
      </c>
      <c r="X858" s="6" t="s">
        <v>2003</v>
      </c>
      <c r="Y858" s="6" t="s">
        <v>49</v>
      </c>
      <c r="Z858" s="6">
        <v>226678</v>
      </c>
    </row>
    <row r="859" spans="1:26" x14ac:dyDescent="0.3">
      <c r="A859" s="28" t="s">
        <v>42</v>
      </c>
      <c r="B859" s="6" t="s">
        <v>2344</v>
      </c>
      <c r="C859" s="6" t="s">
        <v>1976</v>
      </c>
      <c r="D859" s="6" t="s">
        <v>2291</v>
      </c>
      <c r="E859" s="6">
        <v>1</v>
      </c>
      <c r="F859" s="6" t="s">
        <v>2004</v>
      </c>
      <c r="G859" s="32" t="s">
        <v>2299</v>
      </c>
      <c r="H859" s="32" t="s">
        <v>2300</v>
      </c>
      <c r="I859" s="6" t="str">
        <f t="shared" si="29"/>
        <v>Skeleton Bucket</v>
      </c>
      <c r="J859" s="6" t="s">
        <v>557</v>
      </c>
      <c r="K859" s="6">
        <v>1</v>
      </c>
      <c r="L859" s="6">
        <f t="shared" si="30"/>
        <v>820000</v>
      </c>
      <c r="M859" s="6">
        <v>700000</v>
      </c>
      <c r="N859" s="6" t="s">
        <v>2003</v>
      </c>
      <c r="O859" s="6" t="s">
        <v>2011</v>
      </c>
      <c r="P859" s="6">
        <v>2017</v>
      </c>
      <c r="Q859" s="6">
        <v>1</v>
      </c>
      <c r="R859" s="6" t="s">
        <v>45</v>
      </c>
      <c r="S859" s="32" t="s">
        <v>2123</v>
      </c>
      <c r="T859" s="6">
        <v>1</v>
      </c>
      <c r="U859" s="26">
        <v>600000</v>
      </c>
      <c r="V859" s="26">
        <v>600000</v>
      </c>
      <c r="W859" s="26">
        <v>600000</v>
      </c>
      <c r="X859" s="6" t="s">
        <v>2003</v>
      </c>
      <c r="Y859" s="6" t="s">
        <v>1200</v>
      </c>
      <c r="Z859" s="6">
        <v>226685</v>
      </c>
    </row>
    <row r="860" spans="1:26" x14ac:dyDescent="0.3">
      <c r="A860" s="28" t="s">
        <v>42</v>
      </c>
      <c r="B860" s="6" t="s">
        <v>2340</v>
      </c>
      <c r="C860" s="6"/>
      <c r="D860" s="6" t="s">
        <v>2292</v>
      </c>
      <c r="E860" s="6">
        <v>1</v>
      </c>
      <c r="F860" s="6" t="s">
        <v>2004</v>
      </c>
      <c r="G860" s="32" t="s">
        <v>2299</v>
      </c>
      <c r="H860" s="32" t="s">
        <v>2300</v>
      </c>
      <c r="I860" s="6" t="str">
        <f t="shared" si="29"/>
        <v>ETC</v>
      </c>
      <c r="J860" s="6" t="s">
        <v>418</v>
      </c>
      <c r="K860" s="6">
        <v>1</v>
      </c>
      <c r="L860" s="6">
        <f t="shared" si="30"/>
        <v>7050000</v>
      </c>
      <c r="M860" s="6">
        <v>6000000</v>
      </c>
      <c r="N860" s="6" t="s">
        <v>2003</v>
      </c>
      <c r="O860" s="6" t="s">
        <v>813</v>
      </c>
      <c r="P860" s="6">
        <v>2016</v>
      </c>
      <c r="Q860" s="6">
        <v>1</v>
      </c>
      <c r="R860" s="6" t="s">
        <v>45</v>
      </c>
      <c r="S860" s="32" t="s">
        <v>2113</v>
      </c>
      <c r="T860" s="6">
        <v>1</v>
      </c>
      <c r="U860" s="26">
        <v>5500000</v>
      </c>
      <c r="V860" s="26">
        <v>5500000</v>
      </c>
      <c r="W860" s="26">
        <v>5500000</v>
      </c>
      <c r="X860" s="6" t="s">
        <v>2003</v>
      </c>
      <c r="Y860" s="6" t="s">
        <v>79</v>
      </c>
      <c r="Z860" s="6">
        <v>226690</v>
      </c>
    </row>
    <row r="861" spans="1:26" x14ac:dyDescent="0.3">
      <c r="A861" s="28" t="s">
        <v>42</v>
      </c>
      <c r="B861" s="6" t="s">
        <v>2339</v>
      </c>
      <c r="C861" s="6" t="s">
        <v>1979</v>
      </c>
      <c r="D861" s="6" t="s">
        <v>2292</v>
      </c>
      <c r="E861" s="6">
        <v>1</v>
      </c>
      <c r="F861" s="6" t="s">
        <v>2004</v>
      </c>
      <c r="G861" s="32" t="s">
        <v>2299</v>
      </c>
      <c r="H861" s="32" t="s">
        <v>2300</v>
      </c>
      <c r="I861" s="6" t="str">
        <f t="shared" si="29"/>
        <v>Thumb Grapple</v>
      </c>
      <c r="J861" s="6" t="s">
        <v>99</v>
      </c>
      <c r="K861" s="6">
        <v>1</v>
      </c>
      <c r="L861" s="6">
        <f t="shared" si="30"/>
        <v>940000</v>
      </c>
      <c r="M861" s="6">
        <v>800000</v>
      </c>
      <c r="N861" s="6" t="s">
        <v>2003</v>
      </c>
      <c r="O861" s="6" t="s">
        <v>2007</v>
      </c>
      <c r="P861" s="6">
        <v>2013</v>
      </c>
      <c r="Q861" s="6">
        <v>1</v>
      </c>
      <c r="R861" s="6" t="s">
        <v>45</v>
      </c>
      <c r="S861" s="32" t="s">
        <v>2113</v>
      </c>
      <c r="T861" s="6">
        <v>1</v>
      </c>
      <c r="U861" s="26">
        <v>700000</v>
      </c>
      <c r="V861" s="26">
        <v>700000</v>
      </c>
      <c r="W861" s="26">
        <v>700000</v>
      </c>
      <c r="X861" s="6" t="s">
        <v>2003</v>
      </c>
      <c r="Y861" s="6" t="s">
        <v>49</v>
      </c>
      <c r="Z861" s="6">
        <v>226691</v>
      </c>
    </row>
    <row r="862" spans="1:26" x14ac:dyDescent="0.3">
      <c r="A862" s="28" t="s">
        <v>42</v>
      </c>
      <c r="B862" s="6" t="s">
        <v>2340</v>
      </c>
      <c r="C862" s="6"/>
      <c r="D862" s="6" t="s">
        <v>2291</v>
      </c>
      <c r="E862" s="6">
        <v>1</v>
      </c>
      <c r="F862" s="6" t="s">
        <v>2004</v>
      </c>
      <c r="G862" s="32" t="s">
        <v>2299</v>
      </c>
      <c r="H862" s="32" t="s">
        <v>2300</v>
      </c>
      <c r="I862" s="6" t="str">
        <f t="shared" si="29"/>
        <v>ETC</v>
      </c>
      <c r="J862" s="6" t="s">
        <v>757</v>
      </c>
      <c r="K862" s="6">
        <v>1</v>
      </c>
      <c r="L862" s="6">
        <f t="shared" si="30"/>
        <v>2580000</v>
      </c>
      <c r="M862" s="6">
        <v>2200000</v>
      </c>
      <c r="N862" s="6" t="s">
        <v>2003</v>
      </c>
      <c r="O862" s="6" t="s">
        <v>2089</v>
      </c>
      <c r="P862" s="6">
        <v>2012</v>
      </c>
      <c r="Q862" s="6">
        <v>1</v>
      </c>
      <c r="R862" s="6" t="s">
        <v>45</v>
      </c>
      <c r="S862" s="32" t="s">
        <v>2113</v>
      </c>
      <c r="T862" s="6">
        <v>1</v>
      </c>
      <c r="U862" s="26">
        <v>2000000</v>
      </c>
      <c r="V862" s="26">
        <v>2000000</v>
      </c>
      <c r="W862" s="26">
        <v>2000000</v>
      </c>
      <c r="X862" s="6" t="s">
        <v>2003</v>
      </c>
      <c r="Y862" s="6" t="s">
        <v>1314</v>
      </c>
      <c r="Z862" s="6">
        <v>226692</v>
      </c>
    </row>
    <row r="863" spans="1:26" x14ac:dyDescent="0.3">
      <c r="A863" s="28" t="s">
        <v>42</v>
      </c>
      <c r="B863" s="6" t="s">
        <v>2339</v>
      </c>
      <c r="C863" s="6" t="s">
        <v>1979</v>
      </c>
      <c r="D863" s="6" t="s">
        <v>2292</v>
      </c>
      <c r="E863" s="6">
        <v>1</v>
      </c>
      <c r="F863" s="6" t="s">
        <v>2004</v>
      </c>
      <c r="G863" s="32" t="s">
        <v>2299</v>
      </c>
      <c r="H863" s="32" t="s">
        <v>2300</v>
      </c>
      <c r="I863" s="6" t="str">
        <f t="shared" si="29"/>
        <v>Thumb Grapple</v>
      </c>
      <c r="J863" s="6" t="s">
        <v>758</v>
      </c>
      <c r="K863" s="6">
        <v>1</v>
      </c>
      <c r="L863" s="6">
        <f t="shared" si="30"/>
        <v>3470000</v>
      </c>
      <c r="M863" s="6">
        <v>2950000</v>
      </c>
      <c r="N863" s="6" t="s">
        <v>2003</v>
      </c>
      <c r="O863" s="6" t="s">
        <v>2007</v>
      </c>
      <c r="P863" s="6">
        <v>2017</v>
      </c>
      <c r="Q863" s="6">
        <v>1</v>
      </c>
      <c r="R863" s="6" t="s">
        <v>45</v>
      </c>
      <c r="S863" s="32" t="s">
        <v>2113</v>
      </c>
      <c r="T863" s="6">
        <v>1</v>
      </c>
      <c r="U863" s="26">
        <v>2750000</v>
      </c>
      <c r="V863" s="26">
        <v>2750000</v>
      </c>
      <c r="W863" s="26">
        <v>2750000</v>
      </c>
      <c r="X863" s="6" t="s">
        <v>2003</v>
      </c>
      <c r="Y863" s="6" t="s">
        <v>49</v>
      </c>
      <c r="Z863" s="6">
        <v>226693</v>
      </c>
    </row>
    <row r="864" spans="1:26" x14ac:dyDescent="0.3">
      <c r="A864" s="28" t="s">
        <v>42</v>
      </c>
      <c r="B864" s="6" t="s">
        <v>2340</v>
      </c>
      <c r="C864" s="6"/>
      <c r="D864" s="6" t="s">
        <v>2295</v>
      </c>
      <c r="E864" s="6">
        <v>1</v>
      </c>
      <c r="F864" s="6" t="s">
        <v>2004</v>
      </c>
      <c r="G864" s="32" t="s">
        <v>2299</v>
      </c>
      <c r="H864" s="32" t="s">
        <v>2300</v>
      </c>
      <c r="I864" s="6" t="str">
        <f t="shared" si="29"/>
        <v>ETC</v>
      </c>
      <c r="J864" s="6" t="s">
        <v>378</v>
      </c>
      <c r="K864" s="6">
        <v>1</v>
      </c>
      <c r="L864" s="6">
        <f t="shared" si="30"/>
        <v>2940000</v>
      </c>
      <c r="M864" s="6">
        <v>2500000</v>
      </c>
      <c r="N864" s="6" t="s">
        <v>2003</v>
      </c>
      <c r="O864" s="6" t="s">
        <v>837</v>
      </c>
      <c r="P864" s="6">
        <v>2016</v>
      </c>
      <c r="Q864" s="6">
        <v>5</v>
      </c>
      <c r="R864" s="6" t="s">
        <v>45</v>
      </c>
      <c r="S864" s="32" t="s">
        <v>2113</v>
      </c>
      <c r="T864" s="6">
        <v>1</v>
      </c>
      <c r="U864" s="26">
        <v>2300000</v>
      </c>
      <c r="V864" s="26">
        <v>2300000</v>
      </c>
      <c r="W864" s="26">
        <v>2300000</v>
      </c>
      <c r="X864" s="6" t="s">
        <v>2003</v>
      </c>
      <c r="Y864" s="6" t="s">
        <v>71</v>
      </c>
      <c r="Z864" s="6">
        <v>226695</v>
      </c>
    </row>
    <row r="865" spans="1:26" x14ac:dyDescent="0.3">
      <c r="A865" s="28" t="s">
        <v>42</v>
      </c>
      <c r="B865" s="6" t="s">
        <v>2338</v>
      </c>
      <c r="C865" s="6" t="s">
        <v>1975</v>
      </c>
      <c r="D865" s="6" t="s">
        <v>2291</v>
      </c>
      <c r="E865" s="6">
        <v>1</v>
      </c>
      <c r="F865" s="6" t="s">
        <v>2004</v>
      </c>
      <c r="G865" s="32" t="s">
        <v>2299</v>
      </c>
      <c r="H865" s="32" t="s">
        <v>2300</v>
      </c>
      <c r="I865" s="6" t="str">
        <f t="shared" si="29"/>
        <v>Side Breaker</v>
      </c>
      <c r="J865" s="6" t="s">
        <v>160</v>
      </c>
      <c r="K865" s="6">
        <v>1</v>
      </c>
      <c r="L865" s="6">
        <f t="shared" si="30"/>
        <v>1880000</v>
      </c>
      <c r="M865" s="6">
        <v>1600000</v>
      </c>
      <c r="N865" s="6" t="s">
        <v>2003</v>
      </c>
      <c r="O865" s="6" t="s">
        <v>1114</v>
      </c>
      <c r="P865" s="6">
        <v>2010</v>
      </c>
      <c r="Q865" s="6">
        <v>1</v>
      </c>
      <c r="R865" s="6" t="s">
        <v>45</v>
      </c>
      <c r="S865" s="32" t="s">
        <v>2114</v>
      </c>
      <c r="T865" s="6">
        <v>1</v>
      </c>
      <c r="U865" s="26">
        <v>1500000</v>
      </c>
      <c r="V865" s="26">
        <v>1500000</v>
      </c>
      <c r="W865" s="26">
        <v>1500000</v>
      </c>
      <c r="X865" s="6" t="s">
        <v>2003</v>
      </c>
      <c r="Y865" s="6" t="s">
        <v>54</v>
      </c>
      <c r="Z865" s="6">
        <v>226701</v>
      </c>
    </row>
    <row r="866" spans="1:26" x14ac:dyDescent="0.3">
      <c r="A866" s="28" t="s">
        <v>42</v>
      </c>
      <c r="B866" s="6" t="s">
        <v>2339</v>
      </c>
      <c r="C866" s="6" t="s">
        <v>1972</v>
      </c>
      <c r="D866" s="6" t="s">
        <v>2292</v>
      </c>
      <c r="E866" s="6">
        <v>1</v>
      </c>
      <c r="F866" s="6" t="s">
        <v>2004</v>
      </c>
      <c r="G866" s="32" t="s">
        <v>2299</v>
      </c>
      <c r="H866" s="32" t="s">
        <v>2300</v>
      </c>
      <c r="I866" s="6" t="str">
        <f t="shared" si="29"/>
        <v>Stone Grapple</v>
      </c>
      <c r="J866" s="6" t="s">
        <v>72</v>
      </c>
      <c r="K866" s="6">
        <v>1</v>
      </c>
      <c r="L866" s="6">
        <f t="shared" si="30"/>
        <v>6470000</v>
      </c>
      <c r="M866" s="6">
        <v>5500000</v>
      </c>
      <c r="N866" s="6" t="s">
        <v>2003</v>
      </c>
      <c r="O866" s="6" t="s">
        <v>813</v>
      </c>
      <c r="P866" s="6">
        <v>2014</v>
      </c>
      <c r="Q866" s="6">
        <v>1</v>
      </c>
      <c r="R866" s="6" t="s">
        <v>45</v>
      </c>
      <c r="S866" s="32" t="s">
        <v>2113</v>
      </c>
      <c r="T866" s="6">
        <v>1</v>
      </c>
      <c r="U866" s="26">
        <v>5000000</v>
      </c>
      <c r="V866" s="26">
        <v>5000000</v>
      </c>
      <c r="W866" s="26">
        <v>5000000</v>
      </c>
      <c r="X866" s="6" t="s">
        <v>2003</v>
      </c>
      <c r="Y866" s="6" t="s">
        <v>79</v>
      </c>
      <c r="Z866" s="6">
        <v>226709</v>
      </c>
    </row>
    <row r="867" spans="1:26" x14ac:dyDescent="0.3">
      <c r="A867" s="28" t="s">
        <v>42</v>
      </c>
      <c r="B867" s="6" t="s">
        <v>2339</v>
      </c>
      <c r="C867" s="6" t="s">
        <v>1985</v>
      </c>
      <c r="D867" s="6" t="s">
        <v>2291</v>
      </c>
      <c r="E867" s="6">
        <v>1</v>
      </c>
      <c r="F867" s="6" t="s">
        <v>2004</v>
      </c>
      <c r="G867" s="32" t="s">
        <v>2299</v>
      </c>
      <c r="H867" s="32" t="s">
        <v>2300</v>
      </c>
      <c r="I867" s="6" t="str">
        <f t="shared" si="29"/>
        <v>Multi Grapple</v>
      </c>
      <c r="J867" s="6" t="s">
        <v>265</v>
      </c>
      <c r="K867" s="6">
        <v>1</v>
      </c>
      <c r="L867" s="6">
        <f t="shared" si="30"/>
        <v>3170000</v>
      </c>
      <c r="M867" s="6">
        <v>2700000</v>
      </c>
      <c r="N867" s="6" t="s">
        <v>2003</v>
      </c>
      <c r="O867" s="6" t="s">
        <v>2007</v>
      </c>
      <c r="P867" s="6">
        <v>2017</v>
      </c>
      <c r="Q867" s="6">
        <v>1</v>
      </c>
      <c r="R867" s="6" t="s">
        <v>45</v>
      </c>
      <c r="S867" s="32" t="s">
        <v>2113</v>
      </c>
      <c r="T867" s="6">
        <v>1</v>
      </c>
      <c r="U867" s="26">
        <v>2500000</v>
      </c>
      <c r="V867" s="26">
        <v>2500000</v>
      </c>
      <c r="W867" s="26">
        <v>2500000</v>
      </c>
      <c r="X867" s="6" t="s">
        <v>2003</v>
      </c>
      <c r="Y867" s="6" t="s">
        <v>49</v>
      </c>
      <c r="Z867" s="6">
        <v>226711</v>
      </c>
    </row>
    <row r="868" spans="1:26" x14ac:dyDescent="0.3">
      <c r="A868" s="28" t="s">
        <v>42</v>
      </c>
      <c r="B868" s="6" t="s">
        <v>2343</v>
      </c>
      <c r="C868" s="6"/>
      <c r="D868" s="6" t="s">
        <v>2292</v>
      </c>
      <c r="E868" s="6">
        <v>1</v>
      </c>
      <c r="F868" s="6" t="s">
        <v>2004</v>
      </c>
      <c r="G868" s="32" t="s">
        <v>2299</v>
      </c>
      <c r="H868" s="32" t="s">
        <v>2300</v>
      </c>
      <c r="I868" s="6" t="str">
        <f t="shared" si="29"/>
        <v>Lift Fork</v>
      </c>
      <c r="J868" s="6" t="s">
        <v>760</v>
      </c>
      <c r="K868" s="6">
        <v>1</v>
      </c>
      <c r="L868" s="6">
        <f t="shared" si="30"/>
        <v>820000</v>
      </c>
      <c r="M868" s="6">
        <v>700000</v>
      </c>
      <c r="N868" s="6" t="s">
        <v>2003</v>
      </c>
      <c r="O868" s="6" t="s">
        <v>823</v>
      </c>
      <c r="P868" s="6">
        <v>2013</v>
      </c>
      <c r="Q868" s="6">
        <v>1</v>
      </c>
      <c r="R868" s="6" t="s">
        <v>45</v>
      </c>
      <c r="S868" s="32" t="s">
        <v>2113</v>
      </c>
      <c r="T868" s="6">
        <v>1</v>
      </c>
      <c r="U868" s="26">
        <v>600000</v>
      </c>
      <c r="V868" s="26">
        <v>600000</v>
      </c>
      <c r="W868" s="26">
        <v>600000</v>
      </c>
      <c r="X868" s="6" t="s">
        <v>2003</v>
      </c>
      <c r="Y868" s="6" t="s">
        <v>49</v>
      </c>
      <c r="Z868" s="6">
        <v>226719</v>
      </c>
    </row>
    <row r="869" spans="1:26" x14ac:dyDescent="0.3">
      <c r="A869" s="28" t="s">
        <v>42</v>
      </c>
      <c r="B869" s="6" t="s">
        <v>2344</v>
      </c>
      <c r="C869" s="6" t="s">
        <v>1976</v>
      </c>
      <c r="D869" s="6" t="s">
        <v>2293</v>
      </c>
      <c r="E869" s="6">
        <v>1</v>
      </c>
      <c r="F869" s="6" t="s">
        <v>2004</v>
      </c>
      <c r="G869" s="32" t="s">
        <v>2299</v>
      </c>
      <c r="H869" s="32" t="s">
        <v>2300</v>
      </c>
      <c r="I869" s="6" t="str">
        <f t="shared" si="29"/>
        <v>Skeleton Bucket</v>
      </c>
      <c r="J869" s="6" t="s">
        <v>179</v>
      </c>
      <c r="K869" s="6">
        <v>1</v>
      </c>
      <c r="L869" s="6">
        <f t="shared" si="30"/>
        <v>290000</v>
      </c>
      <c r="M869" s="6">
        <v>250000</v>
      </c>
      <c r="N869" s="6" t="s">
        <v>2003</v>
      </c>
      <c r="O869" s="6" t="s">
        <v>645</v>
      </c>
      <c r="P869" s="6">
        <v>2015</v>
      </c>
      <c r="Q869" s="6">
        <v>1</v>
      </c>
      <c r="R869" s="6" t="s">
        <v>45</v>
      </c>
      <c r="S869" s="32" t="s">
        <v>2116</v>
      </c>
      <c r="T869" s="6">
        <v>1</v>
      </c>
      <c r="U869" s="26">
        <v>200000</v>
      </c>
      <c r="V869" s="26">
        <v>200000</v>
      </c>
      <c r="W869" s="26">
        <v>200000</v>
      </c>
      <c r="X869" s="6" t="s">
        <v>2003</v>
      </c>
      <c r="Y869" s="6" t="s">
        <v>1315</v>
      </c>
      <c r="Z869" s="6">
        <v>226721</v>
      </c>
    </row>
    <row r="870" spans="1:26" x14ac:dyDescent="0.3">
      <c r="A870" s="28" t="s">
        <v>42</v>
      </c>
      <c r="B870" s="6" t="s">
        <v>2341</v>
      </c>
      <c r="C870" s="19" t="s">
        <v>2321</v>
      </c>
      <c r="D870" s="6" t="s">
        <v>2292</v>
      </c>
      <c r="E870" s="6">
        <v>1</v>
      </c>
      <c r="F870" s="6" t="s">
        <v>2004</v>
      </c>
      <c r="G870" s="32" t="s">
        <v>2299</v>
      </c>
      <c r="H870" s="32" t="s">
        <v>2300</v>
      </c>
      <c r="I870" s="6" t="str">
        <f t="shared" si="29"/>
        <v>Etc Crusher</v>
      </c>
      <c r="J870" s="6" t="s">
        <v>761</v>
      </c>
      <c r="K870" s="6">
        <v>1</v>
      </c>
      <c r="L870" s="6">
        <f t="shared" si="30"/>
        <v>13520000</v>
      </c>
      <c r="M870" s="6">
        <v>11500000</v>
      </c>
      <c r="N870" s="6" t="s">
        <v>2003</v>
      </c>
      <c r="O870" s="6" t="s">
        <v>823</v>
      </c>
      <c r="P870" s="6">
        <v>2014</v>
      </c>
      <c r="Q870" s="6">
        <v>1</v>
      </c>
      <c r="R870" s="6" t="s">
        <v>45</v>
      </c>
      <c r="S870" s="32" t="s">
        <v>2113</v>
      </c>
      <c r="T870" s="6">
        <v>1</v>
      </c>
      <c r="U870" s="26">
        <v>11000000</v>
      </c>
      <c r="V870" s="26">
        <v>11000000</v>
      </c>
      <c r="W870" s="26">
        <v>11000000</v>
      </c>
      <c r="X870" s="6" t="s">
        <v>2003</v>
      </c>
      <c r="Y870" s="6" t="s">
        <v>49</v>
      </c>
      <c r="Z870" s="6">
        <v>226722</v>
      </c>
    </row>
    <row r="871" spans="1:26" x14ac:dyDescent="0.3">
      <c r="A871" s="28" t="s">
        <v>42</v>
      </c>
      <c r="B871" s="6" t="s">
        <v>2340</v>
      </c>
      <c r="C871" s="6"/>
      <c r="D871" s="6" t="s">
        <v>2292</v>
      </c>
      <c r="E871" s="6">
        <v>1</v>
      </c>
      <c r="F871" s="6" t="s">
        <v>2004</v>
      </c>
      <c r="G871" s="32" t="s">
        <v>2299</v>
      </c>
      <c r="H871" s="32" t="s">
        <v>2300</v>
      </c>
      <c r="I871" s="6" t="str">
        <f t="shared" si="29"/>
        <v>ETC</v>
      </c>
      <c r="J871" s="6" t="s">
        <v>762</v>
      </c>
      <c r="K871" s="6">
        <v>1</v>
      </c>
      <c r="L871" s="6">
        <f t="shared" si="30"/>
        <v>14700000</v>
      </c>
      <c r="M871" s="6">
        <v>12500000</v>
      </c>
      <c r="N871" s="6" t="s">
        <v>2003</v>
      </c>
      <c r="O871" s="6" t="s">
        <v>2012</v>
      </c>
      <c r="P871" s="6">
        <v>2013</v>
      </c>
      <c r="Q871" s="6">
        <v>1</v>
      </c>
      <c r="R871" s="6" t="s">
        <v>45</v>
      </c>
      <c r="S871" s="32" t="s">
        <v>2113</v>
      </c>
      <c r="T871" s="6">
        <v>1</v>
      </c>
      <c r="U871" s="26">
        <v>12000000</v>
      </c>
      <c r="V871" s="26">
        <v>12000000</v>
      </c>
      <c r="W871" s="26">
        <v>12000000</v>
      </c>
      <c r="X871" s="6" t="s">
        <v>2003</v>
      </c>
      <c r="Y871" s="6" t="s">
        <v>49</v>
      </c>
      <c r="Z871" s="6">
        <v>226723</v>
      </c>
    </row>
    <row r="872" spans="1:26" x14ac:dyDescent="0.3">
      <c r="A872" s="28" t="s">
        <v>42</v>
      </c>
      <c r="B872" s="6" t="s">
        <v>2338</v>
      </c>
      <c r="C872" s="6" t="s">
        <v>1975</v>
      </c>
      <c r="D872" s="6" t="s">
        <v>2293</v>
      </c>
      <c r="E872" s="6">
        <v>1</v>
      </c>
      <c r="F872" s="6" t="s">
        <v>2004</v>
      </c>
      <c r="G872" s="32" t="s">
        <v>2299</v>
      </c>
      <c r="H872" s="32" t="s">
        <v>2300</v>
      </c>
      <c r="I872" s="6" t="str">
        <f t="shared" si="29"/>
        <v>Side Breaker</v>
      </c>
      <c r="J872" s="6" t="s">
        <v>742</v>
      </c>
      <c r="K872" s="6">
        <v>1</v>
      </c>
      <c r="L872" s="6">
        <f t="shared" si="30"/>
        <v>2000000</v>
      </c>
      <c r="M872" s="6">
        <v>1700000</v>
      </c>
      <c r="N872" s="6" t="s">
        <v>2003</v>
      </c>
      <c r="O872" s="6" t="s">
        <v>70</v>
      </c>
      <c r="P872" s="6">
        <v>2015</v>
      </c>
      <c r="Q872" s="6">
        <v>1</v>
      </c>
      <c r="R872" s="6" t="s">
        <v>45</v>
      </c>
      <c r="S872" s="32" t="s">
        <v>2113</v>
      </c>
      <c r="T872" s="6">
        <v>1</v>
      </c>
      <c r="U872" s="26">
        <v>1600000</v>
      </c>
      <c r="V872" s="26">
        <v>1600000</v>
      </c>
      <c r="W872" s="26">
        <v>1600000</v>
      </c>
      <c r="X872" s="6" t="s">
        <v>2003</v>
      </c>
      <c r="Y872" s="6" t="s">
        <v>71</v>
      </c>
      <c r="Z872" s="6">
        <v>226725</v>
      </c>
    </row>
    <row r="873" spans="1:26" x14ac:dyDescent="0.3">
      <c r="A873" s="28" t="s">
        <v>42</v>
      </c>
      <c r="B873" s="6" t="s">
        <v>2339</v>
      </c>
      <c r="C873" s="6" t="s">
        <v>1972</v>
      </c>
      <c r="D873" s="6" t="s">
        <v>2292</v>
      </c>
      <c r="E873" s="6">
        <v>1</v>
      </c>
      <c r="F873" s="6" t="s">
        <v>2004</v>
      </c>
      <c r="G873" s="32" t="s">
        <v>2299</v>
      </c>
      <c r="H873" s="32" t="s">
        <v>2300</v>
      </c>
      <c r="I873" s="6" t="str">
        <f t="shared" si="29"/>
        <v>Stone Grapple</v>
      </c>
      <c r="J873" s="6" t="s">
        <v>58</v>
      </c>
      <c r="K873" s="6">
        <v>1</v>
      </c>
      <c r="L873" s="6">
        <f t="shared" si="30"/>
        <v>3760000</v>
      </c>
      <c r="M873" s="6">
        <v>3200000</v>
      </c>
      <c r="N873" s="6" t="s">
        <v>2003</v>
      </c>
      <c r="O873" s="6" t="s">
        <v>794</v>
      </c>
      <c r="P873" s="6">
        <v>2015</v>
      </c>
      <c r="Q873" s="6">
        <v>8</v>
      </c>
      <c r="R873" s="6" t="s">
        <v>45</v>
      </c>
      <c r="S873" s="32" t="s">
        <v>2122</v>
      </c>
      <c r="T873" s="6">
        <v>1</v>
      </c>
      <c r="U873" s="26">
        <v>3000000</v>
      </c>
      <c r="V873" s="26">
        <v>3000000</v>
      </c>
      <c r="W873" s="26">
        <v>3000000</v>
      </c>
      <c r="X873" s="6" t="s">
        <v>2003</v>
      </c>
      <c r="Y873" s="6" t="s">
        <v>1154</v>
      </c>
      <c r="Z873" s="6">
        <v>226726</v>
      </c>
    </row>
    <row r="874" spans="1:26" x14ac:dyDescent="0.3">
      <c r="A874" s="28" t="s">
        <v>42</v>
      </c>
      <c r="B874" s="6" t="s">
        <v>2339</v>
      </c>
      <c r="C874" s="6" t="s">
        <v>1972</v>
      </c>
      <c r="D874" s="6" t="s">
        <v>2292</v>
      </c>
      <c r="E874" s="6">
        <v>1</v>
      </c>
      <c r="F874" s="6" t="s">
        <v>2004</v>
      </c>
      <c r="G874" s="32" t="s">
        <v>2299</v>
      </c>
      <c r="H874" s="32" t="s">
        <v>2300</v>
      </c>
      <c r="I874" s="6" t="str">
        <f t="shared" si="29"/>
        <v>Stone Grapple</v>
      </c>
      <c r="J874" s="6" t="s">
        <v>106</v>
      </c>
      <c r="K874" s="6">
        <v>1</v>
      </c>
      <c r="L874" s="6">
        <f t="shared" si="30"/>
        <v>6580000</v>
      </c>
      <c r="M874" s="6">
        <v>5600000</v>
      </c>
      <c r="N874" s="6" t="s">
        <v>2003</v>
      </c>
      <c r="O874" s="6" t="s">
        <v>2012</v>
      </c>
      <c r="P874" s="6">
        <v>2015</v>
      </c>
      <c r="Q874" s="6">
        <v>1</v>
      </c>
      <c r="R874" s="6" t="s">
        <v>45</v>
      </c>
      <c r="S874" s="32" t="s">
        <v>2113</v>
      </c>
      <c r="T874" s="6">
        <v>1</v>
      </c>
      <c r="U874" s="26">
        <v>5100000</v>
      </c>
      <c r="V874" s="26">
        <v>5100000</v>
      </c>
      <c r="W874" s="26">
        <v>5100000</v>
      </c>
      <c r="X874" s="6" t="s">
        <v>2003</v>
      </c>
      <c r="Y874" s="6" t="s">
        <v>49</v>
      </c>
      <c r="Z874" s="6">
        <v>226727</v>
      </c>
    </row>
    <row r="875" spans="1:26" x14ac:dyDescent="0.3">
      <c r="A875" s="28" t="s">
        <v>42</v>
      </c>
      <c r="B875" s="6" t="s">
        <v>2339</v>
      </c>
      <c r="C875" s="6" t="s">
        <v>1972</v>
      </c>
      <c r="D875" s="6" t="s">
        <v>2292</v>
      </c>
      <c r="E875" s="6">
        <v>1</v>
      </c>
      <c r="F875" s="6" t="s">
        <v>2004</v>
      </c>
      <c r="G875" s="32" t="s">
        <v>2299</v>
      </c>
      <c r="H875" s="32" t="s">
        <v>2300</v>
      </c>
      <c r="I875" s="6" t="str">
        <f t="shared" si="29"/>
        <v>Stone Grapple</v>
      </c>
      <c r="J875" s="6" t="s">
        <v>764</v>
      </c>
      <c r="K875" s="6">
        <v>1</v>
      </c>
      <c r="L875" s="6">
        <f t="shared" si="30"/>
        <v>6470000</v>
      </c>
      <c r="M875" s="6">
        <v>5500000</v>
      </c>
      <c r="N875" s="6" t="s">
        <v>2003</v>
      </c>
      <c r="O875" s="6" t="s">
        <v>823</v>
      </c>
      <c r="P875" s="6">
        <v>2015</v>
      </c>
      <c r="Q875" s="6">
        <v>1</v>
      </c>
      <c r="R875" s="6" t="s">
        <v>45</v>
      </c>
      <c r="S875" s="32" t="s">
        <v>2113</v>
      </c>
      <c r="T875" s="6">
        <v>1</v>
      </c>
      <c r="U875" s="26">
        <v>5000000</v>
      </c>
      <c r="V875" s="26">
        <v>5000000</v>
      </c>
      <c r="W875" s="26">
        <v>5000000</v>
      </c>
      <c r="X875" s="6" t="s">
        <v>2003</v>
      </c>
      <c r="Y875" s="6" t="s">
        <v>49</v>
      </c>
      <c r="Z875" s="6">
        <v>226728</v>
      </c>
    </row>
    <row r="876" spans="1:26" x14ac:dyDescent="0.3">
      <c r="A876" s="28" t="s">
        <v>42</v>
      </c>
      <c r="B876" s="6" t="s">
        <v>2339</v>
      </c>
      <c r="C876" s="6" t="s">
        <v>1972</v>
      </c>
      <c r="D876" s="6" t="s">
        <v>2001</v>
      </c>
      <c r="E876" s="6">
        <v>1</v>
      </c>
      <c r="F876" s="6" t="s">
        <v>2004</v>
      </c>
      <c r="G876" s="32" t="s">
        <v>2299</v>
      </c>
      <c r="H876" s="32" t="s">
        <v>2300</v>
      </c>
      <c r="I876" s="6" t="str">
        <f t="shared" si="29"/>
        <v>Stone Grapple</v>
      </c>
      <c r="J876" s="6" t="s">
        <v>384</v>
      </c>
      <c r="K876" s="6">
        <v>1</v>
      </c>
      <c r="L876" s="6">
        <f t="shared" si="30"/>
        <v>8230000</v>
      </c>
      <c r="M876" s="6">
        <v>7000000</v>
      </c>
      <c r="N876" s="6" t="s">
        <v>2003</v>
      </c>
      <c r="O876" s="6" t="s">
        <v>810</v>
      </c>
      <c r="P876" s="6">
        <v>2016</v>
      </c>
      <c r="Q876" s="6">
        <v>5</v>
      </c>
      <c r="R876" s="6" t="s">
        <v>45</v>
      </c>
      <c r="S876" s="32" t="s">
        <v>2123</v>
      </c>
      <c r="T876" s="6">
        <v>1</v>
      </c>
      <c r="U876" s="26">
        <v>6500000</v>
      </c>
      <c r="V876" s="26">
        <v>6500000</v>
      </c>
      <c r="W876" s="26">
        <v>6500000</v>
      </c>
      <c r="X876" s="6" t="s">
        <v>2003</v>
      </c>
      <c r="Y876" s="6" t="s">
        <v>1189</v>
      </c>
      <c r="Z876" s="6">
        <v>226729</v>
      </c>
    </row>
    <row r="877" spans="1:26" x14ac:dyDescent="0.3">
      <c r="A877" s="28" t="s">
        <v>42</v>
      </c>
      <c r="B877" s="6" t="s">
        <v>2338</v>
      </c>
      <c r="C877" s="6" t="s">
        <v>1975</v>
      </c>
      <c r="D877" s="6" t="s">
        <v>2292</v>
      </c>
      <c r="E877" s="6">
        <v>1</v>
      </c>
      <c r="F877" s="6" t="s">
        <v>2004</v>
      </c>
      <c r="G877" s="32" t="s">
        <v>2299</v>
      </c>
      <c r="H877" s="32" t="s">
        <v>2300</v>
      </c>
      <c r="I877" s="6" t="str">
        <f t="shared" si="29"/>
        <v>Side Breaker</v>
      </c>
      <c r="J877" s="6" t="s">
        <v>688</v>
      </c>
      <c r="K877" s="6">
        <v>1</v>
      </c>
      <c r="L877" s="6">
        <f t="shared" si="30"/>
        <v>5880000</v>
      </c>
      <c r="M877" s="6">
        <v>5000000</v>
      </c>
      <c r="N877" s="6" t="s">
        <v>2003</v>
      </c>
      <c r="O877" s="6" t="s">
        <v>2009</v>
      </c>
      <c r="P877" s="6">
        <v>2017</v>
      </c>
      <c r="Q877" s="6">
        <v>2</v>
      </c>
      <c r="R877" s="6" t="s">
        <v>45</v>
      </c>
      <c r="S877" s="32" t="s">
        <v>2110</v>
      </c>
      <c r="T877" s="6">
        <v>1</v>
      </c>
      <c r="U877" s="26">
        <v>4800000</v>
      </c>
      <c r="V877" s="26">
        <v>4800000</v>
      </c>
      <c r="W877" s="26">
        <v>4800000</v>
      </c>
      <c r="X877" s="6" t="s">
        <v>2003</v>
      </c>
      <c r="Y877" s="6" t="s">
        <v>1152</v>
      </c>
      <c r="Z877" s="6">
        <v>226730</v>
      </c>
    </row>
    <row r="878" spans="1:26" x14ac:dyDescent="0.3">
      <c r="A878" s="28" t="s">
        <v>42</v>
      </c>
      <c r="B878" s="6" t="s">
        <v>2344</v>
      </c>
      <c r="C878" s="6" t="s">
        <v>1980</v>
      </c>
      <c r="D878" s="6" t="s">
        <v>2291</v>
      </c>
      <c r="E878" s="6">
        <v>1</v>
      </c>
      <c r="F878" s="6" t="s">
        <v>2004</v>
      </c>
      <c r="G878" s="32" t="s">
        <v>2299</v>
      </c>
      <c r="H878" s="32" t="s">
        <v>2300</v>
      </c>
      <c r="I878" s="6" t="str">
        <f t="shared" si="29"/>
        <v>Small Bucket</v>
      </c>
      <c r="J878" s="6" t="s">
        <v>85</v>
      </c>
      <c r="K878" s="6">
        <v>1</v>
      </c>
      <c r="L878" s="6">
        <f t="shared" si="30"/>
        <v>440000</v>
      </c>
      <c r="M878" s="6">
        <v>380000</v>
      </c>
      <c r="N878" s="6" t="s">
        <v>2003</v>
      </c>
      <c r="O878" s="6" t="s">
        <v>823</v>
      </c>
      <c r="P878" s="6">
        <v>2017</v>
      </c>
      <c r="Q878" s="6">
        <v>1</v>
      </c>
      <c r="R878" s="6" t="s">
        <v>45</v>
      </c>
      <c r="S878" s="32" t="s">
        <v>2113</v>
      </c>
      <c r="T878" s="6">
        <v>1</v>
      </c>
      <c r="U878" s="26">
        <v>330000</v>
      </c>
      <c r="V878" s="26">
        <v>330000</v>
      </c>
      <c r="W878" s="26">
        <v>330000</v>
      </c>
      <c r="X878" s="6" t="s">
        <v>2003</v>
      </c>
      <c r="Y878" s="6" t="s">
        <v>49</v>
      </c>
      <c r="Z878" s="6">
        <v>226731</v>
      </c>
    </row>
    <row r="879" spans="1:26" x14ac:dyDescent="0.3">
      <c r="A879" s="28" t="s">
        <v>42</v>
      </c>
      <c r="B879" s="6" t="s">
        <v>2339</v>
      </c>
      <c r="C879" s="19" t="s">
        <v>1974</v>
      </c>
      <c r="D879" s="6" t="s">
        <v>2291</v>
      </c>
      <c r="E879" s="6">
        <v>1</v>
      </c>
      <c r="F879" s="6" t="s">
        <v>2004</v>
      </c>
      <c r="G879" s="32" t="s">
        <v>2299</v>
      </c>
      <c r="H879" s="32" t="s">
        <v>2300</v>
      </c>
      <c r="I879" s="6" t="str">
        <f t="shared" si="29"/>
        <v>Etc Grapple</v>
      </c>
      <c r="J879" s="6" t="s">
        <v>765</v>
      </c>
      <c r="K879" s="6">
        <v>1</v>
      </c>
      <c r="L879" s="6">
        <f t="shared" si="30"/>
        <v>1050000</v>
      </c>
      <c r="M879" s="6">
        <v>900000</v>
      </c>
      <c r="N879" s="6" t="s">
        <v>2003</v>
      </c>
      <c r="O879" s="6" t="s">
        <v>823</v>
      </c>
      <c r="P879" s="6">
        <v>2013</v>
      </c>
      <c r="Q879" s="6">
        <v>1</v>
      </c>
      <c r="R879" s="6" t="s">
        <v>45</v>
      </c>
      <c r="S879" s="32" t="s">
        <v>2113</v>
      </c>
      <c r="T879" s="6">
        <v>1</v>
      </c>
      <c r="U879" s="26">
        <v>800000</v>
      </c>
      <c r="V879" s="26">
        <v>800000</v>
      </c>
      <c r="W879" s="26">
        <v>800000</v>
      </c>
      <c r="X879" s="6" t="s">
        <v>2003</v>
      </c>
      <c r="Y879" s="6" t="s">
        <v>49</v>
      </c>
      <c r="Z879" s="6">
        <v>226737</v>
      </c>
    </row>
    <row r="880" spans="1:26" x14ac:dyDescent="0.3">
      <c r="A880" s="28" t="s">
        <v>42</v>
      </c>
      <c r="B880" s="6" t="s">
        <v>2339</v>
      </c>
      <c r="C880" s="6" t="s">
        <v>1974</v>
      </c>
      <c r="D880" s="6" t="s">
        <v>2291</v>
      </c>
      <c r="E880" s="6">
        <v>1</v>
      </c>
      <c r="F880" s="6" t="s">
        <v>2004</v>
      </c>
      <c r="G880" s="32" t="s">
        <v>2299</v>
      </c>
      <c r="H880" s="32" t="s">
        <v>2300</v>
      </c>
      <c r="I880" s="6" t="str">
        <f t="shared" si="29"/>
        <v>Etc Grapple</v>
      </c>
      <c r="J880" s="6" t="s">
        <v>360</v>
      </c>
      <c r="K880" s="6">
        <v>1</v>
      </c>
      <c r="L880" s="6">
        <f t="shared" si="30"/>
        <v>2820000</v>
      </c>
      <c r="M880" s="6">
        <v>2400000</v>
      </c>
      <c r="N880" s="6" t="s">
        <v>2003</v>
      </c>
      <c r="O880" s="6" t="s">
        <v>789</v>
      </c>
      <c r="P880" s="6">
        <v>2010</v>
      </c>
      <c r="Q880" s="6">
        <v>1</v>
      </c>
      <c r="R880" s="6" t="s">
        <v>45</v>
      </c>
      <c r="S880" s="32" t="s">
        <v>2122</v>
      </c>
      <c r="T880" s="6">
        <v>1</v>
      </c>
      <c r="U880" s="26">
        <v>2200000</v>
      </c>
      <c r="V880" s="26">
        <v>2200000</v>
      </c>
      <c r="W880" s="26">
        <v>2200000</v>
      </c>
      <c r="X880" s="6" t="s">
        <v>2003</v>
      </c>
      <c r="Y880" s="6" t="s">
        <v>65</v>
      </c>
      <c r="Z880" s="6">
        <v>226738</v>
      </c>
    </row>
    <row r="881" spans="1:26" x14ac:dyDescent="0.3">
      <c r="A881" s="28" t="s">
        <v>42</v>
      </c>
      <c r="B881" s="6" t="s">
        <v>2344</v>
      </c>
      <c r="C881" s="6" t="s">
        <v>1982</v>
      </c>
      <c r="D881" s="6" t="s">
        <v>2291</v>
      </c>
      <c r="E881" s="6">
        <v>1</v>
      </c>
      <c r="F881" s="6" t="s">
        <v>2004</v>
      </c>
      <c r="G881" s="32" t="s">
        <v>2299</v>
      </c>
      <c r="H881" s="32" t="s">
        <v>2300</v>
      </c>
      <c r="I881" s="6" t="str">
        <f t="shared" si="29"/>
        <v>Standard Bucket</v>
      </c>
      <c r="J881" s="6" t="s">
        <v>766</v>
      </c>
      <c r="K881" s="6">
        <v>1</v>
      </c>
      <c r="L881" s="6">
        <f t="shared" si="30"/>
        <v>440000</v>
      </c>
      <c r="M881" s="6">
        <v>380000</v>
      </c>
      <c r="N881" s="6" t="s">
        <v>2003</v>
      </c>
      <c r="O881" s="6" t="s">
        <v>823</v>
      </c>
      <c r="P881" s="6">
        <v>2013</v>
      </c>
      <c r="Q881" s="6">
        <v>1</v>
      </c>
      <c r="R881" s="6" t="s">
        <v>45</v>
      </c>
      <c r="S881" s="32" t="s">
        <v>2113</v>
      </c>
      <c r="T881" s="6">
        <v>1</v>
      </c>
      <c r="U881" s="26">
        <v>330000</v>
      </c>
      <c r="V881" s="26">
        <v>330000</v>
      </c>
      <c r="W881" s="26">
        <v>330000</v>
      </c>
      <c r="X881" s="6" t="s">
        <v>2003</v>
      </c>
      <c r="Y881" s="6" t="s">
        <v>49</v>
      </c>
      <c r="Z881" s="6">
        <v>226739</v>
      </c>
    </row>
    <row r="882" spans="1:26" x14ac:dyDescent="0.3">
      <c r="A882" s="28" t="s">
        <v>42</v>
      </c>
      <c r="B882" s="6" t="s">
        <v>2344</v>
      </c>
      <c r="C882" s="6" t="s">
        <v>1980</v>
      </c>
      <c r="D882" s="6" t="s">
        <v>2290</v>
      </c>
      <c r="E882" s="6">
        <v>1</v>
      </c>
      <c r="F882" s="6" t="s">
        <v>2004</v>
      </c>
      <c r="G882" s="32" t="s">
        <v>2299</v>
      </c>
      <c r="H882" s="32" t="s">
        <v>2300</v>
      </c>
      <c r="I882" s="6" t="str">
        <f t="shared" si="29"/>
        <v>Small Bucket</v>
      </c>
      <c r="J882" s="6" t="s">
        <v>139</v>
      </c>
      <c r="K882" s="6">
        <v>1</v>
      </c>
      <c r="L882" s="6">
        <f t="shared" si="30"/>
        <v>1050000</v>
      </c>
      <c r="M882" s="6">
        <v>900000</v>
      </c>
      <c r="N882" s="6" t="s">
        <v>2003</v>
      </c>
      <c r="O882" s="6" t="s">
        <v>817</v>
      </c>
      <c r="P882" s="6">
        <v>2013</v>
      </c>
      <c r="Q882" s="6">
        <v>1</v>
      </c>
      <c r="R882" s="6" t="s">
        <v>45</v>
      </c>
      <c r="S882" s="32" t="s">
        <v>2125</v>
      </c>
      <c r="T882" s="6">
        <v>1</v>
      </c>
      <c r="U882" s="26">
        <v>800000</v>
      </c>
      <c r="V882" s="26">
        <v>800000</v>
      </c>
      <c r="W882" s="26">
        <v>800000</v>
      </c>
      <c r="X882" s="6" t="s">
        <v>2003</v>
      </c>
      <c r="Y882" s="6" t="s">
        <v>1146</v>
      </c>
      <c r="Z882" s="6">
        <v>226741</v>
      </c>
    </row>
    <row r="883" spans="1:26" x14ac:dyDescent="0.3">
      <c r="A883" s="28" t="s">
        <v>42</v>
      </c>
      <c r="B883" s="6" t="s">
        <v>2344</v>
      </c>
      <c r="C883" s="6" t="s">
        <v>1976</v>
      </c>
      <c r="D883" s="6" t="s">
        <v>2291</v>
      </c>
      <c r="E883" s="6">
        <v>1</v>
      </c>
      <c r="F883" s="6" t="s">
        <v>2004</v>
      </c>
      <c r="G883" s="32" t="s">
        <v>2299</v>
      </c>
      <c r="H883" s="32" t="s">
        <v>2300</v>
      </c>
      <c r="I883" s="6" t="str">
        <f t="shared" si="29"/>
        <v>Skeleton Bucket</v>
      </c>
      <c r="J883" s="6" t="s">
        <v>767</v>
      </c>
      <c r="K883" s="6">
        <v>1</v>
      </c>
      <c r="L883" s="6">
        <f t="shared" si="30"/>
        <v>470000</v>
      </c>
      <c r="M883" s="6">
        <v>400000</v>
      </c>
      <c r="N883" s="6" t="s">
        <v>2003</v>
      </c>
      <c r="O883" s="6" t="s">
        <v>1115</v>
      </c>
      <c r="P883" s="6">
        <v>2014</v>
      </c>
      <c r="Q883" s="6">
        <v>1</v>
      </c>
      <c r="R883" s="6" t="s">
        <v>45</v>
      </c>
      <c r="S883" s="32" t="s">
        <v>2119</v>
      </c>
      <c r="T883" s="6">
        <v>1</v>
      </c>
      <c r="U883" s="26">
        <v>350000</v>
      </c>
      <c r="V883" s="26">
        <v>350000</v>
      </c>
      <c r="W883" s="26">
        <v>350000</v>
      </c>
      <c r="X883" s="6" t="s">
        <v>2003</v>
      </c>
      <c r="Y883" s="6" t="s">
        <v>1233</v>
      </c>
      <c r="Z883" s="6">
        <v>226743</v>
      </c>
    </row>
    <row r="884" spans="1:26" x14ac:dyDescent="0.3">
      <c r="A884" s="28" t="s">
        <v>42</v>
      </c>
      <c r="B884" s="6" t="s">
        <v>2339</v>
      </c>
      <c r="C884" s="6" t="s">
        <v>1972</v>
      </c>
      <c r="D884" s="6" t="s">
        <v>2292</v>
      </c>
      <c r="E884" s="6">
        <v>1</v>
      </c>
      <c r="F884" s="6" t="s">
        <v>2004</v>
      </c>
      <c r="G884" s="32" t="s">
        <v>2299</v>
      </c>
      <c r="H884" s="32" t="s">
        <v>2300</v>
      </c>
      <c r="I884" s="6" t="str">
        <f t="shared" si="29"/>
        <v>Stone Grapple</v>
      </c>
      <c r="J884" s="6" t="s">
        <v>120</v>
      </c>
      <c r="K884" s="6">
        <v>1</v>
      </c>
      <c r="L884" s="6">
        <f t="shared" si="30"/>
        <v>6470000</v>
      </c>
      <c r="M884" s="6">
        <v>5500000</v>
      </c>
      <c r="N884" s="6" t="s">
        <v>2003</v>
      </c>
      <c r="O884" s="6" t="s">
        <v>1116</v>
      </c>
      <c r="P884" s="6">
        <v>2014</v>
      </c>
      <c r="Q884" s="6">
        <v>1</v>
      </c>
      <c r="R884" s="6" t="s">
        <v>45</v>
      </c>
      <c r="S884" s="32" t="s">
        <v>2118</v>
      </c>
      <c r="T884" s="6">
        <v>1</v>
      </c>
      <c r="U884" s="26">
        <v>5000000</v>
      </c>
      <c r="V884" s="26">
        <v>5000000</v>
      </c>
      <c r="W884" s="26">
        <v>5000000</v>
      </c>
      <c r="X884" s="6" t="s">
        <v>2003</v>
      </c>
      <c r="Y884" s="6" t="s">
        <v>67</v>
      </c>
      <c r="Z884" s="6">
        <v>226746</v>
      </c>
    </row>
    <row r="885" spans="1:26" x14ac:dyDescent="0.3">
      <c r="A885" s="28" t="s">
        <v>42</v>
      </c>
      <c r="B885" s="6" t="s">
        <v>2344</v>
      </c>
      <c r="C885" s="6" t="s">
        <v>1980</v>
      </c>
      <c r="D885" s="6" t="s">
        <v>2291</v>
      </c>
      <c r="E885" s="6">
        <v>1</v>
      </c>
      <c r="F885" s="6" t="s">
        <v>2004</v>
      </c>
      <c r="G885" s="32" t="s">
        <v>2299</v>
      </c>
      <c r="H885" s="32" t="s">
        <v>2300</v>
      </c>
      <c r="I885" s="6" t="str">
        <f t="shared" si="29"/>
        <v>Small Bucket</v>
      </c>
      <c r="J885" s="6" t="s">
        <v>328</v>
      </c>
      <c r="K885" s="6">
        <v>1</v>
      </c>
      <c r="L885" s="6">
        <f t="shared" si="30"/>
        <v>310000</v>
      </c>
      <c r="M885" s="6">
        <v>270000</v>
      </c>
      <c r="N885" s="6" t="s">
        <v>2003</v>
      </c>
      <c r="O885" s="6" t="s">
        <v>1117</v>
      </c>
      <c r="P885" s="6">
        <v>2016</v>
      </c>
      <c r="Q885" s="6">
        <v>1</v>
      </c>
      <c r="R885" s="6" t="s">
        <v>45</v>
      </c>
      <c r="S885" s="32" t="s">
        <v>2112</v>
      </c>
      <c r="T885" s="6">
        <v>1</v>
      </c>
      <c r="U885" s="26">
        <v>220000</v>
      </c>
      <c r="V885" s="26">
        <v>220000</v>
      </c>
      <c r="W885" s="26">
        <v>220000</v>
      </c>
      <c r="X885" s="6" t="s">
        <v>2003</v>
      </c>
      <c r="Y885" s="6" t="s">
        <v>1142</v>
      </c>
      <c r="Z885" s="6">
        <v>226753</v>
      </c>
    </row>
    <row r="886" spans="1:26" x14ac:dyDescent="0.3">
      <c r="A886" s="28" t="s">
        <v>42</v>
      </c>
      <c r="B886" s="6" t="s">
        <v>2347</v>
      </c>
      <c r="C886" s="6"/>
      <c r="D886" s="6" t="s">
        <v>2291</v>
      </c>
      <c r="E886" s="6">
        <v>1</v>
      </c>
      <c r="F886" s="6" t="s">
        <v>2004</v>
      </c>
      <c r="G886" s="32" t="s">
        <v>2299</v>
      </c>
      <c r="H886" s="32" t="s">
        <v>2300</v>
      </c>
      <c r="I886" s="6" t="str">
        <f t="shared" si="29"/>
        <v>Shear&amp;Cutter</v>
      </c>
      <c r="J886" s="6" t="s">
        <v>768</v>
      </c>
      <c r="K886" s="6">
        <v>1</v>
      </c>
      <c r="L886" s="6">
        <f t="shared" si="30"/>
        <v>11170000</v>
      </c>
      <c r="M886" s="6">
        <v>9500000</v>
      </c>
      <c r="N886" s="6" t="s">
        <v>2003</v>
      </c>
      <c r="O886" s="6" t="s">
        <v>1118</v>
      </c>
      <c r="P886" s="6">
        <v>2017</v>
      </c>
      <c r="Q886" s="6">
        <v>2</v>
      </c>
      <c r="R886" s="6" t="s">
        <v>45</v>
      </c>
      <c r="S886" s="32" t="s">
        <v>2116</v>
      </c>
      <c r="T886" s="6">
        <v>1</v>
      </c>
      <c r="U886" s="26">
        <v>9000000</v>
      </c>
      <c r="V886" s="26">
        <v>9000000</v>
      </c>
      <c r="W886" s="26">
        <v>9000000</v>
      </c>
      <c r="X886" s="6" t="s">
        <v>2003</v>
      </c>
      <c r="Y886" s="6" t="s">
        <v>1277</v>
      </c>
      <c r="Z886" s="6">
        <v>226769</v>
      </c>
    </row>
    <row r="887" spans="1:26" x14ac:dyDescent="0.3">
      <c r="A887" s="28" t="s">
        <v>42</v>
      </c>
      <c r="B887" s="6" t="s">
        <v>2344</v>
      </c>
      <c r="C887" s="6" t="s">
        <v>1977</v>
      </c>
      <c r="D887" s="6" t="s">
        <v>2292</v>
      </c>
      <c r="E887" s="6">
        <v>1</v>
      </c>
      <c r="F887" s="6" t="s">
        <v>2004</v>
      </c>
      <c r="G887" s="32" t="s">
        <v>2299</v>
      </c>
      <c r="H887" s="32" t="s">
        <v>2300</v>
      </c>
      <c r="I887" s="6" t="str">
        <f t="shared" si="29"/>
        <v>Wide Bucket</v>
      </c>
      <c r="J887" s="6" t="s">
        <v>264</v>
      </c>
      <c r="K887" s="6">
        <v>1</v>
      </c>
      <c r="L887" s="6">
        <f t="shared" si="30"/>
        <v>1410000</v>
      </c>
      <c r="M887" s="6">
        <v>1200000</v>
      </c>
      <c r="N887" s="6" t="s">
        <v>2003</v>
      </c>
      <c r="O887" s="6" t="s">
        <v>823</v>
      </c>
      <c r="P887" s="6">
        <v>2014</v>
      </c>
      <c r="Q887" s="6">
        <v>1</v>
      </c>
      <c r="R887" s="6" t="s">
        <v>45</v>
      </c>
      <c r="S887" s="32" t="s">
        <v>2113</v>
      </c>
      <c r="T887" s="6">
        <v>1</v>
      </c>
      <c r="U887" s="26">
        <v>1100000</v>
      </c>
      <c r="V887" s="26">
        <v>1100000</v>
      </c>
      <c r="W887" s="26">
        <v>1100000</v>
      </c>
      <c r="X887" s="6" t="s">
        <v>2003</v>
      </c>
      <c r="Y887" s="6" t="s">
        <v>49</v>
      </c>
      <c r="Z887" s="6">
        <v>226771</v>
      </c>
    </row>
    <row r="888" spans="1:26" x14ac:dyDescent="0.3">
      <c r="A888" s="28" t="s">
        <v>42</v>
      </c>
      <c r="B888" s="6" t="s">
        <v>2339</v>
      </c>
      <c r="C888" s="6" t="s">
        <v>1979</v>
      </c>
      <c r="D888" s="6" t="s">
        <v>2290</v>
      </c>
      <c r="E888" s="6">
        <v>1</v>
      </c>
      <c r="F888" s="6" t="s">
        <v>2004</v>
      </c>
      <c r="G888" s="32" t="s">
        <v>2299</v>
      </c>
      <c r="H888" s="32" t="s">
        <v>2300</v>
      </c>
      <c r="I888" s="6" t="str">
        <f t="shared" si="29"/>
        <v>Thumb Grapple</v>
      </c>
      <c r="J888" s="6" t="s">
        <v>769</v>
      </c>
      <c r="K888" s="6">
        <v>1</v>
      </c>
      <c r="L888" s="6">
        <f t="shared" si="30"/>
        <v>1290000</v>
      </c>
      <c r="M888" s="6">
        <v>1100000</v>
      </c>
      <c r="N888" s="6" t="s">
        <v>2003</v>
      </c>
      <c r="O888" s="6" t="s">
        <v>1119</v>
      </c>
      <c r="P888" s="6">
        <v>2012</v>
      </c>
      <c r="Q888" s="6">
        <v>1</v>
      </c>
      <c r="R888" s="6" t="s">
        <v>45</v>
      </c>
      <c r="S888" s="32" t="s">
        <v>2116</v>
      </c>
      <c r="T888" s="6">
        <v>1</v>
      </c>
      <c r="U888" s="26">
        <v>1000000</v>
      </c>
      <c r="V888" s="26">
        <v>1000000</v>
      </c>
      <c r="W888" s="26">
        <v>1000000</v>
      </c>
      <c r="X888" s="6" t="s">
        <v>2003</v>
      </c>
      <c r="Y888" s="6" t="s">
        <v>1146</v>
      </c>
      <c r="Z888" s="6">
        <v>226773</v>
      </c>
    </row>
    <row r="889" spans="1:26" x14ac:dyDescent="0.3">
      <c r="A889" s="28" t="s">
        <v>42</v>
      </c>
      <c r="B889" s="6" t="s">
        <v>2344</v>
      </c>
      <c r="C889" s="6" t="s">
        <v>1976</v>
      </c>
      <c r="D889" s="6" t="s">
        <v>2292</v>
      </c>
      <c r="E889" s="6">
        <v>1</v>
      </c>
      <c r="F889" s="6" t="s">
        <v>2004</v>
      </c>
      <c r="G889" s="32" t="s">
        <v>2299</v>
      </c>
      <c r="H889" s="32" t="s">
        <v>2300</v>
      </c>
      <c r="I889" s="6" t="str">
        <f t="shared" si="29"/>
        <v>Skeleton Bucket</v>
      </c>
      <c r="J889" s="6" t="s">
        <v>62</v>
      </c>
      <c r="K889" s="6">
        <v>1</v>
      </c>
      <c r="L889" s="6">
        <f t="shared" si="30"/>
        <v>1110000</v>
      </c>
      <c r="M889" s="6">
        <v>950000</v>
      </c>
      <c r="N889" s="6" t="s">
        <v>2003</v>
      </c>
      <c r="O889" s="6" t="s">
        <v>2012</v>
      </c>
      <c r="P889" s="6">
        <v>2013</v>
      </c>
      <c r="Q889" s="6">
        <v>1</v>
      </c>
      <c r="R889" s="6" t="s">
        <v>45</v>
      </c>
      <c r="S889" s="32" t="s">
        <v>2113</v>
      </c>
      <c r="T889" s="6">
        <v>1</v>
      </c>
      <c r="U889" s="26">
        <v>850000</v>
      </c>
      <c r="V889" s="26">
        <v>850000</v>
      </c>
      <c r="W889" s="26">
        <v>850000</v>
      </c>
      <c r="X889" s="6" t="s">
        <v>2003</v>
      </c>
      <c r="Y889" s="6" t="s">
        <v>49</v>
      </c>
      <c r="Z889" s="6">
        <v>226794</v>
      </c>
    </row>
    <row r="890" spans="1:26" x14ac:dyDescent="0.3">
      <c r="A890" s="28" t="s">
        <v>42</v>
      </c>
      <c r="B890" s="6" t="s">
        <v>2344</v>
      </c>
      <c r="C890" s="6" t="s">
        <v>1976</v>
      </c>
      <c r="D890" s="6" t="s">
        <v>2292</v>
      </c>
      <c r="E890" s="6">
        <v>1</v>
      </c>
      <c r="F890" s="6" t="s">
        <v>2004</v>
      </c>
      <c r="G890" s="32" t="s">
        <v>2299</v>
      </c>
      <c r="H890" s="32" t="s">
        <v>2300</v>
      </c>
      <c r="I890" s="6" t="str">
        <f t="shared" si="29"/>
        <v>Skeleton Bucket</v>
      </c>
      <c r="J890" s="6" t="s">
        <v>455</v>
      </c>
      <c r="K890" s="6">
        <v>1</v>
      </c>
      <c r="L890" s="6">
        <f t="shared" si="30"/>
        <v>1050000</v>
      </c>
      <c r="M890" s="6">
        <v>900000</v>
      </c>
      <c r="N890" s="6" t="s">
        <v>2003</v>
      </c>
      <c r="O890" s="6" t="s">
        <v>823</v>
      </c>
      <c r="P890" s="6">
        <v>2013</v>
      </c>
      <c r="Q890" s="6">
        <v>1</v>
      </c>
      <c r="R890" s="6" t="s">
        <v>45</v>
      </c>
      <c r="S890" s="32" t="s">
        <v>2113</v>
      </c>
      <c r="T890" s="6">
        <v>1</v>
      </c>
      <c r="U890" s="26">
        <v>800000</v>
      </c>
      <c r="V890" s="26">
        <v>800000</v>
      </c>
      <c r="W890" s="26">
        <v>800000</v>
      </c>
      <c r="X890" s="6" t="s">
        <v>2003</v>
      </c>
      <c r="Y890" s="6" t="s">
        <v>49</v>
      </c>
      <c r="Z890" s="6">
        <v>226795</v>
      </c>
    </row>
    <row r="891" spans="1:26" x14ac:dyDescent="0.3">
      <c r="A891" s="28" t="s">
        <v>42</v>
      </c>
      <c r="B891" s="6" t="s">
        <v>2344</v>
      </c>
      <c r="C891" s="6" t="s">
        <v>1977</v>
      </c>
      <c r="D891" s="6" t="s">
        <v>2291</v>
      </c>
      <c r="E891" s="6">
        <v>1</v>
      </c>
      <c r="F891" s="6" t="s">
        <v>2004</v>
      </c>
      <c r="G891" s="32" t="s">
        <v>2299</v>
      </c>
      <c r="H891" s="32" t="s">
        <v>2300</v>
      </c>
      <c r="I891" s="6" t="str">
        <f t="shared" si="29"/>
        <v>Wide Bucket</v>
      </c>
      <c r="J891" s="6" t="s">
        <v>64</v>
      </c>
      <c r="K891" s="6">
        <v>1</v>
      </c>
      <c r="L891" s="6">
        <f t="shared" si="30"/>
        <v>490000</v>
      </c>
      <c r="M891" s="6">
        <v>420000</v>
      </c>
      <c r="N891" s="6" t="s">
        <v>2003</v>
      </c>
      <c r="O891" s="6" t="s">
        <v>1120</v>
      </c>
      <c r="P891" s="6">
        <v>2015</v>
      </c>
      <c r="Q891" s="6">
        <v>2</v>
      </c>
      <c r="R891" s="6" t="s">
        <v>45</v>
      </c>
      <c r="S891" s="32" t="s">
        <v>2112</v>
      </c>
      <c r="T891" s="6">
        <v>1</v>
      </c>
      <c r="U891" s="26">
        <v>370000</v>
      </c>
      <c r="V891" s="26">
        <v>370000</v>
      </c>
      <c r="W891" s="26">
        <v>370000</v>
      </c>
      <c r="X891" s="6" t="s">
        <v>2003</v>
      </c>
      <c r="Y891" s="6" t="s">
        <v>1169</v>
      </c>
      <c r="Z891" s="6">
        <v>226797</v>
      </c>
    </row>
    <row r="892" spans="1:26" x14ac:dyDescent="0.3">
      <c r="A892" s="28" t="s">
        <v>42</v>
      </c>
      <c r="B892" s="6" t="s">
        <v>2340</v>
      </c>
      <c r="C892" s="6"/>
      <c r="D892" s="6" t="s">
        <v>2289</v>
      </c>
      <c r="E892" s="6">
        <v>1</v>
      </c>
      <c r="F892" s="6" t="s">
        <v>2004</v>
      </c>
      <c r="G892" s="32" t="s">
        <v>2299</v>
      </c>
      <c r="H892" s="32" t="s">
        <v>2300</v>
      </c>
      <c r="I892" s="6" t="str">
        <f t="shared" si="29"/>
        <v>ETC</v>
      </c>
      <c r="J892" s="6" t="s">
        <v>675</v>
      </c>
      <c r="K892" s="6">
        <v>1</v>
      </c>
      <c r="L892" s="6">
        <f t="shared" si="30"/>
        <v>4350000</v>
      </c>
      <c r="M892" s="6">
        <v>3700000</v>
      </c>
      <c r="N892" s="6" t="s">
        <v>2003</v>
      </c>
      <c r="O892" s="6" t="s">
        <v>1885</v>
      </c>
      <c r="P892" s="6">
        <v>2007</v>
      </c>
      <c r="Q892" s="6">
        <v>1</v>
      </c>
      <c r="R892" s="6" t="s">
        <v>45</v>
      </c>
      <c r="S892" s="32" t="s">
        <v>2117</v>
      </c>
      <c r="T892" s="6">
        <v>1</v>
      </c>
      <c r="U892" s="26">
        <v>3500000</v>
      </c>
      <c r="V892" s="26">
        <v>3500000</v>
      </c>
      <c r="W892" s="26">
        <v>3500000</v>
      </c>
      <c r="X892" s="6" t="s">
        <v>2003</v>
      </c>
      <c r="Y892" s="6" t="s">
        <v>1300</v>
      </c>
      <c r="Z892" s="6">
        <v>226802</v>
      </c>
    </row>
    <row r="893" spans="1:26" x14ac:dyDescent="0.3">
      <c r="A893" s="28" t="s">
        <v>42</v>
      </c>
      <c r="B893" s="6" t="s">
        <v>2339</v>
      </c>
      <c r="C893" s="6" t="s">
        <v>1972</v>
      </c>
      <c r="D893" s="6" t="s">
        <v>2292</v>
      </c>
      <c r="E893" s="6">
        <v>1</v>
      </c>
      <c r="F893" s="6" t="s">
        <v>2004</v>
      </c>
      <c r="G893" s="32" t="s">
        <v>2299</v>
      </c>
      <c r="H893" s="32" t="s">
        <v>2300</v>
      </c>
      <c r="I893" s="6" t="str">
        <f t="shared" si="29"/>
        <v>Stone Grapple</v>
      </c>
      <c r="J893" s="6" t="s">
        <v>44</v>
      </c>
      <c r="K893" s="6">
        <v>1</v>
      </c>
      <c r="L893" s="6">
        <f t="shared" si="30"/>
        <v>4000000</v>
      </c>
      <c r="M893" s="6">
        <v>3400000</v>
      </c>
      <c r="N893" s="6" t="s">
        <v>2003</v>
      </c>
      <c r="O893" s="6" t="s">
        <v>1122</v>
      </c>
      <c r="P893" s="6">
        <v>2016</v>
      </c>
      <c r="Q893" s="6">
        <v>1</v>
      </c>
      <c r="R893" s="6" t="s">
        <v>45</v>
      </c>
      <c r="S893" s="32" t="s">
        <v>2118</v>
      </c>
      <c r="T893" s="6">
        <v>1</v>
      </c>
      <c r="U893" s="26">
        <v>3200000</v>
      </c>
      <c r="V893" s="26">
        <v>3200000</v>
      </c>
      <c r="W893" s="26">
        <v>3200000</v>
      </c>
      <c r="X893" s="6" t="s">
        <v>2003</v>
      </c>
      <c r="Y893" s="6" t="s">
        <v>63</v>
      </c>
      <c r="Z893" s="6">
        <v>226811</v>
      </c>
    </row>
    <row r="894" spans="1:26" x14ac:dyDescent="0.3">
      <c r="A894" s="28" t="s">
        <v>42</v>
      </c>
      <c r="B894" s="6" t="s">
        <v>2342</v>
      </c>
      <c r="C894" s="6" t="s">
        <v>1982</v>
      </c>
      <c r="D894" s="6" t="s">
        <v>2001</v>
      </c>
      <c r="E894" s="6">
        <v>1</v>
      </c>
      <c r="F894" s="6" t="s">
        <v>2004</v>
      </c>
      <c r="G894" s="32" t="s">
        <v>2299</v>
      </c>
      <c r="H894" s="32" t="s">
        <v>2300</v>
      </c>
      <c r="I894" s="6" t="str">
        <f t="shared" si="29"/>
        <v>Standard Bucket</v>
      </c>
      <c r="J894" s="6" t="s">
        <v>290</v>
      </c>
      <c r="K894" s="6">
        <v>1</v>
      </c>
      <c r="L894" s="6">
        <f t="shared" si="30"/>
        <v>1410000</v>
      </c>
      <c r="M894" s="6">
        <v>1200000</v>
      </c>
      <c r="N894" s="6" t="s">
        <v>2003</v>
      </c>
      <c r="O894" s="6" t="s">
        <v>813</v>
      </c>
      <c r="P894" s="6">
        <v>2013</v>
      </c>
      <c r="Q894" s="6">
        <v>1</v>
      </c>
      <c r="R894" s="6" t="s">
        <v>45</v>
      </c>
      <c r="S894" s="32" t="s">
        <v>2113</v>
      </c>
      <c r="T894" s="6">
        <v>1</v>
      </c>
      <c r="U894" s="26">
        <v>1100000</v>
      </c>
      <c r="V894" s="26">
        <v>1100000</v>
      </c>
      <c r="W894" s="26">
        <v>1100000</v>
      </c>
      <c r="X894" s="6" t="s">
        <v>2003</v>
      </c>
      <c r="Y894" s="6" t="s">
        <v>80</v>
      </c>
      <c r="Z894" s="6">
        <v>226817</v>
      </c>
    </row>
    <row r="895" spans="1:26" x14ac:dyDescent="0.3">
      <c r="A895" s="28" t="s">
        <v>42</v>
      </c>
      <c r="B895" s="6" t="s">
        <v>2338</v>
      </c>
      <c r="C895" s="6" t="s">
        <v>1975</v>
      </c>
      <c r="D895" s="6" t="s">
        <v>2291</v>
      </c>
      <c r="E895" s="6">
        <v>1</v>
      </c>
      <c r="F895" s="6" t="s">
        <v>2004</v>
      </c>
      <c r="G895" s="32" t="s">
        <v>2299</v>
      </c>
      <c r="H895" s="32" t="s">
        <v>2300</v>
      </c>
      <c r="I895" s="6" t="str">
        <f t="shared" si="29"/>
        <v>Side Breaker</v>
      </c>
      <c r="J895" s="6" t="s">
        <v>212</v>
      </c>
      <c r="K895" s="6">
        <v>1</v>
      </c>
      <c r="L895" s="6">
        <f t="shared" si="30"/>
        <v>1880000</v>
      </c>
      <c r="M895" s="6">
        <v>1600000</v>
      </c>
      <c r="N895" s="6" t="s">
        <v>2003</v>
      </c>
      <c r="O895" s="6" t="s">
        <v>794</v>
      </c>
      <c r="P895" s="6">
        <v>2016</v>
      </c>
      <c r="Q895" s="6">
        <v>1</v>
      </c>
      <c r="R895" s="6" t="s">
        <v>45</v>
      </c>
      <c r="S895" s="32" t="s">
        <v>2122</v>
      </c>
      <c r="T895" s="6">
        <v>1</v>
      </c>
      <c r="U895" s="26">
        <v>1500000</v>
      </c>
      <c r="V895" s="26">
        <v>1500000</v>
      </c>
      <c r="W895" s="26">
        <v>1500000</v>
      </c>
      <c r="X895" s="6" t="s">
        <v>2003</v>
      </c>
      <c r="Y895" s="6" t="s">
        <v>1154</v>
      </c>
      <c r="Z895" s="6">
        <v>226821</v>
      </c>
    </row>
    <row r="896" spans="1:26" x14ac:dyDescent="0.3">
      <c r="A896" s="28" t="s">
        <v>42</v>
      </c>
      <c r="B896" s="6" t="s">
        <v>2338</v>
      </c>
      <c r="C896" s="6" t="s">
        <v>1975</v>
      </c>
      <c r="D896" s="6" t="s">
        <v>2292</v>
      </c>
      <c r="E896" s="6">
        <v>1</v>
      </c>
      <c r="F896" s="6" t="s">
        <v>2004</v>
      </c>
      <c r="G896" s="32" t="s">
        <v>2299</v>
      </c>
      <c r="H896" s="32" t="s">
        <v>2300</v>
      </c>
      <c r="I896" s="6" t="str">
        <f t="shared" si="29"/>
        <v>Side Breaker</v>
      </c>
      <c r="J896" s="6" t="s">
        <v>119</v>
      </c>
      <c r="K896" s="6">
        <v>1</v>
      </c>
      <c r="L896" s="6">
        <f t="shared" si="30"/>
        <v>5520000</v>
      </c>
      <c r="M896" s="6">
        <v>4700000</v>
      </c>
      <c r="N896" s="6" t="s">
        <v>2003</v>
      </c>
      <c r="O896" s="6" t="s">
        <v>824</v>
      </c>
      <c r="P896" s="6">
        <v>2015</v>
      </c>
      <c r="Q896" s="6">
        <v>1</v>
      </c>
      <c r="R896" s="6" t="s">
        <v>45</v>
      </c>
      <c r="S896" s="32" t="s">
        <v>2113</v>
      </c>
      <c r="T896" s="6">
        <v>1</v>
      </c>
      <c r="U896" s="26">
        <v>4500000</v>
      </c>
      <c r="V896" s="26">
        <v>4500000</v>
      </c>
      <c r="W896" s="26">
        <v>4500000</v>
      </c>
      <c r="X896" s="6" t="s">
        <v>2003</v>
      </c>
      <c r="Y896" s="6" t="s">
        <v>71</v>
      </c>
      <c r="Z896" s="6">
        <v>226822</v>
      </c>
    </row>
    <row r="897" spans="1:26" x14ac:dyDescent="0.3">
      <c r="A897" s="28" t="s">
        <v>42</v>
      </c>
      <c r="B897" s="6" t="s">
        <v>2344</v>
      </c>
      <c r="C897" s="6" t="s">
        <v>1971</v>
      </c>
      <c r="D897" s="6" t="s">
        <v>2001</v>
      </c>
      <c r="E897" s="6">
        <v>1</v>
      </c>
      <c r="F897" s="6" t="s">
        <v>2004</v>
      </c>
      <c r="G897" s="32" t="s">
        <v>2299</v>
      </c>
      <c r="H897" s="32" t="s">
        <v>2300</v>
      </c>
      <c r="I897" s="6" t="str">
        <f t="shared" si="29"/>
        <v>Special Bucket</v>
      </c>
      <c r="J897" s="6" t="s">
        <v>344</v>
      </c>
      <c r="K897" s="6">
        <v>1</v>
      </c>
      <c r="L897" s="6">
        <f t="shared" si="30"/>
        <v>3170000</v>
      </c>
      <c r="M897" s="6">
        <v>2700000</v>
      </c>
      <c r="N897" s="6" t="s">
        <v>2003</v>
      </c>
      <c r="O897" s="6" t="s">
        <v>813</v>
      </c>
      <c r="P897" s="6">
        <v>2013</v>
      </c>
      <c r="Q897" s="6">
        <v>1</v>
      </c>
      <c r="R897" s="6" t="s">
        <v>45</v>
      </c>
      <c r="S897" s="32" t="s">
        <v>2113</v>
      </c>
      <c r="T897" s="6">
        <v>1</v>
      </c>
      <c r="U897" s="26">
        <v>2500000</v>
      </c>
      <c r="V897" s="26">
        <v>2500000</v>
      </c>
      <c r="W897" s="26">
        <v>2500000</v>
      </c>
      <c r="X897" s="6" t="s">
        <v>2003</v>
      </c>
      <c r="Y897" s="6" t="s">
        <v>79</v>
      </c>
      <c r="Z897" s="6">
        <v>226823</v>
      </c>
    </row>
    <row r="898" spans="1:26" x14ac:dyDescent="0.3">
      <c r="A898" s="28" t="s">
        <v>42</v>
      </c>
      <c r="B898" s="6" t="s">
        <v>2347</v>
      </c>
      <c r="C898" s="6"/>
      <c r="D898" s="6" t="s">
        <v>2001</v>
      </c>
      <c r="E898" s="6">
        <v>1</v>
      </c>
      <c r="F898" s="6" t="s">
        <v>2004</v>
      </c>
      <c r="G898" s="32" t="s">
        <v>2299</v>
      </c>
      <c r="H898" s="32" t="s">
        <v>2300</v>
      </c>
      <c r="I898" s="6" t="str">
        <f t="shared" si="29"/>
        <v>Shear&amp;Cutter</v>
      </c>
      <c r="J898" s="6" t="s">
        <v>216</v>
      </c>
      <c r="K898" s="6">
        <v>1</v>
      </c>
      <c r="L898" s="6">
        <f t="shared" si="30"/>
        <v>18230000</v>
      </c>
      <c r="M898" s="6">
        <v>15500000</v>
      </c>
      <c r="N898" s="6" t="s">
        <v>2003</v>
      </c>
      <c r="O898" s="6" t="s">
        <v>813</v>
      </c>
      <c r="P898" s="6">
        <v>2014</v>
      </c>
      <c r="Q898" s="6">
        <v>1</v>
      </c>
      <c r="R898" s="6" t="s">
        <v>45</v>
      </c>
      <c r="S898" s="32" t="s">
        <v>2113</v>
      </c>
      <c r="T898" s="6">
        <v>1</v>
      </c>
      <c r="U898" s="26">
        <v>15000000</v>
      </c>
      <c r="V898" s="26">
        <v>15000000</v>
      </c>
      <c r="W898" s="26">
        <v>15000000</v>
      </c>
      <c r="X898" s="6" t="s">
        <v>2003</v>
      </c>
      <c r="Y898" s="6" t="s">
        <v>80</v>
      </c>
      <c r="Z898" s="6">
        <v>226824</v>
      </c>
    </row>
    <row r="899" spans="1:26" x14ac:dyDescent="0.3">
      <c r="A899" s="28" t="s">
        <v>42</v>
      </c>
      <c r="B899" s="6" t="s">
        <v>2344</v>
      </c>
      <c r="C899" s="6" t="s">
        <v>1976</v>
      </c>
      <c r="D899" s="6" t="s">
        <v>2292</v>
      </c>
      <c r="E899" s="6">
        <v>1</v>
      </c>
      <c r="F899" s="6" t="s">
        <v>2004</v>
      </c>
      <c r="G899" s="32" t="s">
        <v>2299</v>
      </c>
      <c r="H899" s="32" t="s">
        <v>2300</v>
      </c>
      <c r="I899" s="6" t="str">
        <f t="shared" si="29"/>
        <v>Skeleton Bucket</v>
      </c>
      <c r="J899" s="6" t="s">
        <v>190</v>
      </c>
      <c r="K899" s="6">
        <v>1</v>
      </c>
      <c r="L899" s="6">
        <f t="shared" si="30"/>
        <v>1290000</v>
      </c>
      <c r="M899" s="6">
        <v>1100000</v>
      </c>
      <c r="N899" s="6" t="s">
        <v>2003</v>
      </c>
      <c r="O899" s="6" t="s">
        <v>2057</v>
      </c>
      <c r="P899" s="6">
        <v>2017</v>
      </c>
      <c r="Q899" s="6">
        <v>2</v>
      </c>
      <c r="R899" s="6" t="s">
        <v>45</v>
      </c>
      <c r="S899" s="32" t="s">
        <v>2124</v>
      </c>
      <c r="T899" s="6">
        <v>1</v>
      </c>
      <c r="U899" s="26">
        <v>1000000</v>
      </c>
      <c r="V899" s="26">
        <v>1000000</v>
      </c>
      <c r="W899" s="26">
        <v>1000000</v>
      </c>
      <c r="X899" s="6" t="s">
        <v>2003</v>
      </c>
      <c r="Y899" s="6" t="s">
        <v>1144</v>
      </c>
      <c r="Z899" s="6">
        <v>226825</v>
      </c>
    </row>
    <row r="900" spans="1:26" x14ac:dyDescent="0.3">
      <c r="A900" s="28" t="s">
        <v>42</v>
      </c>
      <c r="B900" s="6" t="s">
        <v>2339</v>
      </c>
      <c r="C900" s="6" t="s">
        <v>1972</v>
      </c>
      <c r="D900" s="6" t="s">
        <v>2292</v>
      </c>
      <c r="E900" s="6">
        <v>1</v>
      </c>
      <c r="F900" s="6" t="s">
        <v>2004</v>
      </c>
      <c r="G900" s="32" t="s">
        <v>2299</v>
      </c>
      <c r="H900" s="32" t="s">
        <v>2300</v>
      </c>
      <c r="I900" s="6" t="str">
        <f t="shared" si="29"/>
        <v>Stone Grapple</v>
      </c>
      <c r="J900" s="6" t="s">
        <v>407</v>
      </c>
      <c r="K900" s="6">
        <v>1</v>
      </c>
      <c r="L900" s="6">
        <f t="shared" si="30"/>
        <v>3170000</v>
      </c>
      <c r="M900" s="6">
        <v>2700000</v>
      </c>
      <c r="N900" s="6" t="s">
        <v>2003</v>
      </c>
      <c r="O900" s="6" t="s">
        <v>2007</v>
      </c>
      <c r="P900" s="6">
        <v>2014</v>
      </c>
      <c r="Q900" s="6">
        <v>1</v>
      </c>
      <c r="R900" s="6" t="s">
        <v>45</v>
      </c>
      <c r="S900" s="32" t="s">
        <v>2113</v>
      </c>
      <c r="T900" s="6">
        <v>1</v>
      </c>
      <c r="U900" s="26">
        <v>2500000</v>
      </c>
      <c r="V900" s="26">
        <v>2500000</v>
      </c>
      <c r="W900" s="26">
        <v>2500000</v>
      </c>
      <c r="X900" s="6" t="s">
        <v>2003</v>
      </c>
      <c r="Y900" s="6" t="s">
        <v>49</v>
      </c>
      <c r="Z900" s="6">
        <v>226827</v>
      </c>
    </row>
    <row r="901" spans="1:26" x14ac:dyDescent="0.3">
      <c r="A901" s="28" t="s">
        <v>42</v>
      </c>
      <c r="B901" s="6" t="s">
        <v>2338</v>
      </c>
      <c r="C901" s="6" t="s">
        <v>1975</v>
      </c>
      <c r="D901" s="6" t="s">
        <v>2002</v>
      </c>
      <c r="E901" s="6">
        <v>1</v>
      </c>
      <c r="F901" s="6" t="s">
        <v>2004</v>
      </c>
      <c r="G901" s="32" t="s">
        <v>2299</v>
      </c>
      <c r="H901" s="32" t="s">
        <v>2300</v>
      </c>
      <c r="I901" s="6" t="str">
        <f t="shared" si="29"/>
        <v>Side Breaker</v>
      </c>
      <c r="J901" s="6" t="s">
        <v>424</v>
      </c>
      <c r="K901" s="6">
        <v>1</v>
      </c>
      <c r="L901" s="6">
        <f t="shared" si="30"/>
        <v>1410000</v>
      </c>
      <c r="M901" s="6">
        <v>1200000</v>
      </c>
      <c r="N901" s="6" t="s">
        <v>2003</v>
      </c>
      <c r="O901" s="6" t="s">
        <v>2007</v>
      </c>
      <c r="P901" s="6">
        <v>2013</v>
      </c>
      <c r="Q901" s="6">
        <v>1</v>
      </c>
      <c r="R901" s="6" t="s">
        <v>45</v>
      </c>
      <c r="S901" s="32" t="s">
        <v>2113</v>
      </c>
      <c r="T901" s="6">
        <v>1</v>
      </c>
      <c r="U901" s="26">
        <v>1100000</v>
      </c>
      <c r="V901" s="26">
        <v>1100000</v>
      </c>
      <c r="W901" s="26">
        <v>1100000</v>
      </c>
      <c r="X901" s="6" t="s">
        <v>2003</v>
      </c>
      <c r="Y901" s="6" t="s">
        <v>49</v>
      </c>
      <c r="Z901" s="6">
        <v>226833</v>
      </c>
    </row>
    <row r="902" spans="1:26" x14ac:dyDescent="0.3">
      <c r="A902" s="28" t="s">
        <v>42</v>
      </c>
      <c r="B902" s="6" t="s">
        <v>2338</v>
      </c>
      <c r="C902" s="19" t="s">
        <v>1975</v>
      </c>
      <c r="D902" s="6" t="s">
        <v>2291</v>
      </c>
      <c r="E902" s="6">
        <v>1</v>
      </c>
      <c r="F902" s="6" t="s">
        <v>2004</v>
      </c>
      <c r="G902" s="32" t="s">
        <v>2299</v>
      </c>
      <c r="H902" s="32" t="s">
        <v>2300</v>
      </c>
      <c r="I902" s="6" t="str">
        <f t="shared" si="29"/>
        <v>Side Breaker</v>
      </c>
      <c r="J902" s="6" t="s">
        <v>281</v>
      </c>
      <c r="K902" s="6">
        <v>1</v>
      </c>
      <c r="L902" s="6">
        <f t="shared" si="30"/>
        <v>1880000</v>
      </c>
      <c r="M902" s="6">
        <v>1600000</v>
      </c>
      <c r="N902" s="6" t="s">
        <v>2003</v>
      </c>
      <c r="O902" s="6" t="s">
        <v>797</v>
      </c>
      <c r="P902" s="6">
        <v>2015</v>
      </c>
      <c r="Q902" s="6">
        <v>7</v>
      </c>
      <c r="R902" s="6" t="s">
        <v>45</v>
      </c>
      <c r="S902" s="32" t="s">
        <v>2120</v>
      </c>
      <c r="T902" s="6">
        <v>1</v>
      </c>
      <c r="U902" s="26">
        <v>1500000</v>
      </c>
      <c r="V902" s="26">
        <v>1500000</v>
      </c>
      <c r="W902" s="26">
        <v>1500000</v>
      </c>
      <c r="X902" s="6" t="s">
        <v>2003</v>
      </c>
      <c r="Y902" s="6" t="s">
        <v>1162</v>
      </c>
      <c r="Z902" s="6">
        <v>226839</v>
      </c>
    </row>
    <row r="903" spans="1:26" x14ac:dyDescent="0.3">
      <c r="A903" s="28" t="s">
        <v>42</v>
      </c>
      <c r="B903" s="6" t="s">
        <v>2341</v>
      </c>
      <c r="C903" s="19" t="s">
        <v>2321</v>
      </c>
      <c r="D903" s="6" t="s">
        <v>2001</v>
      </c>
      <c r="E903" s="6">
        <v>1</v>
      </c>
      <c r="F903" s="6" t="s">
        <v>2004</v>
      </c>
      <c r="G903" s="32" t="s">
        <v>2299</v>
      </c>
      <c r="H903" s="32" t="s">
        <v>2300</v>
      </c>
      <c r="I903" s="6" t="str">
        <f t="shared" si="29"/>
        <v>Etc Crusher</v>
      </c>
      <c r="J903" s="6" t="s">
        <v>181</v>
      </c>
      <c r="K903" s="6">
        <v>1</v>
      </c>
      <c r="L903" s="6">
        <f t="shared" si="30"/>
        <v>20000000</v>
      </c>
      <c r="M903" s="6">
        <v>17000000</v>
      </c>
      <c r="N903" s="6" t="s">
        <v>2003</v>
      </c>
      <c r="O903" s="6" t="s">
        <v>813</v>
      </c>
      <c r="P903" s="6">
        <v>2014</v>
      </c>
      <c r="Q903" s="6">
        <v>1</v>
      </c>
      <c r="R903" s="6" t="s">
        <v>45</v>
      </c>
      <c r="S903" s="32" t="s">
        <v>2113</v>
      </c>
      <c r="T903" s="6">
        <v>1</v>
      </c>
      <c r="U903" s="26">
        <v>16500000</v>
      </c>
      <c r="V903" s="26">
        <v>16500000</v>
      </c>
      <c r="W903" s="26">
        <v>16500000</v>
      </c>
      <c r="X903" s="6" t="s">
        <v>2003</v>
      </c>
      <c r="Y903" s="6" t="s">
        <v>79</v>
      </c>
      <c r="Z903" s="6">
        <v>226840</v>
      </c>
    </row>
    <row r="904" spans="1:26" x14ac:dyDescent="0.3">
      <c r="A904" s="28" t="s">
        <v>42</v>
      </c>
      <c r="B904" s="6" t="s">
        <v>2341</v>
      </c>
      <c r="C904" s="6" t="s">
        <v>1978</v>
      </c>
      <c r="D904" s="6" t="s">
        <v>2001</v>
      </c>
      <c r="E904" s="6">
        <v>1</v>
      </c>
      <c r="F904" s="6" t="s">
        <v>2004</v>
      </c>
      <c r="G904" s="32" t="s">
        <v>2299</v>
      </c>
      <c r="H904" s="32" t="s">
        <v>2300</v>
      </c>
      <c r="I904" s="6" t="str">
        <f t="shared" si="29"/>
        <v>Hydraulic Pulverizer</v>
      </c>
      <c r="J904" s="6" t="s">
        <v>258</v>
      </c>
      <c r="K904" s="6">
        <v>1</v>
      </c>
      <c r="L904" s="6">
        <f t="shared" si="30"/>
        <v>16470000</v>
      </c>
      <c r="M904" s="6">
        <v>14000000</v>
      </c>
      <c r="N904" s="6" t="s">
        <v>2003</v>
      </c>
      <c r="O904" s="6" t="s">
        <v>813</v>
      </c>
      <c r="P904" s="6">
        <v>2013</v>
      </c>
      <c r="Q904" s="6">
        <v>1</v>
      </c>
      <c r="R904" s="6" t="s">
        <v>45</v>
      </c>
      <c r="S904" s="32" t="s">
        <v>2113</v>
      </c>
      <c r="T904" s="6">
        <v>1</v>
      </c>
      <c r="U904" s="26">
        <v>13500000</v>
      </c>
      <c r="V904" s="26">
        <v>13500000</v>
      </c>
      <c r="W904" s="26">
        <v>13500000</v>
      </c>
      <c r="X904" s="6" t="s">
        <v>2003</v>
      </c>
      <c r="Y904" s="6" t="s">
        <v>80</v>
      </c>
      <c r="Z904" s="6">
        <v>226841</v>
      </c>
    </row>
    <row r="905" spans="1:26" x14ac:dyDescent="0.3">
      <c r="A905" s="28" t="s">
        <v>42</v>
      </c>
      <c r="B905" s="6" t="s">
        <v>2339</v>
      </c>
      <c r="C905" s="6" t="s">
        <v>1979</v>
      </c>
      <c r="D905" s="6" t="s">
        <v>2292</v>
      </c>
      <c r="E905" s="6">
        <v>1</v>
      </c>
      <c r="F905" s="6" t="s">
        <v>2004</v>
      </c>
      <c r="G905" s="32" t="s">
        <v>2299</v>
      </c>
      <c r="H905" s="32" t="s">
        <v>2300</v>
      </c>
      <c r="I905" s="6" t="str">
        <f t="shared" si="29"/>
        <v>Thumb Grapple</v>
      </c>
      <c r="J905" s="6" t="s">
        <v>96</v>
      </c>
      <c r="K905" s="6">
        <v>1</v>
      </c>
      <c r="L905" s="6">
        <f t="shared" si="30"/>
        <v>1410000</v>
      </c>
      <c r="M905" s="6">
        <v>1200000</v>
      </c>
      <c r="N905" s="6" t="s">
        <v>2003</v>
      </c>
      <c r="O905" s="6" t="s">
        <v>2007</v>
      </c>
      <c r="P905" s="6">
        <v>2013</v>
      </c>
      <c r="Q905" s="6">
        <v>1</v>
      </c>
      <c r="R905" s="6" t="s">
        <v>45</v>
      </c>
      <c r="S905" s="32" t="s">
        <v>2113</v>
      </c>
      <c r="T905" s="6">
        <v>1</v>
      </c>
      <c r="U905" s="26">
        <v>1100000</v>
      </c>
      <c r="V905" s="26">
        <v>1100000</v>
      </c>
      <c r="W905" s="26">
        <v>1100000</v>
      </c>
      <c r="X905" s="6" t="s">
        <v>2003</v>
      </c>
      <c r="Y905" s="6" t="s">
        <v>49</v>
      </c>
      <c r="Z905" s="6">
        <v>226843</v>
      </c>
    </row>
    <row r="906" spans="1:26" x14ac:dyDescent="0.3">
      <c r="A906" s="28" t="s">
        <v>42</v>
      </c>
      <c r="B906" s="6" t="s">
        <v>2342</v>
      </c>
      <c r="C906" s="6"/>
      <c r="D906" s="6" t="s">
        <v>2292</v>
      </c>
      <c r="E906" s="6">
        <v>1</v>
      </c>
      <c r="F906" s="6" t="s">
        <v>2004</v>
      </c>
      <c r="G906" s="32" t="s">
        <v>2299</v>
      </c>
      <c r="H906" s="32" t="s">
        <v>2300</v>
      </c>
      <c r="I906" s="6" t="str">
        <f t="shared" si="29"/>
        <v>Quick Coupler</v>
      </c>
      <c r="J906" s="6" t="s">
        <v>351</v>
      </c>
      <c r="K906" s="6">
        <v>1</v>
      </c>
      <c r="L906" s="6">
        <f t="shared" si="30"/>
        <v>1050000</v>
      </c>
      <c r="M906" s="6">
        <v>900000</v>
      </c>
      <c r="N906" s="6" t="s">
        <v>2003</v>
      </c>
      <c r="O906" s="6" t="s">
        <v>939</v>
      </c>
      <c r="P906" s="6">
        <v>2012</v>
      </c>
      <c r="Q906" s="6">
        <v>7</v>
      </c>
      <c r="R906" s="6" t="s">
        <v>45</v>
      </c>
      <c r="S906" s="32" t="s">
        <v>2120</v>
      </c>
      <c r="T906" s="6">
        <v>1</v>
      </c>
      <c r="U906" s="26">
        <v>800000</v>
      </c>
      <c r="V906" s="26">
        <v>800000</v>
      </c>
      <c r="W906" s="26">
        <v>800000</v>
      </c>
      <c r="X906" s="6" t="s">
        <v>2003</v>
      </c>
      <c r="Y906" s="6" t="s">
        <v>939</v>
      </c>
      <c r="Z906" s="6">
        <v>226849</v>
      </c>
    </row>
    <row r="907" spans="1:26" x14ac:dyDescent="0.3">
      <c r="A907" s="28" t="s">
        <v>42</v>
      </c>
      <c r="B907" s="6" t="s">
        <v>2339</v>
      </c>
      <c r="C907" s="6" t="s">
        <v>1972</v>
      </c>
      <c r="D907" s="6" t="s">
        <v>2292</v>
      </c>
      <c r="E907" s="6">
        <v>1</v>
      </c>
      <c r="F907" s="6" t="s">
        <v>2004</v>
      </c>
      <c r="G907" s="32" t="s">
        <v>2299</v>
      </c>
      <c r="H907" s="32" t="s">
        <v>2300</v>
      </c>
      <c r="I907" s="6" t="str">
        <f t="shared" ref="I907:I970" si="31">IF(ISBLANK(C907),B907,C907)</f>
        <v>Stone Grapple</v>
      </c>
      <c r="J907" s="6" t="s">
        <v>225</v>
      </c>
      <c r="K907" s="6">
        <v>1</v>
      </c>
      <c r="L907" s="6">
        <f t="shared" ref="L907:L970" si="32">FLOOR(((M907*100)/85)/10000, 1)*10000</f>
        <v>2940000</v>
      </c>
      <c r="M907" s="6">
        <v>2500000</v>
      </c>
      <c r="N907" s="6" t="s">
        <v>2003</v>
      </c>
      <c r="O907" s="6" t="s">
        <v>2007</v>
      </c>
      <c r="P907" s="6">
        <v>2013</v>
      </c>
      <c r="Q907" s="6">
        <v>1</v>
      </c>
      <c r="R907" s="6" t="s">
        <v>45</v>
      </c>
      <c r="S907" s="32" t="s">
        <v>2113</v>
      </c>
      <c r="T907" s="6">
        <v>1</v>
      </c>
      <c r="U907" s="26">
        <v>2300000</v>
      </c>
      <c r="V907" s="26">
        <v>2300000</v>
      </c>
      <c r="W907" s="26">
        <v>2300000</v>
      </c>
      <c r="X907" s="6" t="s">
        <v>2003</v>
      </c>
      <c r="Y907" s="6" t="s">
        <v>49</v>
      </c>
      <c r="Z907" s="6">
        <v>226851</v>
      </c>
    </row>
    <row r="908" spans="1:26" x14ac:dyDescent="0.3">
      <c r="A908" s="28" t="s">
        <v>42</v>
      </c>
      <c r="B908" s="6" t="s">
        <v>2339</v>
      </c>
      <c r="C908" s="6" t="s">
        <v>1973</v>
      </c>
      <c r="D908" s="6" t="s">
        <v>2291</v>
      </c>
      <c r="E908" s="6">
        <v>1</v>
      </c>
      <c r="F908" s="6" t="s">
        <v>2004</v>
      </c>
      <c r="G908" s="32" t="s">
        <v>2299</v>
      </c>
      <c r="H908" s="32" t="s">
        <v>2300</v>
      </c>
      <c r="I908" s="6" t="str">
        <f t="shared" si="31"/>
        <v>Wood Grapple</v>
      </c>
      <c r="J908" s="6" t="s">
        <v>127</v>
      </c>
      <c r="K908" s="6">
        <v>1</v>
      </c>
      <c r="L908" s="6">
        <f t="shared" si="32"/>
        <v>2230000</v>
      </c>
      <c r="M908" s="6">
        <v>1900000</v>
      </c>
      <c r="N908" s="6" t="s">
        <v>2003</v>
      </c>
      <c r="O908" s="6" t="s">
        <v>830</v>
      </c>
      <c r="P908" s="6">
        <v>2010</v>
      </c>
      <c r="Q908" s="6">
        <v>1</v>
      </c>
      <c r="R908" s="6" t="s">
        <v>45</v>
      </c>
      <c r="S908" s="32" t="s">
        <v>2114</v>
      </c>
      <c r="T908" s="6">
        <v>1</v>
      </c>
      <c r="U908" s="26">
        <v>1800000</v>
      </c>
      <c r="V908" s="26">
        <v>1800000</v>
      </c>
      <c r="W908" s="26">
        <v>1800000</v>
      </c>
      <c r="X908" s="6" t="s">
        <v>2003</v>
      </c>
      <c r="Y908" s="6" t="s">
        <v>830</v>
      </c>
      <c r="Z908" s="6">
        <v>226852</v>
      </c>
    </row>
    <row r="909" spans="1:26" x14ac:dyDescent="0.3">
      <c r="A909" s="28" t="s">
        <v>42</v>
      </c>
      <c r="B909" s="6" t="s">
        <v>2344</v>
      </c>
      <c r="C909" s="6" t="s">
        <v>1976</v>
      </c>
      <c r="D909" s="6" t="s">
        <v>2292</v>
      </c>
      <c r="E909" s="6">
        <v>1</v>
      </c>
      <c r="F909" s="6" t="s">
        <v>2004</v>
      </c>
      <c r="G909" s="32" t="s">
        <v>2299</v>
      </c>
      <c r="H909" s="32" t="s">
        <v>2300</v>
      </c>
      <c r="I909" s="6" t="str">
        <f t="shared" si="31"/>
        <v>Skeleton Bucket</v>
      </c>
      <c r="J909" s="6" t="s">
        <v>118</v>
      </c>
      <c r="K909" s="6">
        <v>1</v>
      </c>
      <c r="L909" s="6">
        <f t="shared" si="32"/>
        <v>1050000</v>
      </c>
      <c r="M909" s="6">
        <v>900000</v>
      </c>
      <c r="N909" s="6" t="s">
        <v>2003</v>
      </c>
      <c r="O909" s="6" t="s">
        <v>813</v>
      </c>
      <c r="P909" s="6">
        <v>2013</v>
      </c>
      <c r="Q909" s="6">
        <v>1</v>
      </c>
      <c r="R909" s="6" t="s">
        <v>45</v>
      </c>
      <c r="S909" s="32" t="s">
        <v>2113</v>
      </c>
      <c r="T909" s="6">
        <v>1</v>
      </c>
      <c r="U909" s="26">
        <v>800000</v>
      </c>
      <c r="V909" s="26">
        <v>800000</v>
      </c>
      <c r="W909" s="26">
        <v>800000</v>
      </c>
      <c r="X909" s="6" t="s">
        <v>2003</v>
      </c>
      <c r="Y909" s="6" t="s">
        <v>80</v>
      </c>
      <c r="Z909" s="6">
        <v>226872</v>
      </c>
    </row>
    <row r="910" spans="1:26" x14ac:dyDescent="0.3">
      <c r="A910" s="28" t="s">
        <v>42</v>
      </c>
      <c r="B910" s="6" t="s">
        <v>2339</v>
      </c>
      <c r="C910" s="6" t="s">
        <v>1972</v>
      </c>
      <c r="D910" s="6" t="s">
        <v>2292</v>
      </c>
      <c r="E910" s="6">
        <v>1</v>
      </c>
      <c r="F910" s="6" t="s">
        <v>2004</v>
      </c>
      <c r="G910" s="32" t="s">
        <v>2299</v>
      </c>
      <c r="H910" s="32" t="s">
        <v>2300</v>
      </c>
      <c r="I910" s="6" t="str">
        <f t="shared" si="31"/>
        <v>Stone Grapple</v>
      </c>
      <c r="J910" s="6" t="s">
        <v>230</v>
      </c>
      <c r="K910" s="6">
        <v>1</v>
      </c>
      <c r="L910" s="6">
        <f t="shared" si="32"/>
        <v>3050000</v>
      </c>
      <c r="M910" s="6">
        <v>2600000</v>
      </c>
      <c r="N910" s="6" t="s">
        <v>2003</v>
      </c>
      <c r="O910" s="6" t="s">
        <v>2007</v>
      </c>
      <c r="P910" s="6">
        <v>2014</v>
      </c>
      <c r="Q910" s="6">
        <v>1</v>
      </c>
      <c r="R910" s="6" t="s">
        <v>45</v>
      </c>
      <c r="S910" s="32" t="s">
        <v>2113</v>
      </c>
      <c r="T910" s="6">
        <v>1</v>
      </c>
      <c r="U910" s="26">
        <v>2400000</v>
      </c>
      <c r="V910" s="26">
        <v>2400000</v>
      </c>
      <c r="W910" s="26">
        <v>2400000</v>
      </c>
      <c r="X910" s="6" t="s">
        <v>2003</v>
      </c>
      <c r="Y910" s="6" t="s">
        <v>49</v>
      </c>
      <c r="Z910" s="6">
        <v>226876</v>
      </c>
    </row>
    <row r="911" spans="1:26" x14ac:dyDescent="0.3">
      <c r="A911" s="28" t="s">
        <v>42</v>
      </c>
      <c r="B911" s="6" t="s">
        <v>2339</v>
      </c>
      <c r="C911" s="6" t="s">
        <v>1972</v>
      </c>
      <c r="D911" s="6" t="s">
        <v>2292</v>
      </c>
      <c r="E911" s="6">
        <v>1</v>
      </c>
      <c r="F911" s="6" t="s">
        <v>2004</v>
      </c>
      <c r="G911" s="32" t="s">
        <v>2299</v>
      </c>
      <c r="H911" s="32" t="s">
        <v>2300</v>
      </c>
      <c r="I911" s="6" t="str">
        <f t="shared" si="31"/>
        <v>Stone Grapple</v>
      </c>
      <c r="J911" s="6" t="s">
        <v>145</v>
      </c>
      <c r="K911" s="6">
        <v>1</v>
      </c>
      <c r="L911" s="6">
        <f t="shared" si="32"/>
        <v>2110000</v>
      </c>
      <c r="M911" s="6">
        <v>1800000</v>
      </c>
      <c r="N911" s="6" t="s">
        <v>2003</v>
      </c>
      <c r="O911" s="6" t="s">
        <v>2007</v>
      </c>
      <c r="P911" s="6">
        <v>2013</v>
      </c>
      <c r="Q911" s="6">
        <v>1</v>
      </c>
      <c r="R911" s="6" t="s">
        <v>45</v>
      </c>
      <c r="S911" s="32" t="s">
        <v>2113</v>
      </c>
      <c r="T911" s="6">
        <v>1</v>
      </c>
      <c r="U911" s="26">
        <v>1700000</v>
      </c>
      <c r="V911" s="26">
        <v>1700000</v>
      </c>
      <c r="W911" s="26">
        <v>1700000</v>
      </c>
      <c r="X911" s="6" t="s">
        <v>2003</v>
      </c>
      <c r="Y911" s="6" t="s">
        <v>49</v>
      </c>
      <c r="Z911" s="6">
        <v>226877</v>
      </c>
    </row>
    <row r="912" spans="1:26" x14ac:dyDescent="0.3">
      <c r="A912" s="28" t="s">
        <v>42</v>
      </c>
      <c r="B912" s="6" t="s">
        <v>2343</v>
      </c>
      <c r="C912" s="6"/>
      <c r="D912" s="6" t="s">
        <v>2292</v>
      </c>
      <c r="E912" s="6">
        <v>1</v>
      </c>
      <c r="F912" s="6" t="s">
        <v>2004</v>
      </c>
      <c r="G912" s="32" t="s">
        <v>2299</v>
      </c>
      <c r="H912" s="32" t="s">
        <v>2300</v>
      </c>
      <c r="I912" s="6" t="str">
        <f t="shared" si="31"/>
        <v>Lift Fork</v>
      </c>
      <c r="J912" s="6" t="s">
        <v>449</v>
      </c>
      <c r="K912" s="6">
        <v>1</v>
      </c>
      <c r="L912" s="6">
        <f t="shared" si="32"/>
        <v>470000</v>
      </c>
      <c r="M912" s="6">
        <v>400000</v>
      </c>
      <c r="N912" s="6" t="s">
        <v>2003</v>
      </c>
      <c r="O912" s="6" t="s">
        <v>813</v>
      </c>
      <c r="P912" s="6">
        <v>2013</v>
      </c>
      <c r="Q912" s="6">
        <v>1</v>
      </c>
      <c r="R912" s="6" t="s">
        <v>45</v>
      </c>
      <c r="S912" s="32" t="s">
        <v>2113</v>
      </c>
      <c r="T912" s="6">
        <v>1</v>
      </c>
      <c r="U912" s="26">
        <v>350000</v>
      </c>
      <c r="V912" s="26">
        <v>350000</v>
      </c>
      <c r="W912" s="26">
        <v>350000</v>
      </c>
      <c r="X912" s="6" t="s">
        <v>2003</v>
      </c>
      <c r="Y912" s="6" t="s">
        <v>80</v>
      </c>
      <c r="Z912" s="6">
        <v>226878</v>
      </c>
    </row>
    <row r="913" spans="1:26" x14ac:dyDescent="0.3">
      <c r="A913" s="28" t="s">
        <v>42</v>
      </c>
      <c r="B913" s="6" t="s">
        <v>2343</v>
      </c>
      <c r="C913" s="6"/>
      <c r="D913" s="6" t="s">
        <v>2292</v>
      </c>
      <c r="E913" s="6">
        <v>1</v>
      </c>
      <c r="F913" s="6" t="s">
        <v>2004</v>
      </c>
      <c r="G913" s="32" t="s">
        <v>2299</v>
      </c>
      <c r="H913" s="32" t="s">
        <v>2300</v>
      </c>
      <c r="I913" s="6" t="str">
        <f t="shared" si="31"/>
        <v>Lift Fork</v>
      </c>
      <c r="J913" s="6" t="s">
        <v>772</v>
      </c>
      <c r="K913" s="6">
        <v>1</v>
      </c>
      <c r="L913" s="6">
        <f t="shared" si="32"/>
        <v>820000</v>
      </c>
      <c r="M913" s="6">
        <v>700000</v>
      </c>
      <c r="N913" s="6" t="s">
        <v>2003</v>
      </c>
      <c r="O913" s="6" t="s">
        <v>813</v>
      </c>
      <c r="P913" s="6">
        <v>2013</v>
      </c>
      <c r="Q913" s="6">
        <v>1</v>
      </c>
      <c r="R913" s="6" t="s">
        <v>45</v>
      </c>
      <c r="S913" s="32" t="s">
        <v>2113</v>
      </c>
      <c r="T913" s="6">
        <v>1</v>
      </c>
      <c r="U913" s="26">
        <v>600000</v>
      </c>
      <c r="V913" s="26">
        <v>600000</v>
      </c>
      <c r="W913" s="26">
        <v>600000</v>
      </c>
      <c r="X913" s="6" t="s">
        <v>2003</v>
      </c>
      <c r="Y913" s="6" t="s">
        <v>80</v>
      </c>
      <c r="Z913" s="6">
        <v>226883</v>
      </c>
    </row>
    <row r="914" spans="1:26" x14ac:dyDescent="0.3">
      <c r="A914" s="28" t="s">
        <v>42</v>
      </c>
      <c r="B914" s="6" t="s">
        <v>2346</v>
      </c>
      <c r="C914" s="6"/>
      <c r="D914" s="6" t="s">
        <v>2001</v>
      </c>
      <c r="E914" s="6">
        <v>1</v>
      </c>
      <c r="F914" s="6" t="s">
        <v>2004</v>
      </c>
      <c r="G914" s="32" t="s">
        <v>2299</v>
      </c>
      <c r="H914" s="32" t="s">
        <v>2300</v>
      </c>
      <c r="I914" s="6" t="str">
        <f t="shared" si="31"/>
        <v>Ripper</v>
      </c>
      <c r="J914" s="6" t="s">
        <v>773</v>
      </c>
      <c r="K914" s="6">
        <v>1</v>
      </c>
      <c r="L914" s="6">
        <f t="shared" si="32"/>
        <v>1880000</v>
      </c>
      <c r="M914" s="6">
        <v>1600000</v>
      </c>
      <c r="N914" s="6" t="s">
        <v>2003</v>
      </c>
      <c r="O914" s="6" t="s">
        <v>1123</v>
      </c>
      <c r="P914" s="6">
        <v>2015</v>
      </c>
      <c r="Q914" s="6">
        <v>1</v>
      </c>
      <c r="R914" s="6" t="s">
        <v>45</v>
      </c>
      <c r="S914" s="32" t="s">
        <v>2110</v>
      </c>
      <c r="T914" s="6">
        <v>1</v>
      </c>
      <c r="U914" s="26">
        <v>1500000</v>
      </c>
      <c r="V914" s="26">
        <v>1500000</v>
      </c>
      <c r="W914" s="26">
        <v>1500000</v>
      </c>
      <c r="X914" s="6" t="s">
        <v>2003</v>
      </c>
      <c r="Y914" s="6" t="s">
        <v>1150</v>
      </c>
      <c r="Z914" s="6">
        <v>226884</v>
      </c>
    </row>
    <row r="915" spans="1:26" x14ac:dyDescent="0.3">
      <c r="A915" s="28" t="s">
        <v>42</v>
      </c>
      <c r="B915" s="6" t="s">
        <v>2344</v>
      </c>
      <c r="C915" s="6" t="s">
        <v>1976</v>
      </c>
      <c r="D915" s="6" t="s">
        <v>2292</v>
      </c>
      <c r="E915" s="6">
        <v>1</v>
      </c>
      <c r="F915" s="6" t="s">
        <v>2004</v>
      </c>
      <c r="G915" s="32" t="s">
        <v>2299</v>
      </c>
      <c r="H915" s="32" t="s">
        <v>2300</v>
      </c>
      <c r="I915" s="6" t="str">
        <f t="shared" si="31"/>
        <v>Skeleton Bucket</v>
      </c>
      <c r="J915" s="6" t="s">
        <v>118</v>
      </c>
      <c r="K915" s="6">
        <v>1</v>
      </c>
      <c r="L915" s="6">
        <f t="shared" si="32"/>
        <v>1290000</v>
      </c>
      <c r="M915" s="6">
        <v>1100000</v>
      </c>
      <c r="N915" s="6" t="s">
        <v>2003</v>
      </c>
      <c r="O915" s="6" t="s">
        <v>1124</v>
      </c>
      <c r="P915" s="6">
        <v>2015</v>
      </c>
      <c r="Q915" s="6">
        <v>1</v>
      </c>
      <c r="R915" s="6" t="s">
        <v>45</v>
      </c>
      <c r="S915" s="32" t="s">
        <v>2110</v>
      </c>
      <c r="T915" s="6">
        <v>1</v>
      </c>
      <c r="U915" s="26">
        <v>1000000</v>
      </c>
      <c r="V915" s="26">
        <v>1000000</v>
      </c>
      <c r="W915" s="26">
        <v>1000000</v>
      </c>
      <c r="X915" s="6" t="s">
        <v>2003</v>
      </c>
      <c r="Y915" s="6" t="s">
        <v>1316</v>
      </c>
      <c r="Z915" s="6">
        <v>226885</v>
      </c>
    </row>
    <row r="916" spans="1:26" x14ac:dyDescent="0.3">
      <c r="A916" s="28" t="s">
        <v>42</v>
      </c>
      <c r="B916" s="6" t="s">
        <v>2339</v>
      </c>
      <c r="C916" s="6" t="s">
        <v>1974</v>
      </c>
      <c r="D916" s="6" t="s">
        <v>2292</v>
      </c>
      <c r="E916" s="6">
        <v>1</v>
      </c>
      <c r="F916" s="6" t="s">
        <v>2004</v>
      </c>
      <c r="G916" s="32" t="s">
        <v>2299</v>
      </c>
      <c r="H916" s="32" t="s">
        <v>2300</v>
      </c>
      <c r="I916" s="6" t="str">
        <f t="shared" si="31"/>
        <v>Etc Grapple</v>
      </c>
      <c r="J916" s="6" t="s">
        <v>774</v>
      </c>
      <c r="K916" s="6">
        <v>1</v>
      </c>
      <c r="L916" s="6">
        <f t="shared" si="32"/>
        <v>5640000</v>
      </c>
      <c r="M916" s="6">
        <v>4800000</v>
      </c>
      <c r="N916" s="6" t="s">
        <v>2003</v>
      </c>
      <c r="O916" s="6" t="s">
        <v>2007</v>
      </c>
      <c r="P916" s="6">
        <v>2014</v>
      </c>
      <c r="Q916" s="6">
        <v>1</v>
      </c>
      <c r="R916" s="6" t="s">
        <v>45</v>
      </c>
      <c r="S916" s="32" t="s">
        <v>2113</v>
      </c>
      <c r="T916" s="6">
        <v>1</v>
      </c>
      <c r="U916" s="26">
        <v>4600000</v>
      </c>
      <c r="V916" s="26">
        <v>4600000</v>
      </c>
      <c r="W916" s="26">
        <v>4600000</v>
      </c>
      <c r="X916" s="6" t="s">
        <v>2003</v>
      </c>
      <c r="Y916" s="6" t="s">
        <v>49</v>
      </c>
      <c r="Z916" s="6">
        <v>226888</v>
      </c>
    </row>
    <row r="917" spans="1:26" x14ac:dyDescent="0.3">
      <c r="A917" s="28" t="s">
        <v>42</v>
      </c>
      <c r="B917" s="6" t="s">
        <v>2347</v>
      </c>
      <c r="C917" s="6"/>
      <c r="D917" s="6" t="s">
        <v>2291</v>
      </c>
      <c r="E917" s="6">
        <v>1</v>
      </c>
      <c r="F917" s="6" t="s">
        <v>2004</v>
      </c>
      <c r="G917" s="32" t="s">
        <v>2299</v>
      </c>
      <c r="H917" s="32" t="s">
        <v>2300</v>
      </c>
      <c r="I917" s="6" t="str">
        <f t="shared" si="31"/>
        <v>Shear&amp;Cutter</v>
      </c>
      <c r="J917" s="6" t="s">
        <v>783</v>
      </c>
      <c r="K917" s="6">
        <v>1</v>
      </c>
      <c r="L917" s="6">
        <f t="shared" si="32"/>
        <v>10000000</v>
      </c>
      <c r="M917" s="6">
        <v>8500000</v>
      </c>
      <c r="N917" s="6" t="s">
        <v>2003</v>
      </c>
      <c r="O917" s="6" t="s">
        <v>1886</v>
      </c>
      <c r="P917" s="6">
        <v>2017</v>
      </c>
      <c r="Q917" s="6">
        <v>1</v>
      </c>
      <c r="R917" s="6" t="s">
        <v>45</v>
      </c>
      <c r="S917" s="32" t="s">
        <v>2119</v>
      </c>
      <c r="T917" s="6">
        <v>1</v>
      </c>
      <c r="U917" s="26">
        <v>8000000</v>
      </c>
      <c r="V917" s="26">
        <v>8000000</v>
      </c>
      <c r="W917" s="26">
        <v>8000000</v>
      </c>
      <c r="X917" s="6" t="s">
        <v>2003</v>
      </c>
      <c r="Y917" s="6" t="s">
        <v>1277</v>
      </c>
      <c r="Z917" s="6">
        <v>226890</v>
      </c>
    </row>
    <row r="918" spans="1:26" x14ac:dyDescent="0.3">
      <c r="A918" s="28" t="s">
        <v>42</v>
      </c>
      <c r="B918" s="6" t="s">
        <v>2344</v>
      </c>
      <c r="C918" s="6" t="s">
        <v>1976</v>
      </c>
      <c r="D918" s="6" t="s">
        <v>2292</v>
      </c>
      <c r="E918" s="6">
        <v>1</v>
      </c>
      <c r="F918" s="6" t="s">
        <v>2004</v>
      </c>
      <c r="G918" s="32" t="s">
        <v>2299</v>
      </c>
      <c r="H918" s="32" t="s">
        <v>2300</v>
      </c>
      <c r="I918" s="6" t="str">
        <f t="shared" si="31"/>
        <v>Skeleton Bucket</v>
      </c>
      <c r="J918" s="6" t="s">
        <v>556</v>
      </c>
      <c r="K918" s="6">
        <v>1</v>
      </c>
      <c r="L918" s="6">
        <f t="shared" si="32"/>
        <v>1110000</v>
      </c>
      <c r="M918" s="6">
        <v>950000</v>
      </c>
      <c r="N918" s="6" t="s">
        <v>2003</v>
      </c>
      <c r="O918" s="6" t="s">
        <v>2007</v>
      </c>
      <c r="P918" s="6">
        <v>2013</v>
      </c>
      <c r="Q918" s="6">
        <v>1</v>
      </c>
      <c r="R918" s="6" t="s">
        <v>45</v>
      </c>
      <c r="S918" s="32" t="s">
        <v>2113</v>
      </c>
      <c r="T918" s="6">
        <v>1</v>
      </c>
      <c r="U918" s="26">
        <v>850000</v>
      </c>
      <c r="V918" s="26">
        <v>850000</v>
      </c>
      <c r="W918" s="26">
        <v>850000</v>
      </c>
      <c r="X918" s="6" t="s">
        <v>2003</v>
      </c>
      <c r="Y918" s="6" t="s">
        <v>49</v>
      </c>
      <c r="Z918" s="6">
        <v>226894</v>
      </c>
    </row>
    <row r="919" spans="1:26" x14ac:dyDescent="0.3">
      <c r="A919" s="28" t="s">
        <v>42</v>
      </c>
      <c r="B919" s="6" t="s">
        <v>2340</v>
      </c>
      <c r="C919" s="6"/>
      <c r="D919" s="6" t="s">
        <v>2293</v>
      </c>
      <c r="E919" s="6">
        <v>1</v>
      </c>
      <c r="F919" s="6" t="s">
        <v>2004</v>
      </c>
      <c r="G919" s="32" t="s">
        <v>2299</v>
      </c>
      <c r="H919" s="32" t="s">
        <v>2300</v>
      </c>
      <c r="I919" s="6" t="str">
        <f t="shared" si="31"/>
        <v>ETC</v>
      </c>
      <c r="J919" s="6" t="s">
        <v>770</v>
      </c>
      <c r="K919" s="6">
        <v>1</v>
      </c>
      <c r="L919" s="6">
        <f t="shared" si="32"/>
        <v>2230000</v>
      </c>
      <c r="M919" s="6">
        <v>1900000</v>
      </c>
      <c r="N919" s="6" t="s">
        <v>2003</v>
      </c>
      <c r="O919" s="6" t="s">
        <v>798</v>
      </c>
      <c r="P919" s="6">
        <v>2015</v>
      </c>
      <c r="Q919" s="6">
        <v>1</v>
      </c>
      <c r="R919" s="6" t="s">
        <v>45</v>
      </c>
      <c r="S919" s="32" t="s">
        <v>2113</v>
      </c>
      <c r="T919" s="6">
        <v>1</v>
      </c>
      <c r="U919" s="26">
        <v>1800000</v>
      </c>
      <c r="V919" s="26">
        <v>1800000</v>
      </c>
      <c r="W919" s="26">
        <v>1800000</v>
      </c>
      <c r="X919" s="6" t="s">
        <v>2003</v>
      </c>
      <c r="Y919" s="6" t="s">
        <v>71</v>
      </c>
      <c r="Z919" s="6">
        <v>226899</v>
      </c>
    </row>
    <row r="920" spans="1:26" x14ac:dyDescent="0.3">
      <c r="A920" s="28" t="s">
        <v>42</v>
      </c>
      <c r="B920" s="6" t="s">
        <v>2339</v>
      </c>
      <c r="C920" s="6" t="s">
        <v>1972</v>
      </c>
      <c r="D920" s="6" t="s">
        <v>2291</v>
      </c>
      <c r="E920" s="6">
        <v>1</v>
      </c>
      <c r="F920" s="6" t="s">
        <v>2004</v>
      </c>
      <c r="G920" s="32" t="s">
        <v>2299</v>
      </c>
      <c r="H920" s="32" t="s">
        <v>2300</v>
      </c>
      <c r="I920" s="6" t="str">
        <f t="shared" si="31"/>
        <v>Stone Grapple</v>
      </c>
      <c r="J920" s="6" t="s">
        <v>149</v>
      </c>
      <c r="K920" s="6">
        <v>1</v>
      </c>
      <c r="L920" s="6">
        <f t="shared" si="32"/>
        <v>2110000</v>
      </c>
      <c r="M920" s="6">
        <v>1800000</v>
      </c>
      <c r="N920" s="6" t="s">
        <v>2003</v>
      </c>
      <c r="O920" s="6" t="s">
        <v>1125</v>
      </c>
      <c r="P920" s="6">
        <v>2015</v>
      </c>
      <c r="Q920" s="6">
        <v>5</v>
      </c>
      <c r="R920" s="6" t="s">
        <v>45</v>
      </c>
      <c r="S920" s="32" t="s">
        <v>2123</v>
      </c>
      <c r="T920" s="6">
        <v>1</v>
      </c>
      <c r="U920" s="26">
        <v>1700000</v>
      </c>
      <c r="V920" s="26">
        <v>1700000</v>
      </c>
      <c r="W920" s="26">
        <v>1700000</v>
      </c>
      <c r="X920" s="6" t="s">
        <v>2003</v>
      </c>
      <c r="Y920" s="6" t="s">
        <v>1295</v>
      </c>
      <c r="Z920" s="6">
        <v>226905</v>
      </c>
    </row>
    <row r="921" spans="1:26" x14ac:dyDescent="0.3">
      <c r="A921" s="28" t="s">
        <v>42</v>
      </c>
      <c r="B921" s="6" t="s">
        <v>2341</v>
      </c>
      <c r="C921" s="6" t="s">
        <v>2321</v>
      </c>
      <c r="D921" s="6" t="s">
        <v>2293</v>
      </c>
      <c r="E921" s="6">
        <v>1</v>
      </c>
      <c r="F921" s="6" t="s">
        <v>2004</v>
      </c>
      <c r="G921" s="32" t="s">
        <v>2299</v>
      </c>
      <c r="H921" s="32" t="s">
        <v>2300</v>
      </c>
      <c r="I921" s="6" t="str">
        <f t="shared" si="31"/>
        <v>Etc Crusher</v>
      </c>
      <c r="J921" s="6" t="s">
        <v>76</v>
      </c>
      <c r="K921" s="6">
        <v>1</v>
      </c>
      <c r="L921" s="6">
        <f t="shared" si="32"/>
        <v>5290000</v>
      </c>
      <c r="M921" s="6">
        <v>4500000</v>
      </c>
      <c r="N921" s="6" t="s">
        <v>2003</v>
      </c>
      <c r="O921" s="6" t="s">
        <v>70</v>
      </c>
      <c r="P921" s="6">
        <v>2014</v>
      </c>
      <c r="Q921" s="6">
        <v>3</v>
      </c>
      <c r="R921" s="6" t="s">
        <v>45</v>
      </c>
      <c r="S921" s="32" t="s">
        <v>2113</v>
      </c>
      <c r="T921" s="6">
        <v>1</v>
      </c>
      <c r="U921" s="26">
        <v>4300000</v>
      </c>
      <c r="V921" s="26">
        <v>4300000</v>
      </c>
      <c r="W921" s="26">
        <v>4300000</v>
      </c>
      <c r="X921" s="6" t="s">
        <v>2003</v>
      </c>
      <c r="Y921" s="6" t="s">
        <v>71</v>
      </c>
      <c r="Z921" s="6">
        <v>226908</v>
      </c>
    </row>
    <row r="922" spans="1:26" x14ac:dyDescent="0.3">
      <c r="A922" s="28" t="s">
        <v>42</v>
      </c>
      <c r="B922" s="6" t="s">
        <v>2339</v>
      </c>
      <c r="C922" s="6" t="s">
        <v>1974</v>
      </c>
      <c r="D922" s="6" t="s">
        <v>2292</v>
      </c>
      <c r="E922" s="6">
        <v>1</v>
      </c>
      <c r="F922" s="6" t="s">
        <v>2004</v>
      </c>
      <c r="G922" s="32" t="s">
        <v>2299</v>
      </c>
      <c r="H922" s="32" t="s">
        <v>2300</v>
      </c>
      <c r="I922" s="6" t="str">
        <f t="shared" si="31"/>
        <v>Etc Grapple</v>
      </c>
      <c r="J922" s="6" t="s">
        <v>125</v>
      </c>
      <c r="K922" s="6">
        <v>1</v>
      </c>
      <c r="L922" s="6">
        <f t="shared" si="32"/>
        <v>6470000</v>
      </c>
      <c r="M922" s="6">
        <v>5500000</v>
      </c>
      <c r="N922" s="6" t="s">
        <v>2003</v>
      </c>
      <c r="O922" s="6" t="s">
        <v>830</v>
      </c>
      <c r="P922" s="6">
        <v>2009</v>
      </c>
      <c r="Q922" s="6">
        <v>1</v>
      </c>
      <c r="R922" s="6" t="s">
        <v>45</v>
      </c>
      <c r="S922" s="32" t="s">
        <v>2114</v>
      </c>
      <c r="T922" s="6">
        <v>1</v>
      </c>
      <c r="U922" s="26">
        <v>5000000</v>
      </c>
      <c r="V922" s="26">
        <v>5000000</v>
      </c>
      <c r="W922" s="26">
        <v>5000000</v>
      </c>
      <c r="X922" s="6" t="s">
        <v>2003</v>
      </c>
      <c r="Y922" s="6" t="s">
        <v>830</v>
      </c>
      <c r="Z922" s="6">
        <v>226909</v>
      </c>
    </row>
    <row r="923" spans="1:26" x14ac:dyDescent="0.3">
      <c r="A923" s="28" t="s">
        <v>42</v>
      </c>
      <c r="B923" s="6" t="s">
        <v>2346</v>
      </c>
      <c r="C923" s="6"/>
      <c r="D923" s="6" t="s">
        <v>2292</v>
      </c>
      <c r="E923" s="6">
        <v>1</v>
      </c>
      <c r="F923" s="6" t="s">
        <v>2004</v>
      </c>
      <c r="G923" s="32" t="s">
        <v>2299</v>
      </c>
      <c r="H923" s="32" t="s">
        <v>2300</v>
      </c>
      <c r="I923" s="6" t="str">
        <f t="shared" si="31"/>
        <v>Ripper</v>
      </c>
      <c r="J923" s="6" t="s">
        <v>776</v>
      </c>
      <c r="K923" s="6">
        <v>1</v>
      </c>
      <c r="L923" s="6">
        <f t="shared" si="32"/>
        <v>1000000</v>
      </c>
      <c r="M923" s="6">
        <v>850000</v>
      </c>
      <c r="N923" s="6" t="s">
        <v>2003</v>
      </c>
      <c r="O923" s="6" t="s">
        <v>2091</v>
      </c>
      <c r="P923" s="6">
        <v>2017</v>
      </c>
      <c r="Q923" s="6">
        <v>1</v>
      </c>
      <c r="R923" s="6" t="s">
        <v>45</v>
      </c>
      <c r="S923" s="32" t="s">
        <v>2110</v>
      </c>
      <c r="T923" s="6">
        <v>1</v>
      </c>
      <c r="U923" s="26">
        <v>750000</v>
      </c>
      <c r="V923" s="26">
        <v>750000</v>
      </c>
      <c r="W923" s="26">
        <v>750000</v>
      </c>
      <c r="X923" s="6" t="s">
        <v>2003</v>
      </c>
      <c r="Y923" s="6" t="s">
        <v>1155</v>
      </c>
      <c r="Z923" s="6">
        <v>226910</v>
      </c>
    </row>
    <row r="924" spans="1:26" x14ac:dyDescent="0.3">
      <c r="A924" s="28" t="s">
        <v>42</v>
      </c>
      <c r="B924" s="6" t="s">
        <v>2341</v>
      </c>
      <c r="C924" s="6" t="s">
        <v>1978</v>
      </c>
      <c r="D924" s="6" t="s">
        <v>2001</v>
      </c>
      <c r="E924" s="6">
        <v>1</v>
      </c>
      <c r="F924" s="6" t="s">
        <v>2004</v>
      </c>
      <c r="G924" s="32" t="s">
        <v>2299</v>
      </c>
      <c r="H924" s="32" t="s">
        <v>2300</v>
      </c>
      <c r="I924" s="6" t="str">
        <f t="shared" si="31"/>
        <v>Hydraulic Pulverizer</v>
      </c>
      <c r="J924" s="6" t="s">
        <v>258</v>
      </c>
      <c r="K924" s="6">
        <v>1</v>
      </c>
      <c r="L924" s="6">
        <f t="shared" si="32"/>
        <v>14700000</v>
      </c>
      <c r="M924" s="6">
        <v>12500000</v>
      </c>
      <c r="N924" s="6" t="s">
        <v>2003</v>
      </c>
      <c r="O924" s="6" t="s">
        <v>1126</v>
      </c>
      <c r="P924" s="6">
        <v>2003</v>
      </c>
      <c r="Q924" s="6">
        <v>1</v>
      </c>
      <c r="R924" s="6" t="s">
        <v>45</v>
      </c>
      <c r="S924" s="32" t="s">
        <v>2110</v>
      </c>
      <c r="T924" s="6">
        <v>1</v>
      </c>
      <c r="U924" s="26">
        <v>12000000</v>
      </c>
      <c r="V924" s="26">
        <v>12000000</v>
      </c>
      <c r="W924" s="26">
        <v>12000000</v>
      </c>
      <c r="X924" s="6" t="s">
        <v>2003</v>
      </c>
      <c r="Y924" s="6" t="s">
        <v>1317</v>
      </c>
      <c r="Z924" s="6">
        <v>226912</v>
      </c>
    </row>
    <row r="925" spans="1:26" x14ac:dyDescent="0.3">
      <c r="A925" s="28" t="s">
        <v>42</v>
      </c>
      <c r="B925" s="6" t="s">
        <v>2343</v>
      </c>
      <c r="C925" s="6"/>
      <c r="D925" s="6" t="s">
        <v>2291</v>
      </c>
      <c r="E925" s="6">
        <v>1</v>
      </c>
      <c r="F925" s="6" t="s">
        <v>2004</v>
      </c>
      <c r="G925" s="32" t="s">
        <v>2299</v>
      </c>
      <c r="H925" s="32" t="s">
        <v>2300</v>
      </c>
      <c r="I925" s="6" t="str">
        <f t="shared" si="31"/>
        <v>Lift Fork</v>
      </c>
      <c r="J925" s="6" t="s">
        <v>132</v>
      </c>
      <c r="K925" s="6">
        <v>1</v>
      </c>
      <c r="L925" s="6">
        <f t="shared" si="32"/>
        <v>1110000</v>
      </c>
      <c r="M925" s="6">
        <v>950000</v>
      </c>
      <c r="N925" s="6" t="s">
        <v>2003</v>
      </c>
      <c r="O925" s="6" t="s">
        <v>2020</v>
      </c>
      <c r="P925" s="6">
        <v>2017</v>
      </c>
      <c r="Q925" s="6">
        <v>1</v>
      </c>
      <c r="R925" s="6" t="s">
        <v>45</v>
      </c>
      <c r="S925" s="32" t="s">
        <v>2110</v>
      </c>
      <c r="T925" s="6">
        <v>1</v>
      </c>
      <c r="U925" s="26">
        <v>850000</v>
      </c>
      <c r="V925" s="26">
        <v>850000</v>
      </c>
      <c r="W925" s="26">
        <v>850000</v>
      </c>
      <c r="X925" s="6" t="s">
        <v>2003</v>
      </c>
      <c r="Y925" s="6" t="s">
        <v>1155</v>
      </c>
      <c r="Z925" s="6">
        <v>226915</v>
      </c>
    </row>
    <row r="926" spans="1:26" x14ac:dyDescent="0.3">
      <c r="A926" s="28" t="s">
        <v>42</v>
      </c>
      <c r="B926" s="6" t="s">
        <v>2339</v>
      </c>
      <c r="C926" s="6" t="s">
        <v>1974</v>
      </c>
      <c r="D926" s="6" t="s">
        <v>2291</v>
      </c>
      <c r="E926" s="6">
        <v>1</v>
      </c>
      <c r="F926" s="6" t="s">
        <v>2004</v>
      </c>
      <c r="G926" s="32" t="s">
        <v>2299</v>
      </c>
      <c r="H926" s="32" t="s">
        <v>2300</v>
      </c>
      <c r="I926" s="6" t="str">
        <f t="shared" si="31"/>
        <v>Etc Grapple</v>
      </c>
      <c r="J926" s="6" t="s">
        <v>136</v>
      </c>
      <c r="K926" s="6">
        <v>1</v>
      </c>
      <c r="L926" s="6">
        <f t="shared" si="32"/>
        <v>2580000</v>
      </c>
      <c r="M926" s="6">
        <v>2200000</v>
      </c>
      <c r="N926" s="6" t="s">
        <v>2003</v>
      </c>
      <c r="O926" s="6" t="s">
        <v>1127</v>
      </c>
      <c r="P926" s="6">
        <v>2009</v>
      </c>
      <c r="Q926" s="6">
        <v>1</v>
      </c>
      <c r="R926" s="6" t="s">
        <v>45</v>
      </c>
      <c r="S926" s="32" t="s">
        <v>2118</v>
      </c>
      <c r="T926" s="6">
        <v>1</v>
      </c>
      <c r="U926" s="26">
        <v>2000000</v>
      </c>
      <c r="V926" s="26">
        <v>2000000</v>
      </c>
      <c r="W926" s="26">
        <v>2000000</v>
      </c>
      <c r="X926" s="6" t="s">
        <v>2003</v>
      </c>
      <c r="Y926" s="6" t="s">
        <v>67</v>
      </c>
      <c r="Z926" s="6">
        <v>226918</v>
      </c>
    </row>
    <row r="927" spans="1:26" x14ac:dyDescent="0.3">
      <c r="A927" s="28" t="s">
        <v>42</v>
      </c>
      <c r="B927" s="6" t="s">
        <v>2339</v>
      </c>
      <c r="C927" s="6" t="s">
        <v>1972</v>
      </c>
      <c r="D927" s="6" t="s">
        <v>2292</v>
      </c>
      <c r="E927" s="6">
        <v>1</v>
      </c>
      <c r="F927" s="6" t="s">
        <v>2004</v>
      </c>
      <c r="G927" s="32" t="s">
        <v>2299</v>
      </c>
      <c r="H927" s="32" t="s">
        <v>2300</v>
      </c>
      <c r="I927" s="6" t="str">
        <f t="shared" si="31"/>
        <v>Stone Grapple</v>
      </c>
      <c r="J927" s="6" t="s">
        <v>120</v>
      </c>
      <c r="K927" s="6">
        <v>1</v>
      </c>
      <c r="L927" s="6">
        <f t="shared" si="32"/>
        <v>6470000</v>
      </c>
      <c r="M927" s="6">
        <v>5500000</v>
      </c>
      <c r="N927" s="6" t="s">
        <v>2003</v>
      </c>
      <c r="O927" s="6" t="s">
        <v>1129</v>
      </c>
      <c r="P927" s="6">
        <v>2014</v>
      </c>
      <c r="Q927" s="6">
        <v>1</v>
      </c>
      <c r="R927" s="6" t="s">
        <v>45</v>
      </c>
      <c r="S927" s="32" t="s">
        <v>2113</v>
      </c>
      <c r="T927" s="6">
        <v>1</v>
      </c>
      <c r="U927" s="26">
        <v>5000000</v>
      </c>
      <c r="V927" s="26">
        <v>5000000</v>
      </c>
      <c r="W927" s="26">
        <v>5000000</v>
      </c>
      <c r="X927" s="6" t="s">
        <v>2003</v>
      </c>
      <c r="Y927" s="6" t="s">
        <v>1318</v>
      </c>
      <c r="Z927" s="6">
        <v>226929</v>
      </c>
    </row>
    <row r="928" spans="1:26" x14ac:dyDescent="0.3">
      <c r="A928" s="28" t="s">
        <v>42</v>
      </c>
      <c r="B928" s="6" t="s">
        <v>2344</v>
      </c>
      <c r="C928" s="6" t="s">
        <v>1976</v>
      </c>
      <c r="D928" s="6" t="s">
        <v>2290</v>
      </c>
      <c r="E928" s="6">
        <v>1</v>
      </c>
      <c r="F928" s="6" t="s">
        <v>2004</v>
      </c>
      <c r="G928" s="32" t="s">
        <v>2299</v>
      </c>
      <c r="H928" s="32" t="s">
        <v>2300</v>
      </c>
      <c r="I928" s="6" t="str">
        <f t="shared" si="31"/>
        <v>Skeleton Bucket</v>
      </c>
      <c r="J928" s="6" t="s">
        <v>284</v>
      </c>
      <c r="K928" s="6">
        <v>1</v>
      </c>
      <c r="L928" s="6">
        <f t="shared" si="32"/>
        <v>1640000</v>
      </c>
      <c r="M928" s="6">
        <v>1400000</v>
      </c>
      <c r="N928" s="6" t="s">
        <v>2003</v>
      </c>
      <c r="O928" s="6" t="s">
        <v>844</v>
      </c>
      <c r="P928" s="6">
        <v>2010</v>
      </c>
      <c r="Q928" s="6">
        <v>1</v>
      </c>
      <c r="R928" s="6" t="s">
        <v>45</v>
      </c>
      <c r="S928" s="32" t="s">
        <v>2123</v>
      </c>
      <c r="T928" s="6">
        <v>1</v>
      </c>
      <c r="U928" s="26">
        <v>1300000</v>
      </c>
      <c r="V928" s="26">
        <v>1300000</v>
      </c>
      <c r="W928" s="26">
        <v>1300000</v>
      </c>
      <c r="X928" s="6" t="s">
        <v>2003</v>
      </c>
      <c r="Y928" s="6" t="s">
        <v>1319</v>
      </c>
      <c r="Z928" s="6">
        <v>226934</v>
      </c>
    </row>
    <row r="929" spans="1:26" x14ac:dyDescent="0.3">
      <c r="A929" s="28" t="s">
        <v>42</v>
      </c>
      <c r="B929" s="6" t="s">
        <v>2338</v>
      </c>
      <c r="C929" s="6" t="s">
        <v>1975</v>
      </c>
      <c r="D929" s="6" t="s">
        <v>2001</v>
      </c>
      <c r="E929" s="6">
        <v>1</v>
      </c>
      <c r="F929" s="6" t="s">
        <v>2004</v>
      </c>
      <c r="G929" s="32" t="s">
        <v>2299</v>
      </c>
      <c r="H929" s="32" t="s">
        <v>2300</v>
      </c>
      <c r="I929" s="6" t="str">
        <f t="shared" si="31"/>
        <v>Side Breaker</v>
      </c>
      <c r="J929" s="6" t="s">
        <v>393</v>
      </c>
      <c r="K929" s="6">
        <v>1</v>
      </c>
      <c r="L929" s="6">
        <f t="shared" si="32"/>
        <v>7050000</v>
      </c>
      <c r="M929" s="6">
        <v>6000000</v>
      </c>
      <c r="N929" s="6" t="s">
        <v>2003</v>
      </c>
      <c r="O929" s="6" t="s">
        <v>845</v>
      </c>
      <c r="P929" s="6">
        <v>2010</v>
      </c>
      <c r="Q929" s="6">
        <v>1</v>
      </c>
      <c r="R929" s="6" t="s">
        <v>45</v>
      </c>
      <c r="S929" s="32" t="s">
        <v>2122</v>
      </c>
      <c r="T929" s="6">
        <v>1</v>
      </c>
      <c r="U929" s="26">
        <v>5500000</v>
      </c>
      <c r="V929" s="26">
        <v>5500000</v>
      </c>
      <c r="W929" s="26">
        <v>5500000</v>
      </c>
      <c r="X929" s="6" t="s">
        <v>2003</v>
      </c>
      <c r="Y929" s="6" t="s">
        <v>1167</v>
      </c>
      <c r="Z929" s="6">
        <v>226936</v>
      </c>
    </row>
    <row r="930" spans="1:26" x14ac:dyDescent="0.3">
      <c r="A930" s="28" t="s">
        <v>42</v>
      </c>
      <c r="B930" s="6" t="s">
        <v>2338</v>
      </c>
      <c r="C930" s="6" t="s">
        <v>1975</v>
      </c>
      <c r="D930" s="6" t="s">
        <v>2001</v>
      </c>
      <c r="E930" s="6">
        <v>1</v>
      </c>
      <c r="F930" s="6" t="s">
        <v>2004</v>
      </c>
      <c r="G930" s="32" t="s">
        <v>2299</v>
      </c>
      <c r="H930" s="32" t="s">
        <v>2300</v>
      </c>
      <c r="I930" s="6" t="str">
        <f t="shared" si="31"/>
        <v>Side Breaker</v>
      </c>
      <c r="J930" s="6" t="s">
        <v>709</v>
      </c>
      <c r="K930" s="6">
        <v>1</v>
      </c>
      <c r="L930" s="6">
        <f t="shared" si="32"/>
        <v>4700000</v>
      </c>
      <c r="M930" s="6">
        <v>4000000</v>
      </c>
      <c r="N930" s="6" t="s">
        <v>2003</v>
      </c>
      <c r="O930" s="6" t="s">
        <v>1132</v>
      </c>
      <c r="P930" s="6">
        <v>2010</v>
      </c>
      <c r="Q930" s="6">
        <v>1</v>
      </c>
      <c r="R930" s="6" t="s">
        <v>45</v>
      </c>
      <c r="S930" s="32" t="s">
        <v>2116</v>
      </c>
      <c r="T930" s="6">
        <v>1</v>
      </c>
      <c r="U930" s="26">
        <v>3800000</v>
      </c>
      <c r="V930" s="26">
        <v>3800000</v>
      </c>
      <c r="W930" s="26">
        <v>3800000</v>
      </c>
      <c r="X930" s="6" t="s">
        <v>2003</v>
      </c>
      <c r="Y930" s="6" t="s">
        <v>1146</v>
      </c>
      <c r="Z930" s="6">
        <v>226946</v>
      </c>
    </row>
    <row r="931" spans="1:26" x14ac:dyDescent="0.3">
      <c r="A931" s="28" t="s">
        <v>42</v>
      </c>
      <c r="B931" s="6" t="s">
        <v>2342</v>
      </c>
      <c r="C931" s="6"/>
      <c r="D931" s="6" t="s">
        <v>2001</v>
      </c>
      <c r="E931" s="6">
        <v>1</v>
      </c>
      <c r="F931" s="6" t="s">
        <v>2004</v>
      </c>
      <c r="G931" s="32" t="s">
        <v>2299</v>
      </c>
      <c r="H931" s="32" t="s">
        <v>2300</v>
      </c>
      <c r="I931" s="6" t="str">
        <f t="shared" si="31"/>
        <v>Quick Coupler</v>
      </c>
      <c r="J931" s="6" t="s">
        <v>411</v>
      </c>
      <c r="K931" s="6">
        <v>1</v>
      </c>
      <c r="L931" s="6">
        <f t="shared" si="32"/>
        <v>2940000</v>
      </c>
      <c r="M931" s="6">
        <v>2500000</v>
      </c>
      <c r="N931" s="6" t="s">
        <v>2003</v>
      </c>
      <c r="O931" s="6" t="s">
        <v>91</v>
      </c>
      <c r="P931" s="6">
        <v>2017</v>
      </c>
      <c r="Q931" s="6">
        <v>1</v>
      </c>
      <c r="R931" s="6" t="s">
        <v>45</v>
      </c>
      <c r="S931" s="32" t="s">
        <v>2111</v>
      </c>
      <c r="T931" s="6">
        <v>1</v>
      </c>
      <c r="U931" s="26">
        <v>2300000</v>
      </c>
      <c r="V931" s="26">
        <v>2300000</v>
      </c>
      <c r="W931" s="26">
        <v>2300000</v>
      </c>
      <c r="X931" s="6" t="s">
        <v>2003</v>
      </c>
      <c r="Y931" s="6" t="s">
        <v>84</v>
      </c>
      <c r="Z931" s="6">
        <v>226949</v>
      </c>
    </row>
    <row r="932" spans="1:26" x14ac:dyDescent="0.3">
      <c r="A932" s="28" t="s">
        <v>42</v>
      </c>
      <c r="B932" s="6" t="s">
        <v>2342</v>
      </c>
      <c r="C932" s="6"/>
      <c r="D932" s="6" t="s">
        <v>2289</v>
      </c>
      <c r="E932" s="6">
        <v>1</v>
      </c>
      <c r="F932" s="6" t="s">
        <v>2004</v>
      </c>
      <c r="G932" s="32" t="s">
        <v>2299</v>
      </c>
      <c r="H932" s="32" t="s">
        <v>2300</v>
      </c>
      <c r="I932" s="6" t="str">
        <f t="shared" si="31"/>
        <v>Quick Coupler</v>
      </c>
      <c r="J932" s="6" t="s">
        <v>780</v>
      </c>
      <c r="K932" s="6">
        <v>1</v>
      </c>
      <c r="L932" s="6">
        <f t="shared" si="32"/>
        <v>3760000</v>
      </c>
      <c r="M932" s="6">
        <v>3200000</v>
      </c>
      <c r="N932" s="6" t="s">
        <v>2003</v>
      </c>
      <c r="O932" s="6" t="s">
        <v>827</v>
      </c>
      <c r="P932" s="6">
        <v>2015</v>
      </c>
      <c r="Q932" s="6">
        <v>1</v>
      </c>
      <c r="R932" s="6" t="s">
        <v>45</v>
      </c>
      <c r="S932" s="32" t="s">
        <v>2118</v>
      </c>
      <c r="T932" s="6">
        <v>1</v>
      </c>
      <c r="U932" s="26">
        <v>3000000</v>
      </c>
      <c r="V932" s="26">
        <v>3000000</v>
      </c>
      <c r="W932" s="26">
        <v>3000000</v>
      </c>
      <c r="X932" s="6" t="s">
        <v>2003</v>
      </c>
      <c r="Y932" s="6" t="s">
        <v>67</v>
      </c>
      <c r="Z932" s="6">
        <v>226954</v>
      </c>
    </row>
    <row r="933" spans="1:26" x14ac:dyDescent="0.3">
      <c r="A933" s="28" t="s">
        <v>42</v>
      </c>
      <c r="B933" s="6" t="s">
        <v>2340</v>
      </c>
      <c r="C933" s="6"/>
      <c r="D933" s="6" t="s">
        <v>2289</v>
      </c>
      <c r="E933" s="6">
        <v>1</v>
      </c>
      <c r="F933" s="6" t="s">
        <v>2004</v>
      </c>
      <c r="G933" s="32" t="s">
        <v>2299</v>
      </c>
      <c r="H933" s="32" t="s">
        <v>2300</v>
      </c>
      <c r="I933" s="6" t="str">
        <f t="shared" si="31"/>
        <v>ETC</v>
      </c>
      <c r="J933" s="6" t="s">
        <v>781</v>
      </c>
      <c r="K933" s="6">
        <v>1</v>
      </c>
      <c r="L933" s="6">
        <f t="shared" si="32"/>
        <v>12350000</v>
      </c>
      <c r="M933" s="6">
        <v>10500000</v>
      </c>
      <c r="N933" s="6" t="s">
        <v>2003</v>
      </c>
      <c r="O933" s="6" t="s">
        <v>2092</v>
      </c>
      <c r="P933" s="6">
        <v>2012</v>
      </c>
      <c r="Q933" s="6">
        <v>8</v>
      </c>
      <c r="R933" s="6" t="s">
        <v>45</v>
      </c>
      <c r="S933" s="32" t="s">
        <v>2110</v>
      </c>
      <c r="T933" s="6">
        <v>1</v>
      </c>
      <c r="U933" s="26">
        <v>10000000</v>
      </c>
      <c r="V933" s="26">
        <v>10000000</v>
      </c>
      <c r="W933" s="26">
        <v>10000000</v>
      </c>
      <c r="X933" s="6" t="s">
        <v>2003</v>
      </c>
      <c r="Y933" s="6" t="s">
        <v>1274</v>
      </c>
      <c r="Z933" s="6">
        <v>226955</v>
      </c>
    </row>
    <row r="934" spans="1:26" x14ac:dyDescent="0.3">
      <c r="A934" s="28" t="s">
        <v>42</v>
      </c>
      <c r="B934" s="6" t="s">
        <v>2341</v>
      </c>
      <c r="C934" s="6" t="s">
        <v>1978</v>
      </c>
      <c r="D934" s="6" t="s">
        <v>2001</v>
      </c>
      <c r="E934" s="6">
        <v>1</v>
      </c>
      <c r="F934" s="6" t="s">
        <v>2004</v>
      </c>
      <c r="G934" s="32" t="s">
        <v>2299</v>
      </c>
      <c r="H934" s="32" t="s">
        <v>2300</v>
      </c>
      <c r="I934" s="6" t="str">
        <f t="shared" si="31"/>
        <v>Hydraulic Pulverizer</v>
      </c>
      <c r="J934" s="6" t="s">
        <v>258</v>
      </c>
      <c r="K934" s="6">
        <v>1</v>
      </c>
      <c r="L934" s="6">
        <f t="shared" si="32"/>
        <v>4940000</v>
      </c>
      <c r="M934" s="6">
        <v>4200000</v>
      </c>
      <c r="N934" s="6" t="s">
        <v>2003</v>
      </c>
      <c r="O934" s="6" t="s">
        <v>1133</v>
      </c>
      <c r="P934" s="6">
        <v>2006</v>
      </c>
      <c r="Q934" s="6">
        <v>1</v>
      </c>
      <c r="R934" s="6" t="s">
        <v>45</v>
      </c>
      <c r="S934" s="32" t="s">
        <v>2118</v>
      </c>
      <c r="T934" s="6">
        <v>1</v>
      </c>
      <c r="U934" s="26">
        <v>4000000</v>
      </c>
      <c r="V934" s="26">
        <v>4000000</v>
      </c>
      <c r="W934" s="26">
        <v>4000000</v>
      </c>
      <c r="X934" s="6" t="s">
        <v>2003</v>
      </c>
      <c r="Y934" s="6" t="s">
        <v>67</v>
      </c>
      <c r="Z934" s="6">
        <v>226961</v>
      </c>
    </row>
    <row r="935" spans="1:26" x14ac:dyDescent="0.3">
      <c r="A935" s="28" t="s">
        <v>42</v>
      </c>
      <c r="B935" s="6" t="s">
        <v>2339</v>
      </c>
      <c r="C935" s="6" t="s">
        <v>1972</v>
      </c>
      <c r="D935" s="6" t="s">
        <v>2292</v>
      </c>
      <c r="E935" s="6">
        <v>1</v>
      </c>
      <c r="F935" s="6" t="s">
        <v>2004</v>
      </c>
      <c r="G935" s="32" t="s">
        <v>2299</v>
      </c>
      <c r="H935" s="32" t="s">
        <v>2300</v>
      </c>
      <c r="I935" s="6" t="str">
        <f t="shared" si="31"/>
        <v>Stone Grapple</v>
      </c>
      <c r="J935" s="6" t="s">
        <v>106</v>
      </c>
      <c r="K935" s="6">
        <v>1</v>
      </c>
      <c r="L935" s="6">
        <f t="shared" si="32"/>
        <v>8230000</v>
      </c>
      <c r="M935" s="6">
        <v>7000000</v>
      </c>
      <c r="N935" s="6" t="s">
        <v>2003</v>
      </c>
      <c r="O935" s="6" t="s">
        <v>2093</v>
      </c>
      <c r="P935" s="6">
        <v>2016</v>
      </c>
      <c r="Q935" s="6">
        <v>10</v>
      </c>
      <c r="R935" s="6" t="s">
        <v>45</v>
      </c>
      <c r="S935" s="32" t="s">
        <v>2122</v>
      </c>
      <c r="T935" s="6">
        <v>1</v>
      </c>
      <c r="U935" s="26">
        <v>6500000</v>
      </c>
      <c r="V935" s="26">
        <v>6500000</v>
      </c>
      <c r="W935" s="26">
        <v>6500000</v>
      </c>
      <c r="X935" s="6" t="s">
        <v>2003</v>
      </c>
      <c r="Y935" s="6" t="s">
        <v>1164</v>
      </c>
      <c r="Z935" s="6">
        <v>226962</v>
      </c>
    </row>
    <row r="936" spans="1:26" x14ac:dyDescent="0.3">
      <c r="A936" s="28" t="s">
        <v>42</v>
      </c>
      <c r="B936" s="6" t="s">
        <v>2339</v>
      </c>
      <c r="C936" s="6" t="s">
        <v>1972</v>
      </c>
      <c r="D936" s="6" t="s">
        <v>2292</v>
      </c>
      <c r="E936" s="6">
        <v>1</v>
      </c>
      <c r="F936" s="6" t="s">
        <v>2004</v>
      </c>
      <c r="G936" s="32" t="s">
        <v>2299</v>
      </c>
      <c r="H936" s="32" t="s">
        <v>2300</v>
      </c>
      <c r="I936" s="6" t="str">
        <f t="shared" si="31"/>
        <v>Stone Grapple</v>
      </c>
      <c r="J936" s="6" t="s">
        <v>48</v>
      </c>
      <c r="K936" s="6">
        <v>1</v>
      </c>
      <c r="L936" s="6">
        <f t="shared" si="32"/>
        <v>3170000</v>
      </c>
      <c r="M936" s="6">
        <v>2700000</v>
      </c>
      <c r="N936" s="6" t="s">
        <v>2003</v>
      </c>
      <c r="O936" s="6" t="s">
        <v>2007</v>
      </c>
      <c r="P936" s="6">
        <v>2014</v>
      </c>
      <c r="Q936" s="6">
        <v>1</v>
      </c>
      <c r="R936" s="6" t="s">
        <v>45</v>
      </c>
      <c r="S936" s="32" t="s">
        <v>2113</v>
      </c>
      <c r="T936" s="6">
        <v>1</v>
      </c>
      <c r="U936" s="26">
        <v>2500000</v>
      </c>
      <c r="V936" s="26">
        <v>2500000</v>
      </c>
      <c r="W936" s="26">
        <v>2500000</v>
      </c>
      <c r="X936" s="6" t="s">
        <v>2003</v>
      </c>
      <c r="Y936" s="6" t="s">
        <v>49</v>
      </c>
      <c r="Z936" s="6">
        <v>226963</v>
      </c>
    </row>
    <row r="937" spans="1:26" x14ac:dyDescent="0.3">
      <c r="A937" s="28" t="s">
        <v>42</v>
      </c>
      <c r="B937" s="6" t="s">
        <v>2338</v>
      </c>
      <c r="C937" s="6" t="s">
        <v>1975</v>
      </c>
      <c r="D937" s="6" t="s">
        <v>2292</v>
      </c>
      <c r="E937" s="6">
        <v>1</v>
      </c>
      <c r="F937" s="6" t="s">
        <v>2004</v>
      </c>
      <c r="G937" s="32" t="s">
        <v>2299</v>
      </c>
      <c r="H937" s="32" t="s">
        <v>2300</v>
      </c>
      <c r="I937" s="6" t="str">
        <f t="shared" si="31"/>
        <v>Side Breaker</v>
      </c>
      <c r="J937" s="6" t="s">
        <v>119</v>
      </c>
      <c r="K937" s="6">
        <v>1</v>
      </c>
      <c r="L937" s="6">
        <f t="shared" si="32"/>
        <v>3760000</v>
      </c>
      <c r="M937" s="6">
        <v>3200000</v>
      </c>
      <c r="N937" s="6" t="s">
        <v>2003</v>
      </c>
      <c r="O937" s="6" t="s">
        <v>1134</v>
      </c>
      <c r="P937" s="6">
        <v>2008</v>
      </c>
      <c r="Q937" s="6">
        <v>1</v>
      </c>
      <c r="R937" s="6" t="s">
        <v>45</v>
      </c>
      <c r="S937" s="32" t="s">
        <v>2118</v>
      </c>
      <c r="T937" s="6">
        <v>1</v>
      </c>
      <c r="U937" s="26">
        <v>3000000</v>
      </c>
      <c r="V937" s="26">
        <v>3000000</v>
      </c>
      <c r="W937" s="26">
        <v>3000000</v>
      </c>
      <c r="X937" s="6" t="s">
        <v>2003</v>
      </c>
      <c r="Y937" s="6" t="s">
        <v>67</v>
      </c>
      <c r="Z937" s="6">
        <v>226965</v>
      </c>
    </row>
    <row r="938" spans="1:26" x14ac:dyDescent="0.3">
      <c r="A938" s="28" t="s">
        <v>42</v>
      </c>
      <c r="B938" s="6" t="s">
        <v>2339</v>
      </c>
      <c r="C938" s="6" t="s">
        <v>1972</v>
      </c>
      <c r="D938" s="6" t="s">
        <v>2292</v>
      </c>
      <c r="E938" s="6">
        <v>1</v>
      </c>
      <c r="F938" s="6" t="s">
        <v>2004</v>
      </c>
      <c r="G938" s="32" t="s">
        <v>2299</v>
      </c>
      <c r="H938" s="32" t="s">
        <v>2300</v>
      </c>
      <c r="I938" s="6" t="str">
        <f t="shared" si="31"/>
        <v>Stone Grapple</v>
      </c>
      <c r="J938" s="6" t="s">
        <v>407</v>
      </c>
      <c r="K938" s="6">
        <v>1</v>
      </c>
      <c r="L938" s="6">
        <f t="shared" si="32"/>
        <v>2820000</v>
      </c>
      <c r="M938" s="6">
        <v>2400000</v>
      </c>
      <c r="N938" s="6" t="s">
        <v>2003</v>
      </c>
      <c r="O938" s="6" t="s">
        <v>2007</v>
      </c>
      <c r="P938" s="6">
        <v>2014</v>
      </c>
      <c r="Q938" s="6">
        <v>1</v>
      </c>
      <c r="R938" s="6" t="s">
        <v>45</v>
      </c>
      <c r="S938" s="32" t="s">
        <v>2113</v>
      </c>
      <c r="T938" s="6">
        <v>1</v>
      </c>
      <c r="U938" s="26">
        <v>2200000</v>
      </c>
      <c r="V938" s="26">
        <v>2200000</v>
      </c>
      <c r="W938" s="26">
        <v>2200000</v>
      </c>
      <c r="X938" s="6" t="s">
        <v>2003</v>
      </c>
      <c r="Y938" s="6" t="s">
        <v>49</v>
      </c>
      <c r="Z938" s="6">
        <v>226970</v>
      </c>
    </row>
    <row r="939" spans="1:26" x14ac:dyDescent="0.3">
      <c r="A939" s="28" t="s">
        <v>42</v>
      </c>
      <c r="B939" s="6" t="s">
        <v>2344</v>
      </c>
      <c r="C939" s="6" t="s">
        <v>1977</v>
      </c>
      <c r="D939" s="6" t="s">
        <v>2294</v>
      </c>
      <c r="E939" s="6">
        <v>1</v>
      </c>
      <c r="F939" s="6" t="s">
        <v>2004</v>
      </c>
      <c r="G939" s="32" t="s">
        <v>2299</v>
      </c>
      <c r="H939" s="32" t="s">
        <v>2300</v>
      </c>
      <c r="I939" s="6" t="str">
        <f t="shared" si="31"/>
        <v>Wide Bucket</v>
      </c>
      <c r="J939" s="6" t="s">
        <v>286</v>
      </c>
      <c r="K939" s="6">
        <v>1</v>
      </c>
      <c r="L939" s="6">
        <f t="shared" si="32"/>
        <v>1170000</v>
      </c>
      <c r="M939" s="6">
        <v>1000000</v>
      </c>
      <c r="N939" s="6" t="s">
        <v>2003</v>
      </c>
      <c r="O939" s="6" t="s">
        <v>1135</v>
      </c>
      <c r="P939" s="6">
        <v>2016</v>
      </c>
      <c r="Q939" s="6">
        <v>1</v>
      </c>
      <c r="R939" s="6" t="s">
        <v>45</v>
      </c>
      <c r="S939" s="32" t="s">
        <v>2112</v>
      </c>
      <c r="T939" s="6">
        <v>1</v>
      </c>
      <c r="U939" s="26">
        <v>900000</v>
      </c>
      <c r="V939" s="26">
        <v>900000</v>
      </c>
      <c r="W939" s="26">
        <v>900000</v>
      </c>
      <c r="X939" s="6" t="s">
        <v>2003</v>
      </c>
      <c r="Y939" s="6" t="s">
        <v>1142</v>
      </c>
      <c r="Z939" s="6">
        <v>226977</v>
      </c>
    </row>
    <row r="940" spans="1:26" x14ac:dyDescent="0.3">
      <c r="A940" s="28" t="s">
        <v>42</v>
      </c>
      <c r="B940" s="6" t="s">
        <v>2341</v>
      </c>
      <c r="C940" s="19" t="s">
        <v>2321</v>
      </c>
      <c r="D940" s="6" t="s">
        <v>2001</v>
      </c>
      <c r="E940" s="6">
        <v>1</v>
      </c>
      <c r="F940" s="6" t="s">
        <v>2004</v>
      </c>
      <c r="G940" s="32" t="s">
        <v>2299</v>
      </c>
      <c r="H940" s="32" t="s">
        <v>2300</v>
      </c>
      <c r="I940" s="6" t="str">
        <f t="shared" si="31"/>
        <v>Etc Crusher</v>
      </c>
      <c r="J940" s="6" t="s">
        <v>181</v>
      </c>
      <c r="K940" s="6">
        <v>1</v>
      </c>
      <c r="L940" s="6">
        <f t="shared" si="32"/>
        <v>15290000</v>
      </c>
      <c r="M940" s="6">
        <v>13000000</v>
      </c>
      <c r="N940" s="6" t="s">
        <v>2003</v>
      </c>
      <c r="O940" s="6" t="s">
        <v>1136</v>
      </c>
      <c r="P940" s="6">
        <v>2005</v>
      </c>
      <c r="Q940" s="6">
        <v>1</v>
      </c>
      <c r="R940" s="6" t="s">
        <v>45</v>
      </c>
      <c r="S940" s="32" t="s">
        <v>2110</v>
      </c>
      <c r="T940" s="6">
        <v>1</v>
      </c>
      <c r="U940" s="26">
        <v>12500000</v>
      </c>
      <c r="V940" s="26">
        <v>12500000</v>
      </c>
      <c r="W940" s="26">
        <v>12500000</v>
      </c>
      <c r="X940" s="6" t="s">
        <v>2003</v>
      </c>
      <c r="Y940" s="6" t="s">
        <v>1317</v>
      </c>
      <c r="Z940" s="6">
        <v>226979</v>
      </c>
    </row>
    <row r="941" spans="1:26" x14ac:dyDescent="0.3">
      <c r="A941" s="28" t="s">
        <v>42</v>
      </c>
      <c r="B941" s="6" t="s">
        <v>2341</v>
      </c>
      <c r="C941" s="6" t="s">
        <v>1978</v>
      </c>
      <c r="D941" s="6" t="s">
        <v>2001</v>
      </c>
      <c r="E941" s="6">
        <v>1</v>
      </c>
      <c r="F941" s="6" t="s">
        <v>2004</v>
      </c>
      <c r="G941" s="32" t="s">
        <v>2299</v>
      </c>
      <c r="H941" s="32" t="s">
        <v>2300</v>
      </c>
      <c r="I941" s="6" t="str">
        <f t="shared" si="31"/>
        <v>Hydraulic Pulverizer</v>
      </c>
      <c r="J941" s="6" t="s">
        <v>258</v>
      </c>
      <c r="K941" s="6">
        <v>1</v>
      </c>
      <c r="L941" s="6">
        <f t="shared" si="32"/>
        <v>12350000</v>
      </c>
      <c r="M941" s="6">
        <v>10500000</v>
      </c>
      <c r="N941" s="6" t="s">
        <v>2003</v>
      </c>
      <c r="O941" s="6" t="s">
        <v>1137</v>
      </c>
      <c r="P941" s="6">
        <v>2005</v>
      </c>
      <c r="Q941" s="6">
        <v>1</v>
      </c>
      <c r="R941" s="6" t="s">
        <v>45</v>
      </c>
      <c r="S941" s="32" t="s">
        <v>2110</v>
      </c>
      <c r="T941" s="6">
        <v>1</v>
      </c>
      <c r="U941" s="26">
        <v>10000000</v>
      </c>
      <c r="V941" s="26">
        <v>10000000</v>
      </c>
      <c r="W941" s="26">
        <v>10000000</v>
      </c>
      <c r="X941" s="6" t="s">
        <v>2003</v>
      </c>
      <c r="Y941" s="6" t="s">
        <v>1317</v>
      </c>
      <c r="Z941" s="6">
        <v>226980</v>
      </c>
    </row>
    <row r="942" spans="1:26" x14ac:dyDescent="0.3">
      <c r="A942" s="28" t="s">
        <v>42</v>
      </c>
      <c r="B942" s="6" t="s">
        <v>2344</v>
      </c>
      <c r="C942" s="6" t="s">
        <v>1980</v>
      </c>
      <c r="D942" s="6" t="s">
        <v>2291</v>
      </c>
      <c r="E942" s="6">
        <v>1</v>
      </c>
      <c r="F942" s="6" t="s">
        <v>2004</v>
      </c>
      <c r="G942" s="32" t="s">
        <v>2299</v>
      </c>
      <c r="H942" s="32" t="s">
        <v>2300</v>
      </c>
      <c r="I942" s="6" t="str">
        <f t="shared" si="31"/>
        <v>Small Bucket</v>
      </c>
      <c r="J942" s="6" t="s">
        <v>787</v>
      </c>
      <c r="K942" s="6">
        <v>1</v>
      </c>
      <c r="L942" s="6">
        <f t="shared" si="32"/>
        <v>700000</v>
      </c>
      <c r="M942" s="6">
        <v>600000</v>
      </c>
      <c r="N942" s="6" t="s">
        <v>2003</v>
      </c>
      <c r="O942" s="6" t="s">
        <v>793</v>
      </c>
      <c r="P942" s="6">
        <v>2012</v>
      </c>
      <c r="Q942" s="6">
        <v>1</v>
      </c>
      <c r="R942" s="6" t="s">
        <v>45</v>
      </c>
      <c r="S942" s="32" t="s">
        <v>2116</v>
      </c>
      <c r="T942" s="6">
        <v>1</v>
      </c>
      <c r="U942" s="26">
        <v>500000</v>
      </c>
      <c r="V942" s="26">
        <v>500000</v>
      </c>
      <c r="W942" s="26">
        <v>500000</v>
      </c>
      <c r="X942" s="6" t="s">
        <v>2003</v>
      </c>
      <c r="Y942" s="6" t="s">
        <v>1146</v>
      </c>
      <c r="Z942" s="6">
        <v>226983</v>
      </c>
    </row>
    <row r="943" spans="1:26" x14ac:dyDescent="0.3">
      <c r="A943" s="28" t="s">
        <v>42</v>
      </c>
      <c r="B943" s="6" t="s">
        <v>2340</v>
      </c>
      <c r="C943" s="6"/>
      <c r="D943" s="6" t="s">
        <v>2291</v>
      </c>
      <c r="E943" s="6">
        <v>1</v>
      </c>
      <c r="F943" s="6" t="s">
        <v>2004</v>
      </c>
      <c r="G943" s="32" t="s">
        <v>2299</v>
      </c>
      <c r="H943" s="32" t="s">
        <v>2300</v>
      </c>
      <c r="I943" s="6" t="str">
        <f t="shared" si="31"/>
        <v>ETC</v>
      </c>
      <c r="J943" s="6" t="s">
        <v>788</v>
      </c>
      <c r="K943" s="6">
        <v>1</v>
      </c>
      <c r="L943" s="6">
        <f t="shared" si="32"/>
        <v>820000</v>
      </c>
      <c r="M943" s="6">
        <v>700000</v>
      </c>
      <c r="N943" s="6" t="s">
        <v>2003</v>
      </c>
      <c r="O943" s="6" t="s">
        <v>1138</v>
      </c>
      <c r="P943" s="6">
        <v>2016</v>
      </c>
      <c r="Q943" s="6">
        <v>6</v>
      </c>
      <c r="R943" s="6" t="s">
        <v>45</v>
      </c>
      <c r="S943" s="32" t="s">
        <v>2117</v>
      </c>
      <c r="T943" s="6">
        <v>1</v>
      </c>
      <c r="U943" s="26">
        <v>600000</v>
      </c>
      <c r="V943" s="26">
        <v>600000</v>
      </c>
      <c r="W943" s="26">
        <v>600000</v>
      </c>
      <c r="X943" s="6" t="s">
        <v>2003</v>
      </c>
      <c r="Y943" s="6" t="s">
        <v>1322</v>
      </c>
      <c r="Z943" s="6">
        <v>226984</v>
      </c>
    </row>
    <row r="944" spans="1:26" x14ac:dyDescent="0.3">
      <c r="A944" s="28" t="s">
        <v>42</v>
      </c>
      <c r="B944" s="6" t="s">
        <v>2339</v>
      </c>
      <c r="C944" s="6" t="s">
        <v>1972</v>
      </c>
      <c r="D944" s="6" t="s">
        <v>2001</v>
      </c>
      <c r="E944" s="6">
        <v>1</v>
      </c>
      <c r="F944" s="6" t="s">
        <v>2004</v>
      </c>
      <c r="G944" s="32" t="s">
        <v>2299</v>
      </c>
      <c r="H944" s="32" t="s">
        <v>2300</v>
      </c>
      <c r="I944" s="6" t="str">
        <f t="shared" si="31"/>
        <v>Stone Grapple</v>
      </c>
      <c r="J944" s="6" t="s">
        <v>203</v>
      </c>
      <c r="K944" s="6">
        <v>1</v>
      </c>
      <c r="L944" s="6">
        <f t="shared" si="32"/>
        <v>5520000</v>
      </c>
      <c r="M944" s="6">
        <v>4700000</v>
      </c>
      <c r="N944" s="6" t="s">
        <v>2003</v>
      </c>
      <c r="O944" s="6" t="s">
        <v>1139</v>
      </c>
      <c r="P944" s="6">
        <v>2010</v>
      </c>
      <c r="Q944" s="6">
        <v>1</v>
      </c>
      <c r="R944" s="6" t="s">
        <v>45</v>
      </c>
      <c r="S944" s="32" t="s">
        <v>2117</v>
      </c>
      <c r="T944" s="6">
        <v>1</v>
      </c>
      <c r="U944" s="26">
        <v>4500000</v>
      </c>
      <c r="V944" s="26">
        <v>4500000</v>
      </c>
      <c r="W944" s="26">
        <v>4500000</v>
      </c>
      <c r="X944" s="6" t="s">
        <v>2003</v>
      </c>
      <c r="Y944" s="6" t="s">
        <v>1323</v>
      </c>
      <c r="Z944" s="6">
        <v>226995</v>
      </c>
    </row>
    <row r="945" spans="1:26" x14ac:dyDescent="0.3">
      <c r="A945" s="28" t="s">
        <v>42</v>
      </c>
      <c r="B945" s="6" t="s">
        <v>2342</v>
      </c>
      <c r="C945" s="6"/>
      <c r="D945" s="6" t="s">
        <v>2292</v>
      </c>
      <c r="E945" s="6">
        <v>1</v>
      </c>
      <c r="F945" s="6" t="s">
        <v>2004</v>
      </c>
      <c r="G945" s="32" t="s">
        <v>2299</v>
      </c>
      <c r="H945" s="32" t="s">
        <v>2300</v>
      </c>
      <c r="I945" s="6" t="str">
        <f t="shared" si="31"/>
        <v>Quick Coupler</v>
      </c>
      <c r="J945" s="6" t="s">
        <v>351</v>
      </c>
      <c r="K945" s="6">
        <v>1</v>
      </c>
      <c r="L945" s="6">
        <f t="shared" si="32"/>
        <v>1000000</v>
      </c>
      <c r="M945" s="6">
        <v>850000</v>
      </c>
      <c r="N945" s="6" t="s">
        <v>2003</v>
      </c>
      <c r="O945" s="6" t="s">
        <v>789</v>
      </c>
      <c r="P945" s="6">
        <v>2007</v>
      </c>
      <c r="Q945" s="6">
        <v>1</v>
      </c>
      <c r="R945" s="6" t="s">
        <v>45</v>
      </c>
      <c r="S945" s="32" t="s">
        <v>2122</v>
      </c>
      <c r="T945" s="6">
        <v>1</v>
      </c>
      <c r="U945" s="26">
        <v>750000</v>
      </c>
      <c r="V945" s="26">
        <v>750000</v>
      </c>
      <c r="W945" s="26">
        <v>750000</v>
      </c>
      <c r="X945" s="6" t="s">
        <v>2003</v>
      </c>
      <c r="Y945" s="6" t="s">
        <v>65</v>
      </c>
      <c r="Z945" s="6">
        <v>227005</v>
      </c>
    </row>
    <row r="946" spans="1:26" x14ac:dyDescent="0.3">
      <c r="A946" s="28" t="s">
        <v>42</v>
      </c>
      <c r="B946" s="6" t="s">
        <v>2340</v>
      </c>
      <c r="C946" s="6"/>
      <c r="D946" s="6" t="s">
        <v>2295</v>
      </c>
      <c r="E946" s="6">
        <v>1</v>
      </c>
      <c r="F946" s="6" t="s">
        <v>2004</v>
      </c>
      <c r="G946" s="32" t="s">
        <v>2299</v>
      </c>
      <c r="H946" s="32" t="s">
        <v>2300</v>
      </c>
      <c r="I946" s="6" t="str">
        <f t="shared" si="31"/>
        <v>ETC</v>
      </c>
      <c r="J946" s="6" t="s">
        <v>165</v>
      </c>
      <c r="K946" s="6">
        <v>1</v>
      </c>
      <c r="L946" s="6">
        <f t="shared" si="32"/>
        <v>350000</v>
      </c>
      <c r="M946" s="6">
        <v>300000</v>
      </c>
      <c r="N946" s="6" t="s">
        <v>2003</v>
      </c>
      <c r="O946" s="6" t="s">
        <v>798</v>
      </c>
      <c r="P946" s="6">
        <v>2016</v>
      </c>
      <c r="Q946" s="6">
        <v>1</v>
      </c>
      <c r="R946" s="6" t="s">
        <v>45</v>
      </c>
      <c r="S946" s="32" t="s">
        <v>2113</v>
      </c>
      <c r="T946" s="6">
        <v>1</v>
      </c>
      <c r="U946" s="26">
        <v>250000</v>
      </c>
      <c r="V946" s="26">
        <v>250000</v>
      </c>
      <c r="W946" s="26">
        <v>250000</v>
      </c>
      <c r="X946" s="6" t="s">
        <v>2003</v>
      </c>
      <c r="Y946" s="6" t="s">
        <v>71</v>
      </c>
      <c r="Z946" s="6">
        <v>227018</v>
      </c>
    </row>
    <row r="947" spans="1:26" x14ac:dyDescent="0.3">
      <c r="A947" s="28" t="s">
        <v>42</v>
      </c>
      <c r="B947" s="6" t="s">
        <v>2343</v>
      </c>
      <c r="C947" s="6"/>
      <c r="D947" s="6" t="s">
        <v>2292</v>
      </c>
      <c r="E947" s="6">
        <v>1</v>
      </c>
      <c r="F947" s="6" t="s">
        <v>2004</v>
      </c>
      <c r="G947" s="32" t="s">
        <v>2299</v>
      </c>
      <c r="H947" s="32" t="s">
        <v>2300</v>
      </c>
      <c r="I947" s="6" t="str">
        <f t="shared" si="31"/>
        <v>Lift Fork</v>
      </c>
      <c r="J947" s="6" t="s">
        <v>102</v>
      </c>
      <c r="K947" s="6">
        <v>1</v>
      </c>
      <c r="L947" s="6">
        <f t="shared" si="32"/>
        <v>940000</v>
      </c>
      <c r="M947" s="6">
        <v>800000</v>
      </c>
      <c r="N947" s="6" t="s">
        <v>2003</v>
      </c>
      <c r="O947" s="6" t="s">
        <v>1888</v>
      </c>
      <c r="P947" s="6">
        <v>2013</v>
      </c>
      <c r="Q947" s="6">
        <v>1</v>
      </c>
      <c r="R947" s="6" t="s">
        <v>45</v>
      </c>
      <c r="S947" s="32" t="s">
        <v>2110</v>
      </c>
      <c r="T947" s="6">
        <v>1</v>
      </c>
      <c r="U947" s="26">
        <v>700000</v>
      </c>
      <c r="V947" s="26">
        <v>700000</v>
      </c>
      <c r="W947" s="26">
        <v>700000</v>
      </c>
      <c r="X947" s="6" t="s">
        <v>2003</v>
      </c>
      <c r="Y947" s="6" t="s">
        <v>1317</v>
      </c>
      <c r="Z947" s="6">
        <v>227023</v>
      </c>
    </row>
    <row r="948" spans="1:26" x14ac:dyDescent="0.3">
      <c r="A948" s="28" t="s">
        <v>42</v>
      </c>
      <c r="B948" s="6" t="s">
        <v>2338</v>
      </c>
      <c r="C948" s="6" t="s">
        <v>1975</v>
      </c>
      <c r="D948" s="6" t="s">
        <v>2291</v>
      </c>
      <c r="E948" s="6">
        <v>1</v>
      </c>
      <c r="F948" s="6" t="s">
        <v>2004</v>
      </c>
      <c r="G948" s="32" t="s">
        <v>2299</v>
      </c>
      <c r="H948" s="32" t="s">
        <v>2300</v>
      </c>
      <c r="I948" s="6" t="str">
        <f t="shared" si="31"/>
        <v>Side Breaker</v>
      </c>
      <c r="J948" s="6" t="s">
        <v>2149</v>
      </c>
      <c r="K948" s="6">
        <v>1</v>
      </c>
      <c r="L948" s="6">
        <f t="shared" si="32"/>
        <v>5520000</v>
      </c>
      <c r="M948" s="6">
        <v>4700000</v>
      </c>
      <c r="N948" s="6" t="s">
        <v>2003</v>
      </c>
      <c r="O948" s="6" t="s">
        <v>2094</v>
      </c>
      <c r="P948" s="6">
        <v>2014</v>
      </c>
      <c r="Q948" s="6">
        <v>6</v>
      </c>
      <c r="R948" s="6" t="s">
        <v>45</v>
      </c>
      <c r="S948" s="32" t="s">
        <v>2122</v>
      </c>
      <c r="T948" s="6">
        <v>1</v>
      </c>
      <c r="U948" s="26">
        <v>4500000</v>
      </c>
      <c r="V948" s="26">
        <v>4500000</v>
      </c>
      <c r="W948" s="26">
        <v>4500000</v>
      </c>
      <c r="X948" s="6" t="s">
        <v>2003</v>
      </c>
      <c r="Y948" s="6" t="s">
        <v>1227</v>
      </c>
      <c r="Z948" s="6">
        <v>227025</v>
      </c>
    </row>
    <row r="949" spans="1:26" x14ac:dyDescent="0.3">
      <c r="A949" s="28" t="s">
        <v>42</v>
      </c>
      <c r="B949" s="6" t="s">
        <v>2340</v>
      </c>
      <c r="C949" s="6"/>
      <c r="D949" s="6" t="s">
        <v>2291</v>
      </c>
      <c r="E949" s="6">
        <v>1</v>
      </c>
      <c r="F949" s="6" t="s">
        <v>2004</v>
      </c>
      <c r="G949" s="32" t="s">
        <v>2299</v>
      </c>
      <c r="H949" s="32" t="s">
        <v>2300</v>
      </c>
      <c r="I949" s="6" t="str">
        <f t="shared" si="31"/>
        <v>ETC</v>
      </c>
      <c r="J949" s="6" t="s">
        <v>46</v>
      </c>
      <c r="K949" s="6">
        <v>1</v>
      </c>
      <c r="L949" s="6">
        <f t="shared" si="32"/>
        <v>4350000</v>
      </c>
      <c r="M949" s="6">
        <v>3700000</v>
      </c>
      <c r="N949" s="6" t="s">
        <v>2003</v>
      </c>
      <c r="O949" s="6" t="s">
        <v>2015</v>
      </c>
      <c r="P949" s="6">
        <v>2012</v>
      </c>
      <c r="Q949" s="6">
        <v>6</v>
      </c>
      <c r="R949" s="6" t="s">
        <v>45</v>
      </c>
      <c r="S949" s="32" t="s">
        <v>2113</v>
      </c>
      <c r="T949" s="6">
        <v>1</v>
      </c>
      <c r="U949" s="26">
        <v>3500000</v>
      </c>
      <c r="V949" s="26">
        <v>3500000</v>
      </c>
      <c r="W949" s="26">
        <v>3500000</v>
      </c>
      <c r="X949" s="6" t="s">
        <v>2003</v>
      </c>
      <c r="Y949" s="6" t="s">
        <v>47</v>
      </c>
      <c r="Z949" s="6">
        <v>227033</v>
      </c>
    </row>
    <row r="950" spans="1:26" x14ac:dyDescent="0.3">
      <c r="A950" s="28" t="s">
        <v>42</v>
      </c>
      <c r="B950" s="6" t="s">
        <v>2344</v>
      </c>
      <c r="C950" s="6" t="s">
        <v>1976</v>
      </c>
      <c r="D950" s="6" t="s">
        <v>2292</v>
      </c>
      <c r="E950" s="6">
        <v>1</v>
      </c>
      <c r="F950" s="6" t="s">
        <v>2004</v>
      </c>
      <c r="G950" s="32" t="s">
        <v>2299</v>
      </c>
      <c r="H950" s="32" t="s">
        <v>2300</v>
      </c>
      <c r="I950" s="6" t="str">
        <f t="shared" si="31"/>
        <v>Skeleton Bucket</v>
      </c>
      <c r="J950" s="6" t="s">
        <v>118</v>
      </c>
      <c r="K950" s="6">
        <v>1</v>
      </c>
      <c r="L950" s="6">
        <f t="shared" si="32"/>
        <v>1050000</v>
      </c>
      <c r="M950" s="6">
        <v>900000</v>
      </c>
      <c r="N950" s="6" t="s">
        <v>2003</v>
      </c>
      <c r="O950" s="6" t="s">
        <v>823</v>
      </c>
      <c r="P950" s="6">
        <v>2013</v>
      </c>
      <c r="Q950" s="6">
        <v>1</v>
      </c>
      <c r="R950" s="6" t="s">
        <v>45</v>
      </c>
      <c r="S950" s="32" t="s">
        <v>2113</v>
      </c>
      <c r="T950" s="6">
        <v>1</v>
      </c>
      <c r="U950" s="26">
        <v>800000</v>
      </c>
      <c r="V950" s="26">
        <v>800000</v>
      </c>
      <c r="W950" s="26">
        <v>800000</v>
      </c>
      <c r="X950" s="6" t="s">
        <v>2003</v>
      </c>
      <c r="Y950" s="6" t="s">
        <v>49</v>
      </c>
      <c r="Z950" s="6">
        <v>227049</v>
      </c>
    </row>
    <row r="951" spans="1:26" x14ac:dyDescent="0.3">
      <c r="A951" s="28" t="s">
        <v>42</v>
      </c>
      <c r="B951" s="6" t="s">
        <v>2340</v>
      </c>
      <c r="C951" s="6"/>
      <c r="D951" s="6" t="s">
        <v>2295</v>
      </c>
      <c r="E951" s="6">
        <v>1</v>
      </c>
      <c r="F951" s="6" t="s">
        <v>2004</v>
      </c>
      <c r="G951" s="32" t="s">
        <v>2299</v>
      </c>
      <c r="H951" s="32" t="s">
        <v>2300</v>
      </c>
      <c r="I951" s="6" t="str">
        <f t="shared" si="31"/>
        <v>ETC</v>
      </c>
      <c r="J951" s="6" t="s">
        <v>165</v>
      </c>
      <c r="K951" s="6">
        <v>1</v>
      </c>
      <c r="L951" s="6">
        <f t="shared" si="32"/>
        <v>2940000</v>
      </c>
      <c r="M951" s="6">
        <v>2500000</v>
      </c>
      <c r="N951" s="6" t="s">
        <v>2003</v>
      </c>
      <c r="O951" s="6" t="s">
        <v>70</v>
      </c>
      <c r="P951" s="6">
        <v>2016</v>
      </c>
      <c r="Q951" s="6">
        <v>7</v>
      </c>
      <c r="R951" s="6" t="s">
        <v>45</v>
      </c>
      <c r="S951" s="32" t="s">
        <v>2113</v>
      </c>
      <c r="T951" s="6">
        <v>1</v>
      </c>
      <c r="U951" s="26">
        <v>2300000</v>
      </c>
      <c r="V951" s="26">
        <v>2300000</v>
      </c>
      <c r="W951" s="26">
        <v>2300000</v>
      </c>
      <c r="X951" s="6" t="s">
        <v>2003</v>
      </c>
      <c r="Y951" s="6" t="s">
        <v>71</v>
      </c>
      <c r="Z951" s="6">
        <v>227052</v>
      </c>
    </row>
    <row r="952" spans="1:26" x14ac:dyDescent="0.3">
      <c r="A952" s="28" t="s">
        <v>42</v>
      </c>
      <c r="B952" s="6" t="s">
        <v>2338</v>
      </c>
      <c r="C952" s="6" t="s">
        <v>1975</v>
      </c>
      <c r="D952" s="6" t="s">
        <v>2293</v>
      </c>
      <c r="E952" s="6">
        <v>1</v>
      </c>
      <c r="F952" s="6" t="s">
        <v>2004</v>
      </c>
      <c r="G952" s="32" t="s">
        <v>2299</v>
      </c>
      <c r="H952" s="32" t="s">
        <v>2300</v>
      </c>
      <c r="I952" s="6" t="str">
        <f t="shared" si="31"/>
        <v>Side Breaker</v>
      </c>
      <c r="J952" s="6" t="s">
        <v>172</v>
      </c>
      <c r="K952" s="6">
        <v>1</v>
      </c>
      <c r="L952" s="6">
        <f t="shared" si="32"/>
        <v>2000000</v>
      </c>
      <c r="M952" s="6">
        <v>1700000</v>
      </c>
      <c r="N952" s="6" t="s">
        <v>2003</v>
      </c>
      <c r="O952" s="6" t="s">
        <v>70</v>
      </c>
      <c r="P952" s="6">
        <v>2015</v>
      </c>
      <c r="Q952" s="6">
        <v>1</v>
      </c>
      <c r="R952" s="6" t="s">
        <v>45</v>
      </c>
      <c r="S952" s="32" t="s">
        <v>2113</v>
      </c>
      <c r="T952" s="6">
        <v>1</v>
      </c>
      <c r="U952" s="26">
        <v>1600000</v>
      </c>
      <c r="V952" s="26">
        <v>1600000</v>
      </c>
      <c r="W952" s="26">
        <v>1600000</v>
      </c>
      <c r="X952" s="6" t="s">
        <v>2003</v>
      </c>
      <c r="Y952" s="6" t="s">
        <v>71</v>
      </c>
      <c r="Z952" s="6">
        <v>227059</v>
      </c>
    </row>
    <row r="953" spans="1:26" x14ac:dyDescent="0.3">
      <c r="A953" s="28" t="s">
        <v>42</v>
      </c>
      <c r="B953" s="6" t="s">
        <v>2338</v>
      </c>
      <c r="C953" s="6" t="s">
        <v>1975</v>
      </c>
      <c r="D953" s="6" t="s">
        <v>2292</v>
      </c>
      <c r="E953" s="6">
        <v>1</v>
      </c>
      <c r="F953" s="6" t="s">
        <v>2004</v>
      </c>
      <c r="G953" s="32" t="s">
        <v>2299</v>
      </c>
      <c r="H953" s="32" t="s">
        <v>2300</v>
      </c>
      <c r="I953" s="6" t="str">
        <f t="shared" si="31"/>
        <v>Side Breaker</v>
      </c>
      <c r="J953" s="6" t="s">
        <v>240</v>
      </c>
      <c r="K953" s="6">
        <v>1</v>
      </c>
      <c r="L953" s="6">
        <f t="shared" si="32"/>
        <v>6700000</v>
      </c>
      <c r="M953" s="6">
        <v>5700000</v>
      </c>
      <c r="N953" s="6" t="s">
        <v>2003</v>
      </c>
      <c r="O953" s="6" t="s">
        <v>823</v>
      </c>
      <c r="P953" s="6">
        <v>2016</v>
      </c>
      <c r="Q953" s="6">
        <v>1</v>
      </c>
      <c r="R953" s="6" t="s">
        <v>45</v>
      </c>
      <c r="S953" s="32" t="s">
        <v>2113</v>
      </c>
      <c r="T953" s="6">
        <v>1</v>
      </c>
      <c r="U953" s="26">
        <v>5200000</v>
      </c>
      <c r="V953" s="26">
        <v>5200000</v>
      </c>
      <c r="W953" s="26">
        <v>5200000</v>
      </c>
      <c r="X953" s="6" t="s">
        <v>2003</v>
      </c>
      <c r="Y953" s="6" t="s">
        <v>49</v>
      </c>
      <c r="Z953" s="6">
        <v>227062</v>
      </c>
    </row>
    <row r="954" spans="1:26" x14ac:dyDescent="0.3">
      <c r="A954" s="28" t="s">
        <v>42</v>
      </c>
      <c r="B954" s="6" t="s">
        <v>2344</v>
      </c>
      <c r="C954" s="6" t="s">
        <v>1982</v>
      </c>
      <c r="D954" s="6" t="s">
        <v>2001</v>
      </c>
      <c r="E954" s="6">
        <v>1</v>
      </c>
      <c r="F954" s="6" t="s">
        <v>2004</v>
      </c>
      <c r="G954" s="32" t="s">
        <v>2299</v>
      </c>
      <c r="H954" s="32" t="s">
        <v>2300</v>
      </c>
      <c r="I954" s="6" t="str">
        <f t="shared" si="31"/>
        <v>Standard Bucket</v>
      </c>
      <c r="J954" s="6" t="s">
        <v>507</v>
      </c>
      <c r="K954" s="6">
        <v>1</v>
      </c>
      <c r="L954" s="6">
        <f t="shared" si="32"/>
        <v>2580000</v>
      </c>
      <c r="M954" s="6">
        <v>2200000</v>
      </c>
      <c r="N954" s="6" t="s">
        <v>2003</v>
      </c>
      <c r="O954" s="6" t="s">
        <v>813</v>
      </c>
      <c r="P954" s="6">
        <v>2013</v>
      </c>
      <c r="Q954" s="6">
        <v>1</v>
      </c>
      <c r="R954" s="6" t="s">
        <v>45</v>
      </c>
      <c r="S954" s="32" t="s">
        <v>2113</v>
      </c>
      <c r="T954" s="6">
        <v>1</v>
      </c>
      <c r="U954" s="26">
        <v>2000000</v>
      </c>
      <c r="V954" s="26">
        <v>2000000</v>
      </c>
      <c r="W954" s="26">
        <v>2000000</v>
      </c>
      <c r="X954" s="6" t="s">
        <v>2003</v>
      </c>
      <c r="Y954" s="6" t="s">
        <v>79</v>
      </c>
      <c r="Z954" s="6">
        <v>227065</v>
      </c>
    </row>
    <row r="955" spans="1:26" x14ac:dyDescent="0.3">
      <c r="A955" s="28" t="s">
        <v>42</v>
      </c>
      <c r="B955" s="6" t="s">
        <v>2344</v>
      </c>
      <c r="C955" s="6" t="s">
        <v>1977</v>
      </c>
      <c r="D955" s="6" t="s">
        <v>2290</v>
      </c>
      <c r="E955" s="6">
        <v>1</v>
      </c>
      <c r="F955" s="6" t="s">
        <v>2004</v>
      </c>
      <c r="G955" s="32" t="s">
        <v>2299</v>
      </c>
      <c r="H955" s="32" t="s">
        <v>2300</v>
      </c>
      <c r="I955" s="6" t="str">
        <f t="shared" si="31"/>
        <v>Wide Bucket</v>
      </c>
      <c r="J955" s="6" t="s">
        <v>275</v>
      </c>
      <c r="K955" s="6">
        <v>1</v>
      </c>
      <c r="L955" s="6">
        <f t="shared" si="32"/>
        <v>3170000</v>
      </c>
      <c r="M955" s="6">
        <v>2700000</v>
      </c>
      <c r="N955" s="6" t="s">
        <v>2003</v>
      </c>
      <c r="O955" s="6" t="s">
        <v>2011</v>
      </c>
      <c r="P955" s="6">
        <v>2012</v>
      </c>
      <c r="Q955" s="6">
        <v>6</v>
      </c>
      <c r="R955" s="6" t="s">
        <v>45</v>
      </c>
      <c r="S955" s="32" t="s">
        <v>2123</v>
      </c>
      <c r="T955" s="6">
        <v>1</v>
      </c>
      <c r="U955" s="26">
        <v>2500000</v>
      </c>
      <c r="V955" s="26">
        <v>2500000</v>
      </c>
      <c r="W955" s="26">
        <v>2500000</v>
      </c>
      <c r="X955" s="6" t="s">
        <v>2003</v>
      </c>
      <c r="Y955" s="6" t="s">
        <v>1200</v>
      </c>
      <c r="Z955" s="6">
        <v>227067</v>
      </c>
    </row>
    <row r="956" spans="1:26" x14ac:dyDescent="0.3">
      <c r="A956" s="28" t="s">
        <v>42</v>
      </c>
      <c r="B956" s="6" t="s">
        <v>2339</v>
      </c>
      <c r="C956" s="6" t="s">
        <v>1972</v>
      </c>
      <c r="D956" s="6" t="s">
        <v>2292</v>
      </c>
      <c r="E956" s="6">
        <v>1</v>
      </c>
      <c r="F956" s="6" t="s">
        <v>2004</v>
      </c>
      <c r="G956" s="32" t="s">
        <v>2299</v>
      </c>
      <c r="H956" s="32" t="s">
        <v>2300</v>
      </c>
      <c r="I956" s="6" t="str">
        <f t="shared" si="31"/>
        <v>Stone Grapple</v>
      </c>
      <c r="J956" s="6" t="s">
        <v>44</v>
      </c>
      <c r="K956" s="6">
        <v>1</v>
      </c>
      <c r="L956" s="6">
        <f t="shared" si="32"/>
        <v>3050000</v>
      </c>
      <c r="M956" s="6">
        <v>2600000</v>
      </c>
      <c r="N956" s="6" t="s">
        <v>2003</v>
      </c>
      <c r="O956" s="6" t="s">
        <v>2007</v>
      </c>
      <c r="P956" s="6">
        <v>2015</v>
      </c>
      <c r="Q956" s="6">
        <v>1</v>
      </c>
      <c r="R956" s="6" t="s">
        <v>45</v>
      </c>
      <c r="S956" s="32" t="s">
        <v>2113</v>
      </c>
      <c r="T956" s="6">
        <v>1</v>
      </c>
      <c r="U956" s="26">
        <v>2400000</v>
      </c>
      <c r="V956" s="26">
        <v>2400000</v>
      </c>
      <c r="W956" s="26">
        <v>2400000</v>
      </c>
      <c r="X956" s="6" t="s">
        <v>2003</v>
      </c>
      <c r="Y956" s="6" t="s">
        <v>49</v>
      </c>
      <c r="Z956" s="6">
        <v>227071</v>
      </c>
    </row>
    <row r="957" spans="1:26" x14ac:dyDescent="0.3">
      <c r="A957" s="28" t="s">
        <v>42</v>
      </c>
      <c r="B957" s="6" t="s">
        <v>2341</v>
      </c>
      <c r="C957" s="19" t="s">
        <v>2321</v>
      </c>
      <c r="D957" s="6" t="s">
        <v>2292</v>
      </c>
      <c r="E957" s="6">
        <v>1</v>
      </c>
      <c r="F957" s="6" t="s">
        <v>2004</v>
      </c>
      <c r="G957" s="32" t="s">
        <v>2299</v>
      </c>
      <c r="H957" s="32" t="s">
        <v>2300</v>
      </c>
      <c r="I957" s="6" t="str">
        <f t="shared" si="31"/>
        <v>Etc Crusher</v>
      </c>
      <c r="J957" s="6" t="s">
        <v>103</v>
      </c>
      <c r="K957" s="6">
        <v>1</v>
      </c>
      <c r="L957" s="6">
        <f t="shared" si="32"/>
        <v>12940000</v>
      </c>
      <c r="M957" s="6">
        <v>11000000</v>
      </c>
      <c r="N957" s="6" t="s">
        <v>2003</v>
      </c>
      <c r="O957" s="6" t="s">
        <v>1890</v>
      </c>
      <c r="P957" s="6">
        <v>2011</v>
      </c>
      <c r="Q957" s="6">
        <v>4</v>
      </c>
      <c r="R957" s="6" t="s">
        <v>45</v>
      </c>
      <c r="S957" s="32" t="s">
        <v>2111</v>
      </c>
      <c r="T957" s="6">
        <v>1</v>
      </c>
      <c r="U957" s="26">
        <v>10500000</v>
      </c>
      <c r="V957" s="26">
        <v>10500000</v>
      </c>
      <c r="W957" s="26">
        <v>10500000</v>
      </c>
      <c r="X957" s="6" t="s">
        <v>2003</v>
      </c>
      <c r="Y957" s="6" t="s">
        <v>1277</v>
      </c>
      <c r="Z957" s="6">
        <v>227077</v>
      </c>
    </row>
    <row r="958" spans="1:26" x14ac:dyDescent="0.3">
      <c r="A958" s="28" t="s">
        <v>42</v>
      </c>
      <c r="B958" s="6" t="s">
        <v>2339</v>
      </c>
      <c r="C958" s="6" t="s">
        <v>1972</v>
      </c>
      <c r="D958" s="6" t="s">
        <v>2292</v>
      </c>
      <c r="E958" s="6">
        <v>1</v>
      </c>
      <c r="F958" s="6" t="s">
        <v>2004</v>
      </c>
      <c r="G958" s="32" t="s">
        <v>2299</v>
      </c>
      <c r="H958" s="32" t="s">
        <v>2300</v>
      </c>
      <c r="I958" s="6" t="str">
        <f t="shared" si="31"/>
        <v>Stone Grapple</v>
      </c>
      <c r="J958" s="6" t="s">
        <v>193</v>
      </c>
      <c r="K958" s="6">
        <v>1</v>
      </c>
      <c r="L958" s="6">
        <f t="shared" si="32"/>
        <v>2230000</v>
      </c>
      <c r="M958" s="6">
        <v>1900000</v>
      </c>
      <c r="N958" s="6" t="s">
        <v>2003</v>
      </c>
      <c r="O958" s="6" t="s">
        <v>2007</v>
      </c>
      <c r="P958" s="6">
        <v>2013</v>
      </c>
      <c r="Q958" s="6">
        <v>1</v>
      </c>
      <c r="R958" s="6" t="s">
        <v>45</v>
      </c>
      <c r="S958" s="32" t="s">
        <v>2113</v>
      </c>
      <c r="T958" s="6">
        <v>1</v>
      </c>
      <c r="U958" s="26">
        <v>1800000</v>
      </c>
      <c r="V958" s="26">
        <v>1800000</v>
      </c>
      <c r="W958" s="26">
        <v>1800000</v>
      </c>
      <c r="X958" s="6" t="s">
        <v>2003</v>
      </c>
      <c r="Y958" s="6" t="s">
        <v>49</v>
      </c>
      <c r="Z958" s="6">
        <v>227082</v>
      </c>
    </row>
    <row r="959" spans="1:26" x14ac:dyDescent="0.3">
      <c r="A959" s="28" t="s">
        <v>42</v>
      </c>
      <c r="B959" s="6" t="s">
        <v>2346</v>
      </c>
      <c r="C959" s="6"/>
      <c r="D959" s="6" t="s">
        <v>2291</v>
      </c>
      <c r="E959" s="6">
        <v>1</v>
      </c>
      <c r="F959" s="6" t="s">
        <v>2004</v>
      </c>
      <c r="G959" s="32" t="s">
        <v>2299</v>
      </c>
      <c r="H959" s="32" t="s">
        <v>2300</v>
      </c>
      <c r="I959" s="6" t="str">
        <f t="shared" si="31"/>
        <v>Ripper</v>
      </c>
      <c r="J959" s="6" t="s">
        <v>390</v>
      </c>
      <c r="K959" s="6">
        <v>1</v>
      </c>
      <c r="L959" s="6">
        <f t="shared" si="32"/>
        <v>580000</v>
      </c>
      <c r="M959" s="6">
        <v>500000</v>
      </c>
      <c r="N959" s="6" t="s">
        <v>2003</v>
      </c>
      <c r="O959" s="6" t="s">
        <v>51</v>
      </c>
      <c r="P959" s="6">
        <v>2017</v>
      </c>
      <c r="Q959" s="6">
        <v>1</v>
      </c>
      <c r="R959" s="6" t="s">
        <v>45</v>
      </c>
      <c r="S959" s="32" t="s">
        <v>2113</v>
      </c>
      <c r="T959" s="6">
        <v>1</v>
      </c>
      <c r="U959" s="26">
        <v>450000</v>
      </c>
      <c r="V959" s="26">
        <v>450000</v>
      </c>
      <c r="W959" s="26">
        <v>450000</v>
      </c>
      <c r="X959" s="6" t="s">
        <v>2003</v>
      </c>
      <c r="Y959" s="6" t="s">
        <v>49</v>
      </c>
      <c r="Z959" s="6">
        <v>227083</v>
      </c>
    </row>
    <row r="960" spans="1:26" x14ac:dyDescent="0.3">
      <c r="A960" s="28" t="s">
        <v>42</v>
      </c>
      <c r="B960" s="6" t="s">
        <v>2308</v>
      </c>
      <c r="C960" s="6" t="s">
        <v>1975</v>
      </c>
      <c r="D960" s="6" t="s">
        <v>2001</v>
      </c>
      <c r="E960" s="6">
        <v>1</v>
      </c>
      <c r="F960" s="6" t="s">
        <v>2004</v>
      </c>
      <c r="G960" s="32" t="s">
        <v>2299</v>
      </c>
      <c r="H960" s="32" t="s">
        <v>2300</v>
      </c>
      <c r="I960" s="6" t="str">
        <f t="shared" si="31"/>
        <v>Side Breaker</v>
      </c>
      <c r="J960" s="6" t="s">
        <v>306</v>
      </c>
      <c r="K960" s="6">
        <v>1</v>
      </c>
      <c r="L960" s="6">
        <f t="shared" si="32"/>
        <v>7050000</v>
      </c>
      <c r="M960" s="6">
        <v>6000000</v>
      </c>
      <c r="N960" s="6" t="s">
        <v>2003</v>
      </c>
      <c r="O960" s="6" t="s">
        <v>2033</v>
      </c>
      <c r="P960" s="6">
        <v>2009</v>
      </c>
      <c r="Q960" s="6">
        <v>1</v>
      </c>
      <c r="R960" s="6" t="s">
        <v>45</v>
      </c>
      <c r="S960" s="32" t="s">
        <v>2121</v>
      </c>
      <c r="T960" s="6">
        <v>1</v>
      </c>
      <c r="U960" s="26">
        <v>5500000</v>
      </c>
      <c r="V960" s="26">
        <v>5500000</v>
      </c>
      <c r="W960" s="26">
        <v>5500000</v>
      </c>
      <c r="X960" s="6" t="s">
        <v>2003</v>
      </c>
      <c r="Y960" s="6" t="s">
        <v>1218</v>
      </c>
      <c r="Z960" s="6">
        <v>227085</v>
      </c>
    </row>
    <row r="961" spans="1:26" x14ac:dyDescent="0.3">
      <c r="A961" s="28" t="s">
        <v>42</v>
      </c>
      <c r="B961" s="6" t="s">
        <v>2309</v>
      </c>
      <c r="C961" s="6" t="s">
        <v>1972</v>
      </c>
      <c r="D961" s="6" t="s">
        <v>2292</v>
      </c>
      <c r="E961" s="6">
        <v>1</v>
      </c>
      <c r="F961" s="6" t="s">
        <v>2004</v>
      </c>
      <c r="G961" s="32" t="s">
        <v>2299</v>
      </c>
      <c r="H961" s="32" t="s">
        <v>2300</v>
      </c>
      <c r="I961" s="6" t="str">
        <f t="shared" si="31"/>
        <v>Stone Grapple</v>
      </c>
      <c r="J961" s="6" t="s">
        <v>1930</v>
      </c>
      <c r="K961" s="6">
        <v>1</v>
      </c>
      <c r="L961" s="6">
        <f t="shared" si="32"/>
        <v>6580000</v>
      </c>
      <c r="M961" s="6">
        <v>5600000</v>
      </c>
      <c r="N961" s="6" t="s">
        <v>2003</v>
      </c>
      <c r="O961" s="6" t="s">
        <v>823</v>
      </c>
      <c r="P961" s="6">
        <v>2014</v>
      </c>
      <c r="Q961" s="6">
        <v>1</v>
      </c>
      <c r="R961" s="6" t="s">
        <v>45</v>
      </c>
      <c r="S961" s="32" t="s">
        <v>2113</v>
      </c>
      <c r="T961" s="6">
        <v>1</v>
      </c>
      <c r="U961" s="26">
        <v>5100000</v>
      </c>
      <c r="V961" s="26">
        <v>5100000</v>
      </c>
      <c r="W961" s="26">
        <v>5100000</v>
      </c>
      <c r="X961" s="6" t="s">
        <v>2003</v>
      </c>
      <c r="Y961" s="6" t="s">
        <v>49</v>
      </c>
      <c r="Z961" s="6">
        <v>227092</v>
      </c>
    </row>
    <row r="962" spans="1:26" x14ac:dyDescent="0.3">
      <c r="A962" s="28" t="s">
        <v>42</v>
      </c>
      <c r="B962" s="6" t="s">
        <v>2309</v>
      </c>
      <c r="C962" s="6" t="s">
        <v>1972</v>
      </c>
      <c r="D962" s="6" t="s">
        <v>2290</v>
      </c>
      <c r="E962" s="6">
        <v>1</v>
      </c>
      <c r="F962" s="6" t="s">
        <v>2004</v>
      </c>
      <c r="G962" s="32" t="s">
        <v>2299</v>
      </c>
      <c r="H962" s="32" t="s">
        <v>2300</v>
      </c>
      <c r="I962" s="6" t="str">
        <f t="shared" si="31"/>
        <v>Stone Grapple</v>
      </c>
      <c r="J962" s="6" t="s">
        <v>94</v>
      </c>
      <c r="K962" s="6">
        <v>1</v>
      </c>
      <c r="L962" s="6">
        <f t="shared" si="32"/>
        <v>3170000</v>
      </c>
      <c r="M962" s="6">
        <v>2700000</v>
      </c>
      <c r="N962" s="6" t="s">
        <v>2003</v>
      </c>
      <c r="O962" s="6" t="s">
        <v>2011</v>
      </c>
      <c r="P962" s="6">
        <v>2010</v>
      </c>
      <c r="Q962" s="6">
        <v>6</v>
      </c>
      <c r="R962" s="6" t="s">
        <v>45</v>
      </c>
      <c r="S962" s="32" t="s">
        <v>2123</v>
      </c>
      <c r="T962" s="6">
        <v>1</v>
      </c>
      <c r="U962" s="26">
        <v>2500000</v>
      </c>
      <c r="V962" s="26">
        <v>2500000</v>
      </c>
      <c r="W962" s="26">
        <v>2500000</v>
      </c>
      <c r="X962" s="6" t="s">
        <v>2003</v>
      </c>
      <c r="Y962" s="6" t="s">
        <v>1200</v>
      </c>
      <c r="Z962" s="6">
        <v>227094</v>
      </c>
    </row>
    <row r="963" spans="1:26" x14ac:dyDescent="0.3">
      <c r="A963" s="28" t="s">
        <v>42</v>
      </c>
      <c r="B963" s="6" t="s">
        <v>2310</v>
      </c>
      <c r="C963" s="6" t="s">
        <v>1982</v>
      </c>
      <c r="D963" s="6" t="s">
        <v>2291</v>
      </c>
      <c r="E963" s="6">
        <v>1</v>
      </c>
      <c r="F963" s="6" t="s">
        <v>2004</v>
      </c>
      <c r="G963" s="32" t="s">
        <v>2299</v>
      </c>
      <c r="H963" s="32" t="s">
        <v>2300</v>
      </c>
      <c r="I963" s="6" t="str">
        <f t="shared" si="31"/>
        <v>Standard Bucket</v>
      </c>
      <c r="J963" s="6" t="s">
        <v>367</v>
      </c>
      <c r="K963" s="6">
        <v>1</v>
      </c>
      <c r="L963" s="6">
        <f t="shared" si="32"/>
        <v>940000</v>
      </c>
      <c r="M963" s="6">
        <v>800000</v>
      </c>
      <c r="N963" s="6" t="s">
        <v>2003</v>
      </c>
      <c r="O963" s="6" t="s">
        <v>51</v>
      </c>
      <c r="P963" s="6">
        <v>2017</v>
      </c>
      <c r="Q963" s="6">
        <v>1</v>
      </c>
      <c r="R963" s="6" t="s">
        <v>45</v>
      </c>
      <c r="S963" s="32" t="s">
        <v>2113</v>
      </c>
      <c r="T963" s="6">
        <v>1</v>
      </c>
      <c r="U963" s="26">
        <v>700000</v>
      </c>
      <c r="V963" s="26">
        <v>700000</v>
      </c>
      <c r="W963" s="26">
        <v>700000</v>
      </c>
      <c r="X963" s="6" t="s">
        <v>2003</v>
      </c>
      <c r="Y963" s="6" t="s">
        <v>49</v>
      </c>
      <c r="Z963" s="6">
        <v>227095</v>
      </c>
    </row>
    <row r="964" spans="1:26" x14ac:dyDescent="0.3">
      <c r="A964" s="28" t="s">
        <v>42</v>
      </c>
      <c r="B964" s="6" t="s">
        <v>2314</v>
      </c>
      <c r="C964" s="6" t="s">
        <v>1978</v>
      </c>
      <c r="D964" s="6" t="s">
        <v>2001</v>
      </c>
      <c r="E964" s="6">
        <v>1</v>
      </c>
      <c r="F964" s="6" t="s">
        <v>2004</v>
      </c>
      <c r="G964" s="32" t="s">
        <v>2299</v>
      </c>
      <c r="H964" s="32" t="s">
        <v>2300</v>
      </c>
      <c r="I964" s="6" t="str">
        <f t="shared" si="31"/>
        <v>Hydraulic Pulverizer</v>
      </c>
      <c r="J964" s="6" t="s">
        <v>272</v>
      </c>
      <c r="K964" s="6">
        <v>1</v>
      </c>
      <c r="L964" s="6">
        <f t="shared" si="32"/>
        <v>19410000</v>
      </c>
      <c r="M964" s="6">
        <v>16500000</v>
      </c>
      <c r="N964" s="6" t="s">
        <v>2003</v>
      </c>
      <c r="O964" s="6" t="s">
        <v>813</v>
      </c>
      <c r="P964" s="6">
        <v>2014</v>
      </c>
      <c r="Q964" s="6">
        <v>1</v>
      </c>
      <c r="R964" s="6" t="s">
        <v>45</v>
      </c>
      <c r="S964" s="32" t="s">
        <v>2113</v>
      </c>
      <c r="T964" s="6">
        <v>1</v>
      </c>
      <c r="U964" s="26">
        <v>16000000</v>
      </c>
      <c r="V964" s="26">
        <v>16000000</v>
      </c>
      <c r="W964" s="26">
        <v>16000000</v>
      </c>
      <c r="X964" s="6" t="s">
        <v>2003</v>
      </c>
      <c r="Y964" s="6" t="s">
        <v>79</v>
      </c>
      <c r="Z964" s="6">
        <v>227099</v>
      </c>
    </row>
    <row r="965" spans="1:26" x14ac:dyDescent="0.3">
      <c r="A965" s="28" t="s">
        <v>42</v>
      </c>
      <c r="B965" s="6" t="s">
        <v>2313</v>
      </c>
      <c r="C965" s="6" t="s">
        <v>1980</v>
      </c>
      <c r="D965" s="6" t="s">
        <v>2292</v>
      </c>
      <c r="E965" s="6">
        <v>1</v>
      </c>
      <c r="F965" s="6" t="s">
        <v>2004</v>
      </c>
      <c r="G965" s="32" t="s">
        <v>2299</v>
      </c>
      <c r="H965" s="32" t="s">
        <v>2300</v>
      </c>
      <c r="I965" s="6" t="str">
        <f t="shared" si="31"/>
        <v>Small Bucket</v>
      </c>
      <c r="J965" s="6" t="s">
        <v>97</v>
      </c>
      <c r="K965" s="6">
        <v>1</v>
      </c>
      <c r="L965" s="6">
        <f t="shared" si="32"/>
        <v>700000</v>
      </c>
      <c r="M965" s="6">
        <v>600000</v>
      </c>
      <c r="N965" s="6" t="s">
        <v>2003</v>
      </c>
      <c r="O965" s="6" t="s">
        <v>823</v>
      </c>
      <c r="P965" s="6">
        <v>2013</v>
      </c>
      <c r="Q965" s="6">
        <v>1</v>
      </c>
      <c r="R965" s="6" t="s">
        <v>45</v>
      </c>
      <c r="S965" s="32" t="s">
        <v>2113</v>
      </c>
      <c r="T965" s="6">
        <v>1</v>
      </c>
      <c r="U965" s="26">
        <v>500000</v>
      </c>
      <c r="V965" s="26">
        <v>500000</v>
      </c>
      <c r="W965" s="26">
        <v>500000</v>
      </c>
      <c r="X965" s="6" t="s">
        <v>2003</v>
      </c>
      <c r="Y965" s="6" t="s">
        <v>49</v>
      </c>
      <c r="Z965" s="6">
        <v>227100</v>
      </c>
    </row>
    <row r="966" spans="1:26" x14ac:dyDescent="0.3">
      <c r="A966" s="28" t="s">
        <v>42</v>
      </c>
      <c r="B966" s="6" t="s">
        <v>2312</v>
      </c>
      <c r="C966" s="6"/>
      <c r="D966" s="6" t="s">
        <v>2292</v>
      </c>
      <c r="E966" s="6">
        <v>1</v>
      </c>
      <c r="F966" s="6" t="s">
        <v>2004</v>
      </c>
      <c r="G966" s="32" t="s">
        <v>2299</v>
      </c>
      <c r="H966" s="32" t="s">
        <v>2300</v>
      </c>
      <c r="I966" s="6" t="str">
        <f t="shared" si="31"/>
        <v>Lift Fork</v>
      </c>
      <c r="J966" s="6" t="s">
        <v>102</v>
      </c>
      <c r="K966" s="6">
        <v>1</v>
      </c>
      <c r="L966" s="6">
        <f t="shared" si="32"/>
        <v>1290000</v>
      </c>
      <c r="M966" s="6">
        <v>1100000</v>
      </c>
      <c r="N966" s="6" t="s">
        <v>2003</v>
      </c>
      <c r="O966" s="6" t="s">
        <v>51</v>
      </c>
      <c r="P966" s="6">
        <v>2017</v>
      </c>
      <c r="Q966" s="6">
        <v>1</v>
      </c>
      <c r="R966" s="6" t="s">
        <v>45</v>
      </c>
      <c r="S966" s="32" t="s">
        <v>2113</v>
      </c>
      <c r="T966" s="6">
        <v>1</v>
      </c>
      <c r="U966" s="26">
        <v>1000000</v>
      </c>
      <c r="V966" s="26">
        <v>1000000</v>
      </c>
      <c r="W966" s="26">
        <v>1000000</v>
      </c>
      <c r="X966" s="6" t="s">
        <v>2003</v>
      </c>
      <c r="Y966" s="6" t="s">
        <v>49</v>
      </c>
      <c r="Z966" s="6">
        <v>227103</v>
      </c>
    </row>
    <row r="967" spans="1:26" x14ac:dyDescent="0.3">
      <c r="A967" s="28" t="s">
        <v>42</v>
      </c>
      <c r="B967" s="6" t="s">
        <v>2308</v>
      </c>
      <c r="C967" s="6" t="s">
        <v>1975</v>
      </c>
      <c r="D967" s="6" t="s">
        <v>2291</v>
      </c>
      <c r="E967" s="6">
        <v>1</v>
      </c>
      <c r="F967" s="6" t="s">
        <v>2004</v>
      </c>
      <c r="G967" s="32" t="s">
        <v>2299</v>
      </c>
      <c r="H967" s="32" t="s">
        <v>2300</v>
      </c>
      <c r="I967" s="6" t="str">
        <f t="shared" si="31"/>
        <v>Side Breaker</v>
      </c>
      <c r="J967" s="6" t="s">
        <v>266</v>
      </c>
      <c r="K967" s="6">
        <v>1</v>
      </c>
      <c r="L967" s="6">
        <f t="shared" si="32"/>
        <v>2820000</v>
      </c>
      <c r="M967" s="6">
        <v>2400000</v>
      </c>
      <c r="N967" s="6" t="s">
        <v>2003</v>
      </c>
      <c r="O967" s="6" t="s">
        <v>2011</v>
      </c>
      <c r="P967" s="6">
        <v>2016</v>
      </c>
      <c r="Q967" s="6">
        <v>6</v>
      </c>
      <c r="R967" s="6" t="s">
        <v>45</v>
      </c>
      <c r="S967" s="32" t="s">
        <v>2123</v>
      </c>
      <c r="T967" s="6">
        <v>1</v>
      </c>
      <c r="U967" s="26">
        <v>2200000</v>
      </c>
      <c r="V967" s="26">
        <v>2200000</v>
      </c>
      <c r="W967" s="26">
        <v>2200000</v>
      </c>
      <c r="X967" s="6" t="s">
        <v>2003</v>
      </c>
      <c r="Y967" s="6" t="s">
        <v>1200</v>
      </c>
      <c r="Z967" s="6">
        <v>227106</v>
      </c>
    </row>
    <row r="968" spans="1:26" x14ac:dyDescent="0.3">
      <c r="A968" s="28" t="s">
        <v>42</v>
      </c>
      <c r="B968" s="6" t="s">
        <v>2308</v>
      </c>
      <c r="C968" s="6" t="s">
        <v>1975</v>
      </c>
      <c r="D968" s="6" t="s">
        <v>2292</v>
      </c>
      <c r="E968" s="6">
        <v>1</v>
      </c>
      <c r="F968" s="6" t="s">
        <v>2004</v>
      </c>
      <c r="G968" s="32" t="s">
        <v>2299</v>
      </c>
      <c r="H968" s="32" t="s">
        <v>2300</v>
      </c>
      <c r="I968" s="6" t="str">
        <f t="shared" si="31"/>
        <v>Side Breaker</v>
      </c>
      <c r="J968" s="6" t="s">
        <v>1931</v>
      </c>
      <c r="K968" s="6">
        <v>1</v>
      </c>
      <c r="L968" s="6">
        <f t="shared" si="32"/>
        <v>3520000</v>
      </c>
      <c r="M968" s="6">
        <v>3000000</v>
      </c>
      <c r="N968" s="6" t="s">
        <v>2003</v>
      </c>
      <c r="O968" s="6" t="s">
        <v>68</v>
      </c>
      <c r="P968" s="6">
        <v>2013</v>
      </c>
      <c r="Q968" s="6">
        <v>1</v>
      </c>
      <c r="R968" s="6" t="s">
        <v>45</v>
      </c>
      <c r="S968" s="32" t="s">
        <v>2116</v>
      </c>
      <c r="T968" s="6">
        <v>1</v>
      </c>
      <c r="U968" s="26">
        <v>2800000</v>
      </c>
      <c r="V968" s="26">
        <v>2800000</v>
      </c>
      <c r="W968" s="26">
        <v>2800000</v>
      </c>
      <c r="X968" s="6" t="s">
        <v>2003</v>
      </c>
      <c r="Y968" s="6" t="s">
        <v>1153</v>
      </c>
      <c r="Z968" s="6">
        <v>227110</v>
      </c>
    </row>
    <row r="969" spans="1:26" x14ac:dyDescent="0.3">
      <c r="A969" s="28" t="s">
        <v>42</v>
      </c>
      <c r="B969" s="6" t="s">
        <v>2314</v>
      </c>
      <c r="C969" s="19" t="s">
        <v>2321</v>
      </c>
      <c r="D969" s="6" t="s">
        <v>2292</v>
      </c>
      <c r="E969" s="6">
        <v>1</v>
      </c>
      <c r="F969" s="6" t="s">
        <v>2004</v>
      </c>
      <c r="G969" s="32" t="s">
        <v>2299</v>
      </c>
      <c r="H969" s="32" t="s">
        <v>2300</v>
      </c>
      <c r="I969" s="6" t="str">
        <f t="shared" si="31"/>
        <v>Etc Crusher</v>
      </c>
      <c r="J969" s="6" t="s">
        <v>103</v>
      </c>
      <c r="K969" s="6">
        <v>1</v>
      </c>
      <c r="L969" s="6">
        <f t="shared" si="32"/>
        <v>13520000</v>
      </c>
      <c r="M969" s="6">
        <v>11500000</v>
      </c>
      <c r="N969" s="6" t="s">
        <v>2003</v>
      </c>
      <c r="O969" s="6" t="s">
        <v>823</v>
      </c>
      <c r="P969" s="6">
        <v>2014</v>
      </c>
      <c r="Q969" s="6">
        <v>1</v>
      </c>
      <c r="R969" s="6" t="s">
        <v>45</v>
      </c>
      <c r="S969" s="32" t="s">
        <v>2113</v>
      </c>
      <c r="T969" s="6">
        <v>1</v>
      </c>
      <c r="U969" s="26">
        <v>11000000</v>
      </c>
      <c r="V969" s="26">
        <v>11000000</v>
      </c>
      <c r="W969" s="26">
        <v>11000000</v>
      </c>
      <c r="X969" s="6" t="s">
        <v>2003</v>
      </c>
      <c r="Y969" s="6" t="s">
        <v>49</v>
      </c>
      <c r="Z969" s="6">
        <v>227114</v>
      </c>
    </row>
    <row r="970" spans="1:26" x14ac:dyDescent="0.3">
      <c r="A970" s="28" t="s">
        <v>42</v>
      </c>
      <c r="B970" s="6" t="s">
        <v>2313</v>
      </c>
      <c r="C970" s="6" t="s">
        <v>1976</v>
      </c>
      <c r="D970" s="6" t="s">
        <v>2290</v>
      </c>
      <c r="E970" s="6">
        <v>1</v>
      </c>
      <c r="F970" s="6" t="s">
        <v>2004</v>
      </c>
      <c r="G970" s="32" t="s">
        <v>2299</v>
      </c>
      <c r="H970" s="32" t="s">
        <v>2300</v>
      </c>
      <c r="I970" s="6" t="str">
        <f t="shared" si="31"/>
        <v>Skeleton Bucket</v>
      </c>
      <c r="J970" s="6" t="s">
        <v>685</v>
      </c>
      <c r="K970" s="6">
        <v>1</v>
      </c>
      <c r="L970" s="6">
        <f t="shared" si="32"/>
        <v>2940000</v>
      </c>
      <c r="M970" s="6">
        <v>2500000</v>
      </c>
      <c r="N970" s="6" t="s">
        <v>2003</v>
      </c>
      <c r="O970" s="6" t="s">
        <v>813</v>
      </c>
      <c r="P970" s="6">
        <v>2016</v>
      </c>
      <c r="Q970" s="6">
        <v>1</v>
      </c>
      <c r="R970" s="6" t="s">
        <v>45</v>
      </c>
      <c r="S970" s="32" t="s">
        <v>2113</v>
      </c>
      <c r="T970" s="6">
        <v>1</v>
      </c>
      <c r="U970" s="26">
        <v>2300000</v>
      </c>
      <c r="V970" s="26">
        <v>2300000</v>
      </c>
      <c r="W970" s="26">
        <v>2300000</v>
      </c>
      <c r="X970" s="6" t="s">
        <v>2003</v>
      </c>
      <c r="Y970" s="6" t="s">
        <v>79</v>
      </c>
      <c r="Z970" s="6">
        <v>227115</v>
      </c>
    </row>
    <row r="971" spans="1:26" x14ac:dyDescent="0.3">
      <c r="A971" s="28" t="s">
        <v>42</v>
      </c>
      <c r="B971" s="6" t="s">
        <v>2309</v>
      </c>
      <c r="C971" s="6" t="s">
        <v>1972</v>
      </c>
      <c r="D971" s="6" t="s">
        <v>2292</v>
      </c>
      <c r="E971" s="6">
        <v>1</v>
      </c>
      <c r="F971" s="6" t="s">
        <v>2004</v>
      </c>
      <c r="G971" s="32" t="s">
        <v>2299</v>
      </c>
      <c r="H971" s="32" t="s">
        <v>2300</v>
      </c>
      <c r="I971" s="6" t="str">
        <f t="shared" ref="I971:I1034" si="33">IF(ISBLANK(C971),B971,C971)</f>
        <v>Stone Grapple</v>
      </c>
      <c r="J971" s="6" t="s">
        <v>1933</v>
      </c>
      <c r="K971" s="6">
        <v>1</v>
      </c>
      <c r="L971" s="6">
        <f t="shared" ref="L971:L1034" si="34">FLOOR(((M971*100)/85)/10000, 1)*10000</f>
        <v>3170000</v>
      </c>
      <c r="M971" s="6">
        <v>2700000</v>
      </c>
      <c r="N971" s="6" t="s">
        <v>2003</v>
      </c>
      <c r="O971" s="6" t="s">
        <v>1892</v>
      </c>
      <c r="P971" s="6">
        <v>2015</v>
      </c>
      <c r="Q971" s="6">
        <v>3</v>
      </c>
      <c r="R971" s="6" t="s">
        <v>45</v>
      </c>
      <c r="S971" s="32" t="s">
        <v>2110</v>
      </c>
      <c r="T971" s="6">
        <v>1</v>
      </c>
      <c r="U971" s="26">
        <v>2500000</v>
      </c>
      <c r="V971" s="26">
        <v>2500000</v>
      </c>
      <c r="W971" s="26">
        <v>2500000</v>
      </c>
      <c r="X971" s="6" t="s">
        <v>2003</v>
      </c>
      <c r="Y971" s="6" t="s">
        <v>1312</v>
      </c>
      <c r="Z971" s="6">
        <v>227116</v>
      </c>
    </row>
    <row r="972" spans="1:26" x14ac:dyDescent="0.3">
      <c r="A972" s="28" t="s">
        <v>42</v>
      </c>
      <c r="B972" s="6" t="s">
        <v>2309</v>
      </c>
      <c r="C972" s="6" t="s">
        <v>1972</v>
      </c>
      <c r="D972" s="6" t="s">
        <v>2292</v>
      </c>
      <c r="E972" s="6">
        <v>1</v>
      </c>
      <c r="F972" s="6" t="s">
        <v>2004</v>
      </c>
      <c r="G972" s="32" t="s">
        <v>2299</v>
      </c>
      <c r="H972" s="32" t="s">
        <v>2300</v>
      </c>
      <c r="I972" s="6" t="str">
        <f t="shared" si="33"/>
        <v>Stone Grapple</v>
      </c>
      <c r="J972" s="6" t="s">
        <v>44</v>
      </c>
      <c r="K972" s="6">
        <v>1</v>
      </c>
      <c r="L972" s="6">
        <f t="shared" si="34"/>
        <v>3170000</v>
      </c>
      <c r="M972" s="6">
        <v>2700000</v>
      </c>
      <c r="N972" s="6" t="s">
        <v>2003</v>
      </c>
      <c r="O972" s="6" t="s">
        <v>2007</v>
      </c>
      <c r="P972" s="6">
        <v>2014</v>
      </c>
      <c r="Q972" s="6">
        <v>1</v>
      </c>
      <c r="R972" s="6" t="s">
        <v>45</v>
      </c>
      <c r="S972" s="32" t="s">
        <v>2113</v>
      </c>
      <c r="T972" s="6">
        <v>1</v>
      </c>
      <c r="U972" s="26">
        <v>2500000</v>
      </c>
      <c r="V972" s="26">
        <v>2500000</v>
      </c>
      <c r="W972" s="26">
        <v>2500000</v>
      </c>
      <c r="X972" s="6" t="s">
        <v>2003</v>
      </c>
      <c r="Y972" s="6" t="s">
        <v>49</v>
      </c>
      <c r="Z972" s="6">
        <v>227118</v>
      </c>
    </row>
    <row r="973" spans="1:26" x14ac:dyDescent="0.3">
      <c r="A973" s="28" t="s">
        <v>42</v>
      </c>
      <c r="B973" s="6" t="s">
        <v>2308</v>
      </c>
      <c r="C973" s="6" t="s">
        <v>1975</v>
      </c>
      <c r="D973" s="6" t="s">
        <v>2292</v>
      </c>
      <c r="E973" s="6">
        <v>1</v>
      </c>
      <c r="F973" s="6" t="s">
        <v>2004</v>
      </c>
      <c r="G973" s="32" t="s">
        <v>2299</v>
      </c>
      <c r="H973" s="32" t="s">
        <v>2300</v>
      </c>
      <c r="I973" s="6" t="str">
        <f t="shared" si="33"/>
        <v>Side Breaker</v>
      </c>
      <c r="J973" s="6" t="s">
        <v>1934</v>
      </c>
      <c r="K973" s="6">
        <v>1</v>
      </c>
      <c r="L973" s="6">
        <f t="shared" si="34"/>
        <v>2940000</v>
      </c>
      <c r="M973" s="6">
        <v>2500000</v>
      </c>
      <c r="N973" s="6" t="s">
        <v>2003</v>
      </c>
      <c r="O973" s="6" t="s">
        <v>801</v>
      </c>
      <c r="P973" s="6">
        <v>2015</v>
      </c>
      <c r="Q973" s="6">
        <v>1</v>
      </c>
      <c r="R973" s="6" t="s">
        <v>45</v>
      </c>
      <c r="S973" s="32" t="s">
        <v>2110</v>
      </c>
      <c r="T973" s="6">
        <v>1</v>
      </c>
      <c r="U973" s="26">
        <v>2300000</v>
      </c>
      <c r="V973" s="26">
        <v>2300000</v>
      </c>
      <c r="W973" s="26">
        <v>2300000</v>
      </c>
      <c r="X973" s="6" t="s">
        <v>2003</v>
      </c>
      <c r="Y973" s="6" t="s">
        <v>1182</v>
      </c>
      <c r="Z973" s="6">
        <v>227126</v>
      </c>
    </row>
    <row r="974" spans="1:26" x14ac:dyDescent="0.3">
      <c r="A974" s="28" t="s">
        <v>42</v>
      </c>
      <c r="B974" s="6" t="s">
        <v>2313</v>
      </c>
      <c r="C974" s="19" t="s">
        <v>1982</v>
      </c>
      <c r="D974" s="6" t="s">
        <v>2292</v>
      </c>
      <c r="E974" s="6">
        <v>1</v>
      </c>
      <c r="F974" s="6" t="s">
        <v>2004</v>
      </c>
      <c r="G974" s="32" t="s">
        <v>2299</v>
      </c>
      <c r="H974" s="32" t="s">
        <v>2300</v>
      </c>
      <c r="I974" s="6" t="str">
        <f t="shared" si="33"/>
        <v>Standard Bucket</v>
      </c>
      <c r="J974" s="6" t="s">
        <v>143</v>
      </c>
      <c r="K974" s="6">
        <v>1</v>
      </c>
      <c r="L974" s="6">
        <f t="shared" si="34"/>
        <v>580000</v>
      </c>
      <c r="M974" s="6">
        <v>500000</v>
      </c>
      <c r="N974" s="6" t="s">
        <v>2003</v>
      </c>
      <c r="O974" s="6" t="s">
        <v>810</v>
      </c>
      <c r="P974" s="6">
        <v>2013</v>
      </c>
      <c r="Q974" s="6">
        <v>5</v>
      </c>
      <c r="R974" s="6" t="s">
        <v>45</v>
      </c>
      <c r="S974" s="32" t="s">
        <v>2123</v>
      </c>
      <c r="T974" s="6">
        <v>1</v>
      </c>
      <c r="U974" s="26">
        <v>450000</v>
      </c>
      <c r="V974" s="26">
        <v>450000</v>
      </c>
      <c r="W974" s="26">
        <v>450000</v>
      </c>
      <c r="X974" s="6" t="s">
        <v>2003</v>
      </c>
      <c r="Y974" s="6" t="s">
        <v>1189</v>
      </c>
      <c r="Z974" s="6">
        <v>227128</v>
      </c>
    </row>
    <row r="975" spans="1:26" x14ac:dyDescent="0.3">
      <c r="A975" s="28" t="s">
        <v>42</v>
      </c>
      <c r="B975" s="6" t="s">
        <v>2317</v>
      </c>
      <c r="C975" s="6"/>
      <c r="D975" s="6" t="s">
        <v>2001</v>
      </c>
      <c r="E975" s="6">
        <v>1</v>
      </c>
      <c r="F975" s="6" t="s">
        <v>2004</v>
      </c>
      <c r="G975" s="32" t="s">
        <v>2299</v>
      </c>
      <c r="H975" s="32" t="s">
        <v>2300</v>
      </c>
      <c r="I975" s="6" t="str">
        <f t="shared" si="33"/>
        <v>Shear&amp;Cutter</v>
      </c>
      <c r="J975" s="6" t="s">
        <v>216</v>
      </c>
      <c r="K975" s="6">
        <v>1</v>
      </c>
      <c r="L975" s="6">
        <f t="shared" si="34"/>
        <v>18230000</v>
      </c>
      <c r="M975" s="6">
        <v>15500000</v>
      </c>
      <c r="N975" s="6" t="s">
        <v>2003</v>
      </c>
      <c r="O975" s="6" t="s">
        <v>813</v>
      </c>
      <c r="P975" s="6">
        <v>2014</v>
      </c>
      <c r="Q975" s="6">
        <v>1</v>
      </c>
      <c r="R975" s="6" t="s">
        <v>45</v>
      </c>
      <c r="S975" s="32" t="s">
        <v>2113</v>
      </c>
      <c r="T975" s="6">
        <v>1</v>
      </c>
      <c r="U975" s="26">
        <v>15000000</v>
      </c>
      <c r="V975" s="26">
        <v>15000000</v>
      </c>
      <c r="W975" s="26">
        <v>15000000</v>
      </c>
      <c r="X975" s="6" t="s">
        <v>2003</v>
      </c>
      <c r="Y975" s="6" t="s">
        <v>79</v>
      </c>
      <c r="Z975" s="6">
        <v>227132</v>
      </c>
    </row>
    <row r="976" spans="1:26" x14ac:dyDescent="0.3">
      <c r="A976" s="28" t="s">
        <v>42</v>
      </c>
      <c r="B976" s="6" t="s">
        <v>2316</v>
      </c>
      <c r="C976" s="6"/>
      <c r="D976" s="6" t="s">
        <v>2289</v>
      </c>
      <c r="E976" s="6">
        <v>1</v>
      </c>
      <c r="F976" s="6" t="s">
        <v>2004</v>
      </c>
      <c r="G976" s="32" t="s">
        <v>2299</v>
      </c>
      <c r="H976" s="32" t="s">
        <v>2300</v>
      </c>
      <c r="I976" s="6" t="str">
        <f t="shared" si="33"/>
        <v>Ripper</v>
      </c>
      <c r="J976" s="6" t="s">
        <v>1935</v>
      </c>
      <c r="K976" s="6">
        <v>1</v>
      </c>
      <c r="L976" s="6">
        <f t="shared" si="34"/>
        <v>4350000</v>
      </c>
      <c r="M976" s="6">
        <v>3700000</v>
      </c>
      <c r="N976" s="6" t="s">
        <v>2003</v>
      </c>
      <c r="O976" s="6" t="s">
        <v>1893</v>
      </c>
      <c r="P976" s="6">
        <v>2016</v>
      </c>
      <c r="Q976" s="6">
        <v>5</v>
      </c>
      <c r="R976" s="6" t="s">
        <v>45</v>
      </c>
      <c r="S976" s="32" t="s">
        <v>2114</v>
      </c>
      <c r="T976" s="6">
        <v>1</v>
      </c>
      <c r="U976" s="26">
        <v>3500000</v>
      </c>
      <c r="V976" s="26">
        <v>3500000</v>
      </c>
      <c r="W976" s="26">
        <v>3500000</v>
      </c>
      <c r="X976" s="6" t="s">
        <v>2003</v>
      </c>
      <c r="Y976" s="6" t="s">
        <v>1210</v>
      </c>
      <c r="Z976" s="6">
        <v>227134</v>
      </c>
    </row>
    <row r="977" spans="1:26" x14ac:dyDescent="0.3">
      <c r="A977" s="28" t="s">
        <v>42</v>
      </c>
      <c r="B977" s="6" t="s">
        <v>2339</v>
      </c>
      <c r="C977" s="6" t="s">
        <v>1972</v>
      </c>
      <c r="D977" s="6" t="s">
        <v>2292</v>
      </c>
      <c r="E977" s="6">
        <v>1</v>
      </c>
      <c r="F977" s="6" t="s">
        <v>2004</v>
      </c>
      <c r="G977" s="32" t="s">
        <v>2299</v>
      </c>
      <c r="H977" s="32" t="s">
        <v>2300</v>
      </c>
      <c r="I977" s="6" t="str">
        <f t="shared" si="33"/>
        <v>Stone Grapple</v>
      </c>
      <c r="J977" s="6" t="s">
        <v>340</v>
      </c>
      <c r="K977" s="6">
        <v>1</v>
      </c>
      <c r="L977" s="6">
        <f t="shared" si="34"/>
        <v>2820000</v>
      </c>
      <c r="M977" s="6">
        <v>2400000</v>
      </c>
      <c r="N977" s="6" t="s">
        <v>2003</v>
      </c>
      <c r="O977" s="6" t="s">
        <v>2007</v>
      </c>
      <c r="P977" s="6">
        <v>2013</v>
      </c>
      <c r="Q977" s="6">
        <v>1</v>
      </c>
      <c r="R977" s="6" t="s">
        <v>45</v>
      </c>
      <c r="S977" s="32" t="s">
        <v>2113</v>
      </c>
      <c r="T977" s="6">
        <v>1</v>
      </c>
      <c r="U977" s="26">
        <v>2200000</v>
      </c>
      <c r="V977" s="26">
        <v>2200000</v>
      </c>
      <c r="W977" s="26">
        <v>2200000</v>
      </c>
      <c r="X977" s="6" t="s">
        <v>2003</v>
      </c>
      <c r="Y977" s="6" t="s">
        <v>49</v>
      </c>
      <c r="Z977" s="6">
        <v>227135</v>
      </c>
    </row>
    <row r="978" spans="1:26" x14ac:dyDescent="0.3">
      <c r="A978" s="28" t="s">
        <v>42</v>
      </c>
      <c r="B978" s="6" t="s">
        <v>2342</v>
      </c>
      <c r="C978" s="6" t="s">
        <v>1982</v>
      </c>
      <c r="D978" s="6" t="s">
        <v>2001</v>
      </c>
      <c r="E978" s="6">
        <v>1</v>
      </c>
      <c r="F978" s="6" t="s">
        <v>2004</v>
      </c>
      <c r="G978" s="32" t="s">
        <v>2299</v>
      </c>
      <c r="H978" s="32" t="s">
        <v>2300</v>
      </c>
      <c r="I978" s="6" t="str">
        <f t="shared" si="33"/>
        <v>Standard Bucket</v>
      </c>
      <c r="J978" s="6" t="s">
        <v>290</v>
      </c>
      <c r="K978" s="6">
        <v>1</v>
      </c>
      <c r="L978" s="6">
        <f t="shared" si="34"/>
        <v>1410000</v>
      </c>
      <c r="M978" s="6">
        <v>1200000</v>
      </c>
      <c r="N978" s="6" t="s">
        <v>2003</v>
      </c>
      <c r="O978" s="6" t="s">
        <v>813</v>
      </c>
      <c r="P978" s="6">
        <v>2013</v>
      </c>
      <c r="Q978" s="6">
        <v>1</v>
      </c>
      <c r="R978" s="6" t="s">
        <v>45</v>
      </c>
      <c r="S978" s="32" t="s">
        <v>2113</v>
      </c>
      <c r="T978" s="6">
        <v>1</v>
      </c>
      <c r="U978" s="26">
        <v>1100000</v>
      </c>
      <c r="V978" s="26">
        <v>1100000</v>
      </c>
      <c r="W978" s="26">
        <v>1100000</v>
      </c>
      <c r="X978" s="6" t="s">
        <v>2003</v>
      </c>
      <c r="Y978" s="6" t="s">
        <v>79</v>
      </c>
      <c r="Z978" s="6">
        <v>227136</v>
      </c>
    </row>
    <row r="979" spans="1:26" x14ac:dyDescent="0.3">
      <c r="A979" s="28" t="s">
        <v>42</v>
      </c>
      <c r="B979" s="6" t="s">
        <v>2340</v>
      </c>
      <c r="C979" s="6"/>
      <c r="D979" s="6" t="s">
        <v>2292</v>
      </c>
      <c r="E979" s="6">
        <v>1</v>
      </c>
      <c r="F979" s="6" t="s">
        <v>2004</v>
      </c>
      <c r="G979" s="32" t="s">
        <v>2299</v>
      </c>
      <c r="H979" s="32" t="s">
        <v>2300</v>
      </c>
      <c r="I979" s="6" t="str">
        <f t="shared" si="33"/>
        <v>ETC</v>
      </c>
      <c r="J979" s="6" t="s">
        <v>476</v>
      </c>
      <c r="K979" s="6">
        <v>1</v>
      </c>
      <c r="L979" s="6">
        <f t="shared" si="34"/>
        <v>13520000</v>
      </c>
      <c r="M979" s="6">
        <v>11500000</v>
      </c>
      <c r="N979" s="6" t="s">
        <v>2003</v>
      </c>
      <c r="O979" s="6" t="s">
        <v>2033</v>
      </c>
      <c r="P979" s="6">
        <v>2014</v>
      </c>
      <c r="Q979" s="6">
        <v>9</v>
      </c>
      <c r="R979" s="6" t="s">
        <v>45</v>
      </c>
      <c r="S979" s="32" t="s">
        <v>2121</v>
      </c>
      <c r="T979" s="6">
        <v>1</v>
      </c>
      <c r="U979" s="26">
        <v>11000000</v>
      </c>
      <c r="V979" s="26">
        <v>11000000</v>
      </c>
      <c r="W979" s="26">
        <v>11000000</v>
      </c>
      <c r="X979" s="6" t="s">
        <v>2003</v>
      </c>
      <c r="Y979" s="6" t="s">
        <v>1219</v>
      </c>
      <c r="Z979" s="6">
        <v>227138</v>
      </c>
    </row>
    <row r="980" spans="1:26" x14ac:dyDescent="0.3">
      <c r="A980" s="28" t="s">
        <v>42</v>
      </c>
      <c r="B980" s="6" t="s">
        <v>2341</v>
      </c>
      <c r="C980" s="6" t="s">
        <v>1978</v>
      </c>
      <c r="D980" s="6" t="s">
        <v>2001</v>
      </c>
      <c r="E980" s="6">
        <v>1</v>
      </c>
      <c r="F980" s="6" t="s">
        <v>2004</v>
      </c>
      <c r="G980" s="32" t="s">
        <v>2299</v>
      </c>
      <c r="H980" s="32" t="s">
        <v>2300</v>
      </c>
      <c r="I980" s="6" t="str">
        <f t="shared" si="33"/>
        <v>Hydraulic Pulverizer</v>
      </c>
      <c r="J980" s="6" t="s">
        <v>258</v>
      </c>
      <c r="K980" s="6">
        <v>1</v>
      </c>
      <c r="L980" s="6">
        <f t="shared" si="34"/>
        <v>16470000</v>
      </c>
      <c r="M980" s="6">
        <v>14000000</v>
      </c>
      <c r="N980" s="6" t="s">
        <v>2003</v>
      </c>
      <c r="O980" s="6" t="s">
        <v>813</v>
      </c>
      <c r="P980" s="6">
        <v>2013</v>
      </c>
      <c r="Q980" s="6">
        <v>1</v>
      </c>
      <c r="R980" s="6" t="s">
        <v>45</v>
      </c>
      <c r="S980" s="32" t="s">
        <v>2113</v>
      </c>
      <c r="T980" s="6">
        <v>1</v>
      </c>
      <c r="U980" s="26">
        <v>13500000</v>
      </c>
      <c r="V980" s="26">
        <v>13500000</v>
      </c>
      <c r="W980" s="26">
        <v>13500000</v>
      </c>
      <c r="X980" s="6" t="s">
        <v>2003</v>
      </c>
      <c r="Y980" s="6" t="s">
        <v>79</v>
      </c>
      <c r="Z980" s="6">
        <v>227140</v>
      </c>
    </row>
    <row r="981" spans="1:26" x14ac:dyDescent="0.3">
      <c r="A981" s="28" t="s">
        <v>42</v>
      </c>
      <c r="B981" s="6" t="s">
        <v>2341</v>
      </c>
      <c r="C981" s="6" t="s">
        <v>2321</v>
      </c>
      <c r="D981" s="6" t="s">
        <v>2290</v>
      </c>
      <c r="E981" s="6">
        <v>1</v>
      </c>
      <c r="F981" s="6" t="s">
        <v>2004</v>
      </c>
      <c r="G981" s="32" t="s">
        <v>2299</v>
      </c>
      <c r="H981" s="32" t="s">
        <v>2300</v>
      </c>
      <c r="I981" s="6" t="str">
        <f t="shared" si="33"/>
        <v>Etc Crusher</v>
      </c>
      <c r="J981" s="6" t="s">
        <v>223</v>
      </c>
      <c r="K981" s="6">
        <v>1</v>
      </c>
      <c r="L981" s="6">
        <f t="shared" si="34"/>
        <v>11170000</v>
      </c>
      <c r="M981" s="6">
        <v>9500000</v>
      </c>
      <c r="N981" s="6" t="s">
        <v>2003</v>
      </c>
      <c r="O981" s="6" t="s">
        <v>813</v>
      </c>
      <c r="P981" s="6">
        <v>2014</v>
      </c>
      <c r="Q981" s="6">
        <v>1</v>
      </c>
      <c r="R981" s="6" t="s">
        <v>45</v>
      </c>
      <c r="S981" s="32" t="s">
        <v>2113</v>
      </c>
      <c r="T981" s="6">
        <v>1</v>
      </c>
      <c r="U981" s="26">
        <v>9000000</v>
      </c>
      <c r="V981" s="26">
        <v>9000000</v>
      </c>
      <c r="W981" s="26">
        <v>9000000</v>
      </c>
      <c r="X981" s="6" t="s">
        <v>2003</v>
      </c>
      <c r="Y981" s="6" t="s">
        <v>80</v>
      </c>
      <c r="Z981" s="6">
        <v>227144</v>
      </c>
    </row>
    <row r="982" spans="1:26" x14ac:dyDescent="0.3">
      <c r="A982" s="28" t="s">
        <v>42</v>
      </c>
      <c r="B982" s="6" t="s">
        <v>2346</v>
      </c>
      <c r="C982" s="6"/>
      <c r="D982" s="6" t="s">
        <v>2001</v>
      </c>
      <c r="E982" s="6">
        <v>1</v>
      </c>
      <c r="F982" s="6" t="s">
        <v>2004</v>
      </c>
      <c r="G982" s="32" t="s">
        <v>2299</v>
      </c>
      <c r="H982" s="32" t="s">
        <v>2300</v>
      </c>
      <c r="I982" s="6" t="str">
        <f t="shared" si="33"/>
        <v>Ripper</v>
      </c>
      <c r="J982" s="6" t="s">
        <v>129</v>
      </c>
      <c r="K982" s="6">
        <v>1</v>
      </c>
      <c r="L982" s="6">
        <f t="shared" si="34"/>
        <v>1410000</v>
      </c>
      <c r="M982" s="6">
        <v>1200000</v>
      </c>
      <c r="N982" s="6" t="s">
        <v>2003</v>
      </c>
      <c r="O982" s="6" t="s">
        <v>1894</v>
      </c>
      <c r="P982" s="6">
        <v>2013</v>
      </c>
      <c r="Q982" s="6">
        <v>1</v>
      </c>
      <c r="R982" s="6" t="s">
        <v>45</v>
      </c>
      <c r="S982" s="32" t="s">
        <v>2114</v>
      </c>
      <c r="T982" s="6">
        <v>1</v>
      </c>
      <c r="U982" s="26">
        <v>1100000</v>
      </c>
      <c r="V982" s="26">
        <v>1100000</v>
      </c>
      <c r="W982" s="26">
        <v>1100000</v>
      </c>
      <c r="X982" s="6" t="s">
        <v>2003</v>
      </c>
      <c r="Y982" s="6" t="s">
        <v>57</v>
      </c>
      <c r="Z982" s="6">
        <v>227146</v>
      </c>
    </row>
    <row r="983" spans="1:26" x14ac:dyDescent="0.3">
      <c r="A983" s="28" t="s">
        <v>42</v>
      </c>
      <c r="B983" s="6" t="s">
        <v>2338</v>
      </c>
      <c r="C983" s="6" t="s">
        <v>1975</v>
      </c>
      <c r="D983" s="6" t="s">
        <v>2292</v>
      </c>
      <c r="E983" s="6">
        <v>1</v>
      </c>
      <c r="F983" s="6" t="s">
        <v>2004</v>
      </c>
      <c r="G983" s="32" t="s">
        <v>2299</v>
      </c>
      <c r="H983" s="32" t="s">
        <v>2300</v>
      </c>
      <c r="I983" s="6" t="str">
        <f t="shared" si="33"/>
        <v>Side Breaker</v>
      </c>
      <c r="J983" s="6" t="s">
        <v>146</v>
      </c>
      <c r="K983" s="6">
        <v>1</v>
      </c>
      <c r="L983" s="6">
        <f t="shared" si="34"/>
        <v>2820000</v>
      </c>
      <c r="M983" s="6">
        <v>2400000</v>
      </c>
      <c r="N983" s="6" t="s">
        <v>2003</v>
      </c>
      <c r="O983" s="6" t="s">
        <v>1895</v>
      </c>
      <c r="P983" s="6">
        <v>2008</v>
      </c>
      <c r="Q983" s="6">
        <v>1</v>
      </c>
      <c r="R983" s="6" t="s">
        <v>45</v>
      </c>
      <c r="S983" s="32" t="s">
        <v>2118</v>
      </c>
      <c r="T983" s="6">
        <v>1</v>
      </c>
      <c r="U983" s="26">
        <v>2200000</v>
      </c>
      <c r="V983" s="26">
        <v>2200000</v>
      </c>
      <c r="W983" s="26">
        <v>2200000</v>
      </c>
      <c r="X983" s="6" t="s">
        <v>2003</v>
      </c>
      <c r="Y983" s="6" t="s">
        <v>67</v>
      </c>
      <c r="Z983" s="6">
        <v>227147</v>
      </c>
    </row>
    <row r="984" spans="1:26" x14ac:dyDescent="0.3">
      <c r="A984" s="28" t="s">
        <v>42</v>
      </c>
      <c r="B984" s="6" t="s">
        <v>2341</v>
      </c>
      <c r="C984" s="6" t="s">
        <v>1978</v>
      </c>
      <c r="D984" s="6" t="s">
        <v>2290</v>
      </c>
      <c r="E984" s="6">
        <v>1</v>
      </c>
      <c r="F984" s="6" t="s">
        <v>2004</v>
      </c>
      <c r="G984" s="32" t="s">
        <v>2299</v>
      </c>
      <c r="H984" s="32" t="s">
        <v>2300</v>
      </c>
      <c r="I984" s="6" t="str">
        <f t="shared" si="33"/>
        <v>Hydraulic Pulverizer</v>
      </c>
      <c r="J984" s="6" t="s">
        <v>1936</v>
      </c>
      <c r="K984" s="6">
        <v>1</v>
      </c>
      <c r="L984" s="6">
        <f t="shared" si="34"/>
        <v>7640000</v>
      </c>
      <c r="M984" s="6">
        <v>6500000</v>
      </c>
      <c r="N984" s="6" t="s">
        <v>2003</v>
      </c>
      <c r="O984" s="6" t="s">
        <v>813</v>
      </c>
      <c r="P984" s="6">
        <v>2014</v>
      </c>
      <c r="Q984" s="6">
        <v>1</v>
      </c>
      <c r="R984" s="6" t="s">
        <v>45</v>
      </c>
      <c r="S984" s="32" t="s">
        <v>2113</v>
      </c>
      <c r="T984" s="6">
        <v>1</v>
      </c>
      <c r="U984" s="26">
        <v>6000000</v>
      </c>
      <c r="V984" s="26">
        <v>6000000</v>
      </c>
      <c r="W984" s="26">
        <v>6000000</v>
      </c>
      <c r="X984" s="6" t="s">
        <v>2003</v>
      </c>
      <c r="Y984" s="6" t="s">
        <v>79</v>
      </c>
      <c r="Z984" s="6">
        <v>227148</v>
      </c>
    </row>
    <row r="985" spans="1:26" x14ac:dyDescent="0.3">
      <c r="A985" s="28" t="s">
        <v>42</v>
      </c>
      <c r="B985" s="6" t="s">
        <v>2339</v>
      </c>
      <c r="C985" s="6" t="s">
        <v>1979</v>
      </c>
      <c r="D985" s="6" t="s">
        <v>2292</v>
      </c>
      <c r="E985" s="6">
        <v>1</v>
      </c>
      <c r="F985" s="6" t="s">
        <v>2004</v>
      </c>
      <c r="G985" s="32" t="s">
        <v>2299</v>
      </c>
      <c r="H985" s="32" t="s">
        <v>2300</v>
      </c>
      <c r="I985" s="6" t="str">
        <f t="shared" si="33"/>
        <v>Thumb Grapple</v>
      </c>
      <c r="J985" s="6" t="s">
        <v>93</v>
      </c>
      <c r="K985" s="6">
        <v>1</v>
      </c>
      <c r="L985" s="6">
        <f t="shared" si="34"/>
        <v>940000</v>
      </c>
      <c r="M985" s="6">
        <v>800000</v>
      </c>
      <c r="N985" s="6" t="s">
        <v>2003</v>
      </c>
      <c r="O985" s="6" t="s">
        <v>813</v>
      </c>
      <c r="P985" s="6">
        <v>2013</v>
      </c>
      <c r="Q985" s="6">
        <v>1</v>
      </c>
      <c r="R985" s="6" t="s">
        <v>45</v>
      </c>
      <c r="S985" s="32" t="s">
        <v>2113</v>
      </c>
      <c r="T985" s="6">
        <v>1</v>
      </c>
      <c r="U985" s="26">
        <v>700000</v>
      </c>
      <c r="V985" s="26">
        <v>700000</v>
      </c>
      <c r="W985" s="26">
        <v>700000</v>
      </c>
      <c r="X985" s="6" t="s">
        <v>2003</v>
      </c>
      <c r="Y985" s="6" t="s">
        <v>80</v>
      </c>
      <c r="Z985" s="6">
        <v>227149</v>
      </c>
    </row>
    <row r="986" spans="1:26" x14ac:dyDescent="0.3">
      <c r="A986" s="28" t="s">
        <v>42</v>
      </c>
      <c r="B986" s="6" t="s">
        <v>2339</v>
      </c>
      <c r="C986" s="6" t="s">
        <v>1972</v>
      </c>
      <c r="D986" s="6" t="s">
        <v>2291</v>
      </c>
      <c r="E986" s="6">
        <v>1</v>
      </c>
      <c r="F986" s="6" t="s">
        <v>2004</v>
      </c>
      <c r="G986" s="32" t="s">
        <v>2299</v>
      </c>
      <c r="H986" s="32" t="s">
        <v>2300</v>
      </c>
      <c r="I986" s="6" t="str">
        <f t="shared" si="33"/>
        <v>Stone Grapple</v>
      </c>
      <c r="J986" s="6" t="s">
        <v>109</v>
      </c>
      <c r="K986" s="6">
        <v>1</v>
      </c>
      <c r="L986" s="6">
        <f t="shared" si="34"/>
        <v>3880000</v>
      </c>
      <c r="M986" s="6">
        <v>3300000</v>
      </c>
      <c r="N986" s="6" t="s">
        <v>2003</v>
      </c>
      <c r="O986" s="6" t="s">
        <v>2007</v>
      </c>
      <c r="P986" s="6">
        <v>2014</v>
      </c>
      <c r="Q986" s="6">
        <v>1</v>
      </c>
      <c r="R986" s="6" t="s">
        <v>45</v>
      </c>
      <c r="S986" s="32" t="s">
        <v>2113</v>
      </c>
      <c r="T986" s="6">
        <v>1</v>
      </c>
      <c r="U986" s="26">
        <v>3100000</v>
      </c>
      <c r="V986" s="26">
        <v>3100000</v>
      </c>
      <c r="W986" s="26">
        <v>3100000</v>
      </c>
      <c r="X986" s="6" t="s">
        <v>2003</v>
      </c>
      <c r="Y986" s="6" t="s">
        <v>49</v>
      </c>
      <c r="Z986" s="6">
        <v>227160</v>
      </c>
    </row>
    <row r="987" spans="1:26" x14ac:dyDescent="0.3">
      <c r="A987" s="28" t="s">
        <v>42</v>
      </c>
      <c r="B987" s="6" t="s">
        <v>2338</v>
      </c>
      <c r="C987" s="6" t="s">
        <v>1975</v>
      </c>
      <c r="D987" s="6" t="s">
        <v>2292</v>
      </c>
      <c r="E987" s="6">
        <v>1</v>
      </c>
      <c r="F987" s="6" t="s">
        <v>2004</v>
      </c>
      <c r="G987" s="32" t="s">
        <v>2299</v>
      </c>
      <c r="H987" s="32" t="s">
        <v>2300</v>
      </c>
      <c r="I987" s="6" t="str">
        <f t="shared" si="33"/>
        <v>Side Breaker</v>
      </c>
      <c r="J987" s="6" t="s">
        <v>240</v>
      </c>
      <c r="K987" s="6">
        <v>1</v>
      </c>
      <c r="L987" s="6">
        <f t="shared" si="34"/>
        <v>6700000</v>
      </c>
      <c r="M987" s="6">
        <v>5700000</v>
      </c>
      <c r="N987" s="6" t="s">
        <v>2003</v>
      </c>
      <c r="O987" s="6" t="s">
        <v>813</v>
      </c>
      <c r="P987" s="6">
        <v>2016</v>
      </c>
      <c r="Q987" s="6">
        <v>1</v>
      </c>
      <c r="R987" s="6" t="s">
        <v>45</v>
      </c>
      <c r="S987" s="32" t="s">
        <v>2113</v>
      </c>
      <c r="T987" s="6">
        <v>1</v>
      </c>
      <c r="U987" s="26">
        <v>5200000</v>
      </c>
      <c r="V987" s="26">
        <v>5200000</v>
      </c>
      <c r="W987" s="26">
        <v>5200000</v>
      </c>
      <c r="X987" s="6" t="s">
        <v>2003</v>
      </c>
      <c r="Y987" s="6" t="s">
        <v>79</v>
      </c>
      <c r="Z987" s="6">
        <v>227164</v>
      </c>
    </row>
    <row r="988" spans="1:26" x14ac:dyDescent="0.3">
      <c r="A988" s="28" t="s">
        <v>42</v>
      </c>
      <c r="B988" s="6" t="s">
        <v>2339</v>
      </c>
      <c r="C988" s="6" t="s">
        <v>1972</v>
      </c>
      <c r="D988" s="6" t="s">
        <v>2292</v>
      </c>
      <c r="E988" s="6">
        <v>1</v>
      </c>
      <c r="F988" s="6" t="s">
        <v>2004</v>
      </c>
      <c r="G988" s="32" t="s">
        <v>2299</v>
      </c>
      <c r="H988" s="32" t="s">
        <v>2300</v>
      </c>
      <c r="I988" s="6" t="str">
        <f t="shared" si="33"/>
        <v>Stone Grapple</v>
      </c>
      <c r="J988" s="6" t="s">
        <v>130</v>
      </c>
      <c r="K988" s="6">
        <v>1</v>
      </c>
      <c r="L988" s="6">
        <f t="shared" si="34"/>
        <v>2110000</v>
      </c>
      <c r="M988" s="6">
        <v>1800000</v>
      </c>
      <c r="N988" s="6" t="s">
        <v>2003</v>
      </c>
      <c r="O988" s="6" t="s">
        <v>51</v>
      </c>
      <c r="P988" s="6">
        <v>2013</v>
      </c>
      <c r="Q988" s="6">
        <v>1</v>
      </c>
      <c r="R988" s="6" t="s">
        <v>45</v>
      </c>
      <c r="S988" s="32" t="s">
        <v>2113</v>
      </c>
      <c r="T988" s="6">
        <v>1</v>
      </c>
      <c r="U988" s="26">
        <v>1700000</v>
      </c>
      <c r="V988" s="26">
        <v>1700000</v>
      </c>
      <c r="W988" s="26">
        <v>1700000</v>
      </c>
      <c r="X988" s="6" t="s">
        <v>2003</v>
      </c>
      <c r="Y988" s="6" t="s">
        <v>49</v>
      </c>
      <c r="Z988" s="6">
        <v>227166</v>
      </c>
    </row>
    <row r="989" spans="1:26" x14ac:dyDescent="0.3">
      <c r="A989" s="28" t="s">
        <v>42</v>
      </c>
      <c r="B989" s="6" t="s">
        <v>2343</v>
      </c>
      <c r="C989" s="6"/>
      <c r="D989" s="6" t="s">
        <v>2292</v>
      </c>
      <c r="E989" s="6">
        <v>1</v>
      </c>
      <c r="F989" s="6" t="s">
        <v>2004</v>
      </c>
      <c r="G989" s="32" t="s">
        <v>2299</v>
      </c>
      <c r="H989" s="32" t="s">
        <v>2300</v>
      </c>
      <c r="I989" s="6" t="str">
        <f t="shared" si="33"/>
        <v>Lift Fork</v>
      </c>
      <c r="J989" s="6" t="s">
        <v>102</v>
      </c>
      <c r="K989" s="6">
        <v>1</v>
      </c>
      <c r="L989" s="6">
        <f t="shared" si="34"/>
        <v>700000</v>
      </c>
      <c r="M989" s="6">
        <v>600000</v>
      </c>
      <c r="N989" s="6" t="s">
        <v>2003</v>
      </c>
      <c r="O989" s="6" t="s">
        <v>813</v>
      </c>
      <c r="P989" s="6">
        <v>2013</v>
      </c>
      <c r="Q989" s="6">
        <v>1</v>
      </c>
      <c r="R989" s="6" t="s">
        <v>45</v>
      </c>
      <c r="S989" s="32" t="s">
        <v>2113</v>
      </c>
      <c r="T989" s="6">
        <v>1</v>
      </c>
      <c r="U989" s="26">
        <v>500000</v>
      </c>
      <c r="V989" s="26">
        <v>500000</v>
      </c>
      <c r="W989" s="26">
        <v>500000</v>
      </c>
      <c r="X989" s="6" t="s">
        <v>2003</v>
      </c>
      <c r="Y989" s="6" t="s">
        <v>80</v>
      </c>
      <c r="Z989" s="6">
        <v>227167</v>
      </c>
    </row>
    <row r="990" spans="1:26" x14ac:dyDescent="0.3">
      <c r="A990" s="28" t="s">
        <v>42</v>
      </c>
      <c r="B990" s="6" t="s">
        <v>2338</v>
      </c>
      <c r="C990" s="6" t="s">
        <v>1975</v>
      </c>
      <c r="D990" s="6" t="s">
        <v>2292</v>
      </c>
      <c r="E990" s="6">
        <v>1</v>
      </c>
      <c r="F990" s="6" t="s">
        <v>2004</v>
      </c>
      <c r="G990" s="32" t="s">
        <v>2299</v>
      </c>
      <c r="H990" s="32" t="s">
        <v>2300</v>
      </c>
      <c r="I990" s="6" t="str">
        <f t="shared" si="33"/>
        <v>Side Breaker</v>
      </c>
      <c r="J990" s="6" t="s">
        <v>440</v>
      </c>
      <c r="K990" s="6">
        <v>1</v>
      </c>
      <c r="L990" s="6">
        <f t="shared" si="34"/>
        <v>7050000</v>
      </c>
      <c r="M990" s="6">
        <v>6000000</v>
      </c>
      <c r="N990" s="6" t="s">
        <v>2003</v>
      </c>
      <c r="O990" s="6" t="s">
        <v>813</v>
      </c>
      <c r="P990" s="6">
        <v>2016</v>
      </c>
      <c r="Q990" s="6">
        <v>1</v>
      </c>
      <c r="R990" s="6" t="s">
        <v>45</v>
      </c>
      <c r="S990" s="32" t="s">
        <v>2113</v>
      </c>
      <c r="T990" s="6">
        <v>1</v>
      </c>
      <c r="U990" s="26">
        <v>5500000</v>
      </c>
      <c r="V990" s="26">
        <v>5500000</v>
      </c>
      <c r="W990" s="26">
        <v>5500000</v>
      </c>
      <c r="X990" s="6" t="s">
        <v>2003</v>
      </c>
      <c r="Y990" s="6" t="s">
        <v>79</v>
      </c>
      <c r="Z990" s="6">
        <v>227168</v>
      </c>
    </row>
    <row r="991" spans="1:26" x14ac:dyDescent="0.3">
      <c r="A991" s="28" t="s">
        <v>42</v>
      </c>
      <c r="B991" s="6" t="s">
        <v>2344</v>
      </c>
      <c r="C991" s="6" t="s">
        <v>1976</v>
      </c>
      <c r="D991" s="6" t="s">
        <v>2291</v>
      </c>
      <c r="E991" s="6">
        <v>1</v>
      </c>
      <c r="F991" s="6" t="s">
        <v>2004</v>
      </c>
      <c r="G991" s="32" t="s">
        <v>2299</v>
      </c>
      <c r="H991" s="32" t="s">
        <v>2300</v>
      </c>
      <c r="I991" s="6" t="str">
        <f t="shared" si="33"/>
        <v>Skeleton Bucket</v>
      </c>
      <c r="J991" s="6" t="s">
        <v>557</v>
      </c>
      <c r="K991" s="6">
        <v>1</v>
      </c>
      <c r="L991" s="6">
        <f t="shared" si="34"/>
        <v>820000</v>
      </c>
      <c r="M991" s="6">
        <v>700000</v>
      </c>
      <c r="N991" s="6" t="s">
        <v>2003</v>
      </c>
      <c r="O991" s="6" t="s">
        <v>2011</v>
      </c>
      <c r="P991" s="6">
        <v>2017</v>
      </c>
      <c r="Q991" s="6">
        <v>6</v>
      </c>
      <c r="R991" s="6" t="s">
        <v>45</v>
      </c>
      <c r="S991" s="32" t="s">
        <v>2123</v>
      </c>
      <c r="T991" s="6">
        <v>1</v>
      </c>
      <c r="U991" s="26">
        <v>600000</v>
      </c>
      <c r="V991" s="26">
        <v>600000</v>
      </c>
      <c r="W991" s="26">
        <v>600000</v>
      </c>
      <c r="X991" s="6" t="s">
        <v>2003</v>
      </c>
      <c r="Y991" s="6" t="s">
        <v>1200</v>
      </c>
      <c r="Z991" s="6">
        <v>227169</v>
      </c>
    </row>
    <row r="992" spans="1:26" x14ac:dyDescent="0.3">
      <c r="A992" s="28" t="s">
        <v>42</v>
      </c>
      <c r="B992" s="6" t="s">
        <v>2340</v>
      </c>
      <c r="C992" s="6"/>
      <c r="D992" s="6" t="s">
        <v>2292</v>
      </c>
      <c r="E992" s="6">
        <v>1</v>
      </c>
      <c r="F992" s="6" t="s">
        <v>2004</v>
      </c>
      <c r="G992" s="32" t="s">
        <v>2299</v>
      </c>
      <c r="H992" s="32" t="s">
        <v>2300</v>
      </c>
      <c r="I992" s="6" t="str">
        <f t="shared" si="33"/>
        <v>ETC</v>
      </c>
      <c r="J992" s="6" t="s">
        <v>1938</v>
      </c>
      <c r="K992" s="6">
        <v>1</v>
      </c>
      <c r="L992" s="6">
        <f t="shared" si="34"/>
        <v>1050000</v>
      </c>
      <c r="M992" s="6">
        <v>900000</v>
      </c>
      <c r="N992" s="6" t="s">
        <v>2003</v>
      </c>
      <c r="O992" s="6" t="s">
        <v>2007</v>
      </c>
      <c r="P992" s="6">
        <v>2014</v>
      </c>
      <c r="Q992" s="6">
        <v>1</v>
      </c>
      <c r="R992" s="6" t="s">
        <v>45</v>
      </c>
      <c r="S992" s="32" t="s">
        <v>2113</v>
      </c>
      <c r="T992" s="6">
        <v>1</v>
      </c>
      <c r="U992" s="26">
        <v>800000</v>
      </c>
      <c r="V992" s="26">
        <v>800000</v>
      </c>
      <c r="W992" s="26">
        <v>800000</v>
      </c>
      <c r="X992" s="6" t="s">
        <v>2003</v>
      </c>
      <c r="Y992" s="6" t="s">
        <v>49</v>
      </c>
      <c r="Z992" s="6">
        <v>227174</v>
      </c>
    </row>
    <row r="993" spans="1:26" x14ac:dyDescent="0.3">
      <c r="A993" s="28" t="s">
        <v>42</v>
      </c>
      <c r="B993" s="6" t="s">
        <v>2344</v>
      </c>
      <c r="C993" s="6" t="s">
        <v>1982</v>
      </c>
      <c r="D993" s="6" t="s">
        <v>2292</v>
      </c>
      <c r="E993" s="6">
        <v>1</v>
      </c>
      <c r="F993" s="6" t="s">
        <v>2004</v>
      </c>
      <c r="G993" s="32" t="s">
        <v>2299</v>
      </c>
      <c r="H993" s="32" t="s">
        <v>2300</v>
      </c>
      <c r="I993" s="6" t="str">
        <f t="shared" si="33"/>
        <v>Standard Bucket</v>
      </c>
      <c r="J993" s="6" t="s">
        <v>563</v>
      </c>
      <c r="K993" s="6">
        <v>1</v>
      </c>
      <c r="L993" s="6">
        <f t="shared" si="34"/>
        <v>1520000</v>
      </c>
      <c r="M993" s="6">
        <v>1300000</v>
      </c>
      <c r="N993" s="6" t="s">
        <v>2003</v>
      </c>
      <c r="O993" s="6" t="s">
        <v>1896</v>
      </c>
      <c r="P993" s="6">
        <v>2017</v>
      </c>
      <c r="Q993" s="6">
        <v>1</v>
      </c>
      <c r="R993" s="6" t="s">
        <v>45</v>
      </c>
      <c r="S993" s="32" t="s">
        <v>2122</v>
      </c>
      <c r="T993" s="6">
        <v>1</v>
      </c>
      <c r="U993" s="26">
        <v>1200000</v>
      </c>
      <c r="V993" s="26">
        <v>1200000</v>
      </c>
      <c r="W993" s="26">
        <v>1200000</v>
      </c>
      <c r="X993" s="6" t="s">
        <v>2003</v>
      </c>
      <c r="Y993" s="6" t="s">
        <v>1279</v>
      </c>
      <c r="Z993" s="6">
        <v>227177</v>
      </c>
    </row>
    <row r="994" spans="1:26" x14ac:dyDescent="0.3">
      <c r="A994" s="28" t="s">
        <v>42</v>
      </c>
      <c r="B994" s="6" t="s">
        <v>2339</v>
      </c>
      <c r="C994" s="6" t="s">
        <v>1972</v>
      </c>
      <c r="D994" s="6" t="s">
        <v>2292</v>
      </c>
      <c r="E994" s="6">
        <v>1</v>
      </c>
      <c r="F994" s="6" t="s">
        <v>2004</v>
      </c>
      <c r="G994" s="32" t="s">
        <v>2299</v>
      </c>
      <c r="H994" s="32" t="s">
        <v>2300</v>
      </c>
      <c r="I994" s="6" t="str">
        <f t="shared" si="33"/>
        <v>Stone Grapple</v>
      </c>
      <c r="J994" s="6" t="s">
        <v>72</v>
      </c>
      <c r="K994" s="6">
        <v>1</v>
      </c>
      <c r="L994" s="6">
        <f t="shared" si="34"/>
        <v>6470000</v>
      </c>
      <c r="M994" s="6">
        <v>5500000</v>
      </c>
      <c r="N994" s="6" t="s">
        <v>2003</v>
      </c>
      <c r="O994" s="6" t="s">
        <v>813</v>
      </c>
      <c r="P994" s="6">
        <v>2014</v>
      </c>
      <c r="Q994" s="6">
        <v>1</v>
      </c>
      <c r="R994" s="6" t="s">
        <v>45</v>
      </c>
      <c r="S994" s="32" t="s">
        <v>2113</v>
      </c>
      <c r="T994" s="6">
        <v>1</v>
      </c>
      <c r="U994" s="26">
        <v>5000000</v>
      </c>
      <c r="V994" s="26">
        <v>5000000</v>
      </c>
      <c r="W994" s="26">
        <v>5000000</v>
      </c>
      <c r="X994" s="6" t="s">
        <v>2003</v>
      </c>
      <c r="Y994" s="6" t="s">
        <v>80</v>
      </c>
      <c r="Z994" s="6">
        <v>227179</v>
      </c>
    </row>
    <row r="995" spans="1:26" x14ac:dyDescent="0.3">
      <c r="A995" s="28" t="s">
        <v>42</v>
      </c>
      <c r="B995" s="6" t="s">
        <v>2338</v>
      </c>
      <c r="C995" s="6" t="s">
        <v>1975</v>
      </c>
      <c r="D995" s="6" t="s">
        <v>2291</v>
      </c>
      <c r="E995" s="6">
        <v>1</v>
      </c>
      <c r="F995" s="6" t="s">
        <v>2004</v>
      </c>
      <c r="G995" s="32" t="s">
        <v>2299</v>
      </c>
      <c r="H995" s="32" t="s">
        <v>2300</v>
      </c>
      <c r="I995" s="6" t="str">
        <f t="shared" si="33"/>
        <v>Side Breaker</v>
      </c>
      <c r="J995" s="6" t="s">
        <v>83</v>
      </c>
      <c r="K995" s="6">
        <v>1</v>
      </c>
      <c r="L995" s="6">
        <f t="shared" si="34"/>
        <v>1940000</v>
      </c>
      <c r="M995" s="6">
        <v>1650000</v>
      </c>
      <c r="N995" s="6" t="s">
        <v>2003</v>
      </c>
      <c r="O995" s="6" t="s">
        <v>2007</v>
      </c>
      <c r="P995" s="6">
        <v>2014</v>
      </c>
      <c r="Q995" s="6">
        <v>1</v>
      </c>
      <c r="R995" s="6" t="s">
        <v>45</v>
      </c>
      <c r="S995" s="32" t="s">
        <v>2113</v>
      </c>
      <c r="T995" s="6">
        <v>1</v>
      </c>
      <c r="U995" s="26">
        <v>1550000</v>
      </c>
      <c r="V995" s="26">
        <v>1550000</v>
      </c>
      <c r="W995" s="26">
        <v>1550000</v>
      </c>
      <c r="X995" s="6" t="s">
        <v>2003</v>
      </c>
      <c r="Y995" s="6" t="s">
        <v>49</v>
      </c>
      <c r="Z995" s="6">
        <v>227181</v>
      </c>
    </row>
    <row r="996" spans="1:26" x14ac:dyDescent="0.3">
      <c r="A996" s="28" t="s">
        <v>42</v>
      </c>
      <c r="B996" s="6" t="s">
        <v>2339</v>
      </c>
      <c r="C996" s="6" t="s">
        <v>1972</v>
      </c>
      <c r="D996" s="6" t="s">
        <v>2292</v>
      </c>
      <c r="E996" s="6">
        <v>1</v>
      </c>
      <c r="F996" s="6" t="s">
        <v>2004</v>
      </c>
      <c r="G996" s="32" t="s">
        <v>2299</v>
      </c>
      <c r="H996" s="32" t="s">
        <v>2300</v>
      </c>
      <c r="I996" s="6" t="str">
        <f t="shared" si="33"/>
        <v>Stone Grapple</v>
      </c>
      <c r="J996" s="6" t="s">
        <v>1939</v>
      </c>
      <c r="K996" s="6">
        <v>1</v>
      </c>
      <c r="L996" s="6">
        <f t="shared" si="34"/>
        <v>5520000</v>
      </c>
      <c r="M996" s="6">
        <v>4700000</v>
      </c>
      <c r="N996" s="6" t="s">
        <v>2003</v>
      </c>
      <c r="O996" s="6" t="s">
        <v>54</v>
      </c>
      <c r="P996" s="6">
        <v>2010</v>
      </c>
      <c r="Q996" s="6">
        <v>1</v>
      </c>
      <c r="R996" s="6" t="s">
        <v>45</v>
      </c>
      <c r="S996" s="32" t="s">
        <v>2114</v>
      </c>
      <c r="T996" s="6">
        <v>1</v>
      </c>
      <c r="U996" s="26">
        <v>4500000</v>
      </c>
      <c r="V996" s="26">
        <v>4500000</v>
      </c>
      <c r="W996" s="26">
        <v>4500000</v>
      </c>
      <c r="X996" s="6" t="s">
        <v>2003</v>
      </c>
      <c r="Y996" s="6" t="s">
        <v>54</v>
      </c>
      <c r="Z996" s="6">
        <v>227183</v>
      </c>
    </row>
    <row r="997" spans="1:26" x14ac:dyDescent="0.3">
      <c r="A997" s="28" t="s">
        <v>42</v>
      </c>
      <c r="B997" s="6" t="s">
        <v>2339</v>
      </c>
      <c r="C997" s="6" t="s">
        <v>1972</v>
      </c>
      <c r="D997" s="6" t="s">
        <v>2291</v>
      </c>
      <c r="E997" s="6">
        <v>1</v>
      </c>
      <c r="F997" s="6" t="s">
        <v>2004</v>
      </c>
      <c r="G997" s="32" t="s">
        <v>2299</v>
      </c>
      <c r="H997" s="32" t="s">
        <v>2300</v>
      </c>
      <c r="I997" s="6" t="str">
        <f t="shared" si="33"/>
        <v>Stone Grapple</v>
      </c>
      <c r="J997" s="6" t="s">
        <v>1941</v>
      </c>
      <c r="K997" s="6">
        <v>1</v>
      </c>
      <c r="L997" s="6">
        <f t="shared" si="34"/>
        <v>3880000</v>
      </c>
      <c r="M997" s="6">
        <v>3300000</v>
      </c>
      <c r="N997" s="6" t="s">
        <v>2003</v>
      </c>
      <c r="O997" s="6" t="s">
        <v>1898</v>
      </c>
      <c r="P997" s="6">
        <v>2014</v>
      </c>
      <c r="Q997" s="6">
        <v>1</v>
      </c>
      <c r="R997" s="6" t="s">
        <v>45</v>
      </c>
      <c r="S997" s="32" t="s">
        <v>2113</v>
      </c>
      <c r="T997" s="6">
        <v>1</v>
      </c>
      <c r="U997" s="26">
        <v>3100000</v>
      </c>
      <c r="V997" s="26">
        <v>3100000</v>
      </c>
      <c r="W997" s="26">
        <v>3100000</v>
      </c>
      <c r="X997" s="6" t="s">
        <v>2003</v>
      </c>
      <c r="Y997" s="6" t="s">
        <v>49</v>
      </c>
      <c r="Z997" s="6">
        <v>227185</v>
      </c>
    </row>
    <row r="998" spans="1:26" x14ac:dyDescent="0.3">
      <c r="A998" s="28" t="s">
        <v>42</v>
      </c>
      <c r="B998" s="6" t="s">
        <v>2339</v>
      </c>
      <c r="C998" s="6" t="s">
        <v>1974</v>
      </c>
      <c r="D998" s="6" t="s">
        <v>2291</v>
      </c>
      <c r="E998" s="6">
        <v>1</v>
      </c>
      <c r="F998" s="6" t="s">
        <v>2004</v>
      </c>
      <c r="G998" s="32" t="s">
        <v>2299</v>
      </c>
      <c r="H998" s="32" t="s">
        <v>2300</v>
      </c>
      <c r="I998" s="6" t="str">
        <f t="shared" si="33"/>
        <v>Etc Grapple</v>
      </c>
      <c r="J998" s="6" t="s">
        <v>136</v>
      </c>
      <c r="K998" s="6">
        <v>1</v>
      </c>
      <c r="L998" s="6">
        <f t="shared" si="34"/>
        <v>2230000</v>
      </c>
      <c r="M998" s="6">
        <v>1900000</v>
      </c>
      <c r="N998" s="6" t="s">
        <v>2003</v>
      </c>
      <c r="O998" s="6" t="s">
        <v>2011</v>
      </c>
      <c r="P998" s="6">
        <v>2010</v>
      </c>
      <c r="Q998" s="6">
        <v>5</v>
      </c>
      <c r="R998" s="6" t="s">
        <v>45</v>
      </c>
      <c r="S998" s="32" t="s">
        <v>2123</v>
      </c>
      <c r="T998" s="6">
        <v>1</v>
      </c>
      <c r="U998" s="26">
        <v>1800000</v>
      </c>
      <c r="V998" s="26">
        <v>1800000</v>
      </c>
      <c r="W998" s="26">
        <v>1800000</v>
      </c>
      <c r="X998" s="6" t="s">
        <v>2003</v>
      </c>
      <c r="Y998" s="6" t="s">
        <v>1200</v>
      </c>
      <c r="Z998" s="6">
        <v>227189</v>
      </c>
    </row>
    <row r="999" spans="1:26" x14ac:dyDescent="0.3">
      <c r="A999" s="28" t="s">
        <v>42</v>
      </c>
      <c r="B999" s="6" t="s">
        <v>2344</v>
      </c>
      <c r="C999" s="6" t="s">
        <v>1982</v>
      </c>
      <c r="D999" s="6" t="s">
        <v>2291</v>
      </c>
      <c r="E999" s="6">
        <v>1</v>
      </c>
      <c r="F999" s="6" t="s">
        <v>2004</v>
      </c>
      <c r="G999" s="32" t="s">
        <v>2299</v>
      </c>
      <c r="H999" s="32" t="s">
        <v>2300</v>
      </c>
      <c r="I999" s="6" t="str">
        <f t="shared" si="33"/>
        <v>Standard Bucket</v>
      </c>
      <c r="J999" s="6" t="s">
        <v>428</v>
      </c>
      <c r="K999" s="6">
        <v>1</v>
      </c>
      <c r="L999" s="6">
        <f t="shared" si="34"/>
        <v>380000</v>
      </c>
      <c r="M999" s="6">
        <v>330000</v>
      </c>
      <c r="N999" s="6" t="s">
        <v>2003</v>
      </c>
      <c r="O999" s="6" t="s">
        <v>823</v>
      </c>
      <c r="P999" s="6">
        <v>2013</v>
      </c>
      <c r="Q999" s="6">
        <v>1</v>
      </c>
      <c r="R999" s="6" t="s">
        <v>45</v>
      </c>
      <c r="S999" s="32" t="s">
        <v>2113</v>
      </c>
      <c r="T999" s="6">
        <v>1</v>
      </c>
      <c r="U999" s="26">
        <v>280000</v>
      </c>
      <c r="V999" s="26">
        <v>280000</v>
      </c>
      <c r="W999" s="26">
        <v>280000</v>
      </c>
      <c r="X999" s="6" t="s">
        <v>2003</v>
      </c>
      <c r="Y999" s="6" t="s">
        <v>49</v>
      </c>
      <c r="Z999" s="6">
        <v>227191</v>
      </c>
    </row>
    <row r="1000" spans="1:26" x14ac:dyDescent="0.3">
      <c r="A1000" s="28" t="s">
        <v>42</v>
      </c>
      <c r="B1000" s="6" t="s">
        <v>2344</v>
      </c>
      <c r="C1000" s="6" t="s">
        <v>1977</v>
      </c>
      <c r="D1000" s="6" t="s">
        <v>2291</v>
      </c>
      <c r="E1000" s="6">
        <v>1</v>
      </c>
      <c r="F1000" s="6" t="s">
        <v>2004</v>
      </c>
      <c r="G1000" s="32" t="s">
        <v>2299</v>
      </c>
      <c r="H1000" s="32" t="s">
        <v>2300</v>
      </c>
      <c r="I1000" s="6" t="str">
        <f t="shared" si="33"/>
        <v>Wide Bucket</v>
      </c>
      <c r="J1000" s="6" t="s">
        <v>64</v>
      </c>
      <c r="K1000" s="6">
        <v>1</v>
      </c>
      <c r="L1000" s="6">
        <f t="shared" si="34"/>
        <v>410000</v>
      </c>
      <c r="M1000" s="6">
        <v>350000</v>
      </c>
      <c r="N1000" s="6" t="s">
        <v>2003</v>
      </c>
      <c r="O1000" s="6" t="s">
        <v>793</v>
      </c>
      <c r="P1000" s="6">
        <v>2012</v>
      </c>
      <c r="Q1000" s="6">
        <v>1</v>
      </c>
      <c r="R1000" s="6" t="s">
        <v>45</v>
      </c>
      <c r="S1000" s="32" t="s">
        <v>2116</v>
      </c>
      <c r="T1000" s="6">
        <v>1</v>
      </c>
      <c r="U1000" s="26">
        <v>300000</v>
      </c>
      <c r="V1000" s="26">
        <v>300000</v>
      </c>
      <c r="W1000" s="26">
        <v>300000</v>
      </c>
      <c r="X1000" s="6" t="s">
        <v>2003</v>
      </c>
      <c r="Y1000" s="6" t="s">
        <v>1146</v>
      </c>
      <c r="Z1000" s="6">
        <v>227192</v>
      </c>
    </row>
    <row r="1001" spans="1:26" x14ac:dyDescent="0.3">
      <c r="A1001" s="28" t="s">
        <v>42</v>
      </c>
      <c r="B1001" s="6" t="s">
        <v>2340</v>
      </c>
      <c r="C1001" s="6"/>
      <c r="D1001" s="6" t="s">
        <v>2291</v>
      </c>
      <c r="E1001" s="6">
        <v>1</v>
      </c>
      <c r="F1001" s="6" t="s">
        <v>2004</v>
      </c>
      <c r="G1001" s="32" t="s">
        <v>2299</v>
      </c>
      <c r="H1001" s="32" t="s">
        <v>2300</v>
      </c>
      <c r="I1001" s="6" t="str">
        <f t="shared" si="33"/>
        <v>ETC</v>
      </c>
      <c r="J1001" s="6" t="s">
        <v>138</v>
      </c>
      <c r="K1001" s="6">
        <v>1</v>
      </c>
      <c r="L1001" s="6">
        <f t="shared" si="34"/>
        <v>4350000</v>
      </c>
      <c r="M1001" s="6">
        <v>3700000</v>
      </c>
      <c r="N1001" s="6" t="s">
        <v>2003</v>
      </c>
      <c r="O1001" s="6" t="s">
        <v>2015</v>
      </c>
      <c r="P1001" s="6">
        <v>2012</v>
      </c>
      <c r="Q1001" s="6">
        <v>6</v>
      </c>
      <c r="R1001" s="6" t="s">
        <v>45</v>
      </c>
      <c r="S1001" s="32" t="s">
        <v>2113</v>
      </c>
      <c r="T1001" s="6">
        <v>1</v>
      </c>
      <c r="U1001" s="26">
        <v>3500000</v>
      </c>
      <c r="V1001" s="26">
        <v>3500000</v>
      </c>
      <c r="W1001" s="26">
        <v>3500000</v>
      </c>
      <c r="X1001" s="6" t="s">
        <v>2003</v>
      </c>
      <c r="Y1001" s="6" t="s">
        <v>47</v>
      </c>
      <c r="Z1001" s="6">
        <v>227193</v>
      </c>
    </row>
    <row r="1002" spans="1:26" x14ac:dyDescent="0.3">
      <c r="A1002" s="28" t="s">
        <v>42</v>
      </c>
      <c r="B1002" s="6" t="s">
        <v>2339</v>
      </c>
      <c r="C1002" s="6" t="s">
        <v>1974</v>
      </c>
      <c r="D1002" s="6" t="s">
        <v>2291</v>
      </c>
      <c r="E1002" s="6">
        <v>1</v>
      </c>
      <c r="F1002" s="6" t="s">
        <v>2004</v>
      </c>
      <c r="G1002" s="32" t="s">
        <v>2299</v>
      </c>
      <c r="H1002" s="32" t="s">
        <v>2300</v>
      </c>
      <c r="I1002" s="6" t="str">
        <f t="shared" si="33"/>
        <v>Etc Grapple</v>
      </c>
      <c r="J1002" s="6" t="s">
        <v>136</v>
      </c>
      <c r="K1002" s="6">
        <v>1</v>
      </c>
      <c r="L1002" s="6">
        <f t="shared" si="34"/>
        <v>2580000</v>
      </c>
      <c r="M1002" s="6">
        <v>2200000</v>
      </c>
      <c r="N1002" s="6" t="s">
        <v>2003</v>
      </c>
      <c r="O1002" s="6" t="s">
        <v>54</v>
      </c>
      <c r="P1002" s="6">
        <v>2010</v>
      </c>
      <c r="Q1002" s="6">
        <v>1</v>
      </c>
      <c r="R1002" s="6" t="s">
        <v>45</v>
      </c>
      <c r="S1002" s="32" t="s">
        <v>2114</v>
      </c>
      <c r="T1002" s="6">
        <v>1</v>
      </c>
      <c r="U1002" s="26">
        <v>2000000</v>
      </c>
      <c r="V1002" s="26">
        <v>2000000</v>
      </c>
      <c r="W1002" s="26">
        <v>2000000</v>
      </c>
      <c r="X1002" s="6" t="s">
        <v>2003</v>
      </c>
      <c r="Y1002" s="6" t="s">
        <v>54</v>
      </c>
      <c r="Z1002" s="6">
        <v>227194</v>
      </c>
    </row>
    <row r="1003" spans="1:26" x14ac:dyDescent="0.3">
      <c r="A1003" s="28" t="s">
        <v>42</v>
      </c>
      <c r="B1003" s="6" t="s">
        <v>2339</v>
      </c>
      <c r="C1003" s="6" t="s">
        <v>1972</v>
      </c>
      <c r="D1003" s="6" t="s">
        <v>2292</v>
      </c>
      <c r="E1003" s="6">
        <v>1</v>
      </c>
      <c r="F1003" s="6" t="s">
        <v>2004</v>
      </c>
      <c r="G1003" s="32" t="s">
        <v>2299</v>
      </c>
      <c r="H1003" s="32" t="s">
        <v>2300</v>
      </c>
      <c r="I1003" s="6" t="str">
        <f t="shared" si="33"/>
        <v>Stone Grapple</v>
      </c>
      <c r="J1003" s="6" t="s">
        <v>225</v>
      </c>
      <c r="K1003" s="6">
        <v>1</v>
      </c>
      <c r="L1003" s="6">
        <f t="shared" si="34"/>
        <v>3050000</v>
      </c>
      <c r="M1003" s="6">
        <v>2600000</v>
      </c>
      <c r="N1003" s="6" t="s">
        <v>2003</v>
      </c>
      <c r="O1003" s="6" t="s">
        <v>2007</v>
      </c>
      <c r="P1003" s="6">
        <v>2014</v>
      </c>
      <c r="Q1003" s="6">
        <v>1</v>
      </c>
      <c r="R1003" s="6" t="s">
        <v>45</v>
      </c>
      <c r="S1003" s="32" t="s">
        <v>2113</v>
      </c>
      <c r="T1003" s="6">
        <v>1</v>
      </c>
      <c r="U1003" s="26">
        <v>2400000</v>
      </c>
      <c r="V1003" s="26">
        <v>2400000</v>
      </c>
      <c r="W1003" s="26">
        <v>2400000</v>
      </c>
      <c r="X1003" s="6" t="s">
        <v>2003</v>
      </c>
      <c r="Y1003" s="6" t="s">
        <v>49</v>
      </c>
      <c r="Z1003" s="6">
        <v>227196</v>
      </c>
    </row>
    <row r="1004" spans="1:26" x14ac:dyDescent="0.3">
      <c r="A1004" s="28" t="s">
        <v>42</v>
      </c>
      <c r="B1004" s="6" t="s">
        <v>2338</v>
      </c>
      <c r="C1004" s="6" t="s">
        <v>1975</v>
      </c>
      <c r="D1004" s="6" t="s">
        <v>2290</v>
      </c>
      <c r="E1004" s="6">
        <v>1</v>
      </c>
      <c r="F1004" s="6" t="s">
        <v>2004</v>
      </c>
      <c r="G1004" s="32" t="s">
        <v>2299</v>
      </c>
      <c r="H1004" s="32" t="s">
        <v>2300</v>
      </c>
      <c r="I1004" s="6" t="str">
        <f t="shared" si="33"/>
        <v>Side Breaker</v>
      </c>
      <c r="J1004" s="6" t="s">
        <v>1942</v>
      </c>
      <c r="K1004" s="6">
        <v>1</v>
      </c>
      <c r="L1004" s="6">
        <f t="shared" si="34"/>
        <v>11170000</v>
      </c>
      <c r="M1004" s="6">
        <v>9500000</v>
      </c>
      <c r="N1004" s="6" t="s">
        <v>2003</v>
      </c>
      <c r="O1004" s="6" t="s">
        <v>1899</v>
      </c>
      <c r="P1004" s="6">
        <v>2016</v>
      </c>
      <c r="Q1004" s="6">
        <v>1</v>
      </c>
      <c r="R1004" s="6" t="s">
        <v>45</v>
      </c>
      <c r="S1004" s="32" t="s">
        <v>2118</v>
      </c>
      <c r="T1004" s="6">
        <v>1</v>
      </c>
      <c r="U1004" s="26">
        <v>9000000</v>
      </c>
      <c r="V1004" s="26">
        <v>9000000</v>
      </c>
      <c r="W1004" s="26">
        <v>9000000</v>
      </c>
      <c r="X1004" s="6" t="s">
        <v>2003</v>
      </c>
      <c r="Y1004" s="6" t="s">
        <v>63</v>
      </c>
      <c r="Z1004" s="6">
        <v>227197</v>
      </c>
    </row>
    <row r="1005" spans="1:26" x14ac:dyDescent="0.3">
      <c r="A1005" s="28" t="s">
        <v>42</v>
      </c>
      <c r="B1005" s="6" t="s">
        <v>2343</v>
      </c>
      <c r="C1005" s="6"/>
      <c r="D1005" s="6" t="s">
        <v>2292</v>
      </c>
      <c r="E1005" s="6">
        <v>1</v>
      </c>
      <c r="F1005" s="6" t="s">
        <v>2004</v>
      </c>
      <c r="G1005" s="32" t="s">
        <v>2299</v>
      </c>
      <c r="H1005" s="32" t="s">
        <v>2300</v>
      </c>
      <c r="I1005" s="6" t="str">
        <f t="shared" si="33"/>
        <v>Lift Fork</v>
      </c>
      <c r="J1005" s="6" t="s">
        <v>102</v>
      </c>
      <c r="K1005" s="6">
        <v>1</v>
      </c>
      <c r="L1005" s="6">
        <f t="shared" si="34"/>
        <v>880000</v>
      </c>
      <c r="M1005" s="6">
        <v>750000</v>
      </c>
      <c r="N1005" s="6" t="s">
        <v>2003</v>
      </c>
      <c r="O1005" s="6" t="s">
        <v>1900</v>
      </c>
      <c r="P1005" s="6">
        <v>2013</v>
      </c>
      <c r="Q1005" s="6">
        <v>1</v>
      </c>
      <c r="R1005" s="6" t="s">
        <v>45</v>
      </c>
      <c r="S1005" s="32" t="s">
        <v>2110</v>
      </c>
      <c r="T1005" s="6">
        <v>1</v>
      </c>
      <c r="U1005" s="26">
        <v>650000</v>
      </c>
      <c r="V1005" s="26">
        <v>650000</v>
      </c>
      <c r="W1005" s="26">
        <v>650000</v>
      </c>
      <c r="X1005" s="6" t="s">
        <v>2003</v>
      </c>
      <c r="Y1005" s="6" t="s">
        <v>1317</v>
      </c>
      <c r="Z1005" s="6">
        <v>227199</v>
      </c>
    </row>
    <row r="1006" spans="1:26" x14ac:dyDescent="0.3">
      <c r="A1006" s="28" t="s">
        <v>42</v>
      </c>
      <c r="B1006" s="6" t="s">
        <v>2338</v>
      </c>
      <c r="C1006" s="6" t="s">
        <v>1975</v>
      </c>
      <c r="D1006" s="6" t="s">
        <v>2289</v>
      </c>
      <c r="E1006" s="6">
        <v>1</v>
      </c>
      <c r="F1006" s="6" t="s">
        <v>2004</v>
      </c>
      <c r="G1006" s="32" t="s">
        <v>2299</v>
      </c>
      <c r="H1006" s="32" t="s">
        <v>2300</v>
      </c>
      <c r="I1006" s="6" t="str">
        <f t="shared" si="33"/>
        <v>Side Breaker</v>
      </c>
      <c r="J1006" s="6" t="s">
        <v>1943</v>
      </c>
      <c r="K1006" s="6">
        <v>1</v>
      </c>
      <c r="L1006" s="6">
        <f t="shared" si="34"/>
        <v>20580000</v>
      </c>
      <c r="M1006" s="6">
        <v>17500000</v>
      </c>
      <c r="N1006" s="6" t="s">
        <v>2003</v>
      </c>
      <c r="O1006" s="6" t="s">
        <v>54</v>
      </c>
      <c r="P1006" s="6">
        <v>2011</v>
      </c>
      <c r="Q1006" s="6">
        <v>1</v>
      </c>
      <c r="R1006" s="6" t="s">
        <v>45</v>
      </c>
      <c r="S1006" s="32" t="s">
        <v>2114</v>
      </c>
      <c r="T1006" s="6">
        <v>1</v>
      </c>
      <c r="U1006" s="26">
        <v>17000000</v>
      </c>
      <c r="V1006" s="26">
        <v>17000000</v>
      </c>
      <c r="W1006" s="26">
        <v>17000000</v>
      </c>
      <c r="X1006" s="6" t="s">
        <v>2003</v>
      </c>
      <c r="Y1006" s="6" t="s">
        <v>54</v>
      </c>
      <c r="Z1006" s="6">
        <v>227202</v>
      </c>
    </row>
    <row r="1007" spans="1:26" x14ac:dyDescent="0.3">
      <c r="A1007" s="28" t="s">
        <v>42</v>
      </c>
      <c r="B1007" s="6" t="s">
        <v>2340</v>
      </c>
      <c r="C1007" s="19" t="s">
        <v>1974</v>
      </c>
      <c r="D1007" s="6" t="s">
        <v>2292</v>
      </c>
      <c r="E1007" s="6">
        <v>1</v>
      </c>
      <c r="F1007" s="6" t="s">
        <v>2004</v>
      </c>
      <c r="G1007" s="32" t="s">
        <v>2299</v>
      </c>
      <c r="H1007" s="32" t="s">
        <v>2300</v>
      </c>
      <c r="I1007" s="6" t="str">
        <f t="shared" si="33"/>
        <v>Etc Grapple</v>
      </c>
      <c r="J1007" s="6" t="s">
        <v>745</v>
      </c>
      <c r="K1007" s="6">
        <v>1</v>
      </c>
      <c r="L1007" s="6">
        <f t="shared" si="34"/>
        <v>7640000</v>
      </c>
      <c r="M1007" s="6">
        <v>6500000</v>
      </c>
      <c r="N1007" s="6" t="s">
        <v>2003</v>
      </c>
      <c r="O1007" s="6" t="s">
        <v>1109</v>
      </c>
      <c r="P1007" s="6">
        <v>2016</v>
      </c>
      <c r="Q1007" s="6">
        <v>4</v>
      </c>
      <c r="R1007" s="6" t="s">
        <v>45</v>
      </c>
      <c r="S1007" s="32" t="s">
        <v>2122</v>
      </c>
      <c r="T1007" s="6">
        <v>1</v>
      </c>
      <c r="U1007" s="26">
        <v>6000000</v>
      </c>
      <c r="V1007" s="26">
        <v>6000000</v>
      </c>
      <c r="W1007" s="26">
        <v>6000000</v>
      </c>
      <c r="X1007" s="6" t="s">
        <v>2003</v>
      </c>
      <c r="Y1007" s="6" t="s">
        <v>1281</v>
      </c>
      <c r="Z1007" s="6">
        <v>227206</v>
      </c>
    </row>
    <row r="1008" spans="1:26" x14ac:dyDescent="0.3">
      <c r="A1008" s="28" t="s">
        <v>42</v>
      </c>
      <c r="B1008" s="6" t="s">
        <v>2338</v>
      </c>
      <c r="C1008" s="6" t="s">
        <v>1975</v>
      </c>
      <c r="D1008" s="6" t="s">
        <v>2001</v>
      </c>
      <c r="E1008" s="6">
        <v>1</v>
      </c>
      <c r="F1008" s="6" t="s">
        <v>2004</v>
      </c>
      <c r="G1008" s="32" t="s">
        <v>2299</v>
      </c>
      <c r="H1008" s="32" t="s">
        <v>2300</v>
      </c>
      <c r="I1008" s="6" t="str">
        <f t="shared" si="33"/>
        <v>Side Breaker</v>
      </c>
      <c r="J1008" s="6" t="s">
        <v>393</v>
      </c>
      <c r="K1008" s="6">
        <v>1</v>
      </c>
      <c r="L1008" s="6">
        <f t="shared" si="34"/>
        <v>7050000</v>
      </c>
      <c r="M1008" s="6">
        <v>6000000</v>
      </c>
      <c r="N1008" s="6" t="s">
        <v>2003</v>
      </c>
      <c r="O1008" s="6" t="s">
        <v>845</v>
      </c>
      <c r="P1008" s="6">
        <v>2010</v>
      </c>
      <c r="Q1008" s="6">
        <v>1</v>
      </c>
      <c r="R1008" s="6" t="s">
        <v>45</v>
      </c>
      <c r="S1008" s="32" t="s">
        <v>2122</v>
      </c>
      <c r="T1008" s="6">
        <v>1</v>
      </c>
      <c r="U1008" s="26">
        <v>5500000</v>
      </c>
      <c r="V1008" s="26">
        <v>5500000</v>
      </c>
      <c r="W1008" s="26">
        <v>5500000</v>
      </c>
      <c r="X1008" s="6" t="s">
        <v>2003</v>
      </c>
      <c r="Y1008" s="6" t="s">
        <v>1167</v>
      </c>
      <c r="Z1008" s="6">
        <v>227208</v>
      </c>
    </row>
    <row r="1009" spans="1:26" x14ac:dyDescent="0.3">
      <c r="A1009" s="28" t="s">
        <v>42</v>
      </c>
      <c r="B1009" s="6" t="s">
        <v>2339</v>
      </c>
      <c r="C1009" s="6" t="s">
        <v>1972</v>
      </c>
      <c r="D1009" s="6" t="s">
        <v>2292</v>
      </c>
      <c r="E1009" s="6">
        <v>1</v>
      </c>
      <c r="F1009" s="6" t="s">
        <v>2004</v>
      </c>
      <c r="G1009" s="32" t="s">
        <v>2299</v>
      </c>
      <c r="H1009" s="32" t="s">
        <v>2300</v>
      </c>
      <c r="I1009" s="6" t="str">
        <f t="shared" si="33"/>
        <v>Stone Grapple</v>
      </c>
      <c r="J1009" s="6" t="s">
        <v>81</v>
      </c>
      <c r="K1009" s="6">
        <v>1</v>
      </c>
      <c r="L1009" s="6">
        <f t="shared" si="34"/>
        <v>4350000</v>
      </c>
      <c r="M1009" s="6">
        <v>3700000</v>
      </c>
      <c r="N1009" s="6" t="s">
        <v>2003</v>
      </c>
      <c r="O1009" s="6" t="s">
        <v>2097</v>
      </c>
      <c r="P1009" s="6">
        <v>2014</v>
      </c>
      <c r="Q1009" s="6">
        <v>1</v>
      </c>
      <c r="R1009" s="6" t="s">
        <v>45</v>
      </c>
      <c r="S1009" s="32" t="s">
        <v>2110</v>
      </c>
      <c r="T1009" s="6">
        <v>1</v>
      </c>
      <c r="U1009" s="26">
        <v>3500000</v>
      </c>
      <c r="V1009" s="26">
        <v>3500000</v>
      </c>
      <c r="W1009" s="26">
        <v>3500000</v>
      </c>
      <c r="X1009" s="6" t="s">
        <v>2003</v>
      </c>
      <c r="Y1009" s="6" t="s">
        <v>1922</v>
      </c>
      <c r="Z1009" s="6">
        <v>227214</v>
      </c>
    </row>
    <row r="1010" spans="1:26" x14ac:dyDescent="0.3">
      <c r="A1010" s="28" t="s">
        <v>42</v>
      </c>
      <c r="B1010" s="6" t="s">
        <v>2338</v>
      </c>
      <c r="C1010" s="6" t="s">
        <v>1975</v>
      </c>
      <c r="D1010" s="6" t="s">
        <v>2293</v>
      </c>
      <c r="E1010" s="6">
        <v>1</v>
      </c>
      <c r="F1010" s="6" t="s">
        <v>2004</v>
      </c>
      <c r="G1010" s="32" t="s">
        <v>2299</v>
      </c>
      <c r="H1010" s="32" t="s">
        <v>2300</v>
      </c>
      <c r="I1010" s="6" t="str">
        <f t="shared" si="33"/>
        <v>Side Breaker</v>
      </c>
      <c r="J1010" s="6" t="s">
        <v>742</v>
      </c>
      <c r="K1010" s="6">
        <v>1</v>
      </c>
      <c r="L1010" s="6">
        <f t="shared" si="34"/>
        <v>2000000</v>
      </c>
      <c r="M1010" s="6">
        <v>1700000</v>
      </c>
      <c r="N1010" s="6" t="s">
        <v>2003</v>
      </c>
      <c r="O1010" s="6" t="s">
        <v>798</v>
      </c>
      <c r="P1010" s="6">
        <v>2015</v>
      </c>
      <c r="Q1010" s="6">
        <v>1</v>
      </c>
      <c r="R1010" s="6" t="s">
        <v>45</v>
      </c>
      <c r="S1010" s="32" t="s">
        <v>2113</v>
      </c>
      <c r="T1010" s="6">
        <v>1</v>
      </c>
      <c r="U1010" s="26">
        <v>1600000</v>
      </c>
      <c r="V1010" s="26">
        <v>1600000</v>
      </c>
      <c r="W1010" s="26">
        <v>1600000</v>
      </c>
      <c r="X1010" s="6" t="s">
        <v>2003</v>
      </c>
      <c r="Y1010" s="6" t="s">
        <v>1923</v>
      </c>
      <c r="Z1010" s="6">
        <v>227225</v>
      </c>
    </row>
    <row r="1011" spans="1:26" x14ac:dyDescent="0.3">
      <c r="A1011" s="28" t="s">
        <v>42</v>
      </c>
      <c r="B1011" s="6" t="s">
        <v>2339</v>
      </c>
      <c r="C1011" s="6" t="s">
        <v>1972</v>
      </c>
      <c r="D1011" s="6" t="s">
        <v>2292</v>
      </c>
      <c r="E1011" s="6">
        <v>1</v>
      </c>
      <c r="F1011" s="6" t="s">
        <v>2004</v>
      </c>
      <c r="G1011" s="32" t="s">
        <v>2299</v>
      </c>
      <c r="H1011" s="32" t="s">
        <v>2300</v>
      </c>
      <c r="I1011" s="6" t="str">
        <f t="shared" si="33"/>
        <v>Stone Grapple</v>
      </c>
      <c r="J1011" s="6" t="s">
        <v>207</v>
      </c>
      <c r="K1011" s="6">
        <v>1</v>
      </c>
      <c r="L1011" s="6">
        <f t="shared" si="34"/>
        <v>2940000</v>
      </c>
      <c r="M1011" s="6">
        <v>2500000</v>
      </c>
      <c r="N1011" s="6" t="s">
        <v>2003</v>
      </c>
      <c r="O1011" s="6" t="s">
        <v>2012</v>
      </c>
      <c r="P1011" s="6">
        <v>2014</v>
      </c>
      <c r="Q1011" s="6">
        <v>1</v>
      </c>
      <c r="R1011" s="6" t="s">
        <v>45</v>
      </c>
      <c r="S1011" s="32" t="s">
        <v>2113</v>
      </c>
      <c r="T1011" s="6">
        <v>1</v>
      </c>
      <c r="U1011" s="26">
        <v>2300000</v>
      </c>
      <c r="V1011" s="26">
        <v>2300000</v>
      </c>
      <c r="W1011" s="26">
        <v>2300000</v>
      </c>
      <c r="X1011" s="6" t="s">
        <v>2003</v>
      </c>
      <c r="Y1011" s="6" t="s">
        <v>49</v>
      </c>
      <c r="Z1011" s="6">
        <v>227230</v>
      </c>
    </row>
    <row r="1012" spans="1:26" x14ac:dyDescent="0.3">
      <c r="A1012" s="28" t="s">
        <v>42</v>
      </c>
      <c r="B1012" s="6" t="s">
        <v>2340</v>
      </c>
      <c r="C1012" s="6"/>
      <c r="D1012" s="6" t="s">
        <v>2291</v>
      </c>
      <c r="E1012" s="6">
        <v>1</v>
      </c>
      <c r="F1012" s="6" t="s">
        <v>2004</v>
      </c>
      <c r="G1012" s="32" t="s">
        <v>2299</v>
      </c>
      <c r="H1012" s="32" t="s">
        <v>2300</v>
      </c>
      <c r="I1012" s="6" t="str">
        <f t="shared" si="33"/>
        <v>ETC</v>
      </c>
      <c r="J1012" s="6" t="s">
        <v>46</v>
      </c>
      <c r="K1012" s="6">
        <v>1</v>
      </c>
      <c r="L1012" s="6">
        <f t="shared" si="34"/>
        <v>3170000</v>
      </c>
      <c r="M1012" s="6">
        <v>2700000</v>
      </c>
      <c r="N1012" s="6" t="s">
        <v>2003</v>
      </c>
      <c r="O1012" s="6" t="s">
        <v>2015</v>
      </c>
      <c r="P1012" s="6">
        <v>2012</v>
      </c>
      <c r="Q1012" s="6">
        <v>6</v>
      </c>
      <c r="R1012" s="6" t="s">
        <v>45</v>
      </c>
      <c r="S1012" s="32" t="s">
        <v>2113</v>
      </c>
      <c r="T1012" s="6">
        <v>1</v>
      </c>
      <c r="U1012" s="26">
        <v>2500000</v>
      </c>
      <c r="V1012" s="26">
        <v>2500000</v>
      </c>
      <c r="W1012" s="26">
        <v>2500000</v>
      </c>
      <c r="X1012" s="6" t="s">
        <v>2003</v>
      </c>
      <c r="Y1012" s="6" t="s">
        <v>47</v>
      </c>
      <c r="Z1012" s="6">
        <v>227232</v>
      </c>
    </row>
    <row r="1013" spans="1:26" x14ac:dyDescent="0.3">
      <c r="A1013" s="28" t="s">
        <v>42</v>
      </c>
      <c r="B1013" s="6" t="s">
        <v>2339</v>
      </c>
      <c r="C1013" s="6" t="s">
        <v>1972</v>
      </c>
      <c r="D1013" s="6" t="s">
        <v>2291</v>
      </c>
      <c r="E1013" s="6">
        <v>1</v>
      </c>
      <c r="F1013" s="6" t="s">
        <v>2004</v>
      </c>
      <c r="G1013" s="32" t="s">
        <v>2299</v>
      </c>
      <c r="H1013" s="32" t="s">
        <v>2300</v>
      </c>
      <c r="I1013" s="6" t="str">
        <f t="shared" si="33"/>
        <v>Stone Grapple</v>
      </c>
      <c r="J1013" s="6" t="s">
        <v>252</v>
      </c>
      <c r="K1013" s="6">
        <v>1</v>
      </c>
      <c r="L1013" s="6">
        <f t="shared" si="34"/>
        <v>3880000</v>
      </c>
      <c r="M1013" s="6">
        <v>3300000</v>
      </c>
      <c r="N1013" s="6" t="s">
        <v>2003</v>
      </c>
      <c r="O1013" s="6" t="s">
        <v>2007</v>
      </c>
      <c r="P1013" s="6">
        <v>2014</v>
      </c>
      <c r="Q1013" s="6">
        <v>1</v>
      </c>
      <c r="R1013" s="6" t="s">
        <v>45</v>
      </c>
      <c r="S1013" s="32" t="s">
        <v>2113</v>
      </c>
      <c r="T1013" s="6">
        <v>1</v>
      </c>
      <c r="U1013" s="26">
        <v>3100000</v>
      </c>
      <c r="V1013" s="26">
        <v>3100000</v>
      </c>
      <c r="W1013" s="26">
        <v>3100000</v>
      </c>
      <c r="X1013" s="6" t="s">
        <v>2003</v>
      </c>
      <c r="Y1013" s="6" t="s">
        <v>49</v>
      </c>
      <c r="Z1013" s="6">
        <v>227235</v>
      </c>
    </row>
    <row r="1014" spans="1:26" x14ac:dyDescent="0.3">
      <c r="A1014" s="28" t="s">
        <v>42</v>
      </c>
      <c r="B1014" s="6" t="s">
        <v>2339</v>
      </c>
      <c r="C1014" s="6" t="s">
        <v>1979</v>
      </c>
      <c r="D1014" s="6" t="s">
        <v>2292</v>
      </c>
      <c r="E1014" s="6">
        <v>1</v>
      </c>
      <c r="F1014" s="6" t="s">
        <v>2004</v>
      </c>
      <c r="G1014" s="32" t="s">
        <v>2299</v>
      </c>
      <c r="H1014" s="32" t="s">
        <v>2300</v>
      </c>
      <c r="I1014" s="6" t="str">
        <f t="shared" si="33"/>
        <v>Thumb Grapple</v>
      </c>
      <c r="J1014" s="6" t="s">
        <v>117</v>
      </c>
      <c r="K1014" s="6">
        <v>1</v>
      </c>
      <c r="L1014" s="6">
        <f t="shared" si="34"/>
        <v>700000</v>
      </c>
      <c r="M1014" s="6">
        <v>600000</v>
      </c>
      <c r="N1014" s="6" t="s">
        <v>2003</v>
      </c>
      <c r="O1014" s="6" t="s">
        <v>54</v>
      </c>
      <c r="P1014" s="6">
        <v>2011</v>
      </c>
      <c r="Q1014" s="6">
        <v>1</v>
      </c>
      <c r="R1014" s="6" t="s">
        <v>45</v>
      </c>
      <c r="S1014" s="32" t="s">
        <v>2114</v>
      </c>
      <c r="T1014" s="6">
        <v>1</v>
      </c>
      <c r="U1014" s="26">
        <v>500000</v>
      </c>
      <c r="V1014" s="26">
        <v>500000</v>
      </c>
      <c r="W1014" s="26">
        <v>500000</v>
      </c>
      <c r="X1014" s="6" t="s">
        <v>2003</v>
      </c>
      <c r="Y1014" s="6" t="s">
        <v>54</v>
      </c>
      <c r="Z1014" s="6">
        <v>227237</v>
      </c>
    </row>
    <row r="1015" spans="1:26" x14ac:dyDescent="0.3">
      <c r="A1015" s="28" t="s">
        <v>42</v>
      </c>
      <c r="B1015" s="6" t="s">
        <v>2339</v>
      </c>
      <c r="C1015" s="6" t="s">
        <v>1979</v>
      </c>
      <c r="D1015" s="6" t="s">
        <v>2001</v>
      </c>
      <c r="E1015" s="6">
        <v>1</v>
      </c>
      <c r="F1015" s="6" t="s">
        <v>2004</v>
      </c>
      <c r="G1015" s="32" t="s">
        <v>2299</v>
      </c>
      <c r="H1015" s="32" t="s">
        <v>2300</v>
      </c>
      <c r="I1015" s="6" t="str">
        <f t="shared" si="33"/>
        <v>Thumb Grapple</v>
      </c>
      <c r="J1015" s="6" t="s">
        <v>1945</v>
      </c>
      <c r="K1015" s="6">
        <v>1</v>
      </c>
      <c r="L1015" s="6">
        <f t="shared" si="34"/>
        <v>4940000</v>
      </c>
      <c r="M1015" s="6">
        <v>4200000</v>
      </c>
      <c r="N1015" s="6" t="s">
        <v>2003</v>
      </c>
      <c r="O1015" s="6" t="s">
        <v>54</v>
      </c>
      <c r="P1015" s="6">
        <v>2011</v>
      </c>
      <c r="Q1015" s="6">
        <v>1</v>
      </c>
      <c r="R1015" s="6" t="s">
        <v>45</v>
      </c>
      <c r="S1015" s="32" t="s">
        <v>2114</v>
      </c>
      <c r="T1015" s="6">
        <v>1</v>
      </c>
      <c r="U1015" s="26">
        <v>4000000</v>
      </c>
      <c r="V1015" s="26">
        <v>4000000</v>
      </c>
      <c r="W1015" s="26">
        <v>4000000</v>
      </c>
      <c r="X1015" s="6" t="s">
        <v>2003</v>
      </c>
      <c r="Y1015" s="6" t="s">
        <v>54</v>
      </c>
      <c r="Z1015" s="6">
        <v>227240</v>
      </c>
    </row>
    <row r="1016" spans="1:26" x14ac:dyDescent="0.3">
      <c r="A1016" s="28" t="s">
        <v>42</v>
      </c>
      <c r="B1016" s="6" t="s">
        <v>2338</v>
      </c>
      <c r="C1016" s="6" t="s">
        <v>1975</v>
      </c>
      <c r="D1016" s="6" t="s">
        <v>2291</v>
      </c>
      <c r="E1016" s="6">
        <v>1</v>
      </c>
      <c r="F1016" s="6" t="s">
        <v>2004</v>
      </c>
      <c r="G1016" s="32" t="s">
        <v>2299</v>
      </c>
      <c r="H1016" s="32" t="s">
        <v>2300</v>
      </c>
      <c r="I1016" s="6" t="str">
        <f t="shared" si="33"/>
        <v>Side Breaker</v>
      </c>
      <c r="J1016" s="6" t="s">
        <v>160</v>
      </c>
      <c r="K1016" s="6">
        <v>1</v>
      </c>
      <c r="L1016" s="6">
        <f t="shared" si="34"/>
        <v>1940000</v>
      </c>
      <c r="M1016" s="6">
        <v>1650000</v>
      </c>
      <c r="N1016" s="6" t="s">
        <v>2003</v>
      </c>
      <c r="O1016" s="6" t="s">
        <v>2007</v>
      </c>
      <c r="P1016" s="6">
        <v>2015</v>
      </c>
      <c r="Q1016" s="6">
        <v>1</v>
      </c>
      <c r="R1016" s="6" t="s">
        <v>45</v>
      </c>
      <c r="S1016" s="32" t="s">
        <v>2113</v>
      </c>
      <c r="T1016" s="6">
        <v>1</v>
      </c>
      <c r="U1016" s="26">
        <v>1550000</v>
      </c>
      <c r="V1016" s="26">
        <v>1550000</v>
      </c>
      <c r="W1016" s="26">
        <v>1550000</v>
      </c>
      <c r="X1016" s="6" t="s">
        <v>2003</v>
      </c>
      <c r="Y1016" s="6" t="s">
        <v>49</v>
      </c>
      <c r="Z1016" s="6">
        <v>227241</v>
      </c>
    </row>
    <row r="1017" spans="1:26" x14ac:dyDescent="0.3">
      <c r="A1017" s="28" t="s">
        <v>42</v>
      </c>
      <c r="B1017" s="6" t="s">
        <v>2339</v>
      </c>
      <c r="C1017" s="6" t="s">
        <v>1979</v>
      </c>
      <c r="D1017" s="6" t="s">
        <v>2292</v>
      </c>
      <c r="E1017" s="6">
        <v>1</v>
      </c>
      <c r="F1017" s="6" t="s">
        <v>2004</v>
      </c>
      <c r="G1017" s="32" t="s">
        <v>2299</v>
      </c>
      <c r="H1017" s="32" t="s">
        <v>2300</v>
      </c>
      <c r="I1017" s="6" t="str">
        <f t="shared" si="33"/>
        <v>Thumb Grapple</v>
      </c>
      <c r="J1017" s="6" t="s">
        <v>93</v>
      </c>
      <c r="K1017" s="6">
        <v>1</v>
      </c>
      <c r="L1017" s="6">
        <f t="shared" si="34"/>
        <v>940000</v>
      </c>
      <c r="M1017" s="6">
        <v>800000</v>
      </c>
      <c r="N1017" s="6" t="s">
        <v>2003</v>
      </c>
      <c r="O1017" s="6" t="s">
        <v>2012</v>
      </c>
      <c r="P1017" s="6">
        <v>2013</v>
      </c>
      <c r="Q1017" s="6">
        <v>1</v>
      </c>
      <c r="R1017" s="6" t="s">
        <v>45</v>
      </c>
      <c r="S1017" s="32" t="s">
        <v>2113</v>
      </c>
      <c r="T1017" s="6">
        <v>1</v>
      </c>
      <c r="U1017" s="26">
        <v>700000</v>
      </c>
      <c r="V1017" s="26">
        <v>700000</v>
      </c>
      <c r="W1017" s="26">
        <v>700000</v>
      </c>
      <c r="X1017" s="6" t="s">
        <v>2003</v>
      </c>
      <c r="Y1017" s="6" t="s">
        <v>49</v>
      </c>
      <c r="Z1017" s="6">
        <v>227244</v>
      </c>
    </row>
    <row r="1018" spans="1:26" x14ac:dyDescent="0.3">
      <c r="A1018" s="28" t="s">
        <v>42</v>
      </c>
      <c r="B1018" s="6" t="s">
        <v>2343</v>
      </c>
      <c r="C1018" s="6"/>
      <c r="D1018" s="6" t="s">
        <v>2291</v>
      </c>
      <c r="E1018" s="6">
        <v>1</v>
      </c>
      <c r="F1018" s="6" t="s">
        <v>2004</v>
      </c>
      <c r="G1018" s="32" t="s">
        <v>2299</v>
      </c>
      <c r="H1018" s="32" t="s">
        <v>2300</v>
      </c>
      <c r="I1018" s="6" t="str">
        <f t="shared" si="33"/>
        <v>Lift Fork</v>
      </c>
      <c r="J1018" s="6" t="s">
        <v>391</v>
      </c>
      <c r="K1018" s="6">
        <v>1</v>
      </c>
      <c r="L1018" s="6">
        <f t="shared" si="34"/>
        <v>1050000</v>
      </c>
      <c r="M1018" s="6">
        <v>900000</v>
      </c>
      <c r="N1018" s="6" t="s">
        <v>2003</v>
      </c>
      <c r="O1018" s="6" t="s">
        <v>2029</v>
      </c>
      <c r="P1018" s="6">
        <v>2016</v>
      </c>
      <c r="Q1018" s="6">
        <v>12</v>
      </c>
      <c r="R1018" s="6" t="s">
        <v>45</v>
      </c>
      <c r="S1018" s="32" t="s">
        <v>2123</v>
      </c>
      <c r="T1018" s="6">
        <v>1</v>
      </c>
      <c r="U1018" s="26">
        <v>800000</v>
      </c>
      <c r="V1018" s="26">
        <v>800000</v>
      </c>
      <c r="W1018" s="26">
        <v>800000</v>
      </c>
      <c r="X1018" s="6" t="s">
        <v>2003</v>
      </c>
      <c r="Y1018" s="6" t="s">
        <v>1143</v>
      </c>
      <c r="Z1018" s="6">
        <v>227246</v>
      </c>
    </row>
    <row r="1019" spans="1:26" x14ac:dyDescent="0.3">
      <c r="A1019" s="28" t="s">
        <v>42</v>
      </c>
      <c r="B1019" s="6" t="s">
        <v>2344</v>
      </c>
      <c r="C1019" s="19" t="s">
        <v>1982</v>
      </c>
      <c r="D1019" s="6" t="s">
        <v>2289</v>
      </c>
      <c r="E1019" s="6">
        <v>1</v>
      </c>
      <c r="F1019" s="6" t="s">
        <v>2004</v>
      </c>
      <c r="G1019" s="32" t="s">
        <v>2299</v>
      </c>
      <c r="H1019" s="32" t="s">
        <v>2300</v>
      </c>
      <c r="I1019" s="6" t="str">
        <f t="shared" si="33"/>
        <v>Standard Bucket</v>
      </c>
      <c r="J1019" s="6" t="s">
        <v>236</v>
      </c>
      <c r="K1019" s="6">
        <v>1</v>
      </c>
      <c r="L1019" s="6">
        <f t="shared" si="34"/>
        <v>4940000</v>
      </c>
      <c r="M1019" s="6">
        <v>4200000</v>
      </c>
      <c r="N1019" s="6" t="s">
        <v>2003</v>
      </c>
      <c r="O1019" s="6" t="s">
        <v>54</v>
      </c>
      <c r="P1019" s="6">
        <v>2010</v>
      </c>
      <c r="Q1019" s="6">
        <v>1</v>
      </c>
      <c r="R1019" s="6" t="s">
        <v>45</v>
      </c>
      <c r="S1019" s="32" t="s">
        <v>2114</v>
      </c>
      <c r="T1019" s="6">
        <v>1</v>
      </c>
      <c r="U1019" s="26">
        <v>4000000</v>
      </c>
      <c r="V1019" s="26">
        <v>4000000</v>
      </c>
      <c r="W1019" s="26">
        <v>4000000</v>
      </c>
      <c r="X1019" s="6" t="s">
        <v>2003</v>
      </c>
      <c r="Y1019" s="6" t="s">
        <v>54</v>
      </c>
      <c r="Z1019" s="6">
        <v>227247</v>
      </c>
    </row>
    <row r="1020" spans="1:26" x14ac:dyDescent="0.3">
      <c r="A1020" s="28" t="s">
        <v>42</v>
      </c>
      <c r="B1020" s="6" t="s">
        <v>2344</v>
      </c>
      <c r="C1020" s="19" t="s">
        <v>1982</v>
      </c>
      <c r="D1020" s="6" t="s">
        <v>2289</v>
      </c>
      <c r="E1020" s="6">
        <v>1</v>
      </c>
      <c r="F1020" s="6" t="s">
        <v>2004</v>
      </c>
      <c r="G1020" s="32" t="s">
        <v>2299</v>
      </c>
      <c r="H1020" s="32" t="s">
        <v>2300</v>
      </c>
      <c r="I1020" s="6" t="str">
        <f t="shared" si="33"/>
        <v>Standard Bucket</v>
      </c>
      <c r="J1020" s="6" t="s">
        <v>75</v>
      </c>
      <c r="K1020" s="6">
        <v>1</v>
      </c>
      <c r="L1020" s="6">
        <f t="shared" si="34"/>
        <v>3760000</v>
      </c>
      <c r="M1020" s="6">
        <v>3200000</v>
      </c>
      <c r="N1020" s="6" t="s">
        <v>2003</v>
      </c>
      <c r="O1020" s="6" t="s">
        <v>839</v>
      </c>
      <c r="P1020" s="6">
        <v>2011</v>
      </c>
      <c r="Q1020" s="6">
        <v>6</v>
      </c>
      <c r="R1020" s="6" t="s">
        <v>45</v>
      </c>
      <c r="S1020" s="32" t="s">
        <v>2110</v>
      </c>
      <c r="T1020" s="6">
        <v>1</v>
      </c>
      <c r="U1020" s="26">
        <v>3000000</v>
      </c>
      <c r="V1020" s="26">
        <v>3000000</v>
      </c>
      <c r="W1020" s="26">
        <v>3000000</v>
      </c>
      <c r="X1020" s="6" t="s">
        <v>2003</v>
      </c>
      <c r="Y1020" s="6" t="s">
        <v>1234</v>
      </c>
      <c r="Z1020" s="6">
        <v>227256</v>
      </c>
    </row>
    <row r="1021" spans="1:26" x14ac:dyDescent="0.3">
      <c r="A1021" s="28" t="s">
        <v>42</v>
      </c>
      <c r="B1021" s="6" t="s">
        <v>2344</v>
      </c>
      <c r="C1021" s="6" t="s">
        <v>1977</v>
      </c>
      <c r="D1021" s="6" t="s">
        <v>2290</v>
      </c>
      <c r="E1021" s="6">
        <v>1</v>
      </c>
      <c r="F1021" s="6" t="s">
        <v>2004</v>
      </c>
      <c r="G1021" s="32" t="s">
        <v>2299</v>
      </c>
      <c r="H1021" s="32" t="s">
        <v>2300</v>
      </c>
      <c r="I1021" s="6" t="str">
        <f t="shared" si="33"/>
        <v>Wide Bucket</v>
      </c>
      <c r="J1021" s="6" t="s">
        <v>275</v>
      </c>
      <c r="K1021" s="6">
        <v>1</v>
      </c>
      <c r="L1021" s="6">
        <f t="shared" si="34"/>
        <v>3170000</v>
      </c>
      <c r="M1021" s="6">
        <v>2700000</v>
      </c>
      <c r="N1021" s="6" t="s">
        <v>2003</v>
      </c>
      <c r="O1021" s="6" t="s">
        <v>2011</v>
      </c>
      <c r="P1021" s="6">
        <v>2012</v>
      </c>
      <c r="Q1021" s="6">
        <v>6</v>
      </c>
      <c r="R1021" s="6" t="s">
        <v>45</v>
      </c>
      <c r="S1021" s="32" t="s">
        <v>2123</v>
      </c>
      <c r="T1021" s="6">
        <v>1</v>
      </c>
      <c r="U1021" s="26">
        <v>2500000</v>
      </c>
      <c r="V1021" s="26">
        <v>2500000</v>
      </c>
      <c r="W1021" s="26">
        <v>2500000</v>
      </c>
      <c r="X1021" s="6" t="s">
        <v>2003</v>
      </c>
      <c r="Y1021" s="6" t="s">
        <v>1200</v>
      </c>
      <c r="Z1021" s="6">
        <v>227264</v>
      </c>
    </row>
    <row r="1022" spans="1:26" x14ac:dyDescent="0.3">
      <c r="A1022" s="28" t="s">
        <v>42</v>
      </c>
      <c r="B1022" s="6" t="s">
        <v>2338</v>
      </c>
      <c r="C1022" s="6" t="s">
        <v>1975</v>
      </c>
      <c r="D1022" s="6" t="s">
        <v>2289</v>
      </c>
      <c r="E1022" s="6">
        <v>1</v>
      </c>
      <c r="F1022" s="6" t="s">
        <v>2004</v>
      </c>
      <c r="G1022" s="32" t="s">
        <v>2299</v>
      </c>
      <c r="H1022" s="32" t="s">
        <v>2300</v>
      </c>
      <c r="I1022" s="6" t="str">
        <f t="shared" si="33"/>
        <v>Side Breaker</v>
      </c>
      <c r="J1022" s="6" t="s">
        <v>748</v>
      </c>
      <c r="K1022" s="6">
        <v>1</v>
      </c>
      <c r="L1022" s="6">
        <f t="shared" si="34"/>
        <v>24110000</v>
      </c>
      <c r="M1022" s="6">
        <v>20500000</v>
      </c>
      <c r="N1022" s="6" t="s">
        <v>2003</v>
      </c>
      <c r="O1022" s="6" t="s">
        <v>1110</v>
      </c>
      <c r="P1022" s="6">
        <v>2015</v>
      </c>
      <c r="Q1022" s="6">
        <v>5</v>
      </c>
      <c r="R1022" s="6" t="s">
        <v>45</v>
      </c>
      <c r="S1022" s="32" t="s">
        <v>2111</v>
      </c>
      <c r="T1022" s="6">
        <v>1</v>
      </c>
      <c r="U1022" s="26">
        <v>20000000</v>
      </c>
      <c r="V1022" s="26">
        <v>20000000</v>
      </c>
      <c r="W1022" s="26">
        <v>20000000</v>
      </c>
      <c r="X1022" s="6" t="s">
        <v>2003</v>
      </c>
      <c r="Y1022" s="6" t="s">
        <v>92</v>
      </c>
      <c r="Z1022" s="6">
        <v>227266</v>
      </c>
    </row>
    <row r="1023" spans="1:26" x14ac:dyDescent="0.3">
      <c r="A1023" s="28" t="s">
        <v>42</v>
      </c>
      <c r="B1023" s="6" t="s">
        <v>2341</v>
      </c>
      <c r="C1023" s="19" t="s">
        <v>2321</v>
      </c>
      <c r="D1023" s="6" t="s">
        <v>2292</v>
      </c>
      <c r="E1023" s="6">
        <v>1</v>
      </c>
      <c r="F1023" s="6" t="s">
        <v>2004</v>
      </c>
      <c r="G1023" s="32" t="s">
        <v>2299</v>
      </c>
      <c r="H1023" s="32" t="s">
        <v>2300</v>
      </c>
      <c r="I1023" s="6" t="str">
        <f t="shared" si="33"/>
        <v>Etc Crusher</v>
      </c>
      <c r="J1023" s="6" t="s">
        <v>104</v>
      </c>
      <c r="K1023" s="6">
        <v>1</v>
      </c>
      <c r="L1023" s="6">
        <f t="shared" si="34"/>
        <v>13520000</v>
      </c>
      <c r="M1023" s="6">
        <v>11500000</v>
      </c>
      <c r="N1023" s="6" t="s">
        <v>2003</v>
      </c>
      <c r="O1023" s="6" t="s">
        <v>1903</v>
      </c>
      <c r="P1023" s="6">
        <v>2011</v>
      </c>
      <c r="Q1023" s="6">
        <v>1</v>
      </c>
      <c r="R1023" s="6" t="s">
        <v>45</v>
      </c>
      <c r="S1023" s="32" t="s">
        <v>2119</v>
      </c>
      <c r="T1023" s="6">
        <v>1</v>
      </c>
      <c r="U1023" s="26">
        <v>11000000</v>
      </c>
      <c r="V1023" s="26">
        <v>11000000</v>
      </c>
      <c r="W1023" s="26">
        <v>11000000</v>
      </c>
      <c r="X1023" s="6" t="s">
        <v>2003</v>
      </c>
      <c r="Y1023" s="6" t="s">
        <v>60</v>
      </c>
      <c r="Z1023" s="6">
        <v>227269</v>
      </c>
    </row>
    <row r="1024" spans="1:26" x14ac:dyDescent="0.3">
      <c r="A1024" s="28" t="s">
        <v>42</v>
      </c>
      <c r="B1024" s="6" t="s">
        <v>2339</v>
      </c>
      <c r="C1024" s="6" t="s">
        <v>1972</v>
      </c>
      <c r="D1024" s="6" t="s">
        <v>2290</v>
      </c>
      <c r="E1024" s="6">
        <v>1</v>
      </c>
      <c r="F1024" s="6" t="s">
        <v>2004</v>
      </c>
      <c r="G1024" s="32" t="s">
        <v>2299</v>
      </c>
      <c r="H1024" s="32" t="s">
        <v>2300</v>
      </c>
      <c r="I1024" s="6" t="str">
        <f t="shared" si="33"/>
        <v>Stone Grapple</v>
      </c>
      <c r="J1024" s="6" t="s">
        <v>94</v>
      </c>
      <c r="K1024" s="6">
        <v>1</v>
      </c>
      <c r="L1024" s="6">
        <f t="shared" si="34"/>
        <v>3170000</v>
      </c>
      <c r="M1024" s="6">
        <v>2700000</v>
      </c>
      <c r="N1024" s="6" t="s">
        <v>2003</v>
      </c>
      <c r="O1024" s="6" t="s">
        <v>2011</v>
      </c>
      <c r="P1024" s="6">
        <v>2010</v>
      </c>
      <c r="Q1024" s="6">
        <v>6</v>
      </c>
      <c r="R1024" s="6" t="s">
        <v>45</v>
      </c>
      <c r="S1024" s="32" t="s">
        <v>2123</v>
      </c>
      <c r="T1024" s="6">
        <v>1</v>
      </c>
      <c r="U1024" s="26">
        <v>2500000</v>
      </c>
      <c r="V1024" s="26">
        <v>2500000</v>
      </c>
      <c r="W1024" s="26">
        <v>2500000</v>
      </c>
      <c r="X1024" s="6" t="s">
        <v>2003</v>
      </c>
      <c r="Y1024" s="6" t="s">
        <v>1200</v>
      </c>
      <c r="Z1024" s="6">
        <v>227275</v>
      </c>
    </row>
    <row r="1025" spans="1:26" x14ac:dyDescent="0.3">
      <c r="A1025" s="28" t="s">
        <v>42</v>
      </c>
      <c r="B1025" s="6" t="s">
        <v>2339</v>
      </c>
      <c r="C1025" s="6" t="s">
        <v>1972</v>
      </c>
      <c r="D1025" s="6" t="s">
        <v>2292</v>
      </c>
      <c r="E1025" s="6">
        <v>1</v>
      </c>
      <c r="F1025" s="6" t="s">
        <v>2004</v>
      </c>
      <c r="G1025" s="32" t="s">
        <v>2299</v>
      </c>
      <c r="H1025" s="32" t="s">
        <v>2300</v>
      </c>
      <c r="I1025" s="6" t="str">
        <f t="shared" si="33"/>
        <v>Stone Grapple</v>
      </c>
      <c r="J1025" s="6" t="s">
        <v>44</v>
      </c>
      <c r="K1025" s="6">
        <v>1</v>
      </c>
      <c r="L1025" s="6">
        <f t="shared" si="34"/>
        <v>2700000</v>
      </c>
      <c r="M1025" s="6">
        <v>2300000</v>
      </c>
      <c r="N1025" s="6" t="s">
        <v>2003</v>
      </c>
      <c r="O1025" s="6" t="s">
        <v>1904</v>
      </c>
      <c r="P1025" s="6">
        <v>2014</v>
      </c>
      <c r="Q1025" s="6">
        <v>1</v>
      </c>
      <c r="R1025" s="6" t="s">
        <v>45</v>
      </c>
      <c r="S1025" s="32" t="s">
        <v>2114</v>
      </c>
      <c r="T1025" s="6">
        <v>1</v>
      </c>
      <c r="U1025" s="26">
        <v>2100000</v>
      </c>
      <c r="V1025" s="26">
        <v>2100000</v>
      </c>
      <c r="W1025" s="26">
        <v>2100000</v>
      </c>
      <c r="X1025" s="6" t="s">
        <v>2003</v>
      </c>
      <c r="Y1025" s="6" t="s">
        <v>57</v>
      </c>
      <c r="Z1025" s="6">
        <v>227278</v>
      </c>
    </row>
    <row r="1026" spans="1:26" x14ac:dyDescent="0.3">
      <c r="A1026" s="28" t="s">
        <v>42</v>
      </c>
      <c r="B1026" s="6" t="s">
        <v>2339</v>
      </c>
      <c r="C1026" s="6" t="s">
        <v>1972</v>
      </c>
      <c r="D1026" s="6" t="s">
        <v>2292</v>
      </c>
      <c r="E1026" s="6">
        <v>1</v>
      </c>
      <c r="F1026" s="6" t="s">
        <v>2004</v>
      </c>
      <c r="G1026" s="32" t="s">
        <v>2299</v>
      </c>
      <c r="H1026" s="32" t="s">
        <v>2300</v>
      </c>
      <c r="I1026" s="6" t="str">
        <f t="shared" si="33"/>
        <v>Stone Grapple</v>
      </c>
      <c r="J1026" s="6" t="s">
        <v>120</v>
      </c>
      <c r="K1026" s="6">
        <v>1</v>
      </c>
      <c r="L1026" s="6">
        <f t="shared" si="34"/>
        <v>7640000</v>
      </c>
      <c r="M1026" s="6">
        <v>6500000</v>
      </c>
      <c r="N1026" s="6" t="s">
        <v>2003</v>
      </c>
      <c r="O1026" s="6" t="s">
        <v>1110</v>
      </c>
      <c r="P1026" s="6">
        <v>2016</v>
      </c>
      <c r="Q1026" s="6">
        <v>7</v>
      </c>
      <c r="R1026" s="6" t="s">
        <v>45</v>
      </c>
      <c r="S1026" s="32" t="s">
        <v>2123</v>
      </c>
      <c r="T1026" s="6">
        <v>1</v>
      </c>
      <c r="U1026" s="26">
        <v>6000000</v>
      </c>
      <c r="V1026" s="26">
        <v>6000000</v>
      </c>
      <c r="W1026" s="26">
        <v>6000000</v>
      </c>
      <c r="X1026" s="6" t="s">
        <v>2003</v>
      </c>
      <c r="Y1026" s="6" t="s">
        <v>92</v>
      </c>
      <c r="Z1026" s="6">
        <v>227279</v>
      </c>
    </row>
    <row r="1027" spans="1:26" x14ac:dyDescent="0.3">
      <c r="A1027" s="28" t="s">
        <v>42</v>
      </c>
      <c r="B1027" s="6" t="s">
        <v>2340</v>
      </c>
      <c r="C1027" s="6"/>
      <c r="D1027" s="6" t="s">
        <v>2289</v>
      </c>
      <c r="E1027" s="6">
        <v>1</v>
      </c>
      <c r="F1027" s="6" t="s">
        <v>2004</v>
      </c>
      <c r="G1027" s="32" t="s">
        <v>2299</v>
      </c>
      <c r="H1027" s="32" t="s">
        <v>2300</v>
      </c>
      <c r="I1027" s="6" t="str">
        <f t="shared" si="33"/>
        <v>ETC</v>
      </c>
      <c r="J1027" s="6" t="s">
        <v>1946</v>
      </c>
      <c r="K1027" s="6">
        <v>1</v>
      </c>
      <c r="L1027" s="6">
        <f t="shared" si="34"/>
        <v>12350000</v>
      </c>
      <c r="M1027" s="6">
        <v>10500000</v>
      </c>
      <c r="N1027" s="6" t="s">
        <v>2003</v>
      </c>
      <c r="O1027" s="6" t="s">
        <v>1905</v>
      </c>
      <c r="P1027" s="6">
        <v>2005</v>
      </c>
      <c r="Q1027" s="6">
        <v>1</v>
      </c>
      <c r="R1027" s="6" t="s">
        <v>45</v>
      </c>
      <c r="S1027" s="32" t="s">
        <v>2110</v>
      </c>
      <c r="T1027" s="6">
        <v>1</v>
      </c>
      <c r="U1027" s="26">
        <v>10000000</v>
      </c>
      <c r="V1027" s="26">
        <v>10000000</v>
      </c>
      <c r="W1027" s="26">
        <v>10000000</v>
      </c>
      <c r="X1027" s="6" t="s">
        <v>2003</v>
      </c>
      <c r="Y1027" s="6" t="s">
        <v>1208</v>
      </c>
      <c r="Z1027" s="6">
        <v>227280</v>
      </c>
    </row>
    <row r="1028" spans="1:26" x14ac:dyDescent="0.3">
      <c r="A1028" s="28" t="s">
        <v>42</v>
      </c>
      <c r="B1028" s="6" t="s">
        <v>2340</v>
      </c>
      <c r="C1028" s="6"/>
      <c r="D1028" s="6" t="s">
        <v>2289</v>
      </c>
      <c r="E1028" s="6">
        <v>1</v>
      </c>
      <c r="F1028" s="6" t="s">
        <v>2004</v>
      </c>
      <c r="G1028" s="32" t="s">
        <v>2299</v>
      </c>
      <c r="H1028" s="32" t="s">
        <v>2300</v>
      </c>
      <c r="I1028" s="6" t="str">
        <f t="shared" si="33"/>
        <v>ETC</v>
      </c>
      <c r="J1028" s="6" t="s">
        <v>126</v>
      </c>
      <c r="K1028" s="6">
        <v>1</v>
      </c>
      <c r="L1028" s="6">
        <f t="shared" si="34"/>
        <v>12350000</v>
      </c>
      <c r="M1028" s="6">
        <v>10500000</v>
      </c>
      <c r="N1028" s="6" t="s">
        <v>2003</v>
      </c>
      <c r="O1028" s="6" t="s">
        <v>813</v>
      </c>
      <c r="P1028" s="6">
        <v>2014</v>
      </c>
      <c r="Q1028" s="6">
        <v>1</v>
      </c>
      <c r="R1028" s="6" t="s">
        <v>45</v>
      </c>
      <c r="S1028" s="32" t="s">
        <v>2113</v>
      </c>
      <c r="T1028" s="6">
        <v>1</v>
      </c>
      <c r="U1028" s="26">
        <v>10000000</v>
      </c>
      <c r="V1028" s="26">
        <v>10000000</v>
      </c>
      <c r="W1028" s="26">
        <v>10000000</v>
      </c>
      <c r="X1028" s="6" t="s">
        <v>2003</v>
      </c>
      <c r="Y1028" s="6" t="s">
        <v>80</v>
      </c>
      <c r="Z1028" s="6">
        <v>227282</v>
      </c>
    </row>
    <row r="1029" spans="1:26" x14ac:dyDescent="0.3">
      <c r="A1029" s="28" t="s">
        <v>42</v>
      </c>
      <c r="B1029" s="6" t="s">
        <v>2339</v>
      </c>
      <c r="C1029" s="6" t="s">
        <v>1972</v>
      </c>
      <c r="D1029" s="6" t="s">
        <v>2292</v>
      </c>
      <c r="E1029" s="6">
        <v>1</v>
      </c>
      <c r="F1029" s="6" t="s">
        <v>2004</v>
      </c>
      <c r="G1029" s="32" t="s">
        <v>2299</v>
      </c>
      <c r="H1029" s="32" t="s">
        <v>2300</v>
      </c>
      <c r="I1029" s="6" t="str">
        <f t="shared" si="33"/>
        <v>Stone Grapple</v>
      </c>
      <c r="J1029" s="6" t="s">
        <v>81</v>
      </c>
      <c r="K1029" s="6">
        <v>1</v>
      </c>
      <c r="L1029" s="6">
        <f t="shared" si="34"/>
        <v>3050000</v>
      </c>
      <c r="M1029" s="6">
        <v>2600000</v>
      </c>
      <c r="N1029" s="6" t="s">
        <v>2003</v>
      </c>
      <c r="O1029" s="6" t="s">
        <v>2007</v>
      </c>
      <c r="P1029" s="6">
        <v>2014</v>
      </c>
      <c r="Q1029" s="6">
        <v>1</v>
      </c>
      <c r="R1029" s="6" t="s">
        <v>45</v>
      </c>
      <c r="S1029" s="32" t="s">
        <v>2113</v>
      </c>
      <c r="T1029" s="6">
        <v>1</v>
      </c>
      <c r="U1029" s="26">
        <v>2400000</v>
      </c>
      <c r="V1029" s="26">
        <v>2400000</v>
      </c>
      <c r="W1029" s="26">
        <v>2400000</v>
      </c>
      <c r="X1029" s="6" t="s">
        <v>2003</v>
      </c>
      <c r="Y1029" s="6" t="s">
        <v>49</v>
      </c>
      <c r="Z1029" s="6">
        <v>227283</v>
      </c>
    </row>
    <row r="1030" spans="1:26" x14ac:dyDescent="0.3">
      <c r="A1030" s="28" t="s">
        <v>42</v>
      </c>
      <c r="B1030" s="6" t="s">
        <v>2338</v>
      </c>
      <c r="C1030" s="6" t="s">
        <v>1975</v>
      </c>
      <c r="D1030" s="6" t="s">
        <v>2291</v>
      </c>
      <c r="E1030" s="6">
        <v>1</v>
      </c>
      <c r="F1030" s="6" t="s">
        <v>2004</v>
      </c>
      <c r="G1030" s="32" t="s">
        <v>2299</v>
      </c>
      <c r="H1030" s="32" t="s">
        <v>2300</v>
      </c>
      <c r="I1030" s="6" t="str">
        <f t="shared" si="33"/>
        <v>Side Breaker</v>
      </c>
      <c r="J1030" s="6" t="s">
        <v>266</v>
      </c>
      <c r="K1030" s="6">
        <v>1</v>
      </c>
      <c r="L1030" s="6">
        <f t="shared" si="34"/>
        <v>2820000</v>
      </c>
      <c r="M1030" s="6">
        <v>2400000</v>
      </c>
      <c r="N1030" s="6" t="s">
        <v>2003</v>
      </c>
      <c r="O1030" s="6" t="s">
        <v>2011</v>
      </c>
      <c r="P1030" s="6">
        <v>2016</v>
      </c>
      <c r="Q1030" s="6">
        <v>6</v>
      </c>
      <c r="R1030" s="6" t="s">
        <v>45</v>
      </c>
      <c r="S1030" s="32" t="s">
        <v>2123</v>
      </c>
      <c r="T1030" s="6">
        <v>1</v>
      </c>
      <c r="U1030" s="26">
        <v>2200000</v>
      </c>
      <c r="V1030" s="26">
        <v>2200000</v>
      </c>
      <c r="W1030" s="26">
        <v>2200000</v>
      </c>
      <c r="X1030" s="6" t="s">
        <v>2003</v>
      </c>
      <c r="Y1030" s="6" t="s">
        <v>1200</v>
      </c>
      <c r="Z1030" s="6">
        <v>227285</v>
      </c>
    </row>
    <row r="1031" spans="1:26" x14ac:dyDescent="0.3">
      <c r="A1031" s="28" t="s">
        <v>42</v>
      </c>
      <c r="B1031" s="6" t="s">
        <v>2339</v>
      </c>
      <c r="C1031" s="6" t="s">
        <v>1972</v>
      </c>
      <c r="D1031" s="6" t="s">
        <v>2292</v>
      </c>
      <c r="E1031" s="6">
        <v>1</v>
      </c>
      <c r="F1031" s="6" t="s">
        <v>2004</v>
      </c>
      <c r="G1031" s="32" t="s">
        <v>2299</v>
      </c>
      <c r="H1031" s="32" t="s">
        <v>2300</v>
      </c>
      <c r="I1031" s="6" t="str">
        <f t="shared" si="33"/>
        <v>Stone Grapple</v>
      </c>
      <c r="J1031" s="6" t="s">
        <v>197</v>
      </c>
      <c r="K1031" s="6">
        <v>1</v>
      </c>
      <c r="L1031" s="6">
        <f t="shared" si="34"/>
        <v>3170000</v>
      </c>
      <c r="M1031" s="6">
        <v>2700000</v>
      </c>
      <c r="N1031" s="6" t="s">
        <v>2003</v>
      </c>
      <c r="O1031" s="6" t="s">
        <v>2007</v>
      </c>
      <c r="P1031" s="6">
        <v>2014</v>
      </c>
      <c r="Q1031" s="6">
        <v>1</v>
      </c>
      <c r="R1031" s="6" t="s">
        <v>45</v>
      </c>
      <c r="S1031" s="32" t="s">
        <v>2113</v>
      </c>
      <c r="T1031" s="6">
        <v>1</v>
      </c>
      <c r="U1031" s="26">
        <v>2500000</v>
      </c>
      <c r="V1031" s="26">
        <v>2500000</v>
      </c>
      <c r="W1031" s="26">
        <v>2500000</v>
      </c>
      <c r="X1031" s="6" t="s">
        <v>2003</v>
      </c>
      <c r="Y1031" s="6" t="s">
        <v>49</v>
      </c>
      <c r="Z1031" s="6">
        <v>227291</v>
      </c>
    </row>
    <row r="1032" spans="1:26" x14ac:dyDescent="0.3">
      <c r="A1032" s="28" t="s">
        <v>42</v>
      </c>
      <c r="B1032" s="6" t="s">
        <v>2339</v>
      </c>
      <c r="C1032" s="6" t="s">
        <v>1972</v>
      </c>
      <c r="D1032" s="6" t="s">
        <v>2292</v>
      </c>
      <c r="E1032" s="6">
        <v>1</v>
      </c>
      <c r="F1032" s="6" t="s">
        <v>2004</v>
      </c>
      <c r="G1032" s="32" t="s">
        <v>2299</v>
      </c>
      <c r="H1032" s="32" t="s">
        <v>2300</v>
      </c>
      <c r="I1032" s="6" t="str">
        <f t="shared" si="33"/>
        <v>Stone Grapple</v>
      </c>
      <c r="J1032" s="6" t="s">
        <v>1947</v>
      </c>
      <c r="K1032" s="6">
        <v>1</v>
      </c>
      <c r="L1032" s="6">
        <f t="shared" si="34"/>
        <v>2230000</v>
      </c>
      <c r="M1032" s="6">
        <v>1900000</v>
      </c>
      <c r="N1032" s="6" t="s">
        <v>2003</v>
      </c>
      <c r="O1032" s="6" t="s">
        <v>2007</v>
      </c>
      <c r="P1032" s="6">
        <v>2013</v>
      </c>
      <c r="Q1032" s="6">
        <v>1</v>
      </c>
      <c r="R1032" s="6" t="s">
        <v>45</v>
      </c>
      <c r="S1032" s="32" t="s">
        <v>2113</v>
      </c>
      <c r="T1032" s="6">
        <v>1</v>
      </c>
      <c r="U1032" s="26">
        <v>1800000</v>
      </c>
      <c r="V1032" s="26">
        <v>1800000</v>
      </c>
      <c r="W1032" s="26">
        <v>1800000</v>
      </c>
      <c r="X1032" s="6" t="s">
        <v>2003</v>
      </c>
      <c r="Y1032" s="6" t="s">
        <v>49</v>
      </c>
      <c r="Z1032" s="6">
        <v>227292</v>
      </c>
    </row>
    <row r="1033" spans="1:26" x14ac:dyDescent="0.3">
      <c r="A1033" s="28" t="s">
        <v>42</v>
      </c>
      <c r="B1033" s="6" t="s">
        <v>2341</v>
      </c>
      <c r="C1033" s="6" t="s">
        <v>1978</v>
      </c>
      <c r="D1033" s="6" t="s">
        <v>2001</v>
      </c>
      <c r="E1033" s="6">
        <v>1</v>
      </c>
      <c r="F1033" s="6" t="s">
        <v>2004</v>
      </c>
      <c r="G1033" s="32" t="s">
        <v>2299</v>
      </c>
      <c r="H1033" s="32" t="s">
        <v>2300</v>
      </c>
      <c r="I1033" s="6" t="str">
        <f t="shared" si="33"/>
        <v>Hydraulic Pulverizer</v>
      </c>
      <c r="J1033" s="6" t="s">
        <v>272</v>
      </c>
      <c r="K1033" s="6">
        <v>1</v>
      </c>
      <c r="L1033" s="6">
        <f t="shared" si="34"/>
        <v>16470000</v>
      </c>
      <c r="M1033" s="6">
        <v>14000000</v>
      </c>
      <c r="N1033" s="6" t="s">
        <v>2003</v>
      </c>
      <c r="O1033" s="6" t="s">
        <v>813</v>
      </c>
      <c r="P1033" s="6">
        <v>2014</v>
      </c>
      <c r="Q1033" s="6">
        <v>1</v>
      </c>
      <c r="R1033" s="6" t="s">
        <v>45</v>
      </c>
      <c r="S1033" s="32" t="s">
        <v>2113</v>
      </c>
      <c r="T1033" s="6">
        <v>1</v>
      </c>
      <c r="U1033" s="26">
        <v>13500000</v>
      </c>
      <c r="V1033" s="26">
        <v>13500000</v>
      </c>
      <c r="W1033" s="26">
        <v>13500000</v>
      </c>
      <c r="X1033" s="6" t="s">
        <v>2003</v>
      </c>
      <c r="Y1033" s="6" t="s">
        <v>79</v>
      </c>
      <c r="Z1033" s="6">
        <v>227294</v>
      </c>
    </row>
    <row r="1034" spans="1:26" x14ac:dyDescent="0.3">
      <c r="A1034" s="28" t="s">
        <v>42</v>
      </c>
      <c r="B1034" s="6" t="s">
        <v>2339</v>
      </c>
      <c r="C1034" s="6" t="s">
        <v>1986</v>
      </c>
      <c r="D1034" s="6" t="s">
        <v>2290</v>
      </c>
      <c r="E1034" s="6">
        <v>1</v>
      </c>
      <c r="F1034" s="6" t="s">
        <v>2004</v>
      </c>
      <c r="G1034" s="32" t="s">
        <v>2299</v>
      </c>
      <c r="H1034" s="32" t="s">
        <v>2300</v>
      </c>
      <c r="I1034" s="6" t="str">
        <f t="shared" si="33"/>
        <v>ClamShell Grapple</v>
      </c>
      <c r="J1034" s="6" t="s">
        <v>720</v>
      </c>
      <c r="K1034" s="6">
        <v>1</v>
      </c>
      <c r="L1034" s="6">
        <f t="shared" si="34"/>
        <v>3760000</v>
      </c>
      <c r="M1034" s="6">
        <v>3200000</v>
      </c>
      <c r="N1034" s="6" t="s">
        <v>2003</v>
      </c>
      <c r="O1034" s="6" t="s">
        <v>813</v>
      </c>
      <c r="P1034" s="6">
        <v>2013</v>
      </c>
      <c r="Q1034" s="6">
        <v>1</v>
      </c>
      <c r="R1034" s="6" t="s">
        <v>45</v>
      </c>
      <c r="S1034" s="32" t="s">
        <v>2113</v>
      </c>
      <c r="T1034" s="6">
        <v>1</v>
      </c>
      <c r="U1034" s="26">
        <v>3000000</v>
      </c>
      <c r="V1034" s="26">
        <v>3000000</v>
      </c>
      <c r="W1034" s="26">
        <v>3000000</v>
      </c>
      <c r="X1034" s="6" t="s">
        <v>2003</v>
      </c>
      <c r="Y1034" s="6" t="s">
        <v>80</v>
      </c>
      <c r="Z1034" s="6">
        <v>227299</v>
      </c>
    </row>
    <row r="1035" spans="1:26" x14ac:dyDescent="0.3">
      <c r="A1035" s="28" t="s">
        <v>42</v>
      </c>
      <c r="B1035" s="6" t="s">
        <v>2340</v>
      </c>
      <c r="C1035" s="6"/>
      <c r="D1035" s="6" t="s">
        <v>2001</v>
      </c>
      <c r="E1035" s="6">
        <v>1</v>
      </c>
      <c r="F1035" s="6" t="s">
        <v>2004</v>
      </c>
      <c r="G1035" s="32" t="s">
        <v>2299</v>
      </c>
      <c r="H1035" s="32" t="s">
        <v>2300</v>
      </c>
      <c r="I1035" s="6" t="str">
        <f t="shared" ref="I1035:I1098" si="35">IF(ISBLANK(C1035),B1035,C1035)</f>
        <v>ETC</v>
      </c>
      <c r="J1035" s="6" t="s">
        <v>1949</v>
      </c>
      <c r="K1035" s="6">
        <v>1</v>
      </c>
      <c r="L1035" s="6">
        <f t="shared" ref="L1035:L1098" si="36">FLOOR(((M1035*100)/85)/10000, 1)*10000</f>
        <v>15880000</v>
      </c>
      <c r="M1035" s="6">
        <v>13500000</v>
      </c>
      <c r="N1035" s="6" t="s">
        <v>2003</v>
      </c>
      <c r="O1035" s="6" t="s">
        <v>1906</v>
      </c>
      <c r="P1035" s="6">
        <v>2015</v>
      </c>
      <c r="Q1035" s="6">
        <v>9</v>
      </c>
      <c r="R1035" s="6" t="s">
        <v>45</v>
      </c>
      <c r="S1035" s="32" t="s">
        <v>2118</v>
      </c>
      <c r="T1035" s="6">
        <v>1</v>
      </c>
      <c r="U1035" s="26">
        <v>13000000</v>
      </c>
      <c r="V1035" s="26">
        <v>13000000</v>
      </c>
      <c r="W1035" s="26">
        <v>13000000</v>
      </c>
      <c r="X1035" s="6" t="s">
        <v>2003</v>
      </c>
      <c r="Y1035" s="6" t="s">
        <v>63</v>
      </c>
      <c r="Z1035" s="6">
        <v>227302</v>
      </c>
    </row>
    <row r="1036" spans="1:26" x14ac:dyDescent="0.3">
      <c r="A1036" s="28" t="s">
        <v>42</v>
      </c>
      <c r="B1036" s="6" t="s">
        <v>2338</v>
      </c>
      <c r="C1036" s="6" t="s">
        <v>1975</v>
      </c>
      <c r="D1036" s="6" t="s">
        <v>2291</v>
      </c>
      <c r="E1036" s="6">
        <v>1</v>
      </c>
      <c r="F1036" s="6" t="s">
        <v>2004</v>
      </c>
      <c r="G1036" s="32" t="s">
        <v>2299</v>
      </c>
      <c r="H1036" s="32" t="s">
        <v>2300</v>
      </c>
      <c r="I1036" s="6" t="str">
        <f t="shared" si="35"/>
        <v>Side Breaker</v>
      </c>
      <c r="J1036" s="6" t="s">
        <v>1950</v>
      </c>
      <c r="K1036" s="6">
        <v>1</v>
      </c>
      <c r="L1036" s="6">
        <f t="shared" si="36"/>
        <v>1880000</v>
      </c>
      <c r="M1036" s="6">
        <v>1600000</v>
      </c>
      <c r="N1036" s="6" t="s">
        <v>2003</v>
      </c>
      <c r="O1036" s="6" t="s">
        <v>54</v>
      </c>
      <c r="P1036" s="6">
        <v>2011</v>
      </c>
      <c r="Q1036" s="6">
        <v>1</v>
      </c>
      <c r="R1036" s="6" t="s">
        <v>45</v>
      </c>
      <c r="S1036" s="32" t="s">
        <v>2114</v>
      </c>
      <c r="T1036" s="6">
        <v>1</v>
      </c>
      <c r="U1036" s="26">
        <v>1500000</v>
      </c>
      <c r="V1036" s="26">
        <v>1500000</v>
      </c>
      <c r="W1036" s="26">
        <v>1500000</v>
      </c>
      <c r="X1036" s="6" t="s">
        <v>2003</v>
      </c>
      <c r="Y1036" s="6" t="s">
        <v>54</v>
      </c>
      <c r="Z1036" s="6">
        <v>227305</v>
      </c>
    </row>
    <row r="1037" spans="1:26" x14ac:dyDescent="0.3">
      <c r="A1037" s="28" t="s">
        <v>42</v>
      </c>
      <c r="B1037" s="6" t="s">
        <v>2339</v>
      </c>
      <c r="C1037" s="6" t="s">
        <v>1972</v>
      </c>
      <c r="D1037" s="6" t="s">
        <v>2292</v>
      </c>
      <c r="E1037" s="6">
        <v>1</v>
      </c>
      <c r="F1037" s="6" t="s">
        <v>2004</v>
      </c>
      <c r="G1037" s="32" t="s">
        <v>2299</v>
      </c>
      <c r="H1037" s="32" t="s">
        <v>2300</v>
      </c>
      <c r="I1037" s="6" t="str">
        <f t="shared" si="35"/>
        <v>Stone Grapple</v>
      </c>
      <c r="J1037" s="6" t="s">
        <v>340</v>
      </c>
      <c r="K1037" s="6">
        <v>1</v>
      </c>
      <c r="L1037" s="6">
        <f t="shared" si="36"/>
        <v>2940000</v>
      </c>
      <c r="M1037" s="6">
        <v>2500000</v>
      </c>
      <c r="N1037" s="6" t="s">
        <v>2003</v>
      </c>
      <c r="O1037" s="6" t="s">
        <v>814</v>
      </c>
      <c r="P1037" s="6">
        <v>2014</v>
      </c>
      <c r="Q1037" s="6">
        <v>12</v>
      </c>
      <c r="R1037" s="6" t="s">
        <v>45</v>
      </c>
      <c r="S1037" s="32" t="s">
        <v>2119</v>
      </c>
      <c r="T1037" s="6">
        <v>1</v>
      </c>
      <c r="U1037" s="26">
        <v>2300000</v>
      </c>
      <c r="V1037" s="26">
        <v>2300000</v>
      </c>
      <c r="W1037" s="26">
        <v>2300000</v>
      </c>
      <c r="X1037" s="6" t="s">
        <v>2003</v>
      </c>
      <c r="Y1037" s="6" t="s">
        <v>1194</v>
      </c>
      <c r="Z1037" s="6">
        <v>227306</v>
      </c>
    </row>
    <row r="1038" spans="1:26" x14ac:dyDescent="0.3">
      <c r="A1038" s="28" t="s">
        <v>42</v>
      </c>
      <c r="B1038" s="6" t="s">
        <v>2339</v>
      </c>
      <c r="C1038" s="6" t="s">
        <v>1972</v>
      </c>
      <c r="D1038" s="6" t="s">
        <v>2292</v>
      </c>
      <c r="E1038" s="6">
        <v>1</v>
      </c>
      <c r="F1038" s="6" t="s">
        <v>2004</v>
      </c>
      <c r="G1038" s="32" t="s">
        <v>2299</v>
      </c>
      <c r="H1038" s="32" t="s">
        <v>2300</v>
      </c>
      <c r="I1038" s="6" t="str">
        <f t="shared" si="35"/>
        <v>Stone Grapple</v>
      </c>
      <c r="J1038" s="6" t="s">
        <v>340</v>
      </c>
      <c r="K1038" s="6">
        <v>1</v>
      </c>
      <c r="L1038" s="6">
        <f t="shared" si="36"/>
        <v>3170000</v>
      </c>
      <c r="M1038" s="6">
        <v>2700000</v>
      </c>
      <c r="N1038" s="6" t="s">
        <v>2003</v>
      </c>
      <c r="O1038" s="6" t="s">
        <v>814</v>
      </c>
      <c r="P1038" s="6">
        <v>2015</v>
      </c>
      <c r="Q1038" s="6">
        <v>11</v>
      </c>
      <c r="R1038" s="6" t="s">
        <v>45</v>
      </c>
      <c r="S1038" s="32" t="s">
        <v>2119</v>
      </c>
      <c r="T1038" s="6">
        <v>1</v>
      </c>
      <c r="U1038" s="26">
        <v>2500000</v>
      </c>
      <c r="V1038" s="26">
        <v>2500000</v>
      </c>
      <c r="W1038" s="26">
        <v>2500000</v>
      </c>
      <c r="X1038" s="6" t="s">
        <v>2003</v>
      </c>
      <c r="Y1038" s="6" t="s">
        <v>1194</v>
      </c>
      <c r="Z1038" s="6">
        <v>227310</v>
      </c>
    </row>
    <row r="1039" spans="1:26" x14ac:dyDescent="0.3">
      <c r="A1039" s="28" t="s">
        <v>42</v>
      </c>
      <c r="B1039" s="6" t="s">
        <v>2339</v>
      </c>
      <c r="C1039" s="6" t="s">
        <v>1972</v>
      </c>
      <c r="D1039" s="6" t="s">
        <v>2292</v>
      </c>
      <c r="E1039" s="6">
        <v>1</v>
      </c>
      <c r="F1039" s="6" t="s">
        <v>2004</v>
      </c>
      <c r="G1039" s="32" t="s">
        <v>2299</v>
      </c>
      <c r="H1039" s="32" t="s">
        <v>2300</v>
      </c>
      <c r="I1039" s="6" t="str">
        <f t="shared" si="35"/>
        <v>Stone Grapple</v>
      </c>
      <c r="J1039" s="6" t="s">
        <v>44</v>
      </c>
      <c r="K1039" s="6">
        <v>1</v>
      </c>
      <c r="L1039" s="6">
        <f t="shared" si="36"/>
        <v>2940000</v>
      </c>
      <c r="M1039" s="6">
        <v>2500000</v>
      </c>
      <c r="N1039" s="6" t="s">
        <v>2003</v>
      </c>
      <c r="O1039" s="6" t="s">
        <v>813</v>
      </c>
      <c r="P1039" s="6">
        <v>2014</v>
      </c>
      <c r="Q1039" s="6">
        <v>1</v>
      </c>
      <c r="R1039" s="6" t="s">
        <v>45</v>
      </c>
      <c r="S1039" s="32" t="s">
        <v>2113</v>
      </c>
      <c r="T1039" s="6">
        <v>1</v>
      </c>
      <c r="U1039" s="26">
        <v>2300000</v>
      </c>
      <c r="V1039" s="26">
        <v>2300000</v>
      </c>
      <c r="W1039" s="26">
        <v>2300000</v>
      </c>
      <c r="X1039" s="6" t="s">
        <v>2003</v>
      </c>
      <c r="Y1039" s="6" t="s">
        <v>80</v>
      </c>
      <c r="Z1039" s="6">
        <v>227311</v>
      </c>
    </row>
    <row r="1040" spans="1:26" x14ac:dyDescent="0.3">
      <c r="A1040" s="28" t="s">
        <v>42</v>
      </c>
      <c r="B1040" s="6" t="s">
        <v>2343</v>
      </c>
      <c r="C1040" s="6"/>
      <c r="D1040" s="6" t="s">
        <v>2292</v>
      </c>
      <c r="E1040" s="6">
        <v>1</v>
      </c>
      <c r="F1040" s="6" t="s">
        <v>2004</v>
      </c>
      <c r="G1040" s="32" t="s">
        <v>2299</v>
      </c>
      <c r="H1040" s="32" t="s">
        <v>2300</v>
      </c>
      <c r="I1040" s="6" t="str">
        <f t="shared" si="35"/>
        <v>Lift Fork</v>
      </c>
      <c r="J1040" s="6" t="s">
        <v>102</v>
      </c>
      <c r="K1040" s="6">
        <v>1</v>
      </c>
      <c r="L1040" s="6">
        <f t="shared" si="36"/>
        <v>820000</v>
      </c>
      <c r="M1040" s="6">
        <v>700000</v>
      </c>
      <c r="N1040" s="6" t="s">
        <v>2003</v>
      </c>
      <c r="O1040" s="6" t="s">
        <v>2007</v>
      </c>
      <c r="P1040" s="6">
        <v>2012</v>
      </c>
      <c r="Q1040" s="6">
        <v>1</v>
      </c>
      <c r="R1040" s="6" t="s">
        <v>45</v>
      </c>
      <c r="S1040" s="32" t="s">
        <v>2113</v>
      </c>
      <c r="T1040" s="6">
        <v>1</v>
      </c>
      <c r="U1040" s="26">
        <v>600000</v>
      </c>
      <c r="V1040" s="26">
        <v>600000</v>
      </c>
      <c r="W1040" s="26">
        <v>600000</v>
      </c>
      <c r="X1040" s="6" t="s">
        <v>2003</v>
      </c>
      <c r="Y1040" s="6" t="s">
        <v>49</v>
      </c>
      <c r="Z1040" s="6">
        <v>227314</v>
      </c>
    </row>
    <row r="1041" spans="1:26" x14ac:dyDescent="0.3">
      <c r="A1041" s="28" t="s">
        <v>42</v>
      </c>
      <c r="B1041" s="6" t="s">
        <v>2339</v>
      </c>
      <c r="C1041" s="6" t="s">
        <v>1972</v>
      </c>
      <c r="D1041" s="6" t="s">
        <v>2001</v>
      </c>
      <c r="E1041" s="6">
        <v>1</v>
      </c>
      <c r="F1041" s="6" t="s">
        <v>2004</v>
      </c>
      <c r="G1041" s="32" t="s">
        <v>2299</v>
      </c>
      <c r="H1041" s="32" t="s">
        <v>2300</v>
      </c>
      <c r="I1041" s="6" t="str">
        <f t="shared" si="35"/>
        <v>Stone Grapple</v>
      </c>
      <c r="J1041" s="6" t="s">
        <v>472</v>
      </c>
      <c r="K1041" s="6">
        <v>1</v>
      </c>
      <c r="L1041" s="6">
        <f t="shared" si="36"/>
        <v>11760000</v>
      </c>
      <c r="M1041" s="6">
        <v>10000000</v>
      </c>
      <c r="N1041" s="6" t="s">
        <v>2003</v>
      </c>
      <c r="O1041" s="6" t="s">
        <v>814</v>
      </c>
      <c r="P1041" s="6">
        <v>2016</v>
      </c>
      <c r="Q1041" s="6">
        <v>5</v>
      </c>
      <c r="R1041" s="6" t="s">
        <v>45</v>
      </c>
      <c r="S1041" s="32" t="s">
        <v>2119</v>
      </c>
      <c r="T1041" s="6">
        <v>1</v>
      </c>
      <c r="U1041" s="26">
        <v>9500000</v>
      </c>
      <c r="V1041" s="26">
        <v>9500000</v>
      </c>
      <c r="W1041" s="26">
        <v>9500000</v>
      </c>
      <c r="X1041" s="6" t="s">
        <v>2003</v>
      </c>
      <c r="Y1041" s="6" t="s">
        <v>1194</v>
      </c>
      <c r="Z1041" s="6">
        <v>227315</v>
      </c>
    </row>
    <row r="1042" spans="1:26" x14ac:dyDescent="0.3">
      <c r="A1042" s="28" t="s">
        <v>42</v>
      </c>
      <c r="B1042" s="6" t="s">
        <v>2339</v>
      </c>
      <c r="C1042" s="6" t="s">
        <v>1972</v>
      </c>
      <c r="D1042" s="6" t="s">
        <v>2292</v>
      </c>
      <c r="E1042" s="6">
        <v>1</v>
      </c>
      <c r="F1042" s="6" t="s">
        <v>2004</v>
      </c>
      <c r="G1042" s="32" t="s">
        <v>2299</v>
      </c>
      <c r="H1042" s="32" t="s">
        <v>2300</v>
      </c>
      <c r="I1042" s="6" t="str">
        <f t="shared" si="35"/>
        <v>Stone Grapple</v>
      </c>
      <c r="J1042" s="6" t="s">
        <v>207</v>
      </c>
      <c r="K1042" s="6">
        <v>1</v>
      </c>
      <c r="L1042" s="6">
        <f t="shared" si="36"/>
        <v>3050000</v>
      </c>
      <c r="M1042" s="6">
        <v>2600000</v>
      </c>
      <c r="N1042" s="6" t="s">
        <v>2003</v>
      </c>
      <c r="O1042" s="6" t="s">
        <v>813</v>
      </c>
      <c r="P1042" s="6">
        <v>2014</v>
      </c>
      <c r="Q1042" s="6">
        <v>1</v>
      </c>
      <c r="R1042" s="6" t="s">
        <v>45</v>
      </c>
      <c r="S1042" s="32" t="s">
        <v>2113</v>
      </c>
      <c r="T1042" s="6">
        <v>1</v>
      </c>
      <c r="U1042" s="26">
        <v>2400000</v>
      </c>
      <c r="V1042" s="26">
        <v>2400000</v>
      </c>
      <c r="W1042" s="26">
        <v>2400000</v>
      </c>
      <c r="X1042" s="6" t="s">
        <v>2003</v>
      </c>
      <c r="Y1042" s="6" t="s">
        <v>79</v>
      </c>
      <c r="Z1042" s="6">
        <v>227316</v>
      </c>
    </row>
    <row r="1043" spans="1:26" x14ac:dyDescent="0.3">
      <c r="A1043" s="28" t="s">
        <v>42</v>
      </c>
      <c r="B1043" s="6" t="s">
        <v>2344</v>
      </c>
      <c r="C1043" s="19" t="s">
        <v>1982</v>
      </c>
      <c r="D1043" s="6" t="s">
        <v>2289</v>
      </c>
      <c r="E1043" s="6">
        <v>1</v>
      </c>
      <c r="F1043" s="6" t="s">
        <v>2004</v>
      </c>
      <c r="G1043" s="32" t="s">
        <v>2299</v>
      </c>
      <c r="H1043" s="32" t="s">
        <v>2300</v>
      </c>
      <c r="I1043" s="6" t="str">
        <f t="shared" si="35"/>
        <v>Standard Bucket</v>
      </c>
      <c r="J1043" s="6" t="s">
        <v>778</v>
      </c>
      <c r="K1043" s="6">
        <v>1</v>
      </c>
      <c r="L1043" s="6">
        <f t="shared" si="36"/>
        <v>4940000</v>
      </c>
      <c r="M1043" s="6">
        <v>4200000</v>
      </c>
      <c r="N1043" s="6" t="s">
        <v>2003</v>
      </c>
      <c r="O1043" s="6" t="s">
        <v>1130</v>
      </c>
      <c r="P1043" s="6">
        <v>2010</v>
      </c>
      <c r="Q1043" s="6">
        <v>1</v>
      </c>
      <c r="R1043" s="6" t="s">
        <v>45</v>
      </c>
      <c r="S1043" s="32" t="s">
        <v>2123</v>
      </c>
      <c r="T1043" s="6">
        <v>1</v>
      </c>
      <c r="U1043" s="26">
        <v>4000000</v>
      </c>
      <c r="V1043" s="26">
        <v>4000000</v>
      </c>
      <c r="W1043" s="26">
        <v>4000000</v>
      </c>
      <c r="X1043" s="6" t="s">
        <v>2003</v>
      </c>
      <c r="Y1043" s="6" t="s">
        <v>1167</v>
      </c>
      <c r="Z1043" s="6">
        <v>227318</v>
      </c>
    </row>
    <row r="1044" spans="1:26" x14ac:dyDescent="0.3">
      <c r="A1044" s="28" t="s">
        <v>42</v>
      </c>
      <c r="B1044" s="6" t="s">
        <v>2338</v>
      </c>
      <c r="C1044" s="6" t="s">
        <v>1975</v>
      </c>
      <c r="D1044" s="6" t="s">
        <v>2001</v>
      </c>
      <c r="E1044" s="6">
        <v>1</v>
      </c>
      <c r="F1044" s="6" t="s">
        <v>2004</v>
      </c>
      <c r="G1044" s="32" t="s">
        <v>2299</v>
      </c>
      <c r="H1044" s="32" t="s">
        <v>2300</v>
      </c>
      <c r="I1044" s="6" t="str">
        <f t="shared" si="35"/>
        <v>Side Breaker</v>
      </c>
      <c r="J1044" s="6" t="s">
        <v>668</v>
      </c>
      <c r="K1044" s="6">
        <v>1</v>
      </c>
      <c r="L1044" s="6">
        <f t="shared" si="36"/>
        <v>11170000</v>
      </c>
      <c r="M1044" s="6">
        <v>9500000</v>
      </c>
      <c r="N1044" s="6" t="s">
        <v>2003</v>
      </c>
      <c r="O1044" s="6" t="s">
        <v>814</v>
      </c>
      <c r="P1044" s="6">
        <v>2015</v>
      </c>
      <c r="Q1044" s="6">
        <v>10</v>
      </c>
      <c r="R1044" s="6" t="s">
        <v>45</v>
      </c>
      <c r="S1044" s="32" t="s">
        <v>2119</v>
      </c>
      <c r="T1044" s="6">
        <v>1</v>
      </c>
      <c r="U1044" s="26">
        <v>9000000</v>
      </c>
      <c r="V1044" s="26">
        <v>9000000</v>
      </c>
      <c r="W1044" s="26">
        <v>9000000</v>
      </c>
      <c r="X1044" s="6" t="s">
        <v>2003</v>
      </c>
      <c r="Y1044" s="6" t="s">
        <v>1194</v>
      </c>
      <c r="Z1044" s="6">
        <v>227319</v>
      </c>
    </row>
    <row r="1045" spans="1:26" x14ac:dyDescent="0.3">
      <c r="A1045" s="28" t="s">
        <v>42</v>
      </c>
      <c r="B1045" s="6" t="s">
        <v>2344</v>
      </c>
      <c r="C1045" s="19" t="s">
        <v>1982</v>
      </c>
      <c r="D1045" s="6" t="s">
        <v>2292</v>
      </c>
      <c r="E1045" s="6">
        <v>1</v>
      </c>
      <c r="F1045" s="6" t="s">
        <v>2004</v>
      </c>
      <c r="G1045" s="32" t="s">
        <v>2299</v>
      </c>
      <c r="H1045" s="32" t="s">
        <v>2300</v>
      </c>
      <c r="I1045" s="6" t="str">
        <f t="shared" si="35"/>
        <v>Standard Bucket</v>
      </c>
      <c r="J1045" s="6" t="s">
        <v>143</v>
      </c>
      <c r="K1045" s="6">
        <v>1</v>
      </c>
      <c r="L1045" s="6">
        <f t="shared" si="36"/>
        <v>1110000</v>
      </c>
      <c r="M1045" s="6">
        <v>950000</v>
      </c>
      <c r="N1045" s="6" t="s">
        <v>2003</v>
      </c>
      <c r="O1045" s="6" t="s">
        <v>813</v>
      </c>
      <c r="P1045" s="6">
        <v>2013</v>
      </c>
      <c r="Q1045" s="6">
        <v>1</v>
      </c>
      <c r="R1045" s="6" t="s">
        <v>45</v>
      </c>
      <c r="S1045" s="32" t="s">
        <v>2113</v>
      </c>
      <c r="T1045" s="6">
        <v>1</v>
      </c>
      <c r="U1045" s="26">
        <v>850000</v>
      </c>
      <c r="V1045" s="26">
        <v>850000</v>
      </c>
      <c r="W1045" s="26">
        <v>850000</v>
      </c>
      <c r="X1045" s="6" t="s">
        <v>2003</v>
      </c>
      <c r="Y1045" s="6" t="s">
        <v>79</v>
      </c>
      <c r="Z1045" s="6">
        <v>227325</v>
      </c>
    </row>
    <row r="1046" spans="1:26" x14ac:dyDescent="0.3">
      <c r="A1046" s="28" t="s">
        <v>42</v>
      </c>
      <c r="B1046" s="6" t="s">
        <v>2339</v>
      </c>
      <c r="C1046" s="6" t="s">
        <v>1974</v>
      </c>
      <c r="D1046" s="6" t="s">
        <v>2293</v>
      </c>
      <c r="E1046" s="6">
        <v>1</v>
      </c>
      <c r="F1046" s="6" t="s">
        <v>2004</v>
      </c>
      <c r="G1046" s="32" t="s">
        <v>2299</v>
      </c>
      <c r="H1046" s="32" t="s">
        <v>2300</v>
      </c>
      <c r="I1046" s="6" t="str">
        <f t="shared" si="35"/>
        <v>Etc Grapple</v>
      </c>
      <c r="J1046" s="6" t="s">
        <v>672</v>
      </c>
      <c r="K1046" s="6">
        <v>1</v>
      </c>
      <c r="L1046" s="6">
        <f t="shared" si="36"/>
        <v>4820000</v>
      </c>
      <c r="M1046" s="6">
        <v>4100000</v>
      </c>
      <c r="N1046" s="6" t="s">
        <v>2003</v>
      </c>
      <c r="O1046" s="6" t="s">
        <v>2098</v>
      </c>
      <c r="P1046" s="6">
        <v>2017</v>
      </c>
      <c r="Q1046" s="6">
        <v>1</v>
      </c>
      <c r="R1046" s="6" t="s">
        <v>45</v>
      </c>
      <c r="S1046" s="32" t="s">
        <v>2110</v>
      </c>
      <c r="T1046" s="6">
        <v>1</v>
      </c>
      <c r="U1046" s="26">
        <v>3900000</v>
      </c>
      <c r="V1046" s="26">
        <v>3900000</v>
      </c>
      <c r="W1046" s="26">
        <v>3900000</v>
      </c>
      <c r="X1046" s="6" t="s">
        <v>2003</v>
      </c>
      <c r="Y1046" s="6" t="s">
        <v>1155</v>
      </c>
      <c r="Z1046" s="6">
        <v>227328</v>
      </c>
    </row>
    <row r="1047" spans="1:26" x14ac:dyDescent="0.3">
      <c r="A1047" s="28" t="s">
        <v>42</v>
      </c>
      <c r="B1047" s="6" t="s">
        <v>2342</v>
      </c>
      <c r="C1047" s="6" t="s">
        <v>1982</v>
      </c>
      <c r="D1047" s="6" t="s">
        <v>2292</v>
      </c>
      <c r="E1047" s="6">
        <v>1</v>
      </c>
      <c r="F1047" s="6" t="s">
        <v>2004</v>
      </c>
      <c r="G1047" s="32" t="s">
        <v>2299</v>
      </c>
      <c r="H1047" s="32" t="s">
        <v>2300</v>
      </c>
      <c r="I1047" s="6" t="str">
        <f t="shared" si="35"/>
        <v>Standard Bucket</v>
      </c>
      <c r="J1047" s="6" t="s">
        <v>140</v>
      </c>
      <c r="K1047" s="6">
        <v>1</v>
      </c>
      <c r="L1047" s="6">
        <f t="shared" si="36"/>
        <v>1050000</v>
      </c>
      <c r="M1047" s="6">
        <v>900000</v>
      </c>
      <c r="N1047" s="6" t="s">
        <v>2003</v>
      </c>
      <c r="O1047" s="6" t="s">
        <v>813</v>
      </c>
      <c r="P1047" s="6">
        <v>2014</v>
      </c>
      <c r="Q1047" s="6">
        <v>1</v>
      </c>
      <c r="R1047" s="6" t="s">
        <v>45</v>
      </c>
      <c r="S1047" s="32" t="s">
        <v>2113</v>
      </c>
      <c r="T1047" s="6">
        <v>1</v>
      </c>
      <c r="U1047" s="26">
        <v>800000</v>
      </c>
      <c r="V1047" s="26">
        <v>800000</v>
      </c>
      <c r="W1047" s="26">
        <v>800000</v>
      </c>
      <c r="X1047" s="6" t="s">
        <v>2003</v>
      </c>
      <c r="Y1047" s="6" t="s">
        <v>79</v>
      </c>
      <c r="Z1047" s="6">
        <v>227330</v>
      </c>
    </row>
    <row r="1048" spans="1:26" x14ac:dyDescent="0.3">
      <c r="A1048" s="28" t="s">
        <v>42</v>
      </c>
      <c r="B1048" s="6" t="s">
        <v>2343</v>
      </c>
      <c r="C1048" s="6"/>
      <c r="D1048" s="6" t="s">
        <v>2291</v>
      </c>
      <c r="E1048" s="6">
        <v>1</v>
      </c>
      <c r="F1048" s="6" t="s">
        <v>2004</v>
      </c>
      <c r="G1048" s="32" t="s">
        <v>2299</v>
      </c>
      <c r="H1048" s="32" t="s">
        <v>2300</v>
      </c>
      <c r="I1048" s="6" t="str">
        <f t="shared" si="35"/>
        <v>Lift Fork</v>
      </c>
      <c r="J1048" s="6" t="s">
        <v>617</v>
      </c>
      <c r="K1048" s="6">
        <v>1</v>
      </c>
      <c r="L1048" s="6">
        <f t="shared" si="36"/>
        <v>1050000</v>
      </c>
      <c r="M1048" s="6">
        <v>900000</v>
      </c>
      <c r="N1048" s="6" t="s">
        <v>2003</v>
      </c>
      <c r="O1048" s="6" t="s">
        <v>2011</v>
      </c>
      <c r="P1048" s="6">
        <v>2017</v>
      </c>
      <c r="Q1048" s="6">
        <v>2</v>
      </c>
      <c r="R1048" s="6" t="s">
        <v>45</v>
      </c>
      <c r="S1048" s="32" t="s">
        <v>2123</v>
      </c>
      <c r="T1048" s="6">
        <v>1</v>
      </c>
      <c r="U1048" s="26">
        <v>800000</v>
      </c>
      <c r="V1048" s="26">
        <v>800000</v>
      </c>
      <c r="W1048" s="26">
        <v>800000</v>
      </c>
      <c r="X1048" s="6" t="s">
        <v>2003</v>
      </c>
      <c r="Y1048" s="6" t="s">
        <v>1200</v>
      </c>
      <c r="Z1048" s="6">
        <v>227332</v>
      </c>
    </row>
    <row r="1049" spans="1:26" x14ac:dyDescent="0.3">
      <c r="A1049" s="28" t="s">
        <v>42</v>
      </c>
      <c r="B1049" s="6" t="s">
        <v>2343</v>
      </c>
      <c r="C1049" s="6"/>
      <c r="D1049" s="6" t="s">
        <v>2292</v>
      </c>
      <c r="E1049" s="6">
        <v>1</v>
      </c>
      <c r="F1049" s="6" t="s">
        <v>2004</v>
      </c>
      <c r="G1049" s="32" t="s">
        <v>2299</v>
      </c>
      <c r="H1049" s="32" t="s">
        <v>2300</v>
      </c>
      <c r="I1049" s="6" t="str">
        <f t="shared" si="35"/>
        <v>Lift Fork</v>
      </c>
      <c r="J1049" s="6" t="s">
        <v>102</v>
      </c>
      <c r="K1049" s="6">
        <v>1</v>
      </c>
      <c r="L1049" s="6">
        <f t="shared" si="36"/>
        <v>820000</v>
      </c>
      <c r="M1049" s="6">
        <v>700000</v>
      </c>
      <c r="N1049" s="6" t="s">
        <v>2003</v>
      </c>
      <c r="O1049" s="6" t="s">
        <v>813</v>
      </c>
      <c r="P1049" s="6">
        <v>2013</v>
      </c>
      <c r="Q1049" s="6">
        <v>1</v>
      </c>
      <c r="R1049" s="6" t="s">
        <v>45</v>
      </c>
      <c r="S1049" s="32" t="s">
        <v>2113</v>
      </c>
      <c r="T1049" s="6">
        <v>1</v>
      </c>
      <c r="U1049" s="26">
        <v>600000</v>
      </c>
      <c r="V1049" s="26">
        <v>600000</v>
      </c>
      <c r="W1049" s="26">
        <v>600000</v>
      </c>
      <c r="X1049" s="6" t="s">
        <v>2003</v>
      </c>
      <c r="Y1049" s="6" t="s">
        <v>80</v>
      </c>
      <c r="Z1049" s="6">
        <v>227336</v>
      </c>
    </row>
    <row r="1050" spans="1:26" x14ac:dyDescent="0.3">
      <c r="A1050" s="28" t="s">
        <v>42</v>
      </c>
      <c r="B1050" s="6" t="s">
        <v>2339</v>
      </c>
      <c r="C1050" s="6" t="s">
        <v>1974</v>
      </c>
      <c r="D1050" s="6" t="s">
        <v>2291</v>
      </c>
      <c r="E1050" s="6">
        <v>1</v>
      </c>
      <c r="F1050" s="6" t="s">
        <v>2004</v>
      </c>
      <c r="G1050" s="32" t="s">
        <v>2299</v>
      </c>
      <c r="H1050" s="32" t="s">
        <v>2300</v>
      </c>
      <c r="I1050" s="6" t="str">
        <f t="shared" si="35"/>
        <v>Etc Grapple</v>
      </c>
      <c r="J1050" s="6" t="s">
        <v>1951</v>
      </c>
      <c r="K1050" s="6">
        <v>1</v>
      </c>
      <c r="L1050" s="6">
        <f t="shared" si="36"/>
        <v>1050000</v>
      </c>
      <c r="M1050" s="6">
        <v>900000</v>
      </c>
      <c r="N1050" s="6" t="s">
        <v>2003</v>
      </c>
      <c r="O1050" s="6" t="s">
        <v>823</v>
      </c>
      <c r="P1050" s="6">
        <v>2013</v>
      </c>
      <c r="Q1050" s="6">
        <v>1</v>
      </c>
      <c r="R1050" s="6" t="s">
        <v>45</v>
      </c>
      <c r="S1050" s="32" t="s">
        <v>2113</v>
      </c>
      <c r="T1050" s="6">
        <v>1</v>
      </c>
      <c r="U1050" s="26">
        <v>800000</v>
      </c>
      <c r="V1050" s="26">
        <v>800000</v>
      </c>
      <c r="W1050" s="26">
        <v>800000</v>
      </c>
      <c r="X1050" s="6" t="s">
        <v>2003</v>
      </c>
      <c r="Y1050" s="6" t="s">
        <v>49</v>
      </c>
      <c r="Z1050" s="6">
        <v>227339</v>
      </c>
    </row>
    <row r="1051" spans="1:26" x14ac:dyDescent="0.3">
      <c r="A1051" s="28" t="s">
        <v>42</v>
      </c>
      <c r="B1051" s="6" t="s">
        <v>2339</v>
      </c>
      <c r="C1051" s="6" t="s">
        <v>1979</v>
      </c>
      <c r="D1051" s="6" t="s">
        <v>2292</v>
      </c>
      <c r="E1051" s="6">
        <v>1</v>
      </c>
      <c r="F1051" s="6" t="s">
        <v>2004</v>
      </c>
      <c r="G1051" s="32" t="s">
        <v>2299</v>
      </c>
      <c r="H1051" s="32" t="s">
        <v>2300</v>
      </c>
      <c r="I1051" s="6" t="str">
        <f t="shared" si="35"/>
        <v>Thumb Grapple</v>
      </c>
      <c r="J1051" s="6" t="s">
        <v>1952</v>
      </c>
      <c r="K1051" s="6">
        <v>1</v>
      </c>
      <c r="L1051" s="6">
        <f t="shared" si="36"/>
        <v>1290000</v>
      </c>
      <c r="M1051" s="6">
        <v>1100000</v>
      </c>
      <c r="N1051" s="6" t="s">
        <v>2003</v>
      </c>
      <c r="O1051" s="6" t="s">
        <v>793</v>
      </c>
      <c r="P1051" s="6">
        <v>2012</v>
      </c>
      <c r="Q1051" s="6">
        <v>6</v>
      </c>
      <c r="R1051" s="6" t="s">
        <v>45</v>
      </c>
      <c r="S1051" s="32" t="s">
        <v>2116</v>
      </c>
      <c r="T1051" s="6">
        <v>1</v>
      </c>
      <c r="U1051" s="26">
        <v>1000000</v>
      </c>
      <c r="V1051" s="26">
        <v>1000000</v>
      </c>
      <c r="W1051" s="26">
        <v>1000000</v>
      </c>
      <c r="X1051" s="6" t="s">
        <v>2003</v>
      </c>
      <c r="Y1051" s="6" t="s">
        <v>1146</v>
      </c>
      <c r="Z1051" s="6">
        <v>227340</v>
      </c>
    </row>
    <row r="1052" spans="1:26" x14ac:dyDescent="0.3">
      <c r="A1052" s="28" t="s">
        <v>42</v>
      </c>
      <c r="B1052" s="6" t="s">
        <v>2344</v>
      </c>
      <c r="C1052" s="6" t="s">
        <v>1976</v>
      </c>
      <c r="D1052" s="6" t="s">
        <v>2291</v>
      </c>
      <c r="E1052" s="6">
        <v>1</v>
      </c>
      <c r="F1052" s="6" t="s">
        <v>2004</v>
      </c>
      <c r="G1052" s="32" t="s">
        <v>2299</v>
      </c>
      <c r="H1052" s="32" t="s">
        <v>2300</v>
      </c>
      <c r="I1052" s="6" t="str">
        <f t="shared" si="35"/>
        <v>Skeleton Bucket</v>
      </c>
      <c r="J1052" s="6" t="s">
        <v>557</v>
      </c>
      <c r="K1052" s="6">
        <v>1</v>
      </c>
      <c r="L1052" s="6">
        <f t="shared" si="36"/>
        <v>820000</v>
      </c>
      <c r="M1052" s="6">
        <v>700000</v>
      </c>
      <c r="N1052" s="6" t="s">
        <v>2003</v>
      </c>
      <c r="O1052" s="6" t="s">
        <v>2011</v>
      </c>
      <c r="P1052" s="6">
        <v>2017</v>
      </c>
      <c r="Q1052" s="6">
        <v>2</v>
      </c>
      <c r="R1052" s="6" t="s">
        <v>45</v>
      </c>
      <c r="S1052" s="32" t="s">
        <v>2123</v>
      </c>
      <c r="T1052" s="6">
        <v>1</v>
      </c>
      <c r="U1052" s="26">
        <v>600000</v>
      </c>
      <c r="V1052" s="26">
        <v>600000</v>
      </c>
      <c r="W1052" s="26">
        <v>600000</v>
      </c>
      <c r="X1052" s="6" t="s">
        <v>2003</v>
      </c>
      <c r="Y1052" s="6" t="s">
        <v>1200</v>
      </c>
      <c r="Z1052" s="6">
        <v>227345</v>
      </c>
    </row>
    <row r="1053" spans="1:26" x14ac:dyDescent="0.3">
      <c r="A1053" s="28" t="s">
        <v>42</v>
      </c>
      <c r="B1053" s="6" t="s">
        <v>2344</v>
      </c>
      <c r="C1053" s="6" t="s">
        <v>1976</v>
      </c>
      <c r="D1053" s="6" t="s">
        <v>2001</v>
      </c>
      <c r="E1053" s="6">
        <v>1</v>
      </c>
      <c r="F1053" s="6" t="s">
        <v>2004</v>
      </c>
      <c r="G1053" s="32" t="s">
        <v>2299</v>
      </c>
      <c r="H1053" s="32" t="s">
        <v>2300</v>
      </c>
      <c r="I1053" s="6" t="str">
        <f t="shared" si="35"/>
        <v>Skeleton Bucket</v>
      </c>
      <c r="J1053" s="6" t="s">
        <v>336</v>
      </c>
      <c r="K1053" s="6">
        <v>1</v>
      </c>
      <c r="L1053" s="6">
        <f t="shared" si="36"/>
        <v>2580000</v>
      </c>
      <c r="M1053" s="6">
        <v>2200000</v>
      </c>
      <c r="N1053" s="6" t="s">
        <v>2003</v>
      </c>
      <c r="O1053" s="6" t="s">
        <v>2011</v>
      </c>
      <c r="P1053" s="6">
        <v>2010</v>
      </c>
      <c r="Q1053" s="6">
        <v>6</v>
      </c>
      <c r="R1053" s="6" t="s">
        <v>45</v>
      </c>
      <c r="S1053" s="32" t="s">
        <v>2123</v>
      </c>
      <c r="T1053" s="6">
        <v>1</v>
      </c>
      <c r="U1053" s="26">
        <v>2000000</v>
      </c>
      <c r="V1053" s="26">
        <v>2000000</v>
      </c>
      <c r="W1053" s="26">
        <v>2000000</v>
      </c>
      <c r="X1053" s="6" t="s">
        <v>2003</v>
      </c>
      <c r="Y1053" s="6" t="s">
        <v>1200</v>
      </c>
      <c r="Z1053" s="6">
        <v>227350</v>
      </c>
    </row>
    <row r="1054" spans="1:26" x14ac:dyDescent="0.3">
      <c r="A1054" s="28" t="s">
        <v>42</v>
      </c>
      <c r="B1054" s="6" t="s">
        <v>2338</v>
      </c>
      <c r="C1054" s="6" t="s">
        <v>1975</v>
      </c>
      <c r="D1054" s="6" t="s">
        <v>2292</v>
      </c>
      <c r="E1054" s="6">
        <v>1</v>
      </c>
      <c r="F1054" s="6" t="s">
        <v>2004</v>
      </c>
      <c r="G1054" s="32" t="s">
        <v>2299</v>
      </c>
      <c r="H1054" s="32" t="s">
        <v>2300</v>
      </c>
      <c r="I1054" s="6" t="str">
        <f t="shared" si="35"/>
        <v>Side Breaker</v>
      </c>
      <c r="J1054" s="6" t="s">
        <v>218</v>
      </c>
      <c r="K1054" s="6">
        <v>1</v>
      </c>
      <c r="L1054" s="6">
        <f t="shared" si="36"/>
        <v>3410000</v>
      </c>
      <c r="M1054" s="6">
        <v>2900000</v>
      </c>
      <c r="N1054" s="6" t="s">
        <v>2003</v>
      </c>
      <c r="O1054" s="6" t="s">
        <v>814</v>
      </c>
      <c r="P1054" s="6">
        <v>2015</v>
      </c>
      <c r="Q1054" s="6">
        <v>8</v>
      </c>
      <c r="R1054" s="6" t="s">
        <v>45</v>
      </c>
      <c r="S1054" s="32" t="s">
        <v>2119</v>
      </c>
      <c r="T1054" s="6">
        <v>1</v>
      </c>
      <c r="U1054" s="26">
        <v>2700000</v>
      </c>
      <c r="V1054" s="26">
        <v>2700000</v>
      </c>
      <c r="W1054" s="26">
        <v>2700000</v>
      </c>
      <c r="X1054" s="6" t="s">
        <v>2003</v>
      </c>
      <c r="Y1054" s="6" t="s">
        <v>1194</v>
      </c>
      <c r="Z1054" s="6">
        <v>227353</v>
      </c>
    </row>
    <row r="1055" spans="1:26" x14ac:dyDescent="0.3">
      <c r="A1055" s="28" t="s">
        <v>42</v>
      </c>
      <c r="B1055" s="6" t="s">
        <v>2339</v>
      </c>
      <c r="C1055" s="6" t="s">
        <v>1973</v>
      </c>
      <c r="D1055" s="6" t="s">
        <v>2292</v>
      </c>
      <c r="E1055" s="6">
        <v>1</v>
      </c>
      <c r="F1055" s="6" t="s">
        <v>2004</v>
      </c>
      <c r="G1055" s="32" t="s">
        <v>2299</v>
      </c>
      <c r="H1055" s="32" t="s">
        <v>2300</v>
      </c>
      <c r="I1055" s="6" t="str">
        <f t="shared" si="35"/>
        <v>Wood Grapple</v>
      </c>
      <c r="J1055" s="6" t="s">
        <v>101</v>
      </c>
      <c r="K1055" s="6">
        <v>1</v>
      </c>
      <c r="L1055" s="6">
        <f t="shared" si="36"/>
        <v>5640000</v>
      </c>
      <c r="M1055" s="6">
        <v>4800000</v>
      </c>
      <c r="N1055" s="6" t="s">
        <v>2003</v>
      </c>
      <c r="O1055" s="6" t="s">
        <v>813</v>
      </c>
      <c r="P1055" s="6">
        <v>2014</v>
      </c>
      <c r="Q1055" s="6">
        <v>1</v>
      </c>
      <c r="R1055" s="6" t="s">
        <v>45</v>
      </c>
      <c r="S1055" s="32" t="s">
        <v>2113</v>
      </c>
      <c r="T1055" s="6">
        <v>1</v>
      </c>
      <c r="U1055" s="26">
        <v>4600000</v>
      </c>
      <c r="V1055" s="26">
        <v>4600000</v>
      </c>
      <c r="W1055" s="26">
        <v>4600000</v>
      </c>
      <c r="X1055" s="6" t="s">
        <v>2003</v>
      </c>
      <c r="Y1055" s="6" t="s">
        <v>79</v>
      </c>
      <c r="Z1055" s="6">
        <v>227354</v>
      </c>
    </row>
    <row r="1056" spans="1:26" x14ac:dyDescent="0.3">
      <c r="A1056" s="28" t="s">
        <v>42</v>
      </c>
      <c r="B1056" s="6" t="s">
        <v>2340</v>
      </c>
      <c r="C1056" s="6"/>
      <c r="D1056" s="6" t="s">
        <v>2289</v>
      </c>
      <c r="E1056" s="6">
        <v>1</v>
      </c>
      <c r="F1056" s="6" t="s">
        <v>2004</v>
      </c>
      <c r="G1056" s="32" t="s">
        <v>2299</v>
      </c>
      <c r="H1056" s="32" t="s">
        <v>2300</v>
      </c>
      <c r="I1056" s="6" t="str">
        <f t="shared" si="35"/>
        <v>ETC</v>
      </c>
      <c r="J1056" s="6" t="s">
        <v>1953</v>
      </c>
      <c r="K1056" s="6">
        <v>1</v>
      </c>
      <c r="L1056" s="6">
        <f t="shared" si="36"/>
        <v>41760000</v>
      </c>
      <c r="M1056" s="6">
        <v>35500000</v>
      </c>
      <c r="N1056" s="6" t="s">
        <v>2003</v>
      </c>
      <c r="O1056" s="6" t="s">
        <v>821</v>
      </c>
      <c r="P1056" s="6">
        <v>2015</v>
      </c>
      <c r="Q1056" s="6">
        <v>8</v>
      </c>
      <c r="R1056" s="6" t="s">
        <v>45</v>
      </c>
      <c r="S1056" s="32" t="s">
        <v>2121</v>
      </c>
      <c r="T1056" s="6">
        <v>1</v>
      </c>
      <c r="U1056" s="26">
        <v>35000000</v>
      </c>
      <c r="V1056" s="26">
        <v>35000000</v>
      </c>
      <c r="W1056" s="26">
        <v>35000000</v>
      </c>
      <c r="X1056" s="6" t="s">
        <v>2003</v>
      </c>
      <c r="Y1056" s="6" t="s">
        <v>87</v>
      </c>
      <c r="Z1056" s="6">
        <v>227355</v>
      </c>
    </row>
    <row r="1057" spans="1:26" x14ac:dyDescent="0.3">
      <c r="A1057" s="28" t="s">
        <v>42</v>
      </c>
      <c r="B1057" s="6" t="s">
        <v>2338</v>
      </c>
      <c r="C1057" s="6" t="s">
        <v>1975</v>
      </c>
      <c r="D1057" s="6" t="s">
        <v>2291</v>
      </c>
      <c r="E1057" s="6">
        <v>1</v>
      </c>
      <c r="F1057" s="6" t="s">
        <v>2004</v>
      </c>
      <c r="G1057" s="32" t="s">
        <v>2299</v>
      </c>
      <c r="H1057" s="32" t="s">
        <v>2300</v>
      </c>
      <c r="I1057" s="6" t="str">
        <f t="shared" si="35"/>
        <v>Side Breaker</v>
      </c>
      <c r="J1057" s="6" t="s">
        <v>522</v>
      </c>
      <c r="K1057" s="6">
        <v>1</v>
      </c>
      <c r="L1057" s="6">
        <f t="shared" si="36"/>
        <v>1880000</v>
      </c>
      <c r="M1057" s="6">
        <v>1600000</v>
      </c>
      <c r="N1057" s="6" t="s">
        <v>2003</v>
      </c>
      <c r="O1057" s="6" t="s">
        <v>794</v>
      </c>
      <c r="P1057" s="6">
        <v>2015</v>
      </c>
      <c r="Q1057" s="6">
        <v>8</v>
      </c>
      <c r="R1057" s="6" t="s">
        <v>45</v>
      </c>
      <c r="S1057" s="32" t="s">
        <v>2122</v>
      </c>
      <c r="T1057" s="6">
        <v>1</v>
      </c>
      <c r="U1057" s="26">
        <v>1500000</v>
      </c>
      <c r="V1057" s="26">
        <v>1500000</v>
      </c>
      <c r="W1057" s="26">
        <v>1500000</v>
      </c>
      <c r="X1057" s="6" t="s">
        <v>2003</v>
      </c>
      <c r="Y1057" s="6" t="s">
        <v>1154</v>
      </c>
      <c r="Z1057" s="6">
        <v>227360</v>
      </c>
    </row>
    <row r="1058" spans="1:26" x14ac:dyDescent="0.3">
      <c r="A1058" s="28" t="s">
        <v>42</v>
      </c>
      <c r="B1058" s="6" t="s">
        <v>2339</v>
      </c>
      <c r="C1058" s="6" t="s">
        <v>1972</v>
      </c>
      <c r="D1058" s="6" t="s">
        <v>2291</v>
      </c>
      <c r="E1058" s="6">
        <v>1</v>
      </c>
      <c r="F1058" s="6" t="s">
        <v>2004</v>
      </c>
      <c r="G1058" s="32" t="s">
        <v>2299</v>
      </c>
      <c r="H1058" s="32" t="s">
        <v>2300</v>
      </c>
      <c r="I1058" s="6" t="str">
        <f t="shared" si="35"/>
        <v>Stone Grapple</v>
      </c>
      <c r="J1058" s="6" t="s">
        <v>1954</v>
      </c>
      <c r="K1058" s="6">
        <v>1</v>
      </c>
      <c r="L1058" s="6">
        <f t="shared" si="36"/>
        <v>3880000</v>
      </c>
      <c r="M1058" s="6">
        <v>3300000</v>
      </c>
      <c r="N1058" s="6" t="s">
        <v>2003</v>
      </c>
      <c r="O1058" s="6" t="s">
        <v>823</v>
      </c>
      <c r="P1058" s="6">
        <v>2014</v>
      </c>
      <c r="Q1058" s="6">
        <v>1</v>
      </c>
      <c r="R1058" s="6" t="s">
        <v>45</v>
      </c>
      <c r="S1058" s="32" t="s">
        <v>2113</v>
      </c>
      <c r="T1058" s="6">
        <v>1</v>
      </c>
      <c r="U1058" s="26">
        <v>3100000</v>
      </c>
      <c r="V1058" s="26">
        <v>3100000</v>
      </c>
      <c r="W1058" s="26">
        <v>3100000</v>
      </c>
      <c r="X1058" s="6" t="s">
        <v>2003</v>
      </c>
      <c r="Y1058" s="6" t="s">
        <v>49</v>
      </c>
      <c r="Z1058" s="6">
        <v>227362</v>
      </c>
    </row>
    <row r="1059" spans="1:26" x14ac:dyDescent="0.3">
      <c r="A1059" s="28" t="s">
        <v>42</v>
      </c>
      <c r="B1059" s="6" t="s">
        <v>2344</v>
      </c>
      <c r="C1059" s="6" t="s">
        <v>1980</v>
      </c>
      <c r="D1059" s="6" t="s">
        <v>2289</v>
      </c>
      <c r="E1059" s="6">
        <v>1</v>
      </c>
      <c r="F1059" s="6" t="s">
        <v>2004</v>
      </c>
      <c r="G1059" s="32" t="s">
        <v>2299</v>
      </c>
      <c r="H1059" s="32" t="s">
        <v>2300</v>
      </c>
      <c r="I1059" s="6" t="str">
        <f t="shared" si="35"/>
        <v>Small Bucket</v>
      </c>
      <c r="J1059" s="6" t="s">
        <v>535</v>
      </c>
      <c r="K1059" s="6">
        <v>1</v>
      </c>
      <c r="L1059" s="6">
        <f t="shared" si="36"/>
        <v>1880000</v>
      </c>
      <c r="M1059" s="6">
        <v>1600000</v>
      </c>
      <c r="N1059" s="6" t="s">
        <v>2003</v>
      </c>
      <c r="O1059" s="6" t="s">
        <v>946</v>
      </c>
      <c r="P1059" s="6">
        <v>2010</v>
      </c>
      <c r="Q1059" s="6">
        <v>1</v>
      </c>
      <c r="R1059" s="6" t="s">
        <v>45</v>
      </c>
      <c r="S1059" s="32" t="s">
        <v>2122</v>
      </c>
      <c r="T1059" s="6">
        <v>1</v>
      </c>
      <c r="U1059" s="26">
        <v>1500000</v>
      </c>
      <c r="V1059" s="26">
        <v>1500000</v>
      </c>
      <c r="W1059" s="26">
        <v>1500000</v>
      </c>
      <c r="X1059" s="6" t="s">
        <v>2003</v>
      </c>
      <c r="Y1059" s="6" t="s">
        <v>1167</v>
      </c>
      <c r="Z1059" s="6">
        <v>227368</v>
      </c>
    </row>
    <row r="1060" spans="1:26" x14ac:dyDescent="0.3">
      <c r="A1060" s="28" t="s">
        <v>42</v>
      </c>
      <c r="B1060" s="6" t="s">
        <v>2341</v>
      </c>
      <c r="C1060" s="6" t="s">
        <v>1978</v>
      </c>
      <c r="D1060" s="6" t="s">
        <v>2001</v>
      </c>
      <c r="E1060" s="6">
        <v>1</v>
      </c>
      <c r="F1060" s="6" t="s">
        <v>2004</v>
      </c>
      <c r="G1060" s="32" t="s">
        <v>2299</v>
      </c>
      <c r="H1060" s="32" t="s">
        <v>2300</v>
      </c>
      <c r="I1060" s="6" t="str">
        <f t="shared" si="35"/>
        <v>Hydraulic Pulverizer</v>
      </c>
      <c r="J1060" s="6" t="s">
        <v>253</v>
      </c>
      <c r="K1060" s="6">
        <v>1</v>
      </c>
      <c r="L1060" s="6">
        <f t="shared" si="36"/>
        <v>12350000</v>
      </c>
      <c r="M1060" s="6">
        <v>10500000</v>
      </c>
      <c r="N1060" s="6" t="s">
        <v>2003</v>
      </c>
      <c r="O1060" s="6" t="s">
        <v>1907</v>
      </c>
      <c r="P1060" s="6">
        <v>2005</v>
      </c>
      <c r="Q1060" s="6">
        <v>1</v>
      </c>
      <c r="R1060" s="6" t="s">
        <v>45</v>
      </c>
      <c r="S1060" s="32" t="s">
        <v>2110</v>
      </c>
      <c r="T1060" s="6">
        <v>1</v>
      </c>
      <c r="U1060" s="26">
        <v>10000000</v>
      </c>
      <c r="V1060" s="26">
        <v>10000000</v>
      </c>
      <c r="W1060" s="26">
        <v>10000000</v>
      </c>
      <c r="X1060" s="6" t="s">
        <v>2003</v>
      </c>
      <c r="Y1060" s="6" t="s">
        <v>1317</v>
      </c>
      <c r="Z1060" s="6">
        <v>227372</v>
      </c>
    </row>
    <row r="1061" spans="1:26" x14ac:dyDescent="0.3">
      <c r="A1061" s="28" t="s">
        <v>42</v>
      </c>
      <c r="B1061" s="6" t="s">
        <v>2341</v>
      </c>
      <c r="C1061" s="19" t="s">
        <v>2321</v>
      </c>
      <c r="D1061" s="6" t="s">
        <v>2001</v>
      </c>
      <c r="E1061" s="6">
        <v>1</v>
      </c>
      <c r="F1061" s="6" t="s">
        <v>2004</v>
      </c>
      <c r="G1061" s="32" t="s">
        <v>2299</v>
      </c>
      <c r="H1061" s="32" t="s">
        <v>2300</v>
      </c>
      <c r="I1061" s="6" t="str">
        <f t="shared" si="35"/>
        <v>Etc Crusher</v>
      </c>
      <c r="J1061" s="6" t="s">
        <v>181</v>
      </c>
      <c r="K1061" s="6">
        <v>1</v>
      </c>
      <c r="L1061" s="6">
        <f t="shared" si="36"/>
        <v>14700000</v>
      </c>
      <c r="M1061" s="6">
        <v>12500000</v>
      </c>
      <c r="N1061" s="6" t="s">
        <v>2003</v>
      </c>
      <c r="O1061" s="6" t="s">
        <v>1908</v>
      </c>
      <c r="P1061" s="6">
        <v>2005</v>
      </c>
      <c r="Q1061" s="6">
        <v>1</v>
      </c>
      <c r="R1061" s="6" t="s">
        <v>45</v>
      </c>
      <c r="S1061" s="32" t="s">
        <v>2110</v>
      </c>
      <c r="T1061" s="6">
        <v>1</v>
      </c>
      <c r="U1061" s="26">
        <v>12000000</v>
      </c>
      <c r="V1061" s="26">
        <v>12000000</v>
      </c>
      <c r="W1061" s="26">
        <v>12000000</v>
      </c>
      <c r="X1061" s="6" t="s">
        <v>2003</v>
      </c>
      <c r="Y1061" s="6" t="s">
        <v>1317</v>
      </c>
      <c r="Z1061" s="6">
        <v>227375</v>
      </c>
    </row>
    <row r="1062" spans="1:26" x14ac:dyDescent="0.3">
      <c r="A1062" s="28" t="s">
        <v>42</v>
      </c>
      <c r="B1062" s="6" t="s">
        <v>2339</v>
      </c>
      <c r="C1062" s="13" t="s">
        <v>1974</v>
      </c>
      <c r="D1062" s="6" t="s">
        <v>2292</v>
      </c>
      <c r="E1062" s="6">
        <v>1</v>
      </c>
      <c r="F1062" s="6" t="s">
        <v>2004</v>
      </c>
      <c r="G1062" s="32" t="s">
        <v>2299</v>
      </c>
      <c r="H1062" s="32" t="s">
        <v>2300</v>
      </c>
      <c r="I1062" s="6" t="str">
        <f t="shared" si="35"/>
        <v>Etc Grapple</v>
      </c>
      <c r="J1062" s="6" t="s">
        <v>1956</v>
      </c>
      <c r="K1062" s="6">
        <v>1</v>
      </c>
      <c r="L1062" s="6">
        <f t="shared" si="36"/>
        <v>1290000</v>
      </c>
      <c r="M1062" s="6">
        <v>1100000</v>
      </c>
      <c r="N1062" s="6" t="s">
        <v>2003</v>
      </c>
      <c r="O1062" s="6" t="s">
        <v>54</v>
      </c>
      <c r="P1062" s="6">
        <v>2012</v>
      </c>
      <c r="Q1062" s="6">
        <v>1</v>
      </c>
      <c r="R1062" s="6" t="s">
        <v>45</v>
      </c>
      <c r="S1062" s="32" t="s">
        <v>2114</v>
      </c>
      <c r="T1062" s="6">
        <v>1</v>
      </c>
      <c r="U1062" s="26">
        <v>1000000</v>
      </c>
      <c r="V1062" s="26">
        <v>1000000</v>
      </c>
      <c r="W1062" s="26">
        <v>1000000</v>
      </c>
      <c r="X1062" s="6" t="s">
        <v>2003</v>
      </c>
      <c r="Y1062" s="6" t="s">
        <v>54</v>
      </c>
      <c r="Z1062" s="6">
        <v>227377</v>
      </c>
    </row>
    <row r="1063" spans="1:26" x14ac:dyDescent="0.3">
      <c r="A1063" s="28" t="s">
        <v>42</v>
      </c>
      <c r="B1063" s="6" t="s">
        <v>2340</v>
      </c>
      <c r="C1063" s="6"/>
      <c r="D1063" s="6" t="s">
        <v>2290</v>
      </c>
      <c r="E1063" s="6">
        <v>1</v>
      </c>
      <c r="F1063" s="6" t="s">
        <v>2004</v>
      </c>
      <c r="G1063" s="32" t="s">
        <v>2299</v>
      </c>
      <c r="H1063" s="32" t="s">
        <v>2300</v>
      </c>
      <c r="I1063" s="6" t="str">
        <f t="shared" si="35"/>
        <v>ETC</v>
      </c>
      <c r="J1063" s="6" t="s">
        <v>1957</v>
      </c>
      <c r="K1063" s="6">
        <v>1</v>
      </c>
      <c r="L1063" s="6">
        <f t="shared" si="36"/>
        <v>17050000</v>
      </c>
      <c r="M1063" s="6">
        <v>14500000</v>
      </c>
      <c r="N1063" s="6" t="s">
        <v>2003</v>
      </c>
      <c r="O1063" s="6" t="s">
        <v>1909</v>
      </c>
      <c r="P1063" s="6">
        <v>2013</v>
      </c>
      <c r="Q1063" s="6">
        <v>1</v>
      </c>
      <c r="R1063" s="6" t="s">
        <v>45</v>
      </c>
      <c r="S1063" s="32" t="s">
        <v>2111</v>
      </c>
      <c r="T1063" s="6">
        <v>1</v>
      </c>
      <c r="U1063" s="26">
        <v>14000000</v>
      </c>
      <c r="V1063" s="26">
        <v>14000000</v>
      </c>
      <c r="W1063" s="26">
        <v>14000000</v>
      </c>
      <c r="X1063" s="6" t="s">
        <v>2003</v>
      </c>
      <c r="Y1063" s="6" t="s">
        <v>1924</v>
      </c>
      <c r="Z1063" s="6">
        <v>227379</v>
      </c>
    </row>
    <row r="1064" spans="1:26" x14ac:dyDescent="0.3">
      <c r="A1064" s="28" t="s">
        <v>42</v>
      </c>
      <c r="B1064" s="6" t="s">
        <v>2339</v>
      </c>
      <c r="C1064" s="6" t="s">
        <v>1974</v>
      </c>
      <c r="D1064" s="6" t="s">
        <v>2292</v>
      </c>
      <c r="E1064" s="6">
        <v>1</v>
      </c>
      <c r="F1064" s="6" t="s">
        <v>2004</v>
      </c>
      <c r="G1064" s="32" t="s">
        <v>2299</v>
      </c>
      <c r="H1064" s="32" t="s">
        <v>2300</v>
      </c>
      <c r="I1064" s="6" t="str">
        <f t="shared" si="35"/>
        <v>Etc Grapple</v>
      </c>
      <c r="J1064" s="6" t="s">
        <v>125</v>
      </c>
      <c r="K1064" s="6">
        <v>1</v>
      </c>
      <c r="L1064" s="6">
        <f t="shared" si="36"/>
        <v>1290000</v>
      </c>
      <c r="M1064" s="6">
        <v>1100000</v>
      </c>
      <c r="N1064" s="6" t="s">
        <v>2003</v>
      </c>
      <c r="O1064" s="6" t="s">
        <v>54</v>
      </c>
      <c r="P1064" s="6">
        <v>2005</v>
      </c>
      <c r="Q1064" s="6">
        <v>1</v>
      </c>
      <c r="R1064" s="6" t="s">
        <v>45</v>
      </c>
      <c r="S1064" s="32" t="s">
        <v>2114</v>
      </c>
      <c r="T1064" s="6">
        <v>1</v>
      </c>
      <c r="U1064" s="26">
        <v>1000000</v>
      </c>
      <c r="V1064" s="26">
        <v>1000000</v>
      </c>
      <c r="W1064" s="26">
        <v>1000000</v>
      </c>
      <c r="X1064" s="6" t="s">
        <v>2003</v>
      </c>
      <c r="Y1064" s="6" t="s">
        <v>54</v>
      </c>
      <c r="Z1064" s="6">
        <v>227382</v>
      </c>
    </row>
    <row r="1065" spans="1:26" x14ac:dyDescent="0.3">
      <c r="A1065" s="28" t="s">
        <v>42</v>
      </c>
      <c r="B1065" s="6" t="s">
        <v>2339</v>
      </c>
      <c r="C1065" s="6" t="s">
        <v>1972</v>
      </c>
      <c r="D1065" s="6" t="s">
        <v>2292</v>
      </c>
      <c r="E1065" s="6">
        <v>1</v>
      </c>
      <c r="F1065" s="6" t="s">
        <v>2004</v>
      </c>
      <c r="G1065" s="32" t="s">
        <v>2299</v>
      </c>
      <c r="H1065" s="32" t="s">
        <v>2300</v>
      </c>
      <c r="I1065" s="6" t="str">
        <f t="shared" si="35"/>
        <v>Stone Grapple</v>
      </c>
      <c r="J1065" s="6" t="s">
        <v>1959</v>
      </c>
      <c r="K1065" s="6">
        <v>1</v>
      </c>
      <c r="L1065" s="6">
        <f t="shared" si="36"/>
        <v>2230000</v>
      </c>
      <c r="M1065" s="6">
        <v>1900000</v>
      </c>
      <c r="N1065" s="6" t="s">
        <v>2003</v>
      </c>
      <c r="O1065" s="6" t="s">
        <v>823</v>
      </c>
      <c r="P1065" s="6">
        <v>2014</v>
      </c>
      <c r="Q1065" s="6">
        <v>1</v>
      </c>
      <c r="R1065" s="6" t="s">
        <v>45</v>
      </c>
      <c r="S1065" s="32" t="s">
        <v>2113</v>
      </c>
      <c r="T1065" s="6">
        <v>1</v>
      </c>
      <c r="U1065" s="26">
        <v>1800000</v>
      </c>
      <c r="V1065" s="26">
        <v>1800000</v>
      </c>
      <c r="W1065" s="26">
        <v>1800000</v>
      </c>
      <c r="X1065" s="6" t="s">
        <v>2003</v>
      </c>
      <c r="Y1065" s="6" t="s">
        <v>49</v>
      </c>
      <c r="Z1065" s="6">
        <v>227391</v>
      </c>
    </row>
    <row r="1066" spans="1:26" x14ac:dyDescent="0.3">
      <c r="A1066" s="28" t="s">
        <v>42</v>
      </c>
      <c r="B1066" s="6" t="s">
        <v>2338</v>
      </c>
      <c r="C1066" s="6" t="s">
        <v>1975</v>
      </c>
      <c r="D1066" s="6" t="s">
        <v>2289</v>
      </c>
      <c r="E1066" s="6">
        <v>1</v>
      </c>
      <c r="F1066" s="6" t="s">
        <v>2004</v>
      </c>
      <c r="G1066" s="32" t="s">
        <v>2299</v>
      </c>
      <c r="H1066" s="32" t="s">
        <v>2300</v>
      </c>
      <c r="I1066" s="6" t="str">
        <f t="shared" si="35"/>
        <v>Side Breaker</v>
      </c>
      <c r="J1066" s="6" t="s">
        <v>1943</v>
      </c>
      <c r="K1066" s="6">
        <v>1</v>
      </c>
      <c r="L1066" s="6">
        <f t="shared" si="36"/>
        <v>20580000</v>
      </c>
      <c r="M1066" s="6">
        <v>17500000</v>
      </c>
      <c r="N1066" s="6" t="s">
        <v>2003</v>
      </c>
      <c r="O1066" s="6" t="s">
        <v>54</v>
      </c>
      <c r="P1066" s="6">
        <v>2012</v>
      </c>
      <c r="Q1066" s="6">
        <v>1</v>
      </c>
      <c r="R1066" s="6" t="s">
        <v>45</v>
      </c>
      <c r="S1066" s="32" t="s">
        <v>2111</v>
      </c>
      <c r="T1066" s="6">
        <v>1</v>
      </c>
      <c r="U1066" s="26">
        <v>17000000</v>
      </c>
      <c r="V1066" s="26">
        <v>17000000</v>
      </c>
      <c r="W1066" s="26">
        <v>17000000</v>
      </c>
      <c r="X1066" s="6" t="s">
        <v>2003</v>
      </c>
      <c r="Y1066" s="6" t="s">
        <v>54</v>
      </c>
      <c r="Z1066" s="6">
        <v>227392</v>
      </c>
    </row>
    <row r="1067" spans="1:26" x14ac:dyDescent="0.3">
      <c r="A1067" s="28" t="s">
        <v>42</v>
      </c>
      <c r="B1067" s="6" t="s">
        <v>2342</v>
      </c>
      <c r="C1067" s="6" t="s">
        <v>1982</v>
      </c>
      <c r="D1067" s="6" t="s">
        <v>2291</v>
      </c>
      <c r="E1067" s="6">
        <v>1</v>
      </c>
      <c r="F1067" s="6" t="s">
        <v>2004</v>
      </c>
      <c r="G1067" s="32" t="s">
        <v>2299</v>
      </c>
      <c r="H1067" s="32" t="s">
        <v>2300</v>
      </c>
      <c r="I1067" s="6" t="str">
        <f t="shared" si="35"/>
        <v>Standard Bucket</v>
      </c>
      <c r="J1067" s="6" t="s">
        <v>367</v>
      </c>
      <c r="K1067" s="6">
        <v>1</v>
      </c>
      <c r="L1067" s="6">
        <f t="shared" si="36"/>
        <v>1110000</v>
      </c>
      <c r="M1067" s="6">
        <v>950000</v>
      </c>
      <c r="N1067" s="6" t="s">
        <v>2003</v>
      </c>
      <c r="O1067" s="6" t="s">
        <v>2007</v>
      </c>
      <c r="P1067" s="6">
        <v>2017</v>
      </c>
      <c r="Q1067" s="6">
        <v>1</v>
      </c>
      <c r="R1067" s="6" t="s">
        <v>45</v>
      </c>
      <c r="S1067" s="32" t="s">
        <v>2113</v>
      </c>
      <c r="T1067" s="6">
        <v>1</v>
      </c>
      <c r="U1067" s="26">
        <v>850000</v>
      </c>
      <c r="V1067" s="26">
        <v>850000</v>
      </c>
      <c r="W1067" s="26">
        <v>850000</v>
      </c>
      <c r="X1067" s="6" t="s">
        <v>2003</v>
      </c>
      <c r="Y1067" s="6" t="s">
        <v>49</v>
      </c>
      <c r="Z1067" s="6">
        <v>227396</v>
      </c>
    </row>
    <row r="1068" spans="1:26" x14ac:dyDescent="0.3">
      <c r="A1068" s="28" t="s">
        <v>42</v>
      </c>
      <c r="B1068" s="6" t="s">
        <v>2342</v>
      </c>
      <c r="C1068" s="6"/>
      <c r="D1068" s="6" t="s">
        <v>2291</v>
      </c>
      <c r="E1068" s="6">
        <v>1</v>
      </c>
      <c r="F1068" s="6" t="s">
        <v>2004</v>
      </c>
      <c r="G1068" s="32" t="s">
        <v>2299</v>
      </c>
      <c r="H1068" s="32" t="s">
        <v>2300</v>
      </c>
      <c r="I1068" s="6" t="str">
        <f t="shared" si="35"/>
        <v>Quick Coupler</v>
      </c>
      <c r="J1068" s="6" t="s">
        <v>1960</v>
      </c>
      <c r="K1068" s="6">
        <v>1</v>
      </c>
      <c r="L1068" s="6">
        <f t="shared" si="36"/>
        <v>1110000</v>
      </c>
      <c r="M1068" s="6">
        <v>950000</v>
      </c>
      <c r="N1068" s="6" t="s">
        <v>2003</v>
      </c>
      <c r="O1068" s="6" t="s">
        <v>2007</v>
      </c>
      <c r="P1068" s="6">
        <v>2017</v>
      </c>
      <c r="Q1068" s="6">
        <v>1</v>
      </c>
      <c r="R1068" s="6" t="s">
        <v>45</v>
      </c>
      <c r="S1068" s="32" t="s">
        <v>2113</v>
      </c>
      <c r="T1068" s="6">
        <v>1</v>
      </c>
      <c r="U1068" s="26">
        <v>850000</v>
      </c>
      <c r="V1068" s="26">
        <v>850000</v>
      </c>
      <c r="W1068" s="26">
        <v>850000</v>
      </c>
      <c r="X1068" s="6" t="s">
        <v>2003</v>
      </c>
      <c r="Y1068" s="6" t="s">
        <v>49</v>
      </c>
      <c r="Z1068" s="6">
        <v>227405</v>
      </c>
    </row>
    <row r="1069" spans="1:26" x14ac:dyDescent="0.3">
      <c r="A1069" s="28" t="s">
        <v>42</v>
      </c>
      <c r="B1069" s="6" t="s">
        <v>2338</v>
      </c>
      <c r="C1069" s="6" t="s">
        <v>1975</v>
      </c>
      <c r="D1069" s="6" t="s">
        <v>2001</v>
      </c>
      <c r="E1069" s="6">
        <v>1</v>
      </c>
      <c r="F1069" s="6" t="s">
        <v>2004</v>
      </c>
      <c r="G1069" s="32" t="s">
        <v>2299</v>
      </c>
      <c r="H1069" s="32" t="s">
        <v>2300</v>
      </c>
      <c r="I1069" s="6" t="str">
        <f t="shared" si="35"/>
        <v>Side Breaker</v>
      </c>
      <c r="J1069" s="6" t="s">
        <v>709</v>
      </c>
      <c r="K1069" s="6">
        <v>1</v>
      </c>
      <c r="L1069" s="6">
        <f t="shared" si="36"/>
        <v>4350000</v>
      </c>
      <c r="M1069" s="6">
        <v>3700000</v>
      </c>
      <c r="N1069" s="6" t="s">
        <v>2003</v>
      </c>
      <c r="O1069" s="6" t="s">
        <v>1132</v>
      </c>
      <c r="P1069" s="6">
        <v>2010</v>
      </c>
      <c r="Q1069" s="6">
        <v>1</v>
      </c>
      <c r="R1069" s="6" t="s">
        <v>45</v>
      </c>
      <c r="S1069" s="32" t="s">
        <v>2116</v>
      </c>
      <c r="T1069" s="6">
        <v>1</v>
      </c>
      <c r="U1069" s="26">
        <v>3500000</v>
      </c>
      <c r="V1069" s="26">
        <v>3500000</v>
      </c>
      <c r="W1069" s="26">
        <v>3500000</v>
      </c>
      <c r="X1069" s="6" t="s">
        <v>2003</v>
      </c>
      <c r="Y1069" s="6" t="s">
        <v>1146</v>
      </c>
      <c r="Z1069" s="6">
        <v>227409</v>
      </c>
    </row>
    <row r="1070" spans="1:26" x14ac:dyDescent="0.3">
      <c r="A1070" s="28" t="s">
        <v>42</v>
      </c>
      <c r="B1070" s="6" t="s">
        <v>2338</v>
      </c>
      <c r="C1070" s="6" t="s">
        <v>1975</v>
      </c>
      <c r="D1070" s="6" t="s">
        <v>2002</v>
      </c>
      <c r="E1070" s="6">
        <v>1</v>
      </c>
      <c r="F1070" s="6" t="s">
        <v>2004</v>
      </c>
      <c r="G1070" s="32" t="s">
        <v>2299</v>
      </c>
      <c r="H1070" s="32" t="s">
        <v>2300</v>
      </c>
      <c r="I1070" s="6" t="str">
        <f t="shared" si="35"/>
        <v>Side Breaker</v>
      </c>
      <c r="J1070" s="6" t="s">
        <v>318</v>
      </c>
      <c r="K1070" s="6">
        <v>1</v>
      </c>
      <c r="L1070" s="6">
        <f t="shared" si="36"/>
        <v>1410000</v>
      </c>
      <c r="M1070" s="6">
        <v>1200000</v>
      </c>
      <c r="N1070" s="6" t="s">
        <v>2003</v>
      </c>
      <c r="O1070" s="6" t="s">
        <v>2007</v>
      </c>
      <c r="P1070" s="6">
        <v>2013</v>
      </c>
      <c r="Q1070" s="6">
        <v>1</v>
      </c>
      <c r="R1070" s="6" t="s">
        <v>45</v>
      </c>
      <c r="S1070" s="32" t="s">
        <v>2113</v>
      </c>
      <c r="T1070" s="6">
        <v>1</v>
      </c>
      <c r="U1070" s="26">
        <v>1100000</v>
      </c>
      <c r="V1070" s="26">
        <v>1100000</v>
      </c>
      <c r="W1070" s="26">
        <v>1100000</v>
      </c>
      <c r="X1070" s="6" t="s">
        <v>2003</v>
      </c>
      <c r="Y1070" s="6" t="s">
        <v>49</v>
      </c>
      <c r="Z1070" s="6">
        <v>227415</v>
      </c>
    </row>
    <row r="1071" spans="1:26" x14ac:dyDescent="0.3">
      <c r="A1071" s="28" t="s">
        <v>42</v>
      </c>
      <c r="B1071" s="6" t="s">
        <v>2342</v>
      </c>
      <c r="C1071" s="6"/>
      <c r="D1071" s="6" t="s">
        <v>2289</v>
      </c>
      <c r="E1071" s="6">
        <v>1</v>
      </c>
      <c r="F1071" s="6" t="s">
        <v>2004</v>
      </c>
      <c r="G1071" s="32" t="s">
        <v>2299</v>
      </c>
      <c r="H1071" s="32" t="s">
        <v>2300</v>
      </c>
      <c r="I1071" s="6" t="str">
        <f t="shared" si="35"/>
        <v>Quick Coupler</v>
      </c>
      <c r="J1071" s="6" t="s">
        <v>238</v>
      </c>
      <c r="K1071" s="6">
        <v>1</v>
      </c>
      <c r="L1071" s="6">
        <f t="shared" si="36"/>
        <v>2580000</v>
      </c>
      <c r="M1071" s="6">
        <v>2200000</v>
      </c>
      <c r="N1071" s="6" t="s">
        <v>2003</v>
      </c>
      <c r="O1071" s="6" t="s">
        <v>1110</v>
      </c>
      <c r="P1071" s="6">
        <v>2015</v>
      </c>
      <c r="Q1071" s="6">
        <v>6</v>
      </c>
      <c r="R1071" s="6" t="s">
        <v>45</v>
      </c>
      <c r="S1071" s="32" t="s">
        <v>2123</v>
      </c>
      <c r="T1071" s="6">
        <v>1</v>
      </c>
      <c r="U1071" s="26">
        <v>2000000</v>
      </c>
      <c r="V1071" s="26">
        <v>2000000</v>
      </c>
      <c r="W1071" s="26">
        <v>2000000</v>
      </c>
      <c r="X1071" s="6" t="s">
        <v>2003</v>
      </c>
      <c r="Y1071" s="6" t="s">
        <v>92</v>
      </c>
      <c r="Z1071" s="6">
        <v>227416</v>
      </c>
    </row>
    <row r="1072" spans="1:26" x14ac:dyDescent="0.3">
      <c r="A1072" s="28" t="s">
        <v>42</v>
      </c>
      <c r="B1072" s="6" t="s">
        <v>2344</v>
      </c>
      <c r="C1072" s="6" t="s">
        <v>1982</v>
      </c>
      <c r="D1072" s="6" t="s">
        <v>2289</v>
      </c>
      <c r="E1072" s="6">
        <v>1</v>
      </c>
      <c r="F1072" s="6" t="s">
        <v>2004</v>
      </c>
      <c r="G1072" s="32" t="s">
        <v>2299</v>
      </c>
      <c r="H1072" s="32" t="s">
        <v>2300</v>
      </c>
      <c r="I1072" s="6" t="str">
        <f t="shared" si="35"/>
        <v>Standard Bucket</v>
      </c>
      <c r="J1072" s="6" t="s">
        <v>569</v>
      </c>
      <c r="K1072" s="6">
        <v>1</v>
      </c>
      <c r="L1072" s="6">
        <f t="shared" si="36"/>
        <v>15880000</v>
      </c>
      <c r="M1072" s="6">
        <v>13500000</v>
      </c>
      <c r="N1072" s="6" t="s">
        <v>2003</v>
      </c>
      <c r="O1072" s="6" t="s">
        <v>831</v>
      </c>
      <c r="P1072" s="6">
        <v>2012</v>
      </c>
      <c r="Q1072" s="6">
        <v>1</v>
      </c>
      <c r="R1072" s="6" t="s">
        <v>45</v>
      </c>
      <c r="S1072" s="32" t="s">
        <v>2117</v>
      </c>
      <c r="T1072" s="6">
        <v>1</v>
      </c>
      <c r="U1072" s="26">
        <v>13000000</v>
      </c>
      <c r="V1072" s="26">
        <v>13000000</v>
      </c>
      <c r="W1072" s="26">
        <v>13000000</v>
      </c>
      <c r="X1072" s="6" t="s">
        <v>2003</v>
      </c>
      <c r="Y1072" s="6" t="s">
        <v>1145</v>
      </c>
      <c r="Z1072" s="6">
        <v>227417</v>
      </c>
    </row>
    <row r="1073" spans="1:26" x14ac:dyDescent="0.3">
      <c r="A1073" s="28" t="s">
        <v>42</v>
      </c>
      <c r="B1073" s="6" t="s">
        <v>2342</v>
      </c>
      <c r="C1073" s="6" t="s">
        <v>1982</v>
      </c>
      <c r="D1073" s="6" t="s">
        <v>2292</v>
      </c>
      <c r="E1073" s="6">
        <v>1</v>
      </c>
      <c r="F1073" s="6" t="s">
        <v>2004</v>
      </c>
      <c r="G1073" s="32" t="s">
        <v>2299</v>
      </c>
      <c r="H1073" s="32" t="s">
        <v>2300</v>
      </c>
      <c r="I1073" s="6" t="str">
        <f t="shared" si="35"/>
        <v>Standard Bucket</v>
      </c>
      <c r="J1073" s="6" t="s">
        <v>249</v>
      </c>
      <c r="K1073" s="6">
        <v>1</v>
      </c>
      <c r="L1073" s="6">
        <f t="shared" si="36"/>
        <v>1050000</v>
      </c>
      <c r="M1073" s="6">
        <v>900000</v>
      </c>
      <c r="N1073" s="6" t="s">
        <v>2003</v>
      </c>
      <c r="O1073" s="6" t="s">
        <v>2012</v>
      </c>
      <c r="P1073" s="6">
        <v>2014</v>
      </c>
      <c r="Q1073" s="6">
        <v>1</v>
      </c>
      <c r="R1073" s="6" t="s">
        <v>45</v>
      </c>
      <c r="S1073" s="32" t="s">
        <v>2113</v>
      </c>
      <c r="T1073" s="6">
        <v>1</v>
      </c>
      <c r="U1073" s="26">
        <v>800000</v>
      </c>
      <c r="V1073" s="26">
        <v>800000</v>
      </c>
      <c r="W1073" s="26">
        <v>800000</v>
      </c>
      <c r="X1073" s="6" t="s">
        <v>2003</v>
      </c>
      <c r="Y1073" s="6" t="s">
        <v>49</v>
      </c>
      <c r="Z1073" s="6">
        <v>227418</v>
      </c>
    </row>
    <row r="1074" spans="1:26" x14ac:dyDescent="0.3">
      <c r="A1074" s="28" t="s">
        <v>42</v>
      </c>
      <c r="B1074" s="6" t="s">
        <v>2339</v>
      </c>
      <c r="C1074" s="6" t="s">
        <v>1974</v>
      </c>
      <c r="D1074" s="6" t="s">
        <v>2291</v>
      </c>
      <c r="E1074" s="6">
        <v>1</v>
      </c>
      <c r="F1074" s="6" t="s">
        <v>2004</v>
      </c>
      <c r="G1074" s="32" t="s">
        <v>2299</v>
      </c>
      <c r="H1074" s="32" t="s">
        <v>2300</v>
      </c>
      <c r="I1074" s="6" t="str">
        <f t="shared" si="35"/>
        <v>Etc Grapple</v>
      </c>
      <c r="J1074" s="6" t="s">
        <v>782</v>
      </c>
      <c r="K1074" s="6">
        <v>1</v>
      </c>
      <c r="L1074" s="6">
        <f t="shared" si="36"/>
        <v>2580000</v>
      </c>
      <c r="M1074" s="6">
        <v>2200000</v>
      </c>
      <c r="N1074" s="6" t="s">
        <v>2003</v>
      </c>
      <c r="O1074" s="6" t="s">
        <v>799</v>
      </c>
      <c r="P1074" s="6">
        <v>2012</v>
      </c>
      <c r="Q1074" s="6">
        <v>1</v>
      </c>
      <c r="R1074" s="6" t="s">
        <v>45</v>
      </c>
      <c r="S1074" s="32" t="s">
        <v>2110</v>
      </c>
      <c r="T1074" s="6">
        <v>1</v>
      </c>
      <c r="U1074" s="26">
        <v>2000000</v>
      </c>
      <c r="V1074" s="26">
        <v>2000000</v>
      </c>
      <c r="W1074" s="26">
        <v>2000000</v>
      </c>
      <c r="X1074" s="6" t="s">
        <v>2003</v>
      </c>
      <c r="Y1074" s="6" t="s">
        <v>1320</v>
      </c>
      <c r="Z1074" s="6">
        <v>227429</v>
      </c>
    </row>
    <row r="1075" spans="1:26" x14ac:dyDescent="0.3">
      <c r="A1075" s="28" t="s">
        <v>42</v>
      </c>
      <c r="B1075" s="6" t="s">
        <v>2338</v>
      </c>
      <c r="C1075" s="6" t="s">
        <v>1975</v>
      </c>
      <c r="D1075" s="6" t="s">
        <v>2291</v>
      </c>
      <c r="E1075" s="6">
        <v>1</v>
      </c>
      <c r="F1075" s="6" t="s">
        <v>2004</v>
      </c>
      <c r="G1075" s="32" t="s">
        <v>2299</v>
      </c>
      <c r="H1075" s="32" t="s">
        <v>2300</v>
      </c>
      <c r="I1075" s="6" t="str">
        <f t="shared" si="35"/>
        <v>Side Breaker</v>
      </c>
      <c r="J1075" s="6" t="s">
        <v>333</v>
      </c>
      <c r="K1075" s="6">
        <v>1</v>
      </c>
      <c r="L1075" s="6">
        <f t="shared" si="36"/>
        <v>1880000</v>
      </c>
      <c r="M1075" s="6">
        <v>1600000</v>
      </c>
      <c r="N1075" s="6" t="s">
        <v>2003</v>
      </c>
      <c r="O1075" s="6" t="s">
        <v>814</v>
      </c>
      <c r="P1075" s="6">
        <v>2014</v>
      </c>
      <c r="Q1075" s="6">
        <v>6</v>
      </c>
      <c r="R1075" s="6" t="s">
        <v>45</v>
      </c>
      <c r="S1075" s="32" t="s">
        <v>2119</v>
      </c>
      <c r="T1075" s="6">
        <v>1</v>
      </c>
      <c r="U1075" s="26">
        <v>1500000</v>
      </c>
      <c r="V1075" s="26">
        <v>1500000</v>
      </c>
      <c r="W1075" s="26">
        <v>1500000</v>
      </c>
      <c r="X1075" s="6" t="s">
        <v>2003</v>
      </c>
      <c r="Y1075" s="6" t="s">
        <v>1194</v>
      </c>
      <c r="Z1075" s="6">
        <v>227431</v>
      </c>
    </row>
    <row r="1076" spans="1:26" x14ac:dyDescent="0.3">
      <c r="A1076" s="28" t="s">
        <v>42</v>
      </c>
      <c r="B1076" s="6" t="s">
        <v>2338</v>
      </c>
      <c r="C1076" s="6" t="s">
        <v>1975</v>
      </c>
      <c r="D1076" s="6" t="s">
        <v>2292</v>
      </c>
      <c r="E1076" s="6">
        <v>1</v>
      </c>
      <c r="F1076" s="6" t="s">
        <v>2004</v>
      </c>
      <c r="G1076" s="32" t="s">
        <v>2299</v>
      </c>
      <c r="H1076" s="32" t="s">
        <v>2300</v>
      </c>
      <c r="I1076" s="6" t="str">
        <f t="shared" si="35"/>
        <v>Side Breaker</v>
      </c>
      <c r="J1076" s="6" t="s">
        <v>198</v>
      </c>
      <c r="K1076" s="6">
        <v>1</v>
      </c>
      <c r="L1076" s="6">
        <f t="shared" si="36"/>
        <v>3760000</v>
      </c>
      <c r="M1076" s="6">
        <v>3200000</v>
      </c>
      <c r="N1076" s="6" t="s">
        <v>2003</v>
      </c>
      <c r="O1076" s="6" t="s">
        <v>66</v>
      </c>
      <c r="P1076" s="6">
        <v>2010</v>
      </c>
      <c r="Q1076" s="6">
        <v>1</v>
      </c>
      <c r="R1076" s="6" t="s">
        <v>45</v>
      </c>
      <c r="S1076" s="32" t="s">
        <v>2118</v>
      </c>
      <c r="T1076" s="6">
        <v>1</v>
      </c>
      <c r="U1076" s="26">
        <v>3000000</v>
      </c>
      <c r="V1076" s="26">
        <v>3000000</v>
      </c>
      <c r="W1076" s="26">
        <v>3000000</v>
      </c>
      <c r="X1076" s="6" t="s">
        <v>2003</v>
      </c>
      <c r="Y1076" s="6" t="s">
        <v>67</v>
      </c>
      <c r="Z1076" s="6">
        <v>227434</v>
      </c>
    </row>
    <row r="1077" spans="1:26" x14ac:dyDescent="0.3">
      <c r="A1077" s="28" t="s">
        <v>42</v>
      </c>
      <c r="B1077" s="6" t="s">
        <v>2344</v>
      </c>
      <c r="C1077" s="6" t="s">
        <v>1971</v>
      </c>
      <c r="D1077" s="6" t="s">
        <v>2289</v>
      </c>
      <c r="E1077" s="6">
        <v>1</v>
      </c>
      <c r="F1077" s="6" t="s">
        <v>2004</v>
      </c>
      <c r="G1077" s="32" t="s">
        <v>2299</v>
      </c>
      <c r="H1077" s="32" t="s">
        <v>2300</v>
      </c>
      <c r="I1077" s="6" t="str">
        <f t="shared" si="35"/>
        <v>Special Bucket</v>
      </c>
      <c r="J1077" s="6" t="s">
        <v>604</v>
      </c>
      <c r="K1077" s="6">
        <v>1</v>
      </c>
      <c r="L1077" s="6">
        <f t="shared" si="36"/>
        <v>8230000</v>
      </c>
      <c r="M1077" s="6">
        <v>7000000</v>
      </c>
      <c r="N1077" s="6" t="s">
        <v>2003</v>
      </c>
      <c r="O1077" s="6" t="s">
        <v>796</v>
      </c>
      <c r="P1077" s="6">
        <v>2013</v>
      </c>
      <c r="Q1077" s="6">
        <v>1</v>
      </c>
      <c r="R1077" s="6" t="s">
        <v>45</v>
      </c>
      <c r="S1077" s="32" t="s">
        <v>2112</v>
      </c>
      <c r="T1077" s="6">
        <v>1</v>
      </c>
      <c r="U1077" s="26">
        <v>6500000</v>
      </c>
      <c r="V1077" s="26">
        <v>6500000</v>
      </c>
      <c r="W1077" s="26">
        <v>6500000</v>
      </c>
      <c r="X1077" s="6" t="s">
        <v>2003</v>
      </c>
      <c r="Y1077" s="6" t="s">
        <v>1213</v>
      </c>
      <c r="Z1077" s="6">
        <v>227435</v>
      </c>
    </row>
    <row r="1078" spans="1:26" x14ac:dyDescent="0.3">
      <c r="A1078" s="28" t="s">
        <v>42</v>
      </c>
      <c r="B1078" s="6" t="s">
        <v>2339</v>
      </c>
      <c r="C1078" s="6" t="s">
        <v>1972</v>
      </c>
      <c r="D1078" s="6" t="s">
        <v>2290</v>
      </c>
      <c r="E1078" s="6">
        <v>1</v>
      </c>
      <c r="F1078" s="6" t="s">
        <v>2004</v>
      </c>
      <c r="G1078" s="32" t="s">
        <v>2299</v>
      </c>
      <c r="H1078" s="32" t="s">
        <v>2300</v>
      </c>
      <c r="I1078" s="6" t="str">
        <f t="shared" si="35"/>
        <v>Stone Grapple</v>
      </c>
      <c r="J1078" s="6" t="s">
        <v>94</v>
      </c>
      <c r="K1078" s="6">
        <v>1</v>
      </c>
      <c r="L1078" s="6">
        <f t="shared" si="36"/>
        <v>3170000</v>
      </c>
      <c r="M1078" s="6">
        <v>2700000</v>
      </c>
      <c r="N1078" s="6" t="s">
        <v>2003</v>
      </c>
      <c r="O1078" s="6" t="s">
        <v>2011</v>
      </c>
      <c r="P1078" s="6">
        <v>2010</v>
      </c>
      <c r="Q1078" s="6">
        <v>6</v>
      </c>
      <c r="R1078" s="6" t="s">
        <v>45</v>
      </c>
      <c r="S1078" s="32" t="s">
        <v>2123</v>
      </c>
      <c r="T1078" s="6">
        <v>1</v>
      </c>
      <c r="U1078" s="26">
        <v>2500000</v>
      </c>
      <c r="V1078" s="26">
        <v>2500000</v>
      </c>
      <c r="W1078" s="26">
        <v>2500000</v>
      </c>
      <c r="X1078" s="6" t="s">
        <v>2003</v>
      </c>
      <c r="Y1078" s="6" t="s">
        <v>1200</v>
      </c>
      <c r="Z1078" s="6">
        <v>227439</v>
      </c>
    </row>
    <row r="1079" spans="1:26" x14ac:dyDescent="0.3">
      <c r="A1079" s="28" t="s">
        <v>42</v>
      </c>
      <c r="B1079" s="6" t="s">
        <v>2339</v>
      </c>
      <c r="C1079" s="6" t="s">
        <v>1987</v>
      </c>
      <c r="D1079" s="6" t="s">
        <v>2292</v>
      </c>
      <c r="E1079" s="6">
        <v>1</v>
      </c>
      <c r="F1079" s="6" t="s">
        <v>2004</v>
      </c>
      <c r="G1079" s="32" t="s">
        <v>2299</v>
      </c>
      <c r="H1079" s="32" t="s">
        <v>2300</v>
      </c>
      <c r="I1079" s="6" t="str">
        <f t="shared" si="35"/>
        <v>Progressive Thumb Grapple</v>
      </c>
      <c r="J1079" s="6" t="s">
        <v>1961</v>
      </c>
      <c r="K1079" s="6">
        <v>1</v>
      </c>
      <c r="L1079" s="6">
        <f t="shared" si="36"/>
        <v>1290000</v>
      </c>
      <c r="M1079" s="6">
        <v>1100000</v>
      </c>
      <c r="N1079" s="6" t="s">
        <v>2003</v>
      </c>
      <c r="O1079" s="6" t="s">
        <v>54</v>
      </c>
      <c r="P1079" s="6">
        <v>2010</v>
      </c>
      <c r="Q1079" s="6">
        <v>1</v>
      </c>
      <c r="R1079" s="6" t="s">
        <v>45</v>
      </c>
      <c r="S1079" s="32" t="s">
        <v>2111</v>
      </c>
      <c r="T1079" s="6">
        <v>1</v>
      </c>
      <c r="U1079" s="26">
        <v>1000000</v>
      </c>
      <c r="V1079" s="26">
        <v>1000000</v>
      </c>
      <c r="W1079" s="26">
        <v>1000000</v>
      </c>
      <c r="X1079" s="6" t="s">
        <v>2003</v>
      </c>
      <c r="Y1079" s="6" t="s">
        <v>54</v>
      </c>
      <c r="Z1079" s="6">
        <v>227441</v>
      </c>
    </row>
    <row r="1080" spans="1:26" x14ac:dyDescent="0.3">
      <c r="A1080" s="28" t="s">
        <v>42</v>
      </c>
      <c r="B1080" s="6" t="s">
        <v>2340</v>
      </c>
      <c r="C1080" s="6"/>
      <c r="D1080" s="6" t="s">
        <v>2290</v>
      </c>
      <c r="E1080" s="6">
        <v>1</v>
      </c>
      <c r="F1080" s="6" t="s">
        <v>2004</v>
      </c>
      <c r="G1080" s="32" t="s">
        <v>2299</v>
      </c>
      <c r="H1080" s="32" t="s">
        <v>2300</v>
      </c>
      <c r="I1080" s="6" t="str">
        <f t="shared" si="35"/>
        <v>ETC</v>
      </c>
      <c r="J1080" s="6" t="s">
        <v>331</v>
      </c>
      <c r="K1080" s="6">
        <v>1</v>
      </c>
      <c r="L1080" s="6">
        <f t="shared" si="36"/>
        <v>5520000</v>
      </c>
      <c r="M1080" s="6">
        <v>4700000</v>
      </c>
      <c r="N1080" s="6" t="s">
        <v>2003</v>
      </c>
      <c r="O1080" s="6" t="s">
        <v>1913</v>
      </c>
      <c r="P1080" s="6">
        <v>2000</v>
      </c>
      <c r="Q1080" s="6">
        <v>1</v>
      </c>
      <c r="R1080" s="6" t="s">
        <v>45</v>
      </c>
      <c r="S1080" s="32" t="s">
        <v>2111</v>
      </c>
      <c r="T1080" s="6">
        <v>1</v>
      </c>
      <c r="U1080" s="26">
        <v>4500000</v>
      </c>
      <c r="V1080" s="26">
        <v>4500000</v>
      </c>
      <c r="W1080" s="26">
        <v>4500000</v>
      </c>
      <c r="X1080" s="6" t="s">
        <v>2003</v>
      </c>
      <c r="Y1080" s="6" t="s">
        <v>1924</v>
      </c>
      <c r="Z1080" s="6">
        <v>227442</v>
      </c>
    </row>
    <row r="1081" spans="1:26" x14ac:dyDescent="0.3">
      <c r="A1081" s="28" t="s">
        <v>42</v>
      </c>
      <c r="B1081" s="6" t="s">
        <v>2341</v>
      </c>
      <c r="C1081" s="6" t="s">
        <v>1978</v>
      </c>
      <c r="D1081" s="6" t="s">
        <v>2001</v>
      </c>
      <c r="E1081" s="6">
        <v>1</v>
      </c>
      <c r="F1081" s="6" t="s">
        <v>2004</v>
      </c>
      <c r="G1081" s="32" t="s">
        <v>2299</v>
      </c>
      <c r="H1081" s="32" t="s">
        <v>2300</v>
      </c>
      <c r="I1081" s="6" t="str">
        <f t="shared" si="35"/>
        <v>Hydraulic Pulverizer</v>
      </c>
      <c r="J1081" s="6" t="s">
        <v>412</v>
      </c>
      <c r="K1081" s="6">
        <v>1</v>
      </c>
      <c r="L1081" s="6">
        <f t="shared" si="36"/>
        <v>19410000</v>
      </c>
      <c r="M1081" s="6">
        <v>16500000</v>
      </c>
      <c r="N1081" s="6" t="s">
        <v>2003</v>
      </c>
      <c r="O1081" s="6" t="s">
        <v>813</v>
      </c>
      <c r="P1081" s="6">
        <v>2014</v>
      </c>
      <c r="Q1081" s="6">
        <v>1</v>
      </c>
      <c r="R1081" s="6" t="s">
        <v>45</v>
      </c>
      <c r="S1081" s="32" t="s">
        <v>2113</v>
      </c>
      <c r="T1081" s="6">
        <v>1</v>
      </c>
      <c r="U1081" s="26">
        <v>16000000</v>
      </c>
      <c r="V1081" s="26">
        <v>16000000</v>
      </c>
      <c r="W1081" s="26">
        <v>16000000</v>
      </c>
      <c r="X1081" s="6" t="s">
        <v>2003</v>
      </c>
      <c r="Y1081" s="6" t="s">
        <v>79</v>
      </c>
      <c r="Z1081" s="6">
        <v>227445</v>
      </c>
    </row>
    <row r="1082" spans="1:26" x14ac:dyDescent="0.3">
      <c r="A1082" s="28" t="s">
        <v>42</v>
      </c>
      <c r="B1082" s="6" t="s">
        <v>2338</v>
      </c>
      <c r="C1082" s="6" t="s">
        <v>1975</v>
      </c>
      <c r="D1082" s="6" t="s">
        <v>2292</v>
      </c>
      <c r="E1082" s="6">
        <v>1</v>
      </c>
      <c r="F1082" s="6" t="s">
        <v>2004</v>
      </c>
      <c r="G1082" s="32" t="s">
        <v>2299</v>
      </c>
      <c r="H1082" s="32" t="s">
        <v>2300</v>
      </c>
      <c r="I1082" s="6" t="str">
        <f t="shared" si="35"/>
        <v>Side Breaker</v>
      </c>
      <c r="J1082" s="6" t="s">
        <v>100</v>
      </c>
      <c r="K1082" s="6">
        <v>1</v>
      </c>
      <c r="L1082" s="6">
        <f t="shared" si="36"/>
        <v>3520000</v>
      </c>
      <c r="M1082" s="6">
        <v>3000000</v>
      </c>
      <c r="N1082" s="6" t="s">
        <v>2003</v>
      </c>
      <c r="O1082" s="6" t="s">
        <v>66</v>
      </c>
      <c r="P1082" s="6">
        <v>2008</v>
      </c>
      <c r="Q1082" s="6">
        <v>1</v>
      </c>
      <c r="R1082" s="6" t="s">
        <v>45</v>
      </c>
      <c r="S1082" s="32" t="s">
        <v>2118</v>
      </c>
      <c r="T1082" s="6">
        <v>1</v>
      </c>
      <c r="U1082" s="26">
        <v>2800000</v>
      </c>
      <c r="V1082" s="26">
        <v>2800000</v>
      </c>
      <c r="W1082" s="26">
        <v>2800000</v>
      </c>
      <c r="X1082" s="6" t="s">
        <v>2003</v>
      </c>
      <c r="Y1082" s="6" t="s">
        <v>67</v>
      </c>
      <c r="Z1082" s="6">
        <v>227448</v>
      </c>
    </row>
    <row r="1083" spans="1:26" x14ac:dyDescent="0.3">
      <c r="A1083" s="28" t="s">
        <v>42</v>
      </c>
      <c r="B1083" s="6" t="s">
        <v>2344</v>
      </c>
      <c r="C1083" s="6" t="s">
        <v>1977</v>
      </c>
      <c r="D1083" s="6" t="s">
        <v>2291</v>
      </c>
      <c r="E1083" s="6">
        <v>1</v>
      </c>
      <c r="F1083" s="6" t="s">
        <v>2004</v>
      </c>
      <c r="G1083" s="32" t="s">
        <v>2299</v>
      </c>
      <c r="H1083" s="32" t="s">
        <v>2300</v>
      </c>
      <c r="I1083" s="6" t="str">
        <f t="shared" si="35"/>
        <v>Wide Bucket</v>
      </c>
      <c r="J1083" s="6" t="s">
        <v>1963</v>
      </c>
      <c r="K1083" s="6">
        <v>1</v>
      </c>
      <c r="L1083" s="6">
        <f t="shared" si="36"/>
        <v>520000</v>
      </c>
      <c r="M1083" s="6">
        <v>450000</v>
      </c>
      <c r="N1083" s="6" t="s">
        <v>2003</v>
      </c>
      <c r="O1083" s="6" t="s">
        <v>846</v>
      </c>
      <c r="P1083" s="6">
        <v>2017</v>
      </c>
      <c r="Q1083" s="6">
        <v>1</v>
      </c>
      <c r="R1083" s="6" t="s">
        <v>45</v>
      </c>
      <c r="S1083" s="32" t="s">
        <v>2113</v>
      </c>
      <c r="T1083" s="6">
        <v>1</v>
      </c>
      <c r="U1083" s="26">
        <v>400000</v>
      </c>
      <c r="V1083" s="26">
        <v>400000</v>
      </c>
      <c r="W1083" s="26">
        <v>400000</v>
      </c>
      <c r="X1083" s="6" t="s">
        <v>2003</v>
      </c>
      <c r="Y1083" s="6" t="s">
        <v>49</v>
      </c>
      <c r="Z1083" s="6">
        <v>227450</v>
      </c>
    </row>
    <row r="1084" spans="1:26" x14ac:dyDescent="0.3">
      <c r="A1084" s="28" t="s">
        <v>42</v>
      </c>
      <c r="B1084" s="6" t="s">
        <v>2339</v>
      </c>
      <c r="C1084" s="6" t="s">
        <v>1972</v>
      </c>
      <c r="D1084" s="6" t="s">
        <v>2001</v>
      </c>
      <c r="E1084" s="6">
        <v>1</v>
      </c>
      <c r="F1084" s="6" t="s">
        <v>2004</v>
      </c>
      <c r="G1084" s="32" t="s">
        <v>2299</v>
      </c>
      <c r="H1084" s="32" t="s">
        <v>2300</v>
      </c>
      <c r="I1084" s="6" t="str">
        <f t="shared" si="35"/>
        <v>Stone Grapple</v>
      </c>
      <c r="J1084" s="6" t="s">
        <v>174</v>
      </c>
      <c r="K1084" s="6">
        <v>1</v>
      </c>
      <c r="L1084" s="6">
        <f t="shared" si="36"/>
        <v>8820000</v>
      </c>
      <c r="M1084" s="6">
        <v>7500000</v>
      </c>
      <c r="N1084" s="6" t="s">
        <v>2003</v>
      </c>
      <c r="O1084" s="6" t="s">
        <v>2033</v>
      </c>
      <c r="P1084" s="6">
        <v>2015</v>
      </c>
      <c r="Q1084" s="6">
        <v>5</v>
      </c>
      <c r="R1084" s="6" t="s">
        <v>45</v>
      </c>
      <c r="S1084" s="32" t="s">
        <v>2123</v>
      </c>
      <c r="T1084" s="6">
        <v>1</v>
      </c>
      <c r="U1084" s="26">
        <v>7000000</v>
      </c>
      <c r="V1084" s="26">
        <v>7000000</v>
      </c>
      <c r="W1084" s="26">
        <v>7000000</v>
      </c>
      <c r="X1084" s="6" t="s">
        <v>2003</v>
      </c>
      <c r="Y1084" s="6" t="s">
        <v>1218</v>
      </c>
      <c r="Z1084" s="6">
        <v>227451</v>
      </c>
    </row>
    <row r="1085" spans="1:26" x14ac:dyDescent="0.3">
      <c r="A1085" s="28" t="s">
        <v>42</v>
      </c>
      <c r="B1085" s="6" t="s">
        <v>2340</v>
      </c>
      <c r="C1085" s="6"/>
      <c r="D1085" s="6" t="s">
        <v>2293</v>
      </c>
      <c r="E1085" s="6">
        <v>1</v>
      </c>
      <c r="F1085" s="6" t="s">
        <v>2004</v>
      </c>
      <c r="G1085" s="32" t="s">
        <v>2299</v>
      </c>
      <c r="H1085" s="32" t="s">
        <v>2300</v>
      </c>
      <c r="I1085" s="6" t="str">
        <f t="shared" si="35"/>
        <v>ETC</v>
      </c>
      <c r="J1085" s="6" t="s">
        <v>1964</v>
      </c>
      <c r="K1085" s="6">
        <v>1</v>
      </c>
      <c r="L1085" s="6">
        <f t="shared" si="36"/>
        <v>2230000</v>
      </c>
      <c r="M1085" s="6">
        <v>1900000</v>
      </c>
      <c r="N1085" s="6" t="s">
        <v>2003</v>
      </c>
      <c r="O1085" s="6" t="s">
        <v>798</v>
      </c>
      <c r="P1085" s="6">
        <v>2015</v>
      </c>
      <c r="Q1085" s="6">
        <v>1</v>
      </c>
      <c r="R1085" s="6" t="s">
        <v>45</v>
      </c>
      <c r="S1085" s="32" t="s">
        <v>2113</v>
      </c>
      <c r="T1085" s="6">
        <v>1</v>
      </c>
      <c r="U1085" s="26">
        <v>1800000</v>
      </c>
      <c r="V1085" s="26">
        <v>1800000</v>
      </c>
      <c r="W1085" s="26">
        <v>1800000</v>
      </c>
      <c r="X1085" s="6" t="s">
        <v>2003</v>
      </c>
      <c r="Y1085" s="6" t="s">
        <v>71</v>
      </c>
      <c r="Z1085" s="6">
        <v>227462</v>
      </c>
    </row>
    <row r="1086" spans="1:26" x14ac:dyDescent="0.3">
      <c r="A1086" s="28" t="s">
        <v>42</v>
      </c>
      <c r="B1086" s="6" t="s">
        <v>2339</v>
      </c>
      <c r="C1086" s="6" t="s">
        <v>1972</v>
      </c>
      <c r="D1086" s="6" t="s">
        <v>2292</v>
      </c>
      <c r="E1086" s="6">
        <v>1</v>
      </c>
      <c r="F1086" s="6" t="s">
        <v>2004</v>
      </c>
      <c r="G1086" s="32" t="s">
        <v>2299</v>
      </c>
      <c r="H1086" s="32" t="s">
        <v>2300</v>
      </c>
      <c r="I1086" s="6" t="str">
        <f t="shared" si="35"/>
        <v>Stone Grapple</v>
      </c>
      <c r="J1086" s="6" t="s">
        <v>120</v>
      </c>
      <c r="K1086" s="6">
        <v>1</v>
      </c>
      <c r="L1086" s="6">
        <f t="shared" si="36"/>
        <v>6470000</v>
      </c>
      <c r="M1086" s="6">
        <v>5500000</v>
      </c>
      <c r="N1086" s="6" t="s">
        <v>2003</v>
      </c>
      <c r="O1086" s="6" t="s">
        <v>2007</v>
      </c>
      <c r="P1086" s="6">
        <v>2014</v>
      </c>
      <c r="Q1086" s="6">
        <v>1</v>
      </c>
      <c r="R1086" s="6" t="s">
        <v>45</v>
      </c>
      <c r="S1086" s="32" t="s">
        <v>2113</v>
      </c>
      <c r="T1086" s="6">
        <v>1</v>
      </c>
      <c r="U1086" s="26">
        <v>5000000</v>
      </c>
      <c r="V1086" s="26">
        <v>5000000</v>
      </c>
      <c r="W1086" s="26">
        <v>5000000</v>
      </c>
      <c r="X1086" s="6" t="s">
        <v>2003</v>
      </c>
      <c r="Y1086" s="6" t="s">
        <v>49</v>
      </c>
      <c r="Z1086" s="6">
        <v>227468</v>
      </c>
    </row>
    <row r="1087" spans="1:26" x14ac:dyDescent="0.3">
      <c r="A1087" s="28" t="s">
        <v>42</v>
      </c>
      <c r="B1087" s="6" t="s">
        <v>2340</v>
      </c>
      <c r="C1087" s="6"/>
      <c r="D1087" s="6" t="s">
        <v>2295</v>
      </c>
      <c r="E1087" s="6">
        <v>1</v>
      </c>
      <c r="F1087" s="6" t="s">
        <v>2004</v>
      </c>
      <c r="G1087" s="32" t="s">
        <v>2299</v>
      </c>
      <c r="H1087" s="32" t="s">
        <v>2300</v>
      </c>
      <c r="I1087" s="6" t="str">
        <f t="shared" si="35"/>
        <v>ETC</v>
      </c>
      <c r="J1087" s="6" t="s">
        <v>378</v>
      </c>
      <c r="K1087" s="6">
        <v>1</v>
      </c>
      <c r="L1087" s="6">
        <f t="shared" si="36"/>
        <v>350000</v>
      </c>
      <c r="M1087" s="6">
        <v>300000</v>
      </c>
      <c r="N1087" s="6" t="s">
        <v>2003</v>
      </c>
      <c r="O1087" s="6" t="s">
        <v>798</v>
      </c>
      <c r="P1087" s="6">
        <v>2017</v>
      </c>
      <c r="Q1087" s="6">
        <v>1</v>
      </c>
      <c r="R1087" s="6" t="s">
        <v>45</v>
      </c>
      <c r="S1087" s="32" t="s">
        <v>2113</v>
      </c>
      <c r="T1087" s="6">
        <v>1</v>
      </c>
      <c r="U1087" s="26">
        <v>250000</v>
      </c>
      <c r="V1087" s="26">
        <v>250000</v>
      </c>
      <c r="W1087" s="26">
        <v>250000</v>
      </c>
      <c r="X1087" s="6" t="s">
        <v>2003</v>
      </c>
      <c r="Y1087" s="6" t="s">
        <v>71</v>
      </c>
      <c r="Z1087" s="6">
        <v>227473</v>
      </c>
    </row>
    <row r="1088" spans="1:26" x14ac:dyDescent="0.3">
      <c r="A1088" s="28" t="s">
        <v>42</v>
      </c>
      <c r="B1088" s="6" t="s">
        <v>2339</v>
      </c>
      <c r="C1088" s="6" t="s">
        <v>1973</v>
      </c>
      <c r="D1088" s="6" t="s">
        <v>2291</v>
      </c>
      <c r="E1088" s="6">
        <v>1</v>
      </c>
      <c r="F1088" s="6" t="s">
        <v>2004</v>
      </c>
      <c r="G1088" s="32" t="s">
        <v>2299</v>
      </c>
      <c r="H1088" s="32" t="s">
        <v>2300</v>
      </c>
      <c r="I1088" s="6" t="str">
        <f t="shared" si="35"/>
        <v>Wood Grapple</v>
      </c>
      <c r="J1088" s="6" t="s">
        <v>127</v>
      </c>
      <c r="K1088" s="6">
        <v>1</v>
      </c>
      <c r="L1088" s="6">
        <f t="shared" si="36"/>
        <v>2580000</v>
      </c>
      <c r="M1088" s="6">
        <v>2200000</v>
      </c>
      <c r="N1088" s="6" t="s">
        <v>2003</v>
      </c>
      <c r="O1088" s="6" t="s">
        <v>54</v>
      </c>
      <c r="P1088" s="6">
        <v>2010</v>
      </c>
      <c r="Q1088" s="6">
        <v>1</v>
      </c>
      <c r="R1088" s="6" t="s">
        <v>45</v>
      </c>
      <c r="S1088" s="32" t="s">
        <v>2114</v>
      </c>
      <c r="T1088" s="6">
        <v>1</v>
      </c>
      <c r="U1088" s="26">
        <v>2000000</v>
      </c>
      <c r="V1088" s="26">
        <v>2000000</v>
      </c>
      <c r="W1088" s="26">
        <v>2000000</v>
      </c>
      <c r="X1088" s="6" t="s">
        <v>2003</v>
      </c>
      <c r="Y1088" s="6" t="s">
        <v>54</v>
      </c>
      <c r="Z1088" s="6">
        <v>227474</v>
      </c>
    </row>
    <row r="1089" spans="1:26" x14ac:dyDescent="0.3">
      <c r="A1089" s="28" t="s">
        <v>42</v>
      </c>
      <c r="B1089" s="6" t="s">
        <v>2341</v>
      </c>
      <c r="C1089" s="6" t="s">
        <v>1978</v>
      </c>
      <c r="D1089" s="6" t="s">
        <v>2290</v>
      </c>
      <c r="E1089" s="6">
        <v>1</v>
      </c>
      <c r="F1089" s="6" t="s">
        <v>2004</v>
      </c>
      <c r="G1089" s="32" t="s">
        <v>2299</v>
      </c>
      <c r="H1089" s="32" t="s">
        <v>2300</v>
      </c>
      <c r="I1089" s="6" t="str">
        <f t="shared" si="35"/>
        <v>Hydraulic Pulverizer</v>
      </c>
      <c r="J1089" s="6" t="s">
        <v>753</v>
      </c>
      <c r="K1089" s="6">
        <v>1</v>
      </c>
      <c r="L1089" s="6">
        <f t="shared" si="36"/>
        <v>7640000</v>
      </c>
      <c r="M1089" s="6">
        <v>6500000</v>
      </c>
      <c r="N1089" s="6" t="s">
        <v>2003</v>
      </c>
      <c r="O1089" s="6" t="s">
        <v>813</v>
      </c>
      <c r="P1089" s="6">
        <v>2013</v>
      </c>
      <c r="Q1089" s="6">
        <v>1</v>
      </c>
      <c r="R1089" s="6" t="s">
        <v>45</v>
      </c>
      <c r="S1089" s="32" t="s">
        <v>2113</v>
      </c>
      <c r="T1089" s="6">
        <v>1</v>
      </c>
      <c r="U1089" s="26">
        <v>6000000</v>
      </c>
      <c r="V1089" s="26">
        <v>6000000</v>
      </c>
      <c r="W1089" s="26">
        <v>6000000</v>
      </c>
      <c r="X1089" s="6" t="s">
        <v>2003</v>
      </c>
      <c r="Y1089" s="6" t="s">
        <v>80</v>
      </c>
      <c r="Z1089" s="6">
        <v>227476</v>
      </c>
    </row>
    <row r="1090" spans="1:26" x14ac:dyDescent="0.3">
      <c r="A1090" s="28" t="s">
        <v>42</v>
      </c>
      <c r="B1090" s="6" t="s">
        <v>2338</v>
      </c>
      <c r="C1090" s="6" t="s">
        <v>1975</v>
      </c>
      <c r="D1090" s="6" t="s">
        <v>2290</v>
      </c>
      <c r="E1090" s="6">
        <v>1</v>
      </c>
      <c r="F1090" s="6" t="s">
        <v>2004</v>
      </c>
      <c r="G1090" s="32" t="s">
        <v>2299</v>
      </c>
      <c r="H1090" s="32" t="s">
        <v>2300</v>
      </c>
      <c r="I1090" s="6" t="str">
        <f t="shared" si="35"/>
        <v>Side Breaker</v>
      </c>
      <c r="J1090" s="6" t="s">
        <v>1942</v>
      </c>
      <c r="K1090" s="6">
        <v>1</v>
      </c>
      <c r="L1090" s="6">
        <f t="shared" si="36"/>
        <v>10580000</v>
      </c>
      <c r="M1090" s="6">
        <v>9000000</v>
      </c>
      <c r="N1090" s="6" t="s">
        <v>2003</v>
      </c>
      <c r="O1090" s="6" t="s">
        <v>1833</v>
      </c>
      <c r="P1090" s="6">
        <v>2016</v>
      </c>
      <c r="Q1090" s="6">
        <v>6</v>
      </c>
      <c r="R1090" s="6" t="s">
        <v>45</v>
      </c>
      <c r="S1090" s="32" t="s">
        <v>2118</v>
      </c>
      <c r="T1090" s="6">
        <v>1</v>
      </c>
      <c r="U1090" s="26">
        <v>8500000</v>
      </c>
      <c r="V1090" s="26">
        <v>8500000</v>
      </c>
      <c r="W1090" s="26">
        <v>8500000</v>
      </c>
      <c r="X1090" s="6" t="s">
        <v>2003</v>
      </c>
      <c r="Y1090" s="6" t="s">
        <v>63</v>
      </c>
      <c r="Z1090" s="6">
        <v>227477</v>
      </c>
    </row>
    <row r="1091" spans="1:26" x14ac:dyDescent="0.3">
      <c r="A1091" s="28" t="s">
        <v>42</v>
      </c>
      <c r="B1091" s="6" t="s">
        <v>2342</v>
      </c>
      <c r="C1091" s="6" t="s">
        <v>1982</v>
      </c>
      <c r="D1091" s="6" t="s">
        <v>2292</v>
      </c>
      <c r="E1091" s="6">
        <v>1</v>
      </c>
      <c r="F1091" s="6" t="s">
        <v>2004</v>
      </c>
      <c r="G1091" s="32" t="s">
        <v>2299</v>
      </c>
      <c r="H1091" s="32" t="s">
        <v>2300</v>
      </c>
      <c r="I1091" s="6" t="str">
        <f t="shared" si="35"/>
        <v>Standard Bucket</v>
      </c>
      <c r="J1091" s="6" t="s">
        <v>259</v>
      </c>
      <c r="K1091" s="6">
        <v>1</v>
      </c>
      <c r="L1091" s="6">
        <f t="shared" si="36"/>
        <v>940000</v>
      </c>
      <c r="M1091" s="6">
        <v>800000</v>
      </c>
      <c r="N1091" s="6" t="s">
        <v>2003</v>
      </c>
      <c r="O1091" s="6" t="s">
        <v>2007</v>
      </c>
      <c r="P1091" s="6">
        <v>2015</v>
      </c>
      <c r="Q1091" s="6">
        <v>1</v>
      </c>
      <c r="R1091" s="6" t="s">
        <v>45</v>
      </c>
      <c r="S1091" s="32" t="s">
        <v>2113</v>
      </c>
      <c r="T1091" s="6">
        <v>1</v>
      </c>
      <c r="U1091" s="26">
        <v>700000</v>
      </c>
      <c r="V1091" s="26">
        <v>700000</v>
      </c>
      <c r="W1091" s="26">
        <v>700000</v>
      </c>
      <c r="X1091" s="6" t="s">
        <v>2003</v>
      </c>
      <c r="Y1091" s="6" t="s">
        <v>49</v>
      </c>
      <c r="Z1091" s="6">
        <v>227480</v>
      </c>
    </row>
    <row r="1092" spans="1:26" x14ac:dyDescent="0.3">
      <c r="A1092" s="28" t="s">
        <v>42</v>
      </c>
      <c r="B1092" s="6" t="s">
        <v>2344</v>
      </c>
      <c r="C1092" s="6" t="s">
        <v>1977</v>
      </c>
      <c r="D1092" s="6" t="s">
        <v>2292</v>
      </c>
      <c r="E1092" s="6">
        <v>1</v>
      </c>
      <c r="F1092" s="6" t="s">
        <v>2004</v>
      </c>
      <c r="G1092" s="32" t="s">
        <v>2299</v>
      </c>
      <c r="H1092" s="32" t="s">
        <v>2300</v>
      </c>
      <c r="I1092" s="6" t="str">
        <f t="shared" si="35"/>
        <v>Wide Bucket</v>
      </c>
      <c r="J1092" s="6" t="s">
        <v>123</v>
      </c>
      <c r="K1092" s="6">
        <v>1</v>
      </c>
      <c r="L1092" s="6">
        <f t="shared" si="36"/>
        <v>1410000</v>
      </c>
      <c r="M1092" s="6">
        <v>1200000</v>
      </c>
      <c r="N1092" s="6" t="s">
        <v>2003</v>
      </c>
      <c r="O1092" s="6" t="s">
        <v>813</v>
      </c>
      <c r="P1092" s="6">
        <v>2013</v>
      </c>
      <c r="Q1092" s="6">
        <v>1</v>
      </c>
      <c r="R1092" s="6" t="s">
        <v>45</v>
      </c>
      <c r="S1092" s="32" t="s">
        <v>2113</v>
      </c>
      <c r="T1092" s="6">
        <v>1</v>
      </c>
      <c r="U1092" s="26">
        <v>1100000</v>
      </c>
      <c r="V1092" s="26">
        <v>1100000</v>
      </c>
      <c r="W1092" s="26">
        <v>1100000</v>
      </c>
      <c r="X1092" s="6" t="s">
        <v>2003</v>
      </c>
      <c r="Y1092" s="6" t="s">
        <v>80</v>
      </c>
      <c r="Z1092" s="6">
        <v>227485</v>
      </c>
    </row>
    <row r="1093" spans="1:26" x14ac:dyDescent="0.3">
      <c r="A1093" s="28" t="s">
        <v>42</v>
      </c>
      <c r="B1093" s="6" t="s">
        <v>2339</v>
      </c>
      <c r="C1093" s="6" t="s">
        <v>1972</v>
      </c>
      <c r="D1093" s="6" t="s">
        <v>2292</v>
      </c>
      <c r="E1093" s="6">
        <v>1</v>
      </c>
      <c r="F1093" s="6" t="s">
        <v>2004</v>
      </c>
      <c r="G1093" s="32" t="s">
        <v>2299</v>
      </c>
      <c r="H1093" s="32" t="s">
        <v>2300</v>
      </c>
      <c r="I1093" s="6" t="str">
        <f t="shared" si="35"/>
        <v>Stone Grapple</v>
      </c>
      <c r="J1093" s="6" t="s">
        <v>58</v>
      </c>
      <c r="K1093" s="6">
        <v>1</v>
      </c>
      <c r="L1093" s="6">
        <f t="shared" si="36"/>
        <v>3050000</v>
      </c>
      <c r="M1093" s="6">
        <v>2600000</v>
      </c>
      <c r="N1093" s="6" t="s">
        <v>2003</v>
      </c>
      <c r="O1093" s="6" t="s">
        <v>813</v>
      </c>
      <c r="P1093" s="6">
        <v>2014</v>
      </c>
      <c r="Q1093" s="6">
        <v>1</v>
      </c>
      <c r="R1093" s="6" t="s">
        <v>45</v>
      </c>
      <c r="S1093" s="32" t="s">
        <v>2113</v>
      </c>
      <c r="T1093" s="6">
        <v>1</v>
      </c>
      <c r="U1093" s="26">
        <v>2400000</v>
      </c>
      <c r="V1093" s="26">
        <v>2400000</v>
      </c>
      <c r="W1093" s="26">
        <v>2400000</v>
      </c>
      <c r="X1093" s="6" t="s">
        <v>2003</v>
      </c>
      <c r="Y1093" s="6" t="s">
        <v>79</v>
      </c>
      <c r="Z1093" s="6">
        <v>227487</v>
      </c>
    </row>
    <row r="1094" spans="1:26" x14ac:dyDescent="0.3">
      <c r="A1094" s="28" t="s">
        <v>42</v>
      </c>
      <c r="B1094" s="6" t="s">
        <v>2344</v>
      </c>
      <c r="C1094" s="6" t="s">
        <v>1976</v>
      </c>
      <c r="D1094" s="6" t="s">
        <v>2292</v>
      </c>
      <c r="E1094" s="6">
        <v>1</v>
      </c>
      <c r="F1094" s="6" t="s">
        <v>2004</v>
      </c>
      <c r="G1094" s="32" t="s">
        <v>2299</v>
      </c>
      <c r="H1094" s="32" t="s">
        <v>2300</v>
      </c>
      <c r="I1094" s="6" t="str">
        <f t="shared" si="35"/>
        <v>Skeleton Bucket</v>
      </c>
      <c r="J1094" s="6" t="s">
        <v>455</v>
      </c>
      <c r="K1094" s="6">
        <v>1</v>
      </c>
      <c r="L1094" s="6">
        <f t="shared" si="36"/>
        <v>1050000</v>
      </c>
      <c r="M1094" s="6">
        <v>900000</v>
      </c>
      <c r="N1094" s="6" t="s">
        <v>2003</v>
      </c>
      <c r="O1094" s="6" t="s">
        <v>813</v>
      </c>
      <c r="P1094" s="6">
        <v>2013</v>
      </c>
      <c r="Q1094" s="6">
        <v>1</v>
      </c>
      <c r="R1094" s="6" t="s">
        <v>45</v>
      </c>
      <c r="S1094" s="32" t="s">
        <v>2113</v>
      </c>
      <c r="T1094" s="6">
        <v>1</v>
      </c>
      <c r="U1094" s="26">
        <v>800000</v>
      </c>
      <c r="V1094" s="26">
        <v>800000</v>
      </c>
      <c r="W1094" s="26">
        <v>800000</v>
      </c>
      <c r="X1094" s="6" t="s">
        <v>2003</v>
      </c>
      <c r="Y1094" s="6" t="s">
        <v>80</v>
      </c>
      <c r="Z1094" s="6">
        <v>227491</v>
      </c>
    </row>
    <row r="1095" spans="1:26" x14ac:dyDescent="0.3">
      <c r="A1095" s="28" t="s">
        <v>42</v>
      </c>
      <c r="B1095" s="6" t="s">
        <v>2344</v>
      </c>
      <c r="C1095" s="6" t="s">
        <v>1976</v>
      </c>
      <c r="D1095" s="6" t="s">
        <v>2292</v>
      </c>
      <c r="E1095" s="6">
        <v>1</v>
      </c>
      <c r="F1095" s="6" t="s">
        <v>2004</v>
      </c>
      <c r="G1095" s="32" t="s">
        <v>2299</v>
      </c>
      <c r="H1095" s="32" t="s">
        <v>2300</v>
      </c>
      <c r="I1095" s="6" t="str">
        <f t="shared" si="35"/>
        <v>Skeleton Bucket</v>
      </c>
      <c r="J1095" s="6" t="s">
        <v>62</v>
      </c>
      <c r="K1095" s="6">
        <v>1</v>
      </c>
      <c r="L1095" s="6">
        <f t="shared" si="36"/>
        <v>1050000</v>
      </c>
      <c r="M1095" s="6">
        <v>900000</v>
      </c>
      <c r="N1095" s="6" t="s">
        <v>2003</v>
      </c>
      <c r="O1095" s="6" t="s">
        <v>813</v>
      </c>
      <c r="P1095" s="6">
        <v>2013</v>
      </c>
      <c r="Q1095" s="6">
        <v>1</v>
      </c>
      <c r="R1095" s="6" t="s">
        <v>45</v>
      </c>
      <c r="S1095" s="32" t="s">
        <v>2113</v>
      </c>
      <c r="T1095" s="6">
        <v>1</v>
      </c>
      <c r="U1095" s="26">
        <v>800000</v>
      </c>
      <c r="V1095" s="26">
        <v>800000</v>
      </c>
      <c r="W1095" s="26">
        <v>800000</v>
      </c>
      <c r="X1095" s="6" t="s">
        <v>2003</v>
      </c>
      <c r="Y1095" s="6" t="s">
        <v>79</v>
      </c>
      <c r="Z1095" s="6">
        <v>227492</v>
      </c>
    </row>
    <row r="1096" spans="1:26" x14ac:dyDescent="0.3">
      <c r="A1096" s="28" t="s">
        <v>42</v>
      </c>
      <c r="B1096" s="6" t="s">
        <v>2338</v>
      </c>
      <c r="C1096" s="6" t="s">
        <v>1975</v>
      </c>
      <c r="D1096" s="6" t="s">
        <v>2292</v>
      </c>
      <c r="E1096" s="6">
        <v>1</v>
      </c>
      <c r="F1096" s="6" t="s">
        <v>2004</v>
      </c>
      <c r="G1096" s="32" t="s">
        <v>2299</v>
      </c>
      <c r="H1096" s="32" t="s">
        <v>2300</v>
      </c>
      <c r="I1096" s="6" t="str">
        <f t="shared" si="35"/>
        <v>Side Breaker</v>
      </c>
      <c r="J1096" s="6" t="s">
        <v>146</v>
      </c>
      <c r="K1096" s="6">
        <v>1</v>
      </c>
      <c r="L1096" s="6">
        <f t="shared" si="36"/>
        <v>4110000</v>
      </c>
      <c r="M1096" s="6">
        <v>3500000</v>
      </c>
      <c r="N1096" s="6" t="s">
        <v>2003</v>
      </c>
      <c r="O1096" s="6" t="s">
        <v>816</v>
      </c>
      <c r="P1096" s="6">
        <v>2010</v>
      </c>
      <c r="Q1096" s="6">
        <v>1</v>
      </c>
      <c r="R1096" s="6" t="s">
        <v>45</v>
      </c>
      <c r="S1096" s="32" t="s">
        <v>2118</v>
      </c>
      <c r="T1096" s="6">
        <v>1</v>
      </c>
      <c r="U1096" s="26">
        <v>3300000</v>
      </c>
      <c r="V1096" s="26">
        <v>3300000</v>
      </c>
      <c r="W1096" s="26">
        <v>3300000</v>
      </c>
      <c r="X1096" s="6" t="s">
        <v>2003</v>
      </c>
      <c r="Y1096" s="6" t="s">
        <v>67</v>
      </c>
      <c r="Z1096" s="6">
        <v>227495</v>
      </c>
    </row>
    <row r="1097" spans="1:26" x14ac:dyDescent="0.3">
      <c r="A1097" s="28" t="s">
        <v>42</v>
      </c>
      <c r="B1097" s="6" t="s">
        <v>2344</v>
      </c>
      <c r="C1097" s="6" t="s">
        <v>1976</v>
      </c>
      <c r="D1097" s="6" t="s">
        <v>2001</v>
      </c>
      <c r="E1097" s="6">
        <v>1</v>
      </c>
      <c r="F1097" s="6" t="s">
        <v>2004</v>
      </c>
      <c r="G1097" s="32" t="s">
        <v>2299</v>
      </c>
      <c r="H1097" s="32" t="s">
        <v>2300</v>
      </c>
      <c r="I1097" s="6" t="str">
        <f t="shared" si="35"/>
        <v>Skeleton Bucket</v>
      </c>
      <c r="J1097" s="6" t="s">
        <v>336</v>
      </c>
      <c r="K1097" s="6">
        <v>1</v>
      </c>
      <c r="L1097" s="6">
        <f t="shared" si="36"/>
        <v>2580000</v>
      </c>
      <c r="M1097" s="6">
        <v>2200000</v>
      </c>
      <c r="N1097" s="6" t="s">
        <v>2003</v>
      </c>
      <c r="O1097" s="6" t="s">
        <v>2011</v>
      </c>
      <c r="P1097" s="6">
        <v>2010</v>
      </c>
      <c r="Q1097" s="6">
        <v>6</v>
      </c>
      <c r="R1097" s="6" t="s">
        <v>45</v>
      </c>
      <c r="S1097" s="32" t="s">
        <v>2123</v>
      </c>
      <c r="T1097" s="6">
        <v>1</v>
      </c>
      <c r="U1097" s="26">
        <v>2000000</v>
      </c>
      <c r="V1097" s="26">
        <v>2000000</v>
      </c>
      <c r="W1097" s="26">
        <v>2000000</v>
      </c>
      <c r="X1097" s="6" t="s">
        <v>2003</v>
      </c>
      <c r="Y1097" s="6" t="s">
        <v>1200</v>
      </c>
      <c r="Z1097" s="6">
        <v>227496</v>
      </c>
    </row>
    <row r="1098" spans="1:26" x14ac:dyDescent="0.3">
      <c r="A1098" s="28" t="s">
        <v>42</v>
      </c>
      <c r="B1098" s="6" t="s">
        <v>2338</v>
      </c>
      <c r="C1098" s="6" t="s">
        <v>1975</v>
      </c>
      <c r="D1098" s="6" t="s">
        <v>2292</v>
      </c>
      <c r="E1098" s="6">
        <v>1</v>
      </c>
      <c r="F1098" s="6" t="s">
        <v>2004</v>
      </c>
      <c r="G1098" s="32" t="s">
        <v>2299</v>
      </c>
      <c r="H1098" s="32" t="s">
        <v>2300</v>
      </c>
      <c r="I1098" s="6" t="str">
        <f t="shared" si="35"/>
        <v>Side Breaker</v>
      </c>
      <c r="J1098" s="6" t="s">
        <v>119</v>
      </c>
      <c r="K1098" s="6">
        <v>1</v>
      </c>
      <c r="L1098" s="6">
        <f t="shared" si="36"/>
        <v>3520000</v>
      </c>
      <c r="M1098" s="6">
        <v>3000000</v>
      </c>
      <c r="N1098" s="6" t="s">
        <v>2003</v>
      </c>
      <c r="O1098" s="6" t="s">
        <v>1915</v>
      </c>
      <c r="P1098" s="6">
        <v>2015</v>
      </c>
      <c r="Q1098" s="6">
        <v>5</v>
      </c>
      <c r="R1098" s="6" t="s">
        <v>45</v>
      </c>
      <c r="S1098" s="32" t="s">
        <v>2119</v>
      </c>
      <c r="T1098" s="6">
        <v>1</v>
      </c>
      <c r="U1098" s="26">
        <v>2800000</v>
      </c>
      <c r="V1098" s="26">
        <v>2800000</v>
      </c>
      <c r="W1098" s="26">
        <v>2800000</v>
      </c>
      <c r="X1098" s="6" t="s">
        <v>2003</v>
      </c>
      <c r="Y1098" s="6" t="s">
        <v>1165</v>
      </c>
      <c r="Z1098" s="6">
        <v>227504</v>
      </c>
    </row>
    <row r="1099" spans="1:26" x14ac:dyDescent="0.3">
      <c r="A1099" s="28" t="s">
        <v>42</v>
      </c>
      <c r="B1099" s="6" t="s">
        <v>2347</v>
      </c>
      <c r="C1099" s="6"/>
      <c r="D1099" s="6" t="s">
        <v>2001</v>
      </c>
      <c r="E1099" s="6">
        <v>1</v>
      </c>
      <c r="F1099" s="6" t="s">
        <v>2004</v>
      </c>
      <c r="G1099" s="32" t="s">
        <v>2299</v>
      </c>
      <c r="H1099" s="32" t="s">
        <v>2300</v>
      </c>
      <c r="I1099" s="6" t="str">
        <f t="shared" ref="I1099:I1118" si="37">IF(ISBLANK(C1099),B1099,C1099)</f>
        <v>Shear&amp;Cutter</v>
      </c>
      <c r="J1099" s="6" t="s">
        <v>1965</v>
      </c>
      <c r="K1099" s="6">
        <v>1</v>
      </c>
      <c r="L1099" s="6">
        <f t="shared" ref="L1099:L1118" si="38">FLOOR(((M1099*100)/85)/10000, 1)*10000</f>
        <v>18230000</v>
      </c>
      <c r="M1099" s="6">
        <v>15500000</v>
      </c>
      <c r="N1099" s="6" t="s">
        <v>2003</v>
      </c>
      <c r="O1099" s="6" t="s">
        <v>1916</v>
      </c>
      <c r="P1099" s="6">
        <v>2009</v>
      </c>
      <c r="Q1099" s="6">
        <v>1</v>
      </c>
      <c r="R1099" s="6" t="s">
        <v>45</v>
      </c>
      <c r="S1099" s="32" t="s">
        <v>2116</v>
      </c>
      <c r="T1099" s="6">
        <v>1</v>
      </c>
      <c r="U1099" s="26">
        <v>15000000</v>
      </c>
      <c r="V1099" s="26">
        <v>15000000</v>
      </c>
      <c r="W1099" s="26">
        <v>15000000</v>
      </c>
      <c r="X1099" s="6" t="s">
        <v>2003</v>
      </c>
      <c r="Y1099" s="6" t="s">
        <v>1207</v>
      </c>
      <c r="Z1099" s="6">
        <v>227505</v>
      </c>
    </row>
    <row r="1100" spans="1:26" x14ac:dyDescent="0.3">
      <c r="A1100" s="28" t="s">
        <v>42</v>
      </c>
      <c r="B1100" s="6" t="s">
        <v>2340</v>
      </c>
      <c r="C1100" s="6"/>
      <c r="D1100" s="6" t="s">
        <v>2292</v>
      </c>
      <c r="E1100" s="6">
        <v>1</v>
      </c>
      <c r="F1100" s="6" t="s">
        <v>2004</v>
      </c>
      <c r="G1100" s="32" t="s">
        <v>2299</v>
      </c>
      <c r="H1100" s="32" t="s">
        <v>2300</v>
      </c>
      <c r="I1100" s="6" t="str">
        <f t="shared" si="37"/>
        <v>ETC</v>
      </c>
      <c r="J1100" s="6" t="s">
        <v>405</v>
      </c>
      <c r="K1100" s="6">
        <v>1</v>
      </c>
      <c r="L1100" s="6">
        <f t="shared" si="38"/>
        <v>14700000</v>
      </c>
      <c r="M1100" s="6">
        <v>12500000</v>
      </c>
      <c r="N1100" s="6" t="s">
        <v>2003</v>
      </c>
      <c r="O1100" s="6" t="s">
        <v>813</v>
      </c>
      <c r="P1100" s="6">
        <v>2014</v>
      </c>
      <c r="Q1100" s="6">
        <v>1</v>
      </c>
      <c r="R1100" s="6" t="s">
        <v>45</v>
      </c>
      <c r="S1100" s="32" t="s">
        <v>2113</v>
      </c>
      <c r="T1100" s="6">
        <v>1</v>
      </c>
      <c r="U1100" s="26">
        <v>12000000</v>
      </c>
      <c r="V1100" s="26">
        <v>12000000</v>
      </c>
      <c r="W1100" s="26">
        <v>12000000</v>
      </c>
      <c r="X1100" s="6" t="s">
        <v>2003</v>
      </c>
      <c r="Y1100" s="6" t="s">
        <v>80</v>
      </c>
      <c r="Z1100" s="6">
        <v>227509</v>
      </c>
    </row>
    <row r="1101" spans="1:26" x14ac:dyDescent="0.3">
      <c r="A1101" s="28" t="s">
        <v>42</v>
      </c>
      <c r="B1101" s="6" t="s">
        <v>2344</v>
      </c>
      <c r="C1101" s="6" t="s">
        <v>1977</v>
      </c>
      <c r="D1101" s="6" t="s">
        <v>2291</v>
      </c>
      <c r="E1101" s="6">
        <v>1</v>
      </c>
      <c r="F1101" s="6" t="s">
        <v>2004</v>
      </c>
      <c r="G1101" s="32" t="s">
        <v>2299</v>
      </c>
      <c r="H1101" s="32" t="s">
        <v>2300</v>
      </c>
      <c r="I1101" s="6" t="str">
        <f t="shared" si="37"/>
        <v>Wide Bucket</v>
      </c>
      <c r="J1101" s="6" t="s">
        <v>361</v>
      </c>
      <c r="K1101" s="6">
        <v>1</v>
      </c>
      <c r="L1101" s="6">
        <f t="shared" si="38"/>
        <v>580000</v>
      </c>
      <c r="M1101" s="6">
        <v>500000</v>
      </c>
      <c r="N1101" s="6" t="s">
        <v>2003</v>
      </c>
      <c r="O1101" s="6" t="s">
        <v>2099</v>
      </c>
      <c r="P1101" s="6">
        <v>2017</v>
      </c>
      <c r="Q1101" s="6">
        <v>2</v>
      </c>
      <c r="R1101" s="6" t="s">
        <v>45</v>
      </c>
      <c r="S1101" s="32" t="s">
        <v>2124</v>
      </c>
      <c r="T1101" s="6">
        <v>1</v>
      </c>
      <c r="U1101" s="26">
        <v>450000</v>
      </c>
      <c r="V1101" s="26">
        <v>450000</v>
      </c>
      <c r="W1101" s="26">
        <v>450000</v>
      </c>
      <c r="X1101" s="6" t="s">
        <v>2003</v>
      </c>
      <c r="Y1101" s="6" t="s">
        <v>1144</v>
      </c>
      <c r="Z1101" s="6">
        <v>227512</v>
      </c>
    </row>
    <row r="1102" spans="1:26" x14ac:dyDescent="0.3">
      <c r="A1102" s="28" t="s">
        <v>42</v>
      </c>
      <c r="B1102" s="6" t="s">
        <v>2339</v>
      </c>
      <c r="C1102" s="6" t="s">
        <v>1972</v>
      </c>
      <c r="D1102" s="6" t="s">
        <v>2291</v>
      </c>
      <c r="E1102" s="6">
        <v>1</v>
      </c>
      <c r="F1102" s="6" t="s">
        <v>2004</v>
      </c>
      <c r="G1102" s="32" t="s">
        <v>2299</v>
      </c>
      <c r="H1102" s="32" t="s">
        <v>2300</v>
      </c>
      <c r="I1102" s="6" t="str">
        <f t="shared" si="37"/>
        <v>Stone Grapple</v>
      </c>
      <c r="J1102" s="6" t="s">
        <v>470</v>
      </c>
      <c r="K1102" s="6">
        <v>1</v>
      </c>
      <c r="L1102" s="6">
        <f t="shared" si="38"/>
        <v>2000000</v>
      </c>
      <c r="M1102" s="6">
        <v>1700000</v>
      </c>
      <c r="N1102" s="6" t="s">
        <v>2003</v>
      </c>
      <c r="O1102" s="6" t="s">
        <v>2033</v>
      </c>
      <c r="P1102" s="6">
        <v>2010</v>
      </c>
      <c r="Q1102" s="6">
        <v>5</v>
      </c>
      <c r="R1102" s="6" t="s">
        <v>45</v>
      </c>
      <c r="S1102" s="32" t="s">
        <v>2122</v>
      </c>
      <c r="T1102" s="6">
        <v>1</v>
      </c>
      <c r="U1102" s="26">
        <v>1600000</v>
      </c>
      <c r="V1102" s="26">
        <v>1600000</v>
      </c>
      <c r="W1102" s="26">
        <v>1600000</v>
      </c>
      <c r="X1102" s="6" t="s">
        <v>2003</v>
      </c>
      <c r="Y1102" s="6" t="s">
        <v>1218</v>
      </c>
      <c r="Z1102" s="6">
        <v>227514</v>
      </c>
    </row>
    <row r="1103" spans="1:26" x14ac:dyDescent="0.3">
      <c r="A1103" s="28" t="s">
        <v>42</v>
      </c>
      <c r="B1103" s="6" t="s">
        <v>2338</v>
      </c>
      <c r="C1103" s="6" t="s">
        <v>1975</v>
      </c>
      <c r="D1103" s="6" t="s">
        <v>2291</v>
      </c>
      <c r="E1103" s="6">
        <v>1</v>
      </c>
      <c r="F1103" s="6" t="s">
        <v>2004</v>
      </c>
      <c r="G1103" s="32" t="s">
        <v>2299</v>
      </c>
      <c r="H1103" s="32" t="s">
        <v>2300</v>
      </c>
      <c r="I1103" s="6" t="str">
        <f t="shared" si="37"/>
        <v>Side Breaker</v>
      </c>
      <c r="J1103" s="6" t="s">
        <v>160</v>
      </c>
      <c r="K1103" s="6">
        <v>1</v>
      </c>
      <c r="L1103" s="6">
        <f t="shared" si="38"/>
        <v>1760000</v>
      </c>
      <c r="M1103" s="6">
        <v>1500000</v>
      </c>
      <c r="N1103" s="6" t="s">
        <v>2003</v>
      </c>
      <c r="O1103" s="6" t="s">
        <v>816</v>
      </c>
      <c r="P1103" s="6">
        <v>2015</v>
      </c>
      <c r="Q1103" s="6">
        <v>1</v>
      </c>
      <c r="R1103" s="6" t="s">
        <v>45</v>
      </c>
      <c r="S1103" s="32" t="s">
        <v>2119</v>
      </c>
      <c r="T1103" s="6">
        <v>1</v>
      </c>
      <c r="U1103" s="26">
        <v>1400000</v>
      </c>
      <c r="V1103" s="26">
        <v>1400000</v>
      </c>
      <c r="W1103" s="26">
        <v>1400000</v>
      </c>
      <c r="X1103" s="6" t="s">
        <v>2003</v>
      </c>
      <c r="Y1103" s="6" t="s">
        <v>1165</v>
      </c>
      <c r="Z1103" s="6">
        <v>227515</v>
      </c>
    </row>
    <row r="1104" spans="1:26" x14ac:dyDescent="0.3">
      <c r="A1104" s="28" t="s">
        <v>42</v>
      </c>
      <c r="B1104" s="6" t="s">
        <v>2339</v>
      </c>
      <c r="C1104" s="6" t="s">
        <v>1972</v>
      </c>
      <c r="D1104" s="6" t="s">
        <v>2292</v>
      </c>
      <c r="E1104" s="6">
        <v>1</v>
      </c>
      <c r="F1104" s="6" t="s">
        <v>2004</v>
      </c>
      <c r="G1104" s="32" t="s">
        <v>2299</v>
      </c>
      <c r="H1104" s="32" t="s">
        <v>2300</v>
      </c>
      <c r="I1104" s="6" t="str">
        <f t="shared" si="37"/>
        <v>Stone Grapple</v>
      </c>
      <c r="J1104" s="6" t="s">
        <v>44</v>
      </c>
      <c r="K1104" s="6">
        <v>1</v>
      </c>
      <c r="L1104" s="6">
        <f t="shared" si="38"/>
        <v>2700000</v>
      </c>
      <c r="M1104" s="6">
        <v>2300000</v>
      </c>
      <c r="N1104" s="6" t="s">
        <v>2003</v>
      </c>
      <c r="O1104" s="6" t="s">
        <v>808</v>
      </c>
      <c r="P1104" s="6">
        <v>2014</v>
      </c>
      <c r="Q1104" s="6">
        <v>1</v>
      </c>
      <c r="R1104" s="6" t="s">
        <v>45</v>
      </c>
      <c r="S1104" s="32" t="s">
        <v>2114</v>
      </c>
      <c r="T1104" s="6">
        <v>1</v>
      </c>
      <c r="U1104" s="26">
        <v>2100000</v>
      </c>
      <c r="V1104" s="26">
        <v>2100000</v>
      </c>
      <c r="W1104" s="26">
        <v>2100000</v>
      </c>
      <c r="X1104" s="6" t="s">
        <v>2003</v>
      </c>
      <c r="Y1104" s="6" t="s">
        <v>57</v>
      </c>
      <c r="Z1104" s="6">
        <v>227517</v>
      </c>
    </row>
    <row r="1105" spans="1:26" x14ac:dyDescent="0.3">
      <c r="A1105" s="28" t="s">
        <v>42</v>
      </c>
      <c r="B1105" s="6" t="s">
        <v>2339</v>
      </c>
      <c r="C1105" s="19" t="s">
        <v>1974</v>
      </c>
      <c r="D1105" s="6" t="s">
        <v>2001</v>
      </c>
      <c r="E1105" s="6">
        <v>1</v>
      </c>
      <c r="F1105" s="6" t="s">
        <v>2004</v>
      </c>
      <c r="G1105" s="32" t="s">
        <v>2299</v>
      </c>
      <c r="H1105" s="32" t="s">
        <v>2300</v>
      </c>
      <c r="I1105" s="6" t="str">
        <f t="shared" si="37"/>
        <v>Etc Grapple</v>
      </c>
      <c r="J1105" s="6" t="s">
        <v>1966</v>
      </c>
      <c r="K1105" s="6">
        <v>1</v>
      </c>
      <c r="L1105" s="6">
        <f t="shared" si="38"/>
        <v>14700000</v>
      </c>
      <c r="M1105" s="6">
        <v>12500000</v>
      </c>
      <c r="N1105" s="6" t="s">
        <v>2003</v>
      </c>
      <c r="O1105" s="6" t="s">
        <v>1917</v>
      </c>
      <c r="P1105" s="6">
        <v>2014</v>
      </c>
      <c r="Q1105" s="6">
        <v>1</v>
      </c>
      <c r="R1105" s="6" t="s">
        <v>45</v>
      </c>
      <c r="S1105" s="32" t="s">
        <v>2116</v>
      </c>
      <c r="T1105" s="6">
        <v>1</v>
      </c>
      <c r="U1105" s="26">
        <v>12000000</v>
      </c>
      <c r="V1105" s="26">
        <v>12000000</v>
      </c>
      <c r="W1105" s="26">
        <v>12000000</v>
      </c>
      <c r="X1105" s="6" t="s">
        <v>2003</v>
      </c>
      <c r="Y1105" s="6" t="s">
        <v>1207</v>
      </c>
      <c r="Z1105" s="6">
        <v>227519</v>
      </c>
    </row>
    <row r="1106" spans="1:26" x14ac:dyDescent="0.3">
      <c r="A1106" s="28" t="s">
        <v>42</v>
      </c>
      <c r="B1106" s="6" t="s">
        <v>2343</v>
      </c>
      <c r="C1106" s="6"/>
      <c r="D1106" s="6" t="s">
        <v>2291</v>
      </c>
      <c r="E1106" s="6">
        <v>1</v>
      </c>
      <c r="F1106" s="6" t="s">
        <v>2004</v>
      </c>
      <c r="G1106" s="32" t="s">
        <v>2299</v>
      </c>
      <c r="H1106" s="32" t="s">
        <v>2300</v>
      </c>
      <c r="I1106" s="6" t="str">
        <f t="shared" si="37"/>
        <v>Lift Fork</v>
      </c>
      <c r="J1106" s="6" t="s">
        <v>617</v>
      </c>
      <c r="K1106" s="6">
        <v>1</v>
      </c>
      <c r="L1106" s="6">
        <f t="shared" si="38"/>
        <v>1050000</v>
      </c>
      <c r="M1106" s="6">
        <v>900000</v>
      </c>
      <c r="N1106" s="6" t="s">
        <v>2003</v>
      </c>
      <c r="O1106" s="6" t="s">
        <v>2011</v>
      </c>
      <c r="P1106" s="6">
        <v>2017</v>
      </c>
      <c r="Q1106" s="6">
        <v>2</v>
      </c>
      <c r="R1106" s="6" t="s">
        <v>45</v>
      </c>
      <c r="S1106" s="32" t="s">
        <v>2123</v>
      </c>
      <c r="T1106" s="6">
        <v>1</v>
      </c>
      <c r="U1106" s="26">
        <v>800000</v>
      </c>
      <c r="V1106" s="26">
        <v>800000</v>
      </c>
      <c r="W1106" s="26">
        <v>800000</v>
      </c>
      <c r="X1106" s="6" t="s">
        <v>2003</v>
      </c>
      <c r="Y1106" s="6" t="s">
        <v>1200</v>
      </c>
      <c r="Z1106" s="6">
        <v>227524</v>
      </c>
    </row>
    <row r="1107" spans="1:26" x14ac:dyDescent="0.3">
      <c r="A1107" s="28" t="s">
        <v>42</v>
      </c>
      <c r="B1107" s="6" t="s">
        <v>2339</v>
      </c>
      <c r="C1107" s="6" t="s">
        <v>1974</v>
      </c>
      <c r="D1107" s="6" t="s">
        <v>2291</v>
      </c>
      <c r="E1107" s="6">
        <v>1</v>
      </c>
      <c r="F1107" s="6" t="s">
        <v>2004</v>
      </c>
      <c r="G1107" s="32" t="s">
        <v>2299</v>
      </c>
      <c r="H1107" s="32" t="s">
        <v>2300</v>
      </c>
      <c r="I1107" s="6" t="str">
        <f t="shared" si="37"/>
        <v>Etc Grapple</v>
      </c>
      <c r="J1107" s="6" t="s">
        <v>136</v>
      </c>
      <c r="K1107" s="6">
        <v>1</v>
      </c>
      <c r="L1107" s="6">
        <f t="shared" si="38"/>
        <v>2230000</v>
      </c>
      <c r="M1107" s="6">
        <v>1900000</v>
      </c>
      <c r="N1107" s="6" t="s">
        <v>2003</v>
      </c>
      <c r="O1107" s="6" t="s">
        <v>2011</v>
      </c>
      <c r="P1107" s="6">
        <v>2010</v>
      </c>
      <c r="Q1107" s="6">
        <v>6</v>
      </c>
      <c r="R1107" s="6" t="s">
        <v>45</v>
      </c>
      <c r="S1107" s="32" t="s">
        <v>2123</v>
      </c>
      <c r="T1107" s="6">
        <v>1</v>
      </c>
      <c r="U1107" s="26">
        <v>1800000</v>
      </c>
      <c r="V1107" s="26">
        <v>1800000</v>
      </c>
      <c r="W1107" s="26">
        <v>1800000</v>
      </c>
      <c r="X1107" s="6" t="s">
        <v>2003</v>
      </c>
      <c r="Y1107" s="6" t="s">
        <v>1200</v>
      </c>
      <c r="Z1107" s="6">
        <v>227531</v>
      </c>
    </row>
    <row r="1108" spans="1:26" x14ac:dyDescent="0.3">
      <c r="A1108" s="28" t="s">
        <v>42</v>
      </c>
      <c r="B1108" s="6" t="s">
        <v>2338</v>
      </c>
      <c r="C1108" s="6" t="s">
        <v>1975</v>
      </c>
      <c r="D1108" s="6" t="s">
        <v>2291</v>
      </c>
      <c r="E1108" s="6">
        <v>1</v>
      </c>
      <c r="F1108" s="6" t="s">
        <v>2004</v>
      </c>
      <c r="G1108" s="32" t="s">
        <v>2299</v>
      </c>
      <c r="H1108" s="32" t="s">
        <v>2300</v>
      </c>
      <c r="I1108" s="6" t="str">
        <f t="shared" si="37"/>
        <v>Side Breaker</v>
      </c>
      <c r="J1108" s="6" t="s">
        <v>1967</v>
      </c>
      <c r="K1108" s="6">
        <v>1</v>
      </c>
      <c r="L1108" s="6">
        <f t="shared" si="38"/>
        <v>1940000</v>
      </c>
      <c r="M1108" s="6">
        <v>1650000</v>
      </c>
      <c r="N1108" s="6" t="s">
        <v>2003</v>
      </c>
      <c r="O1108" s="6" t="s">
        <v>2012</v>
      </c>
      <c r="P1108" s="6">
        <v>2013</v>
      </c>
      <c r="Q1108" s="6">
        <v>1</v>
      </c>
      <c r="R1108" s="6" t="s">
        <v>45</v>
      </c>
      <c r="S1108" s="32" t="s">
        <v>2113</v>
      </c>
      <c r="T1108" s="6">
        <v>1</v>
      </c>
      <c r="U1108" s="26">
        <v>1550000</v>
      </c>
      <c r="V1108" s="26">
        <v>1550000</v>
      </c>
      <c r="W1108" s="26">
        <v>1550000</v>
      </c>
      <c r="X1108" s="6" t="s">
        <v>2003</v>
      </c>
      <c r="Y1108" s="6" t="s">
        <v>49</v>
      </c>
      <c r="Z1108" s="6">
        <v>227532</v>
      </c>
    </row>
    <row r="1109" spans="1:26" x14ac:dyDescent="0.3">
      <c r="A1109" s="28" t="s">
        <v>42</v>
      </c>
      <c r="B1109" s="6" t="s">
        <v>2338</v>
      </c>
      <c r="C1109" s="6" t="s">
        <v>1975</v>
      </c>
      <c r="D1109" s="6" t="s">
        <v>2294</v>
      </c>
      <c r="E1109" s="6">
        <v>1</v>
      </c>
      <c r="F1109" s="6" t="s">
        <v>2004</v>
      </c>
      <c r="G1109" s="32" t="s">
        <v>2299</v>
      </c>
      <c r="H1109" s="32" t="s">
        <v>2300</v>
      </c>
      <c r="I1109" s="6" t="str">
        <f t="shared" si="37"/>
        <v>Side Breaker</v>
      </c>
      <c r="J1109" s="6" t="s">
        <v>256</v>
      </c>
      <c r="K1109" s="6">
        <v>1</v>
      </c>
      <c r="L1109" s="6">
        <f t="shared" si="38"/>
        <v>2940000</v>
      </c>
      <c r="M1109" s="6">
        <v>2500000</v>
      </c>
      <c r="N1109" s="6" t="s">
        <v>2003</v>
      </c>
      <c r="O1109" s="6" t="s">
        <v>2012</v>
      </c>
      <c r="P1109" s="6">
        <v>2014</v>
      </c>
      <c r="Q1109" s="6">
        <v>1</v>
      </c>
      <c r="R1109" s="6" t="s">
        <v>45</v>
      </c>
      <c r="S1109" s="32" t="s">
        <v>2113</v>
      </c>
      <c r="T1109" s="6">
        <v>1</v>
      </c>
      <c r="U1109" s="26">
        <v>2300000</v>
      </c>
      <c r="V1109" s="26">
        <v>2300000</v>
      </c>
      <c r="W1109" s="26">
        <v>2300000</v>
      </c>
      <c r="X1109" s="6" t="s">
        <v>2003</v>
      </c>
      <c r="Y1109" s="6" t="s">
        <v>49</v>
      </c>
      <c r="Z1109" s="6">
        <v>227534</v>
      </c>
    </row>
    <row r="1110" spans="1:26" x14ac:dyDescent="0.3">
      <c r="A1110" s="28" t="s">
        <v>42</v>
      </c>
      <c r="B1110" s="6" t="s">
        <v>2339</v>
      </c>
      <c r="C1110" s="6" t="s">
        <v>1979</v>
      </c>
      <c r="D1110" s="6" t="s">
        <v>2292</v>
      </c>
      <c r="E1110" s="6">
        <v>1</v>
      </c>
      <c r="F1110" s="6" t="s">
        <v>2004</v>
      </c>
      <c r="G1110" s="32" t="s">
        <v>2299</v>
      </c>
      <c r="H1110" s="32" t="s">
        <v>2300</v>
      </c>
      <c r="I1110" s="6" t="str">
        <f t="shared" si="37"/>
        <v>Thumb Grapple</v>
      </c>
      <c r="J1110" s="6" t="s">
        <v>195</v>
      </c>
      <c r="K1110" s="6">
        <v>1</v>
      </c>
      <c r="L1110" s="6">
        <f t="shared" si="38"/>
        <v>1520000</v>
      </c>
      <c r="M1110" s="6">
        <v>1300000</v>
      </c>
      <c r="N1110" s="6" t="s">
        <v>2003</v>
      </c>
      <c r="O1110" s="6" t="s">
        <v>54</v>
      </c>
      <c r="P1110" s="6">
        <v>2010</v>
      </c>
      <c r="Q1110" s="6">
        <v>1</v>
      </c>
      <c r="R1110" s="6" t="s">
        <v>45</v>
      </c>
      <c r="S1110" s="32" t="s">
        <v>2116</v>
      </c>
      <c r="T1110" s="6">
        <v>1</v>
      </c>
      <c r="U1110" s="26">
        <v>1200000</v>
      </c>
      <c r="V1110" s="26">
        <v>1200000</v>
      </c>
      <c r="W1110" s="26">
        <v>1200000</v>
      </c>
      <c r="X1110" s="6" t="s">
        <v>2003</v>
      </c>
      <c r="Y1110" s="6" t="s">
        <v>54</v>
      </c>
      <c r="Z1110" s="6">
        <v>227535</v>
      </c>
    </row>
    <row r="1111" spans="1:26" x14ac:dyDescent="0.3">
      <c r="A1111" s="28" t="s">
        <v>42</v>
      </c>
      <c r="B1111" s="6" t="s">
        <v>2342</v>
      </c>
      <c r="C1111" s="6"/>
      <c r="D1111" s="6" t="s">
        <v>2292</v>
      </c>
      <c r="E1111" s="6">
        <v>1</v>
      </c>
      <c r="F1111" s="6" t="s">
        <v>2004</v>
      </c>
      <c r="G1111" s="32" t="s">
        <v>2299</v>
      </c>
      <c r="H1111" s="32" t="s">
        <v>2300</v>
      </c>
      <c r="I1111" s="6" t="str">
        <f t="shared" si="37"/>
        <v>Quick Coupler</v>
      </c>
      <c r="J1111" s="6" t="s">
        <v>1968</v>
      </c>
      <c r="K1111" s="6">
        <v>1</v>
      </c>
      <c r="L1111" s="6">
        <f t="shared" si="38"/>
        <v>1050000</v>
      </c>
      <c r="M1111" s="6">
        <v>900000</v>
      </c>
      <c r="N1111" s="6" t="s">
        <v>2003</v>
      </c>
      <c r="O1111" s="6" t="s">
        <v>2007</v>
      </c>
      <c r="P1111" s="6">
        <v>2015</v>
      </c>
      <c r="Q1111" s="6">
        <v>1</v>
      </c>
      <c r="R1111" s="6" t="s">
        <v>45</v>
      </c>
      <c r="S1111" s="32" t="s">
        <v>2113</v>
      </c>
      <c r="T1111" s="6">
        <v>1</v>
      </c>
      <c r="U1111" s="26">
        <v>800000</v>
      </c>
      <c r="V1111" s="26">
        <v>800000</v>
      </c>
      <c r="W1111" s="26">
        <v>800000</v>
      </c>
      <c r="X1111" s="6" t="s">
        <v>2003</v>
      </c>
      <c r="Y1111" s="6" t="s">
        <v>49</v>
      </c>
      <c r="Z1111" s="6">
        <v>227537</v>
      </c>
    </row>
    <row r="1112" spans="1:26" x14ac:dyDescent="0.3">
      <c r="A1112" s="28" t="s">
        <v>42</v>
      </c>
      <c r="B1112" s="6" t="s">
        <v>2340</v>
      </c>
      <c r="C1112" s="6"/>
      <c r="D1112" s="6" t="s">
        <v>2291</v>
      </c>
      <c r="E1112" s="6">
        <v>1</v>
      </c>
      <c r="F1112" s="6" t="s">
        <v>2004</v>
      </c>
      <c r="G1112" s="32" t="s">
        <v>2299</v>
      </c>
      <c r="H1112" s="32" t="s">
        <v>2300</v>
      </c>
      <c r="I1112" s="6" t="str">
        <f t="shared" si="37"/>
        <v>ETC</v>
      </c>
      <c r="J1112" s="6" t="s">
        <v>138</v>
      </c>
      <c r="K1112" s="6">
        <v>1</v>
      </c>
      <c r="L1112" s="6">
        <f t="shared" si="38"/>
        <v>3170000</v>
      </c>
      <c r="M1112" s="6">
        <v>2700000</v>
      </c>
      <c r="N1112" s="6" t="s">
        <v>2003</v>
      </c>
      <c r="O1112" s="6" t="s">
        <v>2015</v>
      </c>
      <c r="P1112" s="6">
        <v>2012</v>
      </c>
      <c r="Q1112" s="6">
        <v>6</v>
      </c>
      <c r="R1112" s="6" t="s">
        <v>45</v>
      </c>
      <c r="S1112" s="32" t="s">
        <v>2113</v>
      </c>
      <c r="T1112" s="6">
        <v>1</v>
      </c>
      <c r="U1112" s="26">
        <v>2500000</v>
      </c>
      <c r="V1112" s="26">
        <v>2500000</v>
      </c>
      <c r="W1112" s="26">
        <v>2500000</v>
      </c>
      <c r="X1112" s="6" t="s">
        <v>2003</v>
      </c>
      <c r="Y1112" s="6" t="s">
        <v>47</v>
      </c>
      <c r="Z1112" s="6">
        <v>227540</v>
      </c>
    </row>
    <row r="1113" spans="1:26" x14ac:dyDescent="0.3">
      <c r="A1113" s="28" t="s">
        <v>42</v>
      </c>
      <c r="B1113" s="6" t="s">
        <v>2339</v>
      </c>
      <c r="C1113" s="6" t="s">
        <v>1972</v>
      </c>
      <c r="D1113" s="6" t="s">
        <v>2292</v>
      </c>
      <c r="E1113" s="6">
        <v>1</v>
      </c>
      <c r="F1113" s="6" t="s">
        <v>2004</v>
      </c>
      <c r="G1113" s="32" t="s">
        <v>2299</v>
      </c>
      <c r="H1113" s="32" t="s">
        <v>2300</v>
      </c>
      <c r="I1113" s="6" t="str">
        <f t="shared" si="37"/>
        <v>Stone Grapple</v>
      </c>
      <c r="J1113" s="6" t="s">
        <v>197</v>
      </c>
      <c r="K1113" s="6">
        <v>1</v>
      </c>
      <c r="L1113" s="6">
        <f t="shared" si="38"/>
        <v>3050000</v>
      </c>
      <c r="M1113" s="6">
        <v>2600000</v>
      </c>
      <c r="N1113" s="6" t="s">
        <v>2003</v>
      </c>
      <c r="O1113" s="6" t="s">
        <v>2007</v>
      </c>
      <c r="P1113" s="6">
        <v>2014</v>
      </c>
      <c r="Q1113" s="6">
        <v>1</v>
      </c>
      <c r="R1113" s="6" t="s">
        <v>45</v>
      </c>
      <c r="S1113" s="32" t="s">
        <v>2113</v>
      </c>
      <c r="T1113" s="6">
        <v>1</v>
      </c>
      <c r="U1113" s="26">
        <v>2400000</v>
      </c>
      <c r="V1113" s="26">
        <v>2400000</v>
      </c>
      <c r="W1113" s="26">
        <v>2400000</v>
      </c>
      <c r="X1113" s="6" t="s">
        <v>2003</v>
      </c>
      <c r="Y1113" s="6" t="s">
        <v>49</v>
      </c>
      <c r="Z1113" s="6">
        <v>227541</v>
      </c>
    </row>
    <row r="1114" spans="1:26" x14ac:dyDescent="0.3">
      <c r="A1114" s="28" t="s">
        <v>42</v>
      </c>
      <c r="B1114" s="6" t="s">
        <v>2339</v>
      </c>
      <c r="C1114" s="6" t="s">
        <v>1979</v>
      </c>
      <c r="D1114" s="6" t="s">
        <v>2292</v>
      </c>
      <c r="E1114" s="6">
        <v>1</v>
      </c>
      <c r="F1114" s="6" t="s">
        <v>2004</v>
      </c>
      <c r="G1114" s="32" t="s">
        <v>2299</v>
      </c>
      <c r="H1114" s="32" t="s">
        <v>2300</v>
      </c>
      <c r="I1114" s="6" t="str">
        <f t="shared" si="37"/>
        <v>Thumb Grapple</v>
      </c>
      <c r="J1114" s="6" t="s">
        <v>117</v>
      </c>
      <c r="K1114" s="6">
        <v>1</v>
      </c>
      <c r="L1114" s="6">
        <f t="shared" si="38"/>
        <v>1050000</v>
      </c>
      <c r="M1114" s="6">
        <v>900000</v>
      </c>
      <c r="N1114" s="6" t="s">
        <v>2003</v>
      </c>
      <c r="O1114" s="6" t="s">
        <v>54</v>
      </c>
      <c r="P1114" s="6">
        <v>2012</v>
      </c>
      <c r="Q1114" s="6">
        <v>1</v>
      </c>
      <c r="R1114" s="6" t="s">
        <v>45</v>
      </c>
      <c r="S1114" s="32" t="s">
        <v>2114</v>
      </c>
      <c r="T1114" s="6">
        <v>1</v>
      </c>
      <c r="U1114" s="26">
        <v>800000</v>
      </c>
      <c r="V1114" s="26">
        <v>800000</v>
      </c>
      <c r="W1114" s="26">
        <v>800000</v>
      </c>
      <c r="X1114" s="6" t="s">
        <v>2003</v>
      </c>
      <c r="Y1114" s="6" t="s">
        <v>54</v>
      </c>
      <c r="Z1114" s="6">
        <v>227542</v>
      </c>
    </row>
    <row r="1115" spans="1:26" x14ac:dyDescent="0.3">
      <c r="A1115" s="28" t="s">
        <v>42</v>
      </c>
      <c r="B1115" s="6" t="s">
        <v>2339</v>
      </c>
      <c r="C1115" s="6" t="s">
        <v>1985</v>
      </c>
      <c r="D1115" s="6" t="s">
        <v>2292</v>
      </c>
      <c r="E1115" s="6">
        <v>1</v>
      </c>
      <c r="F1115" s="6" t="s">
        <v>2004</v>
      </c>
      <c r="G1115" s="32" t="s">
        <v>2299</v>
      </c>
      <c r="H1115" s="32" t="s">
        <v>2300</v>
      </c>
      <c r="I1115" s="6" t="str">
        <f t="shared" si="37"/>
        <v>Multi Grapple</v>
      </c>
      <c r="J1115" s="6" t="s">
        <v>296</v>
      </c>
      <c r="K1115" s="6">
        <v>1</v>
      </c>
      <c r="L1115" s="6">
        <f t="shared" si="38"/>
        <v>3520000</v>
      </c>
      <c r="M1115" s="6">
        <v>3000000</v>
      </c>
      <c r="N1115" s="6" t="s">
        <v>2003</v>
      </c>
      <c r="O1115" s="6" t="s">
        <v>51</v>
      </c>
      <c r="P1115" s="6">
        <v>2013</v>
      </c>
      <c r="Q1115" s="6">
        <v>1</v>
      </c>
      <c r="R1115" s="6" t="s">
        <v>45</v>
      </c>
      <c r="S1115" s="32" t="s">
        <v>2113</v>
      </c>
      <c r="T1115" s="6">
        <v>1</v>
      </c>
      <c r="U1115" s="26">
        <v>2800000</v>
      </c>
      <c r="V1115" s="26">
        <v>2800000</v>
      </c>
      <c r="W1115" s="26">
        <v>2800000</v>
      </c>
      <c r="X1115" s="6" t="s">
        <v>2003</v>
      </c>
      <c r="Y1115" s="6" t="s">
        <v>49</v>
      </c>
      <c r="Z1115" s="6">
        <v>227544</v>
      </c>
    </row>
    <row r="1116" spans="1:26" x14ac:dyDescent="0.3">
      <c r="A1116" s="28" t="s">
        <v>42</v>
      </c>
      <c r="B1116" s="6" t="s">
        <v>2339</v>
      </c>
      <c r="C1116" s="6" t="s">
        <v>1972</v>
      </c>
      <c r="D1116" s="6" t="s">
        <v>2291</v>
      </c>
      <c r="E1116" s="6">
        <v>1</v>
      </c>
      <c r="F1116" s="6" t="s">
        <v>2004</v>
      </c>
      <c r="G1116" s="32" t="s">
        <v>2299</v>
      </c>
      <c r="H1116" s="32" t="s">
        <v>2300</v>
      </c>
      <c r="I1116" s="6" t="str">
        <f t="shared" si="37"/>
        <v>Stone Grapple</v>
      </c>
      <c r="J1116" s="6" t="s">
        <v>201</v>
      </c>
      <c r="K1116" s="6">
        <v>1</v>
      </c>
      <c r="L1116" s="6">
        <f t="shared" si="38"/>
        <v>2000000</v>
      </c>
      <c r="M1116" s="6">
        <v>1700000</v>
      </c>
      <c r="N1116" s="6" t="s">
        <v>2003</v>
      </c>
      <c r="O1116" s="6" t="s">
        <v>1140</v>
      </c>
      <c r="P1116" s="6">
        <v>2016</v>
      </c>
      <c r="Q1116" s="6">
        <v>1</v>
      </c>
      <c r="R1116" s="6" t="s">
        <v>45</v>
      </c>
      <c r="S1116" s="32" t="s">
        <v>2110</v>
      </c>
      <c r="T1116" s="6">
        <v>1</v>
      </c>
      <c r="U1116" s="26">
        <v>1600000</v>
      </c>
      <c r="V1116" s="26">
        <v>1600000</v>
      </c>
      <c r="W1116" s="26">
        <v>1600000</v>
      </c>
      <c r="X1116" s="6" t="s">
        <v>2003</v>
      </c>
      <c r="Y1116" s="6" t="s">
        <v>1228</v>
      </c>
      <c r="Z1116" s="6">
        <v>227552</v>
      </c>
    </row>
    <row r="1117" spans="1:26" x14ac:dyDescent="0.3">
      <c r="A1117" s="28" t="s">
        <v>42</v>
      </c>
      <c r="B1117" s="6" t="s">
        <v>2339</v>
      </c>
      <c r="C1117" s="6" t="s">
        <v>1972</v>
      </c>
      <c r="D1117" s="6" t="s">
        <v>2292</v>
      </c>
      <c r="E1117" s="6">
        <v>1</v>
      </c>
      <c r="F1117" s="6" t="s">
        <v>2004</v>
      </c>
      <c r="G1117" s="32" t="s">
        <v>2299</v>
      </c>
      <c r="H1117" s="32" t="s">
        <v>2300</v>
      </c>
      <c r="I1117" s="6" t="str">
        <f t="shared" si="37"/>
        <v>Stone Grapple</v>
      </c>
      <c r="J1117" s="6" t="s">
        <v>194</v>
      </c>
      <c r="K1117" s="6">
        <v>1</v>
      </c>
      <c r="L1117" s="6">
        <f t="shared" si="38"/>
        <v>2580000</v>
      </c>
      <c r="M1117" s="6">
        <v>2200000</v>
      </c>
      <c r="N1117" s="6" t="s">
        <v>2003</v>
      </c>
      <c r="O1117" s="6" t="s">
        <v>818</v>
      </c>
      <c r="P1117" s="6">
        <v>2010</v>
      </c>
      <c r="Q1117" s="6">
        <v>1</v>
      </c>
      <c r="R1117" s="6" t="s">
        <v>45</v>
      </c>
      <c r="S1117" s="32" t="s">
        <v>2112</v>
      </c>
      <c r="T1117" s="6">
        <v>1</v>
      </c>
      <c r="U1117" s="26">
        <v>2000000</v>
      </c>
      <c r="V1117" s="26">
        <v>2000000</v>
      </c>
      <c r="W1117" s="26">
        <v>2000000</v>
      </c>
      <c r="X1117" s="6" t="s">
        <v>2003</v>
      </c>
      <c r="Y1117" s="6" t="s">
        <v>1243</v>
      </c>
      <c r="Z1117" s="6">
        <v>227566</v>
      </c>
    </row>
    <row r="1118" spans="1:26" x14ac:dyDescent="0.3">
      <c r="A1118" s="28" t="s">
        <v>42</v>
      </c>
      <c r="B1118" s="6" t="s">
        <v>2344</v>
      </c>
      <c r="C1118" s="6" t="s">
        <v>1977</v>
      </c>
      <c r="D1118" s="6" t="s">
        <v>2291</v>
      </c>
      <c r="E1118" s="6">
        <v>1</v>
      </c>
      <c r="F1118" s="6" t="s">
        <v>2004</v>
      </c>
      <c r="G1118" s="32" t="s">
        <v>2299</v>
      </c>
      <c r="H1118" s="32" t="s">
        <v>2300</v>
      </c>
      <c r="I1118" s="6" t="str">
        <f t="shared" si="37"/>
        <v>Wide Bucket</v>
      </c>
      <c r="J1118" s="6" t="s">
        <v>64</v>
      </c>
      <c r="K1118" s="6">
        <v>1</v>
      </c>
      <c r="L1118" s="6">
        <f t="shared" si="38"/>
        <v>540000</v>
      </c>
      <c r="M1118" s="6">
        <v>460000</v>
      </c>
      <c r="N1118" s="6" t="s">
        <v>2003</v>
      </c>
      <c r="O1118" s="6" t="s">
        <v>789</v>
      </c>
      <c r="P1118" s="6">
        <v>2015</v>
      </c>
      <c r="Q1118" s="6">
        <v>1</v>
      </c>
      <c r="R1118" s="6" t="s">
        <v>45</v>
      </c>
      <c r="S1118" s="32" t="s">
        <v>2122</v>
      </c>
      <c r="T1118" s="6">
        <v>1</v>
      </c>
      <c r="U1118" s="26">
        <v>410000</v>
      </c>
      <c r="V1118" s="26">
        <v>410000</v>
      </c>
      <c r="W1118" s="26">
        <v>410000</v>
      </c>
      <c r="X1118" s="6" t="s">
        <v>2003</v>
      </c>
      <c r="Y1118" s="6" t="s">
        <v>65</v>
      </c>
      <c r="Z1118" s="6">
        <v>227568</v>
      </c>
    </row>
  </sheetData>
  <phoneticPr fontId="18" type="noConversion"/>
  <dataValidations count="1">
    <dataValidation type="list" allowBlank="1" showInputMessage="1" showErrorMessage="1" sqref="D2:D1118">
      <formula1>excavator1</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이름이 지정된 범위</vt:lpstr>
      </vt:variant>
      <vt:variant>
        <vt:i4>40</vt:i4>
      </vt:variant>
    </vt:vector>
  </HeadingPairs>
  <TitlesOfParts>
    <vt:vector size="46" baseType="lpstr">
      <vt:lpstr>dataname</vt:lpstr>
      <vt:lpstr>이름정의용</vt:lpstr>
      <vt:lpstr>카테고리 분류</vt:lpstr>
      <vt:lpstr>한달DB(여기서 수정해주세요)</vt:lpstr>
      <vt:lpstr>oneMonth_DB</vt:lpstr>
      <vt:lpstr>oneMonth_DB (2)</vt:lpstr>
      <vt:lpstr>advanced</vt:lpstr>
      <vt:lpstr>boxbreaker</vt:lpstr>
      <vt:lpstr>breaker</vt:lpstr>
      <vt:lpstr>category2</vt:lpstr>
      <vt:lpstr>category3_detail</vt:lpstr>
      <vt:lpstr>clamgrapple</vt:lpstr>
      <vt:lpstr>compactor</vt:lpstr>
      <vt:lpstr>coredrill</vt:lpstr>
      <vt:lpstr>coupler</vt:lpstr>
      <vt:lpstr>etc</vt:lpstr>
      <vt:lpstr>etcbreaker</vt:lpstr>
      <vt:lpstr>etcbucket</vt:lpstr>
      <vt:lpstr>etccrusher</vt:lpstr>
      <vt:lpstr>etcgrapple</vt:lpstr>
      <vt:lpstr>excavator1</vt:lpstr>
      <vt:lpstr>hammer</vt:lpstr>
      <vt:lpstr>hydcrusher</vt:lpstr>
      <vt:lpstr>hydmulticrusher</vt:lpstr>
      <vt:lpstr>hydpulverizer</vt:lpstr>
      <vt:lpstr>liftfork</vt:lpstr>
      <vt:lpstr>multigrapple</vt:lpstr>
      <vt:lpstr>orangegrapple</vt:lpstr>
      <vt:lpstr>progressivethumb</vt:lpstr>
      <vt:lpstr>ripper</vt:lpstr>
      <vt:lpstr>scrapgrapple</vt:lpstr>
      <vt:lpstr>shear</vt:lpstr>
      <vt:lpstr>sidebreaker</vt:lpstr>
      <vt:lpstr>skeletonbucket</vt:lpstr>
      <vt:lpstr>smallbucket</vt:lpstr>
      <vt:lpstr>specialbreaker</vt:lpstr>
      <vt:lpstr>specialbucket</vt:lpstr>
      <vt:lpstr>standardbucket</vt:lpstr>
      <vt:lpstr>stonegrapple</vt:lpstr>
      <vt:lpstr>thumb</vt:lpstr>
      <vt:lpstr>topbreaker</vt:lpstr>
      <vt:lpstr>totalbucket</vt:lpstr>
      <vt:lpstr>totalcrusher</vt:lpstr>
      <vt:lpstr>totalgrapple</vt:lpstr>
      <vt:lpstr>widebucket</vt:lpstr>
      <vt:lpstr>woodgrapple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dc:creator>
  <cp:lastModifiedBy>slogup_public</cp:lastModifiedBy>
  <dcterms:created xsi:type="dcterms:W3CDTF">2017-02-20T15:52:25Z</dcterms:created>
  <dcterms:modified xsi:type="dcterms:W3CDTF">2017-03-07T06:47:02Z</dcterms:modified>
</cp:coreProperties>
</file>